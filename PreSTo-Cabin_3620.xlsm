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comments1.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3.xml" ContentType="application/vnd.openxmlformats-officedocument.drawing+xml"/>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charts/chart4.xml" ContentType="application/vnd.openxmlformats-officedocument.drawingml.chart+xml"/>
  <Override PartName="/xl/charts/chart5.xml" ContentType="application/vnd.openxmlformats-officedocument.drawingml.chart+xml"/>
  <Override PartName="/xl/comments2.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PreSTo_Workbook" hidePivotFieldList="1"/>
  <mc:AlternateContent xmlns:mc="http://schemas.openxmlformats.org/markup-compatibility/2006">
    <mc:Choice Requires="x15">
      <x15ac:absPath xmlns:x15ac="http://schemas.microsoft.com/office/spreadsheetml/2010/11/ac" url="https://d.docs.live.net/8f4c27fe117623c3/Desktop/"/>
    </mc:Choice>
  </mc:AlternateContent>
  <xr:revisionPtr revIDLastSave="92" documentId="13_ncr:1_{E3695F10-E3E2-4D62-BCD3-EBC093028CC8}" xr6:coauthVersionLast="47" xr6:coauthVersionMax="47" xr10:uidLastSave="{C40BA9F1-D91A-4611-A491-6FC26F301F47}"/>
  <bookViews>
    <workbookView xWindow="0" yWindow="0" windowWidth="17460" windowHeight="11370" activeTab="1" xr2:uid="{316B385E-03C2-4BF5-868E-505501938C84}"/>
  </bookViews>
  <sheets>
    <sheet name="Title Page" sheetId="50" r:id="rId1"/>
    <sheet name="Fuselage" sheetId="43" r:id="rId2"/>
    <sheet name="Analysis" sheetId="48" r:id="rId3"/>
    <sheet name="Data Fuselage" sheetId="44" state="hidden" r:id="rId4"/>
  </sheets>
  <externalReferences>
    <externalReference r:id="rId5"/>
  </externalReferences>
  <definedNames>
    <definedName name="_xlnm._FilterDatabase" localSheetId="2" hidden="1">Analysis!$C$10:$H$13</definedName>
    <definedName name="_xlnm._FilterDatabase" localSheetId="1" hidden="1">Fuselage!$Z$119:$Z$136</definedName>
    <definedName name="AH" comment="Horizontal tail Aspect rato">#REF!</definedName>
    <definedName name="area_10j">#REF!</definedName>
    <definedName name="area_10p">#REF!</definedName>
    <definedName name="area_1bp">#REF!</definedName>
    <definedName name="area_1j">#REF!</definedName>
    <definedName name="area_1p">#REF!</definedName>
    <definedName name="area_2j">#REF!</definedName>
    <definedName name="area_2p">#REF!</definedName>
    <definedName name="area_3j">#REF!</definedName>
    <definedName name="area_3p">#REF!</definedName>
    <definedName name="area_4j">#REF!</definedName>
    <definedName name="area_4p">#REF!</definedName>
    <definedName name="area_5j">#REF!</definedName>
    <definedName name="area_5p">#REF!</definedName>
    <definedName name="area_6j">#REF!</definedName>
    <definedName name="area_6p">#REF!</definedName>
    <definedName name="area_7j">#REF!</definedName>
    <definedName name="area_7p">#REF!</definedName>
    <definedName name="area_8j">#REF!</definedName>
    <definedName name="area_8p">#REF!</definedName>
    <definedName name="area_9j">#REF!</definedName>
    <definedName name="area_9p">#REF!</definedName>
    <definedName name="area_engines_on_fuselage">#REF!</definedName>
    <definedName name="area_engines_on_wing">#REF!</definedName>
    <definedName name="area_fuselage_bc_1">Fuselage!$19:$20</definedName>
    <definedName name="area_fuselage_bc_2">Fuselage!$30:$31</definedName>
    <definedName name="area_fuselage_bc_3">Fuselage!$74:$82</definedName>
    <definedName name="area_fuselage_bc_4">Fuselage!$155:$156</definedName>
    <definedName name="area_fuselage_bc_5">Fuselage!$159:$162</definedName>
    <definedName name="area_fuselage_bc_6">Fuselage!$267:$268</definedName>
    <definedName name="area_fuselage_bc_7">Fuselage!$210:$211</definedName>
    <definedName name="area_fuselage_bc_lavatories">Fuselage!$219:$220</definedName>
    <definedName name="area_fuselage_double_container">Fuselage!$111:$112</definedName>
    <definedName name="area_fuselage_fc_1">Fuselage!$17:$18</definedName>
    <definedName name="area_fuselage_fc_2">Fuselage!$28:$29</definedName>
    <definedName name="area_fuselage_fc_3">Fuselage!$65:$73</definedName>
    <definedName name="area_fuselage_fc_4">Fuselage!$147:$148</definedName>
    <definedName name="area_fuselage_fc_5">Fuselage!$151:$154</definedName>
    <definedName name="area_fuselage_fc_6">Fuselage!$265:$266</definedName>
    <definedName name="area_fuselage_fc_7">Fuselage!$208:$209</definedName>
    <definedName name="area_fuselage_fc_lavatories">Fuselage!$217:$218</definedName>
    <definedName name="area_fuselage_middle_aisle_BC">Fuselage!$157:$158</definedName>
    <definedName name="area_fuselage_middle_aisle_FC">Fuselage!$149:$150</definedName>
    <definedName name="area_fuselage_middle_aisle_rails">Fuselage!$184:$185</definedName>
    <definedName name="area_fuselage_middle_aisle_rails_distance">Fuselage!$194:$195</definedName>
    <definedName name="area_fuselage_middle_aisle_YC">Fuselage!$165:$166</definedName>
    <definedName name="area_landing_gear_in_fuselage">#REF!</definedName>
    <definedName name="area_landing_gear_in_wing">#REF!</definedName>
    <definedName name="area_mass_everything">#REF!</definedName>
    <definedName name="area_raymer89">#REF!</definedName>
    <definedName name="area_roskamV">#REF!</definedName>
    <definedName name="area_tailplane_no_Roskam">#REF!</definedName>
    <definedName name="area_tailplane_Roskam">#REF!</definedName>
    <definedName name="area_torenbeek88">#REF!</definedName>
    <definedName name="AV" comment="vertical tail aspect ratio">#REF!</definedName>
    <definedName name="bE" comment="Elevator total span">#REF!</definedName>
    <definedName name="bH" comment="horizontal tail span">#REF!</definedName>
    <definedName name="bR" comment="rudder span">#REF!</definedName>
    <definedName name="bV" comment="vertical tail span">#REF!</definedName>
    <definedName name="C_L">#REF!</definedName>
    <definedName name="C_L_H">#REF!</definedName>
    <definedName name="C_M_E">#REF!</definedName>
    <definedName name="C_M_W">#REF!</definedName>
    <definedName name="cE_c" comment="elevator chordwise distribution">#REF!</definedName>
    <definedName name="CH">#REF!</definedName>
    <definedName name="CLH">#REF!</definedName>
    <definedName name="CLV">#REF!</definedName>
    <definedName name="cMACH" comment="horizontal tail mean aerodynamic chord">#REF!</definedName>
    <definedName name="cMACV" comment="vertical tail mean aerodynamic chord">#REF!</definedName>
    <definedName name="CONSTANT_gamma">#REF!</definedName>
    <definedName name="CONSTANT_L">#REF!</definedName>
    <definedName name="CONSTANT_p0">#REF!</definedName>
    <definedName name="CONSTANT_R">#REF!</definedName>
    <definedName name="CONSTANT_T0">#REF!</definedName>
    <definedName name="CONTAINER_base_width">Fuselage!$AK$119</definedName>
    <definedName name="CONTAINER_height">Fuselage!$AK$122</definedName>
    <definedName name="CONTAINER_is_half_sized">Fuselage!$AI$123</definedName>
    <definedName name="CONTAINER_is_rectangular">Fuselage!$AI$124</definedName>
    <definedName name="CONTAINER_overall_width">Fuselage!$AK$120</definedName>
    <definedName name="cR_c" comment="Rudder chordwise distribution">#REF!</definedName>
    <definedName name="crE" comment="elevator root chrod">#REF!</definedName>
    <definedName name="crH" comment="vertical tail root chord">#REF!</definedName>
    <definedName name="_xlnm.Criteria" localSheetId="2">Analysis!$C$10:$C$13</definedName>
    <definedName name="crR" comment="rudder root chord">#REF!</definedName>
    <definedName name="crV" comment="vertical tail root chord">#REF!</definedName>
    <definedName name="ctE" comment="elevator tip chord">#REF!</definedName>
    <definedName name="ctH" comment="horizontal tail tip chord">#REF!</definedName>
    <definedName name="ctR" comment="rudder tip chord">#REF!</definedName>
    <definedName name="ctV" comment="vertical tail tip chord">#REF!</definedName>
    <definedName name="CV">#REF!</definedName>
    <definedName name="DihedralH" comment="horizontal tail dihedral angle">#REF!</definedName>
    <definedName name="dihedralV" comment="vertical tail dihedral angle">#REF!</definedName>
    <definedName name="DlH" comment="shift backward of horizontal tail with respect to lever arm">#REF!</definedName>
    <definedName name="DOC_BPR">#REF!</definedName>
    <definedName name="DOC_Ca_c_m">#REF!</definedName>
    <definedName name="DOC_Ca_c_t">#REF!</definedName>
    <definedName name="DOC_cC">#REF!</definedName>
    <definedName name="DOC_CC_CA">#REF!</definedName>
    <definedName name="DOC_CC_CO">#REF!</definedName>
    <definedName name="DOC_Ccargo_t_m">#REF!</definedName>
    <definedName name="DOC_cDEP">#REF!</definedName>
    <definedName name="DOC_CDOC">#REF!</definedName>
    <definedName name="DOC_Cequiv_t_m">#REF!</definedName>
    <definedName name="DOC_CF">#REF!</definedName>
    <definedName name="DOC_CFEE">#REF!</definedName>
    <definedName name="DOC_CFEE__NAV">#REF!</definedName>
    <definedName name="DOC_CFEE_GND">#REF!</definedName>
    <definedName name="DOC_CFEE_LD">#REF!</definedName>
    <definedName name="DOC_CFEE_NAV">#REF!</definedName>
    <definedName name="DOC_cINS">#REF!</definedName>
    <definedName name="DOC_cINT">#REF!</definedName>
    <definedName name="DOC_cM">#REF!</definedName>
    <definedName name="DOC_CM_M_AF_f">#REF!</definedName>
    <definedName name="DOC_CM_M_E_f">#REF!</definedName>
    <definedName name="DOC_Cpax_t_m">#REF!</definedName>
    <definedName name="DOC_Cs_m">#REF!</definedName>
    <definedName name="DOC_Ct_m">#REF!</definedName>
    <definedName name="DOC_equivalent_TMC_method_list">#REF!</definedName>
    <definedName name="DOC_equivalent_TMC_method_result">#REF!</definedName>
    <definedName name="DOC_k1">#REF!</definedName>
    <definedName name="DOC_k2">#REF!</definedName>
    <definedName name="DOC_k3">#REF!</definedName>
    <definedName name="DOC_k4">#REF!</definedName>
    <definedName name="DOC_kcargo_B">#REF!</definedName>
    <definedName name="DOC_kcargo_CLD">#REF!</definedName>
    <definedName name="DOC_kE" localSheetId="0">#REF!</definedName>
    <definedName name="DOC_kE">#REF!</definedName>
    <definedName name="DOC_kGND">#REF!</definedName>
    <definedName name="DOC_kINF">#REF!</definedName>
    <definedName name="DOC_kINF2">#REF!</definedName>
    <definedName name="DOC_kINS">#REF!</definedName>
    <definedName name="DOC_kLD">#REF!</definedName>
    <definedName name="DOC_kn_k0">#REF!</definedName>
    <definedName name="DOC_kNAV">#REF!</definedName>
    <definedName name="DOC_kS_AF">#REF!</definedName>
    <definedName name="DOC_kS_E">#REF!</definedName>
    <definedName name="DOC_kthr" localSheetId="0">#REF!</definedName>
    <definedName name="DOC_kthr">#REF!</definedName>
    <definedName name="DOC_kU1">#REF!</definedName>
    <definedName name="DOC_kU2">#REF!</definedName>
    <definedName name="DOC_LCA">#REF!</definedName>
    <definedName name="DOC_LCO">#REF!</definedName>
    <definedName name="DOC_LM">#REF!</definedName>
    <definedName name="DOC_mAF">#REF!</definedName>
    <definedName name="DOC_mBaggage">#REF!</definedName>
    <definedName name="DOC_mCargo">#REF!</definedName>
    <definedName name="DOC_mcargo_B">#REF!</definedName>
    <definedName name="DOC_mcargo_CLD">#REF!</definedName>
    <definedName name="DOC_mcargo_CLD_mcargo">#REF!</definedName>
    <definedName name="DOC_mcargo_CLDmcargo_B">#REF!</definedName>
    <definedName name="DOC_mE" localSheetId="0">#REF!</definedName>
    <definedName name="DOC_mE">#REF!</definedName>
    <definedName name="DOC_mE_inst">#REF!</definedName>
    <definedName name="DOC_mF">#REF!</definedName>
    <definedName name="DOC_mMTO">#REF!</definedName>
    <definedName name="DOC_mOE">#REF!</definedName>
    <definedName name="DOC_mPAX">#REF!</definedName>
    <definedName name="DOC_mPL">#REF!</definedName>
    <definedName name="DOC_nC">#REF!</definedName>
    <definedName name="DOC_nCA">#REF!</definedName>
    <definedName name="DOC_nCO">#REF!</definedName>
    <definedName name="DOC_nDEP">#REF!</definedName>
    <definedName name="DOC_nmethod">#REF!</definedName>
    <definedName name="DOC_nPAX">#REF!</definedName>
    <definedName name="DOC_nPAY">#REF!</definedName>
    <definedName name="DOC_nS">#REF!</definedName>
    <definedName name="DOC_nt_a">#REF!</definedName>
    <definedName name="DOC_nyear">#REF!</definedName>
    <definedName name="DOC_OAPR">#REF!</definedName>
    <definedName name="DOC_PAF">#REF!</definedName>
    <definedName name="DOC_pav">#REF!</definedName>
    <definedName name="DOC_Pdelivery">#REF!</definedName>
    <definedName name="DOC_PE">#REF!</definedName>
    <definedName name="DOC_PF">#REF!</definedName>
    <definedName name="DOC_pINF">#REF!</definedName>
    <definedName name="DOC_Presidual_Ptotal">#REF!</definedName>
    <definedName name="DOC_PS">#REF!</definedName>
    <definedName name="DOC_Ptotal">#REF!</definedName>
    <definedName name="DOC_q">#REF!</definedName>
    <definedName name="DOC_tb">#REF!</definedName>
    <definedName name="DOC_tf">#REF!</definedName>
    <definedName name="DOC_tM_AF_f">#REF!</definedName>
    <definedName name="DOC_tM_E_f">#REF!</definedName>
    <definedName name="DOC_TT_O_E">#REF!</definedName>
    <definedName name="DOC_TTO">#REF!</definedName>
    <definedName name="DOC_unit_list">#REF!</definedName>
    <definedName name="DOC_unit_result">#REF!</definedName>
    <definedName name="DRAG_A_H">#REF!</definedName>
    <definedName name="DRAG_A_V">#REF!</definedName>
    <definedName name="DRAG_A_W">#REF!</definedName>
    <definedName name="DRAG_CD_cruise">#REF!</definedName>
    <definedName name="DRAG_CD_wave">#REF!</definedName>
    <definedName name="DRAG_CD0">#REF!</definedName>
    <definedName name="DRAG_CD0_F">#REF!</definedName>
    <definedName name="DRAG_CD0_H">#REF!</definedName>
    <definedName name="DRAG_CD0_N">#REF!</definedName>
    <definedName name="DRAG_CD0_V">#REF!</definedName>
    <definedName name="DRAG_CD0_W">#REF!</definedName>
    <definedName name="DRAG_CDi_cruise">#REF!</definedName>
    <definedName name="DRAG_CDwave">#REF!</definedName>
    <definedName name="DRAG_CDwave_a">#REF!</definedName>
    <definedName name="DRAG_CDwave_b">#REF!</definedName>
    <definedName name="DRAG_Cf_F">#REF!</definedName>
    <definedName name="DRAG_Cf_H">#REF!</definedName>
    <definedName name="DRAG_Cf_N">#REF!</definedName>
    <definedName name="DRAG_Cf_V">#REF!</definedName>
    <definedName name="DRAG_Cf_W">#REF!</definedName>
    <definedName name="DRAG_CL_cruise">#REF!</definedName>
    <definedName name="DRAG_d_F">#REF!</definedName>
    <definedName name="DRAG_D_N">#REF!</definedName>
    <definedName name="DRAG_e">#REF!</definedName>
    <definedName name="DRAG_FF_F">#REF!</definedName>
    <definedName name="DRAG_FF_H">#REF!</definedName>
    <definedName name="DRAG_FF_N">#REF!</definedName>
    <definedName name="DRAG_FF_V">#REF!</definedName>
    <definedName name="DRAG_FF_W">#REF!</definedName>
    <definedName name="DRAG_HCR">#REF!</definedName>
    <definedName name="DRAG_k">#REF!</definedName>
    <definedName name="DRAG_l_F">#REF!</definedName>
    <definedName name="DRAG_l_N">#REF!</definedName>
    <definedName name="DRAG_Lambda_H">#REF!</definedName>
    <definedName name="DRAG_Lambda_V">#REF!</definedName>
    <definedName name="DRAG_Lambda_W">#REF!</definedName>
    <definedName name="DRAG_LD">#REF!</definedName>
    <definedName name="DRAG_LD_max">#REF!</definedName>
    <definedName name="DRAG_M">#REF!</definedName>
    <definedName name="DRAG_MAC_H">#REF!</definedName>
    <definedName name="DRAG_MAC_V">#REF!</definedName>
    <definedName name="DRAG_MAC_W">#REF!</definedName>
    <definedName name="DRAG_MCR">#REF!</definedName>
    <definedName name="DRAG_Mcrit">#REF!</definedName>
    <definedName name="DRAG_MDD">#REF!</definedName>
    <definedName name="DRAG_mu">#REF!</definedName>
    <definedName name="DRAG_n_E">#REF!</definedName>
    <definedName name="DRAG_N_et">#REF!</definedName>
    <definedName name="DRAG_nu">#REF!</definedName>
    <definedName name="DRAG_phi_H">#REF!</definedName>
    <definedName name="DRAG_phi_t_H">#REF!</definedName>
    <definedName name="DRAG_phi_t_V">#REF!</definedName>
    <definedName name="DRAG_phi_t_W">#REF!</definedName>
    <definedName name="DRAG_phi_V">#REF!</definedName>
    <definedName name="DRAG_phi_W">#REF!</definedName>
    <definedName name="DRAG_Q_F">#REF!</definedName>
    <definedName name="DRAG_Q_H">#REF!</definedName>
    <definedName name="DRAG_Q_N">#REF!</definedName>
    <definedName name="DRAG_Q_V">#REF!</definedName>
    <definedName name="DRAG_Q_W">#REF!</definedName>
    <definedName name="DRAG_Re_cutoff_F">#REF!</definedName>
    <definedName name="DRAG_Re_cutoff_H">#REF!</definedName>
    <definedName name="DRAG_Re_cutoff_N">#REF!</definedName>
    <definedName name="DRAG_Re_cutoff_V">#REF!</definedName>
    <definedName name="DRAG_Re_cutoff_W">#REF!</definedName>
    <definedName name="DRAG_Re_F">#REF!</definedName>
    <definedName name="DRAG_RE_H">#REF!</definedName>
    <definedName name="DRAG_Re_N">#REF!</definedName>
    <definedName name="DRAG_Re_V">#REF!</definedName>
    <definedName name="DRAG_Re_W">#REF!</definedName>
    <definedName name="DRAG_rho">#REF!</definedName>
    <definedName name="DRAG_S_H">#REF!</definedName>
    <definedName name="DRAG_S_V">#REF!</definedName>
    <definedName name="DRAG_S_W">#REF!</definedName>
    <definedName name="DRAG_Sexp_W">#REF!</definedName>
    <definedName name="DRAG_SURFACE_choice">#REF!</definedName>
    <definedName name="DRAG_SURFACE_list">#REF!</definedName>
    <definedName name="DRAG_SW_W">#REF!</definedName>
    <definedName name="DRAG_Swet_F">#REF!</definedName>
    <definedName name="DRAG_Swet_H">#REF!</definedName>
    <definedName name="DRAG_Swet_N">#REF!</definedName>
    <definedName name="DRAG_Swet_V">#REF!</definedName>
    <definedName name="DRAG_T_TO">#REF!</definedName>
    <definedName name="DRAG_tau_H">#REF!</definedName>
    <definedName name="DRAG_tau_V">#REF!</definedName>
    <definedName name="DRAG_tau_W">#REF!</definedName>
    <definedName name="DRAG_tc_H">#REF!</definedName>
    <definedName name="DRAG_tc_V">#REF!</definedName>
    <definedName name="DRAG_tc_W">#REF!</definedName>
    <definedName name="DRAG_v">#REF!</definedName>
    <definedName name="DRAG_VCR">#REF!</definedName>
    <definedName name="DRAG_xt_H">#REF!</definedName>
    <definedName name="DRAG_xt_V">#REF!</definedName>
    <definedName name="DRAG_xt_W">#REF!</definedName>
    <definedName name="DRAG_φ_W">#REF!</definedName>
    <definedName name="DZH" comment="vertical distance between wing MAC and horizontal tail MAC">#REF!</definedName>
    <definedName name="DZH_cMAC" comment="vertical distance of horizontal tail MAC above wing MAC / wing MAC">#REF!</definedName>
    <definedName name="etaH">#REF!</definedName>
    <definedName name="F">#REF!</definedName>
    <definedName name="fl">#REF!</definedName>
    <definedName name="FUSELAGE_a_ellipse">'Data Fuselage'!$C$5</definedName>
    <definedName name="FUSELAGE_attendant_seat_choice_list">Fuselage!$Z$285:$Z$286</definedName>
    <definedName name="FUSELAGE_automatic_cross_section_optimization">Fuselage!$AA$137</definedName>
    <definedName name="FUSELAGE_automatic_seatrails_positionning">Fuselage!$Z$178</definedName>
    <definedName name="FUSELAGE_b_ellipse">'Data Fuselage'!$C$6</definedName>
    <definedName name="FUSELAGE_classes_list">Fuselage!$Z$13:$Z$15</definedName>
    <definedName name="FUSELAGE_classes_result">Fuselage!$AA$13</definedName>
    <definedName name="FUSELAGE_containers_list">Fuselage!$Z$120:$Z$136</definedName>
    <definedName name="FUSELAGE_containers_result">Fuselage!$AI$115</definedName>
    <definedName name="FUSELAGE_d_fi">Fuselage!$D$132</definedName>
    <definedName name="FUSELAGE_d_fo">Fuselage!$D$136</definedName>
    <definedName name="FUSELAGE_delta_yrails_left">Fuselage!$D$200</definedName>
    <definedName name="FUSELAGE_delta_yrails_left_saved_value">Fuselage!$Z$200</definedName>
    <definedName name="FUSELAGE_delta_yrails_right">Fuselage!$D$198</definedName>
    <definedName name="FUSELAGE_delta_yrails_right_saved_value">Fuselage!$Z$198</definedName>
    <definedName name="FUSELAGE_display_class">Fuselage!$AB$171</definedName>
    <definedName name="FUSELAGE_display_class_list">Fuselage!$Z$171:$Z$173</definedName>
    <definedName name="FUSELAGE_display_class_result">Fuselage!$AA$171</definedName>
    <definedName name="FUSELAGE_double_containers_list">Fuselage!$AM$124:$AM$125</definedName>
    <definedName name="FUSELAGE_double_containers_result">Fuselage!$D$111</definedName>
    <definedName name="FUSELAGE_drails_left">Fuselage!$D$196</definedName>
    <definedName name="FUSELAGE_drails_left_saved_value">Fuselage!$Z$196</definedName>
    <definedName name="FUSELAGE_drails_middle">Fuselage!$D$194</definedName>
    <definedName name="FUSELAGE_drails_middle_saved_value">Fuselage!$Z$194</definedName>
    <definedName name="FUSELAGE_drails_right">Fuselage!$D$192</definedName>
    <definedName name="FUSELAGE_drails_right_saved_value">Fuselage!$Z$192</definedName>
    <definedName name="FUSELAGE_drails_seat_rail">[1]Fuselage2!$D$182</definedName>
    <definedName name="FUSELAGE_dseat_seat_rail">Fuselage!$D$190</definedName>
    <definedName name="FUSELAGE_dseat_seat_rail_saved_value">Fuselage!$Z$190</definedName>
    <definedName name="FUSELAGE_Dxnose">Fuselage!$D$366</definedName>
    <definedName name="FUSELAGE_Dxtail">Fuselage!$K$370</definedName>
    <definedName name="FUSELAGE_Dz_floor">Fuselage!$D$126</definedName>
    <definedName name="FUSELAGE_exit_limit_choice_list">Fuselage!$AA$285:$AA$286</definedName>
    <definedName name="FUSELAGE_exit_type_list">Fuselage!$AI$276:$AI$283</definedName>
    <definedName name="FUSELAGE_h_aisle">Fuselage!$K$104</definedName>
    <definedName name="FUSELAGE_h_fo">Fuselage!$D$140</definedName>
    <definedName name="FUSELAGE_h_w">Fuselage!$D$124</definedName>
    <definedName name="FUSELAGE_has_container">Fuselage!$AI$126</definedName>
    <definedName name="FUSELAGE_height_width_ratio_scrollbar">Fuselage!$Z$137</definedName>
    <definedName name="FUSELAGE_hside_seatrail">Fuselage!$D$188</definedName>
    <definedName name="FUSELAGE_hside_seatrail_saved_value">Fuselage!$Z$188</definedName>
    <definedName name="FUSELAGE_include_nose_for_water_ditching">Fuselage!$Z$431</definedName>
    <definedName name="FUSELAGE_include_tail_for_water_ditching">Fuselage!$Z$433</definedName>
    <definedName name="FUSELAGE_is_double_container">Fuselage!$AO$124</definedName>
    <definedName name="FUSELAGE_k_galley">Fuselage!$AA$254</definedName>
    <definedName name="FUSELAGE_kCC">Fuselage!$D$379</definedName>
    <definedName name="FUSELAGE_kOS">Fuselage!$D$394</definedName>
    <definedName name="FUSELAGE_l_cabin">Fuselage!$D$372</definedName>
    <definedName name="FUSELAGE_l_fuselage">Fuselage!$K$372</definedName>
    <definedName name="FUSELAGE_l_galley_BC">Fuselage!$D$240</definedName>
    <definedName name="FUSELAGE_l_galley_FC">Fuselage!$D$231</definedName>
    <definedName name="FUSELAGE_l_galley_YC">Fuselage!$D$249</definedName>
    <definedName name="FUSELAGE_l_lavatory">Fuselage!$D$224</definedName>
    <definedName name="FUSELAGE_lavatory_recommandation_BC">Fuselage!$AA$220</definedName>
    <definedName name="FUSELAGE_lavatory_recommandation_FC">Fuselage!$AA$219</definedName>
    <definedName name="FUSELAGE_lavatory_recommandation_YC">Fuselage!$AA$221</definedName>
    <definedName name="FUSELAGE_lnose">Fuselage!$K$364</definedName>
    <definedName name="FUSELAGE_lnose_df">Fuselage!$D$364</definedName>
    <definedName name="FUSELAGE_ltail">Fuselage!$K$368</definedName>
    <definedName name="FUSELAGE_ltail_df">Fuselage!$D$368</definedName>
    <definedName name="FUSELAGE_mbaggage">Fuselage!$D$399</definedName>
    <definedName name="FUSELAGE_mbaggage_total">Fuselage!$K$401</definedName>
    <definedName name="FUSELAGE_monuments_center_list">Fuselage!$Z$276:$Z$281</definedName>
    <definedName name="FUSELAGE_monuments_side_list">Fuselage!$AA$276:$AA$280</definedName>
    <definedName name="FUSELAGE_n_aisles">Fuselage!$AC$39</definedName>
    <definedName name="FUSELAGE_n_aisles_list">Fuselage!$AA$39:$AA$40</definedName>
    <definedName name="FUSELAGE_n_aisles_result">Fuselage!$AB$39</definedName>
    <definedName name="FUSELAGE_n_galley_BC">Fuselage!$D$244</definedName>
    <definedName name="FUSELAGE_n_galley_FC">Fuselage!$D$235</definedName>
    <definedName name="FUSELAGE_n_galley_YC">Fuselage!$D$253</definedName>
    <definedName name="FUSELAGE_n_lavatories_BC">Fuselage!$D$220</definedName>
    <definedName name="FUSELAGE_n_lavatories_FC">Fuselage!$D$218</definedName>
    <definedName name="FUSELAGE_n_lavatories_YC">Fuselage!$D$222</definedName>
    <definedName name="FUSELAGE_n_pax">Fuselage!$D$4</definedName>
    <definedName name="FUSELAGE_n_pax_BC">Fuselage!$D$19</definedName>
    <definedName name="FUSELAGE_n_pax_FC">Fuselage!$D$17</definedName>
    <definedName name="FUSELAGE_n_pax_YC">Fuselage!$D$21</definedName>
    <definedName name="FUSELAGE_n_rows_BC">Fuselage!$K$30</definedName>
    <definedName name="FUSELAGE_n_rows_FC">Fuselage!$K$28</definedName>
    <definedName name="FUSELAGE_n_rows_YC">Fuselage!$K$32</definedName>
    <definedName name="FUSELAGE_n_SA_BC">Fuselage!$D$30</definedName>
    <definedName name="FUSELAGE_n_SA_FC">Fuselage!$D$28</definedName>
    <definedName name="FUSELAGE_n_SA_YC">Fuselage!$D$32</definedName>
    <definedName name="FUSELAGE_nclasses">Fuselage!$AB$13</definedName>
    <definedName name="FUSELAGE_nOS_ce">Fuselage!$D$390</definedName>
    <definedName name="FUSELAGE_nOS_lat">Fuselage!$D$386</definedName>
    <definedName name="FUSELAGE_nrails_left">Fuselage!$D$186</definedName>
    <definedName name="FUSELAGE_nrails_middle">Fuselage!$D$184</definedName>
    <definedName name="FUSELAGE_nrails_right">Fuselage!$D$182</definedName>
    <definedName name="FUSELAGE_nseats_left">'Data Fuselage'!$D$71</definedName>
    <definedName name="FUSELAGE_nseats_left_BC">Fuselage!$D$159</definedName>
    <definedName name="FUSELAGE_nseats_left_FC">Fuselage!$D$151</definedName>
    <definedName name="FUSELAGE_nseats_left_YC">Fuselage!$D$167</definedName>
    <definedName name="FUSELAGE_nseats_middle">'Data Fuselage'!$D$70</definedName>
    <definedName name="FUSELAGE_nseats_middle_BC">Fuselage!$D$157</definedName>
    <definedName name="FUSELAGE_nseats_middle_FC">Fuselage!$D$149</definedName>
    <definedName name="FUSELAGE_nseats_middle_YC">Fuselage!$D$165</definedName>
    <definedName name="FUSELAGE_nseats_right">'Data Fuselage'!$D$69</definedName>
    <definedName name="FUSELAGE_nseats_right_BC">Fuselage!$D$155</definedName>
    <definedName name="FUSELAGE_nseats_right_FC">Fuselage!$D$147</definedName>
    <definedName name="FUSELAGE_nseats_right_YC">Fuselage!$D$163</definedName>
    <definedName name="FUSELAGE_pourcentage_BC">Fuselage!$AA$18</definedName>
    <definedName name="FUSELAGE_pourcentage_FC">Fuselage!$AA$17</definedName>
    <definedName name="FUSELAGE_pourcentage_YC">Fuselage!$AA$19</definedName>
    <definedName name="FUSELAGE_S_galley_BC">Fuselage!$K$242</definedName>
    <definedName name="FUSELAGE_S_galley_FC">Fuselage!$K$233</definedName>
    <definedName name="FUSELAGE_S_galley_YC">Fuselage!$K$251</definedName>
    <definedName name="FUSELAGE_S_galleys">Fuselage!$D$258</definedName>
    <definedName name="FUSELAGE_S_galleys_BC">Fuselage!$K$244</definedName>
    <definedName name="FUSELAGE_S_galleys_FC">Fuselage!$K$235</definedName>
    <definedName name="FUSELAGE_S_galleys_YC">Fuselage!$K$253</definedName>
    <definedName name="FUSELAGE_SCC">Fuselage!$D$377</definedName>
    <definedName name="FUSELAGE_show_seat_rails">Fuselage!$AA$283</definedName>
    <definedName name="FUSELAGE_show_wings">Fuselage!$AA$288</definedName>
    <definedName name="FUSELAGE_SOS_ce">Fuselage!$D$388</definedName>
    <definedName name="FUSELAGE_SOS_lat">Fuselage!$D$384</definedName>
    <definedName name="FUSELAGE_SOS_tot">Fuselage!$K$392</definedName>
    <definedName name="FUSELAGE_t_floor">Fuselage!$D$138</definedName>
    <definedName name="FUSELAGE_t_fuselage">Fuselage!$D$134</definedName>
    <definedName name="FUSELAGE_units_choice">Fuselage!$AA$46:$AA$47</definedName>
    <definedName name="FUSELAGE_units_choice2">Fuselage!$AB$257:$AB$258</definedName>
    <definedName name="FUSELAGE_use_central_hatrack">'Data Fuselage'!$M$135</definedName>
    <definedName name="FUSELAGE_use_side_seatrails">Fuselage!$Z$176</definedName>
    <definedName name="FUSELAGE_VB">Fuselage!$K$403</definedName>
    <definedName name="FUSELAGE_VC">Fuselage!$K$391</definedName>
    <definedName name="FUSELAGE_Vcargo">Fuselage!$K$406</definedName>
    <definedName name="FUSELAGE_VOSS">Fuselage!$K$396</definedName>
    <definedName name="FUSELAGE_w_aisle">'Data Fuselage'!$K$69</definedName>
    <definedName name="FUSELAGE_w_aisle_BC">Fuselage!$D$211</definedName>
    <definedName name="FUSELAGE_w_aisle_FC">Fuselage!$D$209</definedName>
    <definedName name="FUSELAGE_w_aisle_YC">Fuselage!$D$100</definedName>
    <definedName name="FUSELAGE_w_fo">Fuselage!$D$142</definedName>
    <definedName name="FUSELAGE_w_galley_BC">Fuselage!$D$242</definedName>
    <definedName name="FUSELAGE_w_galley_FC">Fuselage!$D$233</definedName>
    <definedName name="FUSELAGE_w_galley_YC">Fuselage!$D$251</definedName>
    <definedName name="FUSELAGE_w_lavatory">Fuselage!$D$226</definedName>
    <definedName name="FUSELAGE_y_position_of_left_seat">'Data Fuselage'!$H$71</definedName>
    <definedName name="FUSELAGE_y_position_of_left_seat_YC">'Data Fuselage'!$C$3</definedName>
    <definedName name="FUSELAGE_Δxnose">Fuselage!$D$366</definedName>
    <definedName name="FUSELAGE_Δxtail">Fuselage!$K$370</definedName>
    <definedName name="FUSELAGE_Δyrails_left">Fuselage!$D$200</definedName>
    <definedName name="FUSELAGE_Δyrails_left_saved_value">Fuselage!$Z$200</definedName>
    <definedName name="FUSELAGE_Δyrails_right">Fuselage!$D$198</definedName>
    <definedName name="FUSELAGE_Δyrails_right_saved_value">Fuselage!$Z$198</definedName>
    <definedName name="hBein">#REF!</definedName>
    <definedName name="HIGHLIFT_Airfoil_max_camber">#REF!</definedName>
    <definedName name="HIGHLIFT_Airfoil_max_thickness">#REF!</definedName>
    <definedName name="HIGHLIFT_b">#REF!</definedName>
    <definedName name="HIGHLIFT_bHL_LE">#REF!</definedName>
    <definedName name="HIGHLIFT_bHL_TE">#REF!</definedName>
    <definedName name="HIGHLIFT_c_slat">#REF!</definedName>
    <definedName name="HIGHLIFT_cflap_c">#REF!</definedName>
    <definedName name="HIGHLIFT_cHL_LE_c">#REF!</definedName>
    <definedName name="HIGHLIFT_cHL_LE_c_suggestion">#REF!</definedName>
    <definedName name="HIGHLIFT_cHL_TE_c">#REF!</definedName>
    <definedName name="HIGHLIFT_cHL_TE_c_suggestion">#REF!</definedName>
    <definedName name="HIGHLIFT_cl_max_base">#REF!</definedName>
    <definedName name="HIGHLIFT_cl_max_clean">#REF!</definedName>
    <definedName name="HIGHLIFT_CL_max_L">#REF!</definedName>
    <definedName name="HIGHLIFT_cr">#REF!</definedName>
    <definedName name="HIGHLIFT_ct">#REF!</definedName>
    <definedName name="HIGHLIFT_d_fo">#REF!</definedName>
    <definedName name="HIGHLIFT_data__flap1_inner_trapzoid_bei_x_groesser_Yk">#REF!</definedName>
    <definedName name="HIGHLIFT_data__flap2_inner_trapzoid_bei_x_groesser_Yk">#REF!</definedName>
    <definedName name="HIGHLIFT_data__flap3_inner_trapzoid_bei_x_groesser_Yk">#REF!</definedName>
    <definedName name="HIGHLIFT_data_a1">#REF!</definedName>
    <definedName name="HIGHLIFT_data_b1">#REF!</definedName>
    <definedName name="HIGHLIFT_data_c1">#REF!</definedName>
    <definedName name="HIGHLIFT_data_clmax_base_30">#REF!</definedName>
    <definedName name="HIGHLIFT_data_clmax_base_35">#REF!</definedName>
    <definedName name="HIGHLIFT_data_clmax_base_40">#REF!</definedName>
    <definedName name="HIGHLIFT_data_flap_xi_P1">#REF!</definedName>
    <definedName name="HIGHLIFT_data_flap_xi_P10">#REF!</definedName>
    <definedName name="HIGHLIFT_data_flap_xi_P2">#REF!</definedName>
    <definedName name="HIGHLIFT_data_flap_xi_P3">#REF!</definedName>
    <definedName name="HIGHLIFT_data_flap_xi_P4">#REF!</definedName>
    <definedName name="HIGHLIFT_data_flap_xi_P5">#REF!</definedName>
    <definedName name="HIGHLIFT_data_flap_xi_P6">#REF!</definedName>
    <definedName name="HIGHLIFT_data_flap_xi_P8">#REF!</definedName>
    <definedName name="HIGHLIFT_data_flap_xi_P9">#REF!</definedName>
    <definedName name="HIGHLIFT_data_flap_xm_P1">#REF!</definedName>
    <definedName name="HIGHLIFT_data_flap_xm_P10">#REF!</definedName>
    <definedName name="HIGHLIFT_data_flap_xm_P2">#REF!</definedName>
    <definedName name="HIGHLIFT_data_flap_xm_P3">#REF!</definedName>
    <definedName name="HIGHLIFT_data_flap_xm_P4">#REF!</definedName>
    <definedName name="HIGHLIFT_data_flap_xm_P5">#REF!</definedName>
    <definedName name="HIGHLIFT_data_flap_xm_P6">#REF!</definedName>
    <definedName name="HIGHLIFT_data_flap_xm_P8">#REF!</definedName>
    <definedName name="HIGHLIFT_data_flap_xm_P9">#REF!</definedName>
    <definedName name="HIGHLIFT_data_flap_xo_P1">#REF!</definedName>
    <definedName name="HIGHLIFT_data_flap_xo_P10">#REF!</definedName>
    <definedName name="HIGHLIFT_data_flap_xo_P2">#REF!</definedName>
    <definedName name="HIGHLIFT_data_flap_xo_P3">#REF!</definedName>
    <definedName name="HIGHLIFT_data_flap_xo_P4">#REF!</definedName>
    <definedName name="HIGHLIFT_data_flap_xo_P5">#REF!</definedName>
    <definedName name="HIGHLIFT_data_flap_xo_P6">#REF!</definedName>
    <definedName name="HIGHLIFT_data_flap_xo_P8">#REF!</definedName>
    <definedName name="HIGHLIFT_data_flap_xo_P9">#REF!</definedName>
    <definedName name="HIGHLIFT_data_flap_yi_P1">#REF!</definedName>
    <definedName name="HIGHLIFT_data_flap_yi_P10">#REF!</definedName>
    <definedName name="HIGHLIFT_data_flap_yi_P2">#REF!</definedName>
    <definedName name="HIGHLIFT_data_flap_yi_P3">#REF!</definedName>
    <definedName name="HIGHLIFT_data_flap_yi_P8">#REF!</definedName>
    <definedName name="HIGHLIFT_data_flap_yi_P9">#REF!</definedName>
    <definedName name="HIGHLIFT_data_flap_ym_P1">#REF!</definedName>
    <definedName name="HIGHLIFT_data_flap_ym_P10">#REF!</definedName>
    <definedName name="HIGHLIFT_data_flap_ym_P2">#REF!</definedName>
    <definedName name="HIGHLIFT_data_flap_ym_P3">#REF!</definedName>
    <definedName name="HIGHLIFT_data_flap_ym_P8">#REF!</definedName>
    <definedName name="HIGHLIFT_data_flap_ym_P9">#REF!</definedName>
    <definedName name="HIGHLIFT_data_flap_yo_P1">#REF!</definedName>
    <definedName name="HIGHLIFT_data_flap_yo_P10">#REF!</definedName>
    <definedName name="HIGHLIFT_data_flap_yo_P2">#REF!</definedName>
    <definedName name="HIGHLIFT_data_flap_yo_P3">#REF!</definedName>
    <definedName name="HIGHLIFT_data_flap_yo_P8">#REF!</definedName>
    <definedName name="HIGHLIFT_data_flap_yo_P9">#REF!</definedName>
    <definedName name="HIGHLIFT_data_flap1_outer_trapzoid_oberes_Dreieck_bei_x_groesser_Yk">#REF!</definedName>
    <definedName name="HIGHLIFT_data_flap1_outer_trapzoid_unteres_Dreieck_bei_x_groesser_Yk">#REF!</definedName>
    <definedName name="HIGHLIFT_data_flap1_outer_trapzoid_viereck_bei_x_groesser_Yk">#REF!</definedName>
    <definedName name="HIGHLIFT_data_flap2_outer_trapzoid_oberes_Dreieck_bei_x_groesser_Yk">#REF!</definedName>
    <definedName name="HIGHLIFT_data_flap2_outer_trapzoid_unteres_Dreieck_bei_x_groesser_Yk">#REF!</definedName>
    <definedName name="HIGHLIFT_data_flap2_outer_trapzoid_viereck_bei_x_groesser_Yk">#REF!</definedName>
    <definedName name="HIGHLIFT_data_flap3_outer_trapzoid_oberes_Dreieck_bei_x_groesser_Yk">#REF!</definedName>
    <definedName name="HIGHLIFT_data_flap3_outer_trapzoid_unteres_Dreieck_bei_x_groesser_Yk">#REF!</definedName>
    <definedName name="HIGHLIFT_data_flap3_outer_trapzoid_viereck_bei_x_groesser_Yk">#REF!</definedName>
    <definedName name="HIGHLIFT_data_halbes_Sw_f_1_bei_x_kleiner_gleich_Yk">#REF!</definedName>
    <definedName name="HIGHLIFT_data_halbes_Sw_f2_bei_x_kleiner_gleich_Yk">#REF!</definedName>
    <definedName name="HIGHLIFT_data_halbes_Sw_f3_bei_x_kleiner_gleich_Yk">#REF!</definedName>
    <definedName name="HIGHLIFT_data_halbes_Sw_s_bei_x_groesser_Yk">#REF!</definedName>
    <definedName name="HIGHLIFT_data_halbes_Sw_s_bei_x_kleiner_gleich_Yk">#REF!</definedName>
    <definedName name="HIGHLIFT_data_inner_trapzoid_bei_x_groesser_Yk">#REF!</definedName>
    <definedName name="HIGHLIFT_data_k1">#REF!</definedName>
    <definedName name="HIGHLIFT_data_outer_trapzoid_oberes_Dreieck_bei_x_groesser_Yk">#REF!</definedName>
    <definedName name="HIGHLIFT_data_outer_trapzoid_unteres_dreieck_bei_x_groesser_Yk">#REF!</definedName>
    <definedName name="HIGHLIFT_data_outer_trapzoid_viereck_bei_x_groesser_Yk">#REF!</definedName>
    <definedName name="HIGHLIFT_data_slat_x_P1">#REF!</definedName>
    <definedName name="HIGHLIFT_data_slat_x_P10">#REF!</definedName>
    <definedName name="HIGHLIFT_data_slat_x_P2">#REF!</definedName>
    <definedName name="HIGHLIFT_data_slat_x_P3">#REF!</definedName>
    <definedName name="HIGHLIFT_data_slat_x_P4">#REF!</definedName>
    <definedName name="HIGHLIFT_data_slat_x_P5">#REF!</definedName>
    <definedName name="HIGHLIFT_data_slat_x_P6">#REF!</definedName>
    <definedName name="HIGHLIFT_data_slat_x_P8">#REF!</definedName>
    <definedName name="HIGHLIFT_data_slat_x_P9">#REF!</definedName>
    <definedName name="HIGHLIFT_data_slat_y_groesser_yk_P1">#REF!</definedName>
    <definedName name="HIGHLIFT_data_slat_y_groesser_yk_P10">#REF!</definedName>
    <definedName name="HIGHLIFT_data_slat_y_groesser_yk_P2">#REF!</definedName>
    <definedName name="HIGHLIFT_data_slat_y_groesser_yk_P3">#REF!</definedName>
    <definedName name="HIGHLIFT_data_slat_y_groesser_yk_P4">#REF!</definedName>
    <definedName name="HIGHLIFT_data_slat_y_groesser_yk_P5">#REF!</definedName>
    <definedName name="HIGHLIFT_data_slat_y_groesser_yk_P6">#REF!</definedName>
    <definedName name="HIGHLIFT_data_slat_y_groesser_yk_P8">#REF!</definedName>
    <definedName name="HIGHLIFT_data_slat_y_groesser_yk_P9">#REF!</definedName>
    <definedName name="HIGHLIFT_data_slat_y_kleiner_yk_P1">#REF!</definedName>
    <definedName name="HIGHLIFT_data_slat_y_kleiner_yk_P10">#REF!</definedName>
    <definedName name="HIGHLIFT_data_slat_y_kleiner_yk_P2">#REF!</definedName>
    <definedName name="HIGHLIFT_data_slat_y_kleiner_yk_P3">#REF!</definedName>
    <definedName name="HIGHLIFT_data_slat_y_kleiner_yk_P4">#REF!</definedName>
    <definedName name="HIGHLIFT_data_slat_y_kleiner_yk_P5">#REF!</definedName>
    <definedName name="HIGHLIFT_data_slat_y_kleiner_yk_P6">#REF!</definedName>
    <definedName name="HIGHLIFT_data_slat_y_kleiner_yk_P8">#REF!</definedName>
    <definedName name="HIGHLIFT_data_slat_y_kleiner_yk_P9">#REF!</definedName>
    <definedName name="HIGHLIFT_data_slat_y_P1">#REF!</definedName>
    <definedName name="HIGHLIFT_data_slat_y_P10">#REF!</definedName>
    <definedName name="HIGHLIFT_data_slat_y_P2">#REF!</definedName>
    <definedName name="HIGHLIFT_data_slat_y_P3">#REF!</definedName>
    <definedName name="HIGHLIFT_data_slat_y_P8">#REF!</definedName>
    <definedName name="HIGHLIFT_data_slat_y_P9">#REF!</definedName>
    <definedName name="HIGHLIFT_data_Sw_f">#REF!</definedName>
    <definedName name="HIGHLIFT_data_Sw_f_1">#REF!</definedName>
    <definedName name="HIGHLIFT_data_Sw_f_1_bei_x_groesser_Yk">#REF!</definedName>
    <definedName name="HIGHLIFT_data_Sw_f_2">#REF!</definedName>
    <definedName name="HIGHLIFT_data_Sw_f_2_bei_x_groesser_Yk">#REF!</definedName>
    <definedName name="HIGHLIFT_data_Sw_f_3">#REF!</definedName>
    <definedName name="HIGHLIFT_data_Sw_f_3_bei_x_groesser_Yk">#REF!</definedName>
    <definedName name="HIGHLIFT_data_Sw_f_i">#REF!</definedName>
    <definedName name="HIGHLIFT_data_Sw_f_o">#REF!</definedName>
    <definedName name="HIGHLIFT_data_Sw_s">#REF!</definedName>
    <definedName name="HIGHLIFT_data_Sw_s_i">#REF!</definedName>
    <definedName name="HIGHLIFT_data_Sw_s_o">#REF!</definedName>
    <definedName name="HIGHLIFT_data_y_wingtip_LE">#REF!</definedName>
    <definedName name="HIGHLIFT_data_y_wingtip_TE">#REF!</definedName>
    <definedName name="HIGHLIFT_data_yi_bei_x_groesser_Yk_P1">#REF!</definedName>
    <definedName name="HIGHLIFT_data_yi_bei_x_groesser_Yk_P10">#REF!</definedName>
    <definedName name="HIGHLIFT_data_yi_bei_x_groesser_Yk_P2">#REF!</definedName>
    <definedName name="HIGHLIFT_data_yi_bei_x_groesser_Yk_P3">#REF!</definedName>
    <definedName name="HIGHLIFT_data_yi_bei_x_groesser_Yk_P4">#REF!</definedName>
    <definedName name="HIGHLIFT_data_yi_bei_x_groesser_Yk_P5">#REF!</definedName>
    <definedName name="HIGHLIFT_data_yi_bei_x_groesser_Yk_P6">#REF!</definedName>
    <definedName name="HIGHLIFT_data_yi_bei_x_groesser_Yk_P8">#REF!</definedName>
    <definedName name="HIGHLIFT_data_yi_bei_x_groesser_Yk_P9">#REF!</definedName>
    <definedName name="HIGHLIFT_data_yi_bei_x_kleiner_Yk_P1">#REF!</definedName>
    <definedName name="HIGHLIFT_data_yi_bei_x_kleiner_Yk_P10">#REF!</definedName>
    <definedName name="HIGHLIFT_data_yi_bei_x_kleiner_Yk_P2">#REF!</definedName>
    <definedName name="HIGHLIFT_data_yi_bei_x_kleiner_Yk_P3">#REF!</definedName>
    <definedName name="HIGHLIFT_data_yi_bei_x_kleiner_Yk_P4">#REF!</definedName>
    <definedName name="HIGHLIFT_data_yi_bei_x_kleiner_Yk_P5">#REF!</definedName>
    <definedName name="HIGHLIFT_data_yi_bei_x_kleiner_Yk_P6">#REF!</definedName>
    <definedName name="HIGHLIFT_data_yi_bei_x_kleiner_Yk_P8">#REF!</definedName>
    <definedName name="HIGHLIFT_data_yi_bei_x_kleiner_Yk_P9">#REF!</definedName>
    <definedName name="HIGHLIFT_data_ym_bei_x_groesser_Yk_P1">#REF!</definedName>
    <definedName name="HIGHLIFT_data_ym_bei_x_groesser_Yk_P10">#REF!</definedName>
    <definedName name="HIGHLIFT_data_ym_bei_x_groesser_Yk_P2">#REF!</definedName>
    <definedName name="HIGHLIFT_data_ym_bei_x_groesser_Yk_P3">#REF!</definedName>
    <definedName name="HIGHLIFT_data_ym_bei_x_groesser_Yk_P4">#REF!</definedName>
    <definedName name="HIGHLIFT_data_ym_bei_x_groesser_Yk_P5">#REF!</definedName>
    <definedName name="HIGHLIFT_data_ym_bei_x_groesser_Yk_P6">#REF!</definedName>
    <definedName name="HIGHLIFT_data_ym_bei_x_groesser_Yk_P8">#REF!</definedName>
    <definedName name="HIGHLIFT_data_ym_bei_x_groesser_Yk_P9">#REF!</definedName>
    <definedName name="HIGHLIFT_data_ym_bei_x_kleiner_Yk_P1">#REF!</definedName>
    <definedName name="HIGHLIFT_data_ym_bei_x_kleiner_Yk_P10">#REF!</definedName>
    <definedName name="HIGHLIFT_data_ym_bei_x_kleiner_Yk_P2">#REF!</definedName>
    <definedName name="HIGHLIFT_data_ym_bei_x_kleiner_Yk_P3">#REF!</definedName>
    <definedName name="HIGHLIFT_data_ym_bei_x_kleiner_Yk_P4">#REF!</definedName>
    <definedName name="HIGHLIFT_data_ym_bei_x_kleiner_Yk_P5">#REF!</definedName>
    <definedName name="HIGHLIFT_data_ym_bei_x_kleiner_Yk_P6">#REF!</definedName>
    <definedName name="HIGHLIFT_data_ym_bei_x_kleiner_Yk_P8">#REF!</definedName>
    <definedName name="HIGHLIFT_data_ym_bei_x_kleiner_Yk_P9">#REF!</definedName>
    <definedName name="HIGHLIFT_data_yo_bei_x_groesser_Yk_P1">#REF!</definedName>
    <definedName name="HIGHLIFT_data_yo_bei_x_groesser_Yk_P10">#REF!</definedName>
    <definedName name="HIGHLIFT_data_yo_bei_x_groesser_Yk_P2">#REF!</definedName>
    <definedName name="HIGHLIFT_data_yo_bei_x_groesser_Yk_P3">#REF!</definedName>
    <definedName name="HIGHLIFT_data_yo_bei_x_groesser_Yk_P4">#REF!</definedName>
    <definedName name="HIGHLIFT_data_yo_bei_x_groesser_Yk_P5">#REF!</definedName>
    <definedName name="HIGHLIFT_data_yo_bei_x_groesser_Yk_P6">#REF!</definedName>
    <definedName name="HIGHLIFT_data_yo_bei_x_groesser_Yk_P8">#REF!</definedName>
    <definedName name="HIGHLIFT_data_yo_bei_x_groesser_Yk_P9">#REF!</definedName>
    <definedName name="HIGHLIFT_data_yo_bei_x_kleiner_Yk_P1">#REF!</definedName>
    <definedName name="HIGHLIFT_data_yo_bei_x_kleiner_Yk_P10">#REF!</definedName>
    <definedName name="HIGHLIFT_data_yo_bei_x_kleiner_Yk_P2">#REF!</definedName>
    <definedName name="HIGHLIFT_data_yo_bei_x_kleiner_Yk_P3">#REF!</definedName>
    <definedName name="HIGHLIFT_data_yo_bei_x_kleiner_Yk_P4">#REF!</definedName>
    <definedName name="HIGHLIFT_data_yo_bei_x_kleiner_Yk_P5">#REF!</definedName>
    <definedName name="HIGHLIFT_data_yo_bei_x_kleiner_Yk_P6">#REF!</definedName>
    <definedName name="HIGHLIFT_data_yo_bei_x_kleiner_Yk_P8">#REF!</definedName>
    <definedName name="HIGHLIFT_data_yo_bei_x_kleiner_Yk_P9">#REF!</definedName>
    <definedName name="HIGHLIFT_data_φHL_flap_i">#REF!</definedName>
    <definedName name="HIGHLIFT_data_φHL_flap_o">#REF!</definedName>
    <definedName name="HIGHLIFT_data_φHL_slat_i">#REF!</definedName>
    <definedName name="HIGHLIFT_data_φHL_slat_o">#REF!</definedName>
    <definedName name="HIGHLIFT_delta_y">#REF!</definedName>
    <definedName name="HIGHLIFT_dΔcl_TE_suggestion">#REF!</definedName>
    <definedName name="HIGHLIFT_KΛ_i">#REF!</definedName>
    <definedName name="HIGHLIFT_KΛ_o">#REF!</definedName>
    <definedName name="HIGHLIFT_leading_edge_radius">#REF!</definedName>
    <definedName name="HIGHLIFT_list_FLAP">#REF!</definedName>
    <definedName name="HIGHLIFT_list_Leading_Edge_Devices">#REF!</definedName>
    <definedName name="HIGHLIFT_NACA_series">#REF!</definedName>
    <definedName name="HIGHLIFT_position_max._thickness">#REF!</definedName>
    <definedName name="HIGHLIFT_position_max_camber">#REF!</definedName>
    <definedName name="HIGHLIFT_result_FLAP">#REF!</definedName>
    <definedName name="HIGHLIFT_result_Leading_edge_devices">#REF!</definedName>
    <definedName name="HIGHLIFT_sonic_speed">#REF!</definedName>
    <definedName name="HIGHLIFT_SW">#REF!</definedName>
    <definedName name="HIGHLIFT_Sw_f">#REF!</definedName>
    <definedName name="HIGHLIFT_Sw_f_i">#REF!</definedName>
    <definedName name="HIGHLIFT_Sw_f_o">#REF!</definedName>
    <definedName name="HIGHLIFT_Sw_s_i">#REF!</definedName>
    <definedName name="HIGHLIFT_Sw_s_o">#REF!</definedName>
    <definedName name="HIGHLIFT_TL_landing">#REF!</definedName>
    <definedName name="HIGHLIFT_VAPP">#REF!</definedName>
    <definedName name="HIGHLIFT_y_b_slat_root">#REF!</definedName>
    <definedName name="HIGHLIFT_y_b_slat_tip">#REF!</definedName>
    <definedName name="HIGHLIFT_Yk">#REF!</definedName>
    <definedName name="HIGHLIFT_Yr_A">#REF!</definedName>
    <definedName name="HIGHLIFT_Yr_A_H">#REF!</definedName>
    <definedName name="HIGHLIFT_Yr_flap_i_b">#REF!</definedName>
    <definedName name="HIGHLIFT_Yr_flap_m_b">#REF!</definedName>
    <definedName name="HIGHLIFT_Yr_flap_o_b">#REF!</definedName>
    <definedName name="HIGHLIFT_Yt_A">#REF!</definedName>
    <definedName name="HIGHLIFT_Yt_A_H">#REF!</definedName>
    <definedName name="HIGHLIFT_Yt_flap_i_b">#REF!</definedName>
    <definedName name="HIGHLIFT_Yt_flap_m_b">#REF!</definedName>
    <definedName name="HIGHLIFT_Yt_flap_o_b">#REF!</definedName>
    <definedName name="HIGHLIFT_Δcl_LE">#REF!</definedName>
    <definedName name="HIGHLIFT_Δcl_LE_suggestion">#REF!</definedName>
    <definedName name="HIGHLIFT_Δcl_max_f">#REF!</definedName>
    <definedName name="HIGHLIFT_Δcl_max_s">#REF!</definedName>
    <definedName name="HIGHLIFT_Δcl_TE">#REF!</definedName>
    <definedName name="HIGHLIFT_Δcl_TE_suggestion">#REF!</definedName>
    <definedName name="HIGHLIFT_ΔCL_w_LE">#REF!</definedName>
    <definedName name="HIGHLIFT_ΔCL_w_TE">#REF!</definedName>
    <definedName name="HIGHLIFT_φ25_i">#REF!</definedName>
    <definedName name="HIGHLIFT_φ25_o">#REF!</definedName>
    <definedName name="HIGHLIFT_φHL_flap_i">#REF!</definedName>
    <definedName name="HIGHLIFT_φHL_flap_o">#REF!</definedName>
    <definedName name="HIGHLIFT_φHL_slat_i">#REF!</definedName>
    <definedName name="HIGHLIFT_φHL_slat_o">#REF!</definedName>
    <definedName name="HIGHLIFT_φLE_a">#REF!</definedName>
    <definedName name="HIGHLIFT_φLE_i">#REF!</definedName>
    <definedName name="HIGHLIFT_φLE_o">#REF!</definedName>
    <definedName name="HIGHLIFT_φTE_i">#REF!</definedName>
    <definedName name="HIGHLIFT_φTE_o">#REF!</definedName>
    <definedName name="iH" comment="horizontal tail incidence angle">#REF!</definedName>
    <definedName name="J">#REF!</definedName>
    <definedName name="JET_A">#REF!</definedName>
    <definedName name="JET_aCR">#REF!</definedName>
    <definedName name="JET_aircraft_type_list">#REF!</definedName>
    <definedName name="JET_aircraft_type_result">#REF!</definedName>
    <definedName name="JET_BPR">#REF!</definedName>
    <definedName name="JET_Bs">#REF!</definedName>
    <definedName name="JET_Bt">#REF!</definedName>
    <definedName name="JET_CD0_2nd">#REF!</definedName>
    <definedName name="JET_CD0_cruise">#REF!</definedName>
    <definedName name="JET_CD0_missed_approach">#REF!</definedName>
    <definedName name="JET_CDP_2nd">#REF!</definedName>
    <definedName name="JET_CDP_missed_approach">#REF!</definedName>
    <definedName name="JET_Cfeqv">#REF!</definedName>
    <definedName name="JET_chosen_kE">#REF!</definedName>
    <definedName name="JET_chosen_missed_approach_certification">#REF!</definedName>
    <definedName name="JET_CL_CLmd">#REF!</definedName>
    <definedName name="JET_CLcr">#REF!</definedName>
    <definedName name="JET_CLL_2nd">#REF!</definedName>
    <definedName name="JET_CLL_missed_approach">#REF!</definedName>
    <definedName name="JET_CLmaxL">#REF!</definedName>
    <definedName name="JET_CLmaxL_experience">#REF!</definedName>
    <definedName name="JET_CLmaxTO">#REF!</definedName>
    <definedName name="JET_CLmd">#REF!</definedName>
    <definedName name="JET_CLTO">#REF!</definedName>
    <definedName name="JET_DCDflap_2nd">#REF!</definedName>
    <definedName name="JET_DCDflap_missed_approach">#REF!</definedName>
    <definedName name="JET_DCDgear_FAR25">#REF!</definedName>
    <definedName name="JET_DCDgear_JAR25">#REF!</definedName>
    <definedName name="JET_DCDgear_missed_approach">#REF!</definedName>
    <definedName name="JET_DCDslat_2nd">#REF!</definedName>
    <definedName name="JET_DCDslat_missed_approach">#REF!</definedName>
    <definedName name="JET_DTL_landing">#REF!</definedName>
    <definedName name="JET_DTTO">#REF!</definedName>
    <definedName name="JET_E">#REF!</definedName>
    <definedName name="JET_e_cruise">#REF!</definedName>
    <definedName name="JET_e_for_kE">#REF!</definedName>
    <definedName name="JET_e_landing">#REF!</definedName>
    <definedName name="JET_EL_missed_approach">#REF!</definedName>
    <definedName name="JET_Emax_chosen">#REF!</definedName>
    <definedName name="JET_ETO">#REF!</definedName>
    <definedName name="JET_extra_fuel_fraction">#REF!</definedName>
    <definedName name="JET_given_kL">#REF!</definedName>
    <definedName name="JET_hCR">#REF!</definedName>
    <definedName name="JET_kAPP">#REF!</definedName>
    <definedName name="JET_kL">#REF!</definedName>
    <definedName name="JET_kTO">#REF!</definedName>
    <definedName name="JET_LANDING_is_fixed_value">#REF!</definedName>
    <definedName name="JET_mF">#REF!</definedName>
    <definedName name="JET_mF_mMTO">#REF!</definedName>
    <definedName name="JET_Mff">#REF!</definedName>
    <definedName name="JET_Mff_allres">#REF!</definedName>
    <definedName name="JET_MffCLB">#REF!</definedName>
    <definedName name="JET_MffCR">#REF!</definedName>
    <definedName name="JET_MffDES">#REF!</definedName>
    <definedName name="JET_Mffengine">#REF!</definedName>
    <definedName name="JET_MffL">#REF!</definedName>
    <definedName name="JET_Mffloiter">#REF!</definedName>
    <definedName name="JET_MffRES">#REF!</definedName>
    <definedName name="JET_Mffstd">#REF!</definedName>
    <definedName name="JET_Mfftaxi">#REF!</definedName>
    <definedName name="JET_MffTO">#REF!</definedName>
    <definedName name="JET_mFreq">#REF!</definedName>
    <definedName name="JET_mFres">#REF!</definedName>
    <definedName name="JET_mML">#REF!</definedName>
    <definedName name="JET_mML_mTO">#REF!</definedName>
    <definedName name="JET_mML_SW">#REF!</definedName>
    <definedName name="JET_mMTO">#REF!</definedName>
    <definedName name="JET_mMTO_SW">#REF!</definedName>
    <definedName name="JET_mMZF">#REF!</definedName>
    <definedName name="JET_mOE">#REF!</definedName>
    <definedName name="JET_mOE_mTO">#REF!</definedName>
    <definedName name="JET_mPAX">#REF!</definedName>
    <definedName name="JET_mPL">#REF!</definedName>
    <definedName name="JET_rF">#REF!</definedName>
    <definedName name="JET_SFCCR">#REF!</definedName>
    <definedName name="JET_SFCloiter">#REF!</definedName>
    <definedName name="JET_sin_gamma_2nd">#REF!</definedName>
    <definedName name="JET_sin_gamma_missed_approach">#REF!</definedName>
    <definedName name="JET_sLFL">#REF!</definedName>
    <definedName name="JET_sres">#REF!</definedName>
    <definedName name="JET_sto_alternate">#REF!</definedName>
    <definedName name="JET_SW">#REF!</definedName>
    <definedName name="JET_Swet_Sw">#REF!</definedName>
    <definedName name="JET_T_cruise">#REF!</definedName>
    <definedName name="JET_takeoff_slope">#REF!</definedName>
    <definedName name="JET_thrust_to_weight_ratio_2nd">#REF!</definedName>
    <definedName name="JET_thrust_to_weight_ratio_cruise">#REF!</definedName>
    <definedName name="JET_thrust_to_weight_ratio_design_point">#REF!</definedName>
    <definedName name="JET_thrust_to_weight_ratio_missed_approach">#REF!</definedName>
    <definedName name="JET_tloiter">#REF!</definedName>
    <definedName name="JET_TTO">#REF!</definedName>
    <definedName name="JET_TTO_nE">#REF!</definedName>
    <definedName name="JET_V_Vmd">#REF!</definedName>
    <definedName name="JET_VAPP">#REF!</definedName>
    <definedName name="JET_VCR">#REF!</definedName>
    <definedName name="JET_VFreq">#REF!</definedName>
    <definedName name="JET_VS0">#REF!</definedName>
    <definedName name="JET_VS1">#REF!</definedName>
    <definedName name="JET_σ_landing">#REF!</definedName>
    <definedName name="JET_σ_takeoff">#REF!</definedName>
    <definedName name="kmH" comment="km factor in torenbeek's thickness formula">#REF!</definedName>
    <definedName name="kmV" comment="vertical tail km coefficient gebruikt in torenbeeks thickness formula">#REF!</definedName>
    <definedName name="L">#REF!</definedName>
    <definedName name="LG_COMFAA">#REF!</definedName>
    <definedName name="LG_L">#REF!</definedName>
    <definedName name="LG_nW">#REF!</definedName>
    <definedName name="lH">#REF!</definedName>
    <definedName name="lH_cMAC" comment="horizontal tail lever arm/wing mean aerodynamic chord">#REF!</definedName>
    <definedName name="LOWERDECK_h_ld">Fuselage!$K$117</definedName>
    <definedName name="LOWERDECK_w_ldbottom">Fuselage!$K$113</definedName>
    <definedName name="LOWERDECK_w_ldtop">Fuselage!$K$115</definedName>
    <definedName name="lV">#REF!</definedName>
    <definedName name="M">#REF!</definedName>
    <definedName name="MAC">#REF!</definedName>
    <definedName name="MASS_chosen_aircraft_type_Raymer">#REF!</definedName>
    <definedName name="MASS_chosen_aircraft_type_Torenbeek">#REF!</definedName>
    <definedName name="MASS_engines_on_fuselage">#REF!</definedName>
    <definedName name="MASS_flight_control_1">#REF!</definedName>
    <definedName name="MASS_flight_control_2">#REF!</definedName>
    <definedName name="MASS_flight_control_3">#REF!</definedName>
    <definedName name="MASS_flight_control_4">#REF!</definedName>
    <definedName name="MASS_flight_control_5">#REF!</definedName>
    <definedName name="MASS_flight_control_6">#REF!</definedName>
    <definedName name="MASS_has_attached_fin">#REF!</definedName>
    <definedName name="MASS_has_braced_wing">#REF!</definedName>
    <definedName name="MASS_has_harder_cabin_floor">#REF!</definedName>
    <definedName name="MASS_has_reverse_thrust">#REF!</definedName>
    <definedName name="MASS_is_engine_in_nacelle">#REF!</definedName>
    <definedName name="MASS_is_engine_turbofan">#REF!</definedName>
    <definedName name="MASS_kt">#REF!</definedName>
    <definedName name="MASS_landing_gear_on_fuselage">#REF!</definedName>
    <definedName name="MASS_LEMACHT">#REF!</definedName>
    <definedName name="MASS_LEMACVT">#REF!</definedName>
    <definedName name="MASS_list_aircraft_type_Raymer">#REF!</definedName>
    <definedName name="MASS_list_aircraft_type_Torenbeek">#REF!</definedName>
    <definedName name="MASS_mF">#REF!</definedName>
    <definedName name="MASS_mF_group">#REF!</definedName>
    <definedName name="MASS_mG">#REF!</definedName>
    <definedName name="MASS_mHT">#REF!</definedName>
    <definedName name="MASS_mMTO">#REF!</definedName>
    <definedName name="MASS_mN">#REF!</definedName>
    <definedName name="MASS_mOE">#REF!</definedName>
    <definedName name="MASS_mPP">#REF!</definedName>
    <definedName name="MASS_mSI">#REF!</definedName>
    <definedName name="MASS_mSTRCT">#REF!</definedName>
    <definedName name="MASS_mT">#REF!</definedName>
    <definedName name="MASS_mVT">#REF!</definedName>
    <definedName name="MASS_mW">#REF!</definedName>
    <definedName name="MASS_mw_group">#REF!</definedName>
    <definedName name="MASS_mZFW">#REF!</definedName>
    <definedName name="MASS_wing_has_spoiler">#REF!</definedName>
    <definedName name="MASS_xCG_Fs">#REF!</definedName>
    <definedName name="MASS_xCG_Moe">#REF!</definedName>
    <definedName name="MASS_xCG_W">#REF!</definedName>
    <definedName name="MASS_xCG_Ws">#REF!</definedName>
    <definedName name="MASS_xLEMAC">#REF!</definedName>
    <definedName name="MDDE" comment="empennage drag divergence number">#REF!</definedName>
    <definedName name="MDDeffH">#REF!</definedName>
    <definedName name="MDDeffV">#REF!</definedName>
    <definedName name="MG_Load">#REF!</definedName>
    <definedName name="mMTO" comment="maximum take  off weight">#REF!</definedName>
    <definedName name="N">#REF!</definedName>
    <definedName name="PAX_d_hw">Fuselage!$D$91</definedName>
    <definedName name="PAX_d_sw">Fuselage!$D$93</definedName>
    <definedName name="PAX_Dy_eye">Fuselage!$D$89</definedName>
    <definedName name="PAX_Dy_midshoulder">Fuselage!$D$85</definedName>
    <definedName name="PAX_w_shoulder">Fuselage!$D$87</definedName>
    <definedName name="Preliminary_Sizing_A">#REF!</definedName>
    <definedName name="Preliminary_Sizing_aircraft_type">#REF!</definedName>
    <definedName name="Preliminary_Sizing_chosen_engine_type">#REF!</definedName>
    <definedName name="Preliminary_Sizing_chosen_engine_type_list">#REF!</definedName>
    <definedName name="Preliminary_Sizing_CLcr">#REF!</definedName>
    <definedName name="Preliminary_Sizing_CLmaxL">#REF!</definedName>
    <definedName name="Preliminary_Sizing_CLmaxTO">#REF!</definedName>
    <definedName name="Preliminary_Sizing_Engine_configuration">#REF!</definedName>
    <definedName name="Preliminary_Sizing_Engine_configuration_list">#REF!</definedName>
    <definedName name="Preliminary_Sizing_Engine_configuration2">#REF!</definedName>
    <definedName name="Preliminary_Sizing_Engine_configuration2_list">#REF!</definedName>
    <definedName name="Preliminary_Sizing_Engine_has_reverse_thrust">#REF!</definedName>
    <definedName name="Preliminary_Sizing_hCR">#REF!</definedName>
    <definedName name="Preliminary_Sizing_landing_gear_configuration">#REF!</definedName>
    <definedName name="Preliminary_Sizing_landing_gear_configuration_list">#REF!</definedName>
    <definedName name="Preliminary_Sizing_mF">#REF!</definedName>
    <definedName name="Preliminary_Sizing_mFreq">#REF!</definedName>
    <definedName name="Preliminary_Sizing_mFres">#REF!</definedName>
    <definedName name="Preliminary_Sizing_mML">#REF!</definedName>
    <definedName name="Preliminary_Sizing_mMTO">Fuselage!$K$6</definedName>
    <definedName name="Preliminary_Sizing_mMTO_SW">#REF!</definedName>
    <definedName name="Preliminary_Sizing_mMZF">#REF!</definedName>
    <definedName name="Preliminary_Sizing_mOE">#REF!</definedName>
    <definedName name="Preliminary_Sizing_mPL">#REF!</definedName>
    <definedName name="Preliminary_Sizing_rF">#REF!</definedName>
    <definedName name="Preliminary_Sizing_SW">#REF!</definedName>
    <definedName name="Preliminary_Sizing_VCR">#REF!</definedName>
    <definedName name="Preliminary_Sizing_VFreq">#REF!</definedName>
    <definedName name="PROP_A">#REF!</definedName>
    <definedName name="PROP_aCR_iteration0">#REF!</definedName>
    <definedName name="PROP_aCR_iteration1">#REF!</definedName>
    <definedName name="PROP_aCR_iteration2">#REF!</definedName>
    <definedName name="PROP_aCR_iteration3">#REF!</definedName>
    <definedName name="PROP_aircraft_type_list">#REF!</definedName>
    <definedName name="PROP_aircraft_type_result">#REF!</definedName>
    <definedName name="PROP_automatic_propeller_efficiency_2nd">#REF!</definedName>
    <definedName name="PROP_automatic_propeller_efficiency_missed_approach">#REF!</definedName>
    <definedName name="PROP_automatic_propeller_efficiency_takeoff">#REF!</definedName>
    <definedName name="PROP_average_V2">#REF!</definedName>
    <definedName name="PROP_Bs">#REF!</definedName>
    <definedName name="PROP_Bt">#REF!</definedName>
    <definedName name="PROP_CD0_2nd">#REF!</definedName>
    <definedName name="PROP_CD0_cruise">#REF!</definedName>
    <definedName name="PROP_CD0_missed_approach">#REF!</definedName>
    <definedName name="PROP_CDP_2nd">#REF!</definedName>
    <definedName name="PROP_CDP_missed_approach">#REF!</definedName>
    <definedName name="PROP_Cfeqv">#REF!</definedName>
    <definedName name="PROP_chosen_kE">#REF!</definedName>
    <definedName name="PROP_chosen_missed_approach_certification">#REF!</definedName>
    <definedName name="PROP_CL_CLmd">#REF!</definedName>
    <definedName name="PROP_CLcr">#REF!</definedName>
    <definedName name="PROP_CLL_2nd">#REF!</definedName>
    <definedName name="PROP_CLL_missed_approach">#REF!</definedName>
    <definedName name="PROP_CLmaxL">#REF!</definedName>
    <definedName name="PROP_CLmaxTO">#REF!</definedName>
    <definedName name="PROP_CLmd">#REF!</definedName>
    <definedName name="PROP_CLTO">#REF!</definedName>
    <definedName name="PROP_DCDflap_2nd">#REF!</definedName>
    <definedName name="PROP_DCDflap_missed_approach">#REF!</definedName>
    <definedName name="PROP_DCDgear_FAR25">#REF!</definedName>
    <definedName name="PROP_DCDgear_JAR25">#REF!</definedName>
    <definedName name="PROP_DCDgear_missed_approach">#REF!</definedName>
    <definedName name="PROP_DCDslat_2nd">#REF!</definedName>
    <definedName name="PROP_DCDslat_missed_approach">#REF!</definedName>
    <definedName name="PROP_dD">#REF!</definedName>
    <definedName name="PROP_DTL_landing">#REF!</definedName>
    <definedName name="PROP_DTTO">#REF!</definedName>
    <definedName name="PROP_E">#REF!</definedName>
    <definedName name="PROP_e_cruise">#REF!</definedName>
    <definedName name="PROP_e_for_kE">#REF!</definedName>
    <definedName name="PROP_e_landing">#REF!</definedName>
    <definedName name="PROP_EL_missed_approach">#REF!</definedName>
    <definedName name="PROP_Emax_chosen">#REF!</definedName>
    <definedName name="PROP_estimated_PSTO_nE">#REF!</definedName>
    <definedName name="PROP_ETO">#REF!</definedName>
    <definedName name="PROP_extra_fuel_fraction">#REF!</definedName>
    <definedName name="PROP_given_kL">#REF!</definedName>
    <definedName name="PROP_given_propeller_efficiency_2nd">#REF!</definedName>
    <definedName name="PROP_given_propeller_efficiency_cruise">#REF!</definedName>
    <definedName name="PROP_given_propeller_efficiency_missed_approach">#REF!</definedName>
    <definedName name="PROP_given_propeller_efficiency_takeoff">#REF!</definedName>
    <definedName name="PROP_hCR">#REF!</definedName>
    <definedName name="PROP_is_prop_efficiency_2nd_fixed_value">#REF!</definedName>
    <definedName name="PROP_is_prop_efficiency_cruise_fixed_value">#REF!</definedName>
    <definedName name="PROP_is_prop_efficiency_missed_approach_fixed_value">#REF!</definedName>
    <definedName name="PROP_is_prop_efficiency_takeoff_fixed_value">#REF!</definedName>
    <definedName name="PROP_kAPP">#REF!</definedName>
    <definedName name="PROP_kL">#REF!</definedName>
    <definedName name="PROP_kTO">#REF!</definedName>
    <definedName name="PROP_LANDING_is_fixed_value">#REF!</definedName>
    <definedName name="PROP_LD">#REF!</definedName>
    <definedName name="PROP_LD_iteration1">#REF!</definedName>
    <definedName name="PROP_LD_iteration2">#REF!</definedName>
    <definedName name="PROP_LD_iteration3">#REF!</definedName>
    <definedName name="PROP_mF">#REF!</definedName>
    <definedName name="PROP_mF_mMTO">#REF!</definedName>
    <definedName name="PROP_Mff">#REF!</definedName>
    <definedName name="PROP_Mff_allres">#REF!</definedName>
    <definedName name="PROP_MffCLB">#REF!</definedName>
    <definedName name="PROP_MffCR">#REF!</definedName>
    <definedName name="PROP_MffDES">#REF!</definedName>
    <definedName name="PROP_Mffengine">#REF!</definedName>
    <definedName name="PROP_MffL">#REF!</definedName>
    <definedName name="PROP_Mffloiter">#REF!</definedName>
    <definedName name="PROP_MffRES">#REF!</definedName>
    <definedName name="PROP_Mffstd">#REF!</definedName>
    <definedName name="PROP_Mfftaxi">#REF!</definedName>
    <definedName name="PROP_MffTO">#REF!</definedName>
    <definedName name="PROP_mFreq">#REF!</definedName>
    <definedName name="PROP_mFres">#REF!</definedName>
    <definedName name="PROP_mML">#REF!</definedName>
    <definedName name="PROP_mML_mMTO">#REF!</definedName>
    <definedName name="PROP_mML_SW">#REF!</definedName>
    <definedName name="PROP_mMTO">#REF!</definedName>
    <definedName name="PROP_mMTO_SW">#REF!</definedName>
    <definedName name="PROP_mMZF">#REF!</definedName>
    <definedName name="PROP_mOE">#REF!</definedName>
    <definedName name="PROP_mOE_mTO">#REF!</definedName>
    <definedName name="PROP_mPAX">#REF!</definedName>
    <definedName name="PROP_mPL">#REF!</definedName>
    <definedName name="PROP_PCR_PSTO_iteration1">#REF!</definedName>
    <definedName name="PROP_PCR_PSTO_iteration2">#REF!</definedName>
    <definedName name="PROP_PCR_PSTO_iteration3">#REF!</definedName>
    <definedName name="PROP_power_to_mass_ratio_2nd">#REF!</definedName>
    <definedName name="PROP_power_to_mass_ratio_design_point">#REF!</definedName>
    <definedName name="PROP_power_to_mass_ratio_missed_approach">#REF!</definedName>
    <definedName name="PROP_power_to_mass_ratio_takeoff">#REF!</definedName>
    <definedName name="PROP_PSCR_nE_iteration1">#REF!</definedName>
    <definedName name="PROP_PSCR_nE_iteration2">#REF!</definedName>
    <definedName name="PROP_PSCR_nE_iteration3">#REF!</definedName>
    <definedName name="PROP_PSTO">#REF!</definedName>
    <definedName name="PROP_PSTO_nE">#REF!</definedName>
    <definedName name="PROP_rF">#REF!</definedName>
    <definedName name="PROP_SD">#REF!</definedName>
    <definedName name="PROP_SFCloiter">#REF!</definedName>
    <definedName name="PROP_SFCP">#REF!</definedName>
    <definedName name="PROP_sin_gamma_2nd">#REF!</definedName>
    <definedName name="PROP_sin_gamma_missed_approach">#REF!</definedName>
    <definedName name="PROP_sLFL">#REF!</definedName>
    <definedName name="PROP_sres">#REF!</definedName>
    <definedName name="PROP_sto_alternate">#REF!</definedName>
    <definedName name="PROP_SW">#REF!</definedName>
    <definedName name="PROP_Swet_Sw">#REF!</definedName>
    <definedName name="PROP_T_iteration0">#REF!</definedName>
    <definedName name="PROP_T_iteration1">#REF!</definedName>
    <definedName name="PROP_T_iteration2">#REF!</definedName>
    <definedName name="PROP_T_iteration3">#REF!</definedName>
    <definedName name="PROP_takeoff_slope">#REF!</definedName>
    <definedName name="PROP_tloiter">#REF!</definedName>
    <definedName name="PROP_V_Vmd">#REF!</definedName>
    <definedName name="PROP_V2">#REF!</definedName>
    <definedName name="PROP_VAPP">#REF!</definedName>
    <definedName name="PROP_VCR">#REF!</definedName>
    <definedName name="PROP_VCR_iteration1">#REF!</definedName>
    <definedName name="PROP_VCR_iteration2">#REF!</definedName>
    <definedName name="PROP_VCR_iteration3">#REF!</definedName>
    <definedName name="PROP_VFreq">#REF!</definedName>
    <definedName name="PROP_VS0">#REF!</definedName>
    <definedName name="PROP_VS1">#REF!</definedName>
    <definedName name="PROP_x1">#REF!</definedName>
    <definedName name="PROP_x2">#REF!</definedName>
    <definedName name="PROP_x3">#REF!</definedName>
    <definedName name="PROP_x4">#REF!</definedName>
    <definedName name="PROP_ηP_2nd">#REF!</definedName>
    <definedName name="PROP_ηP_cruise">#REF!</definedName>
    <definedName name="PROP_ηP_iteration0">#REF!</definedName>
    <definedName name="PROP_ηP_iteration1">#REF!</definedName>
    <definedName name="PROP_ηP_iteration2">#REF!</definedName>
    <definedName name="PROP_ηP_missed_approach">#REF!</definedName>
    <definedName name="PROP_ηP_takeoff">#REF!</definedName>
    <definedName name="PROP_σ_iteration1">#REF!</definedName>
    <definedName name="PROP_σ_iteration2">#REF!</definedName>
    <definedName name="PROP_σ_iteration3">#REF!</definedName>
    <definedName name="PROP_σ_landing">#REF!</definedName>
    <definedName name="PROP_σ_takeoff">#REF!</definedName>
    <definedName name="q">#REF!</definedName>
    <definedName name="REFERENCE_mF">#REF!</definedName>
    <definedName name="REFERENCE_mML">#REF!</definedName>
    <definedName name="REFERENCE_mMTO">#REF!</definedName>
    <definedName name="REFERENCE_mOE">#REF!</definedName>
    <definedName name="REFERENCE_SW">#REF!</definedName>
    <definedName name="REQUIREMENT_given_sLFL">#REF!</definedName>
    <definedName name="REQUIREMENT_given_VAPP">#REF!</definedName>
    <definedName name="REQUIREMENT_is_landing_field_length_given">#REF!</definedName>
    <definedName name="REQUIREMENT_mcargo">Fuselage!$D$6</definedName>
    <definedName name="REQUIREMENT_MCR">#REF!</definedName>
    <definedName name="REQUIREMENT_nE">#REF!</definedName>
    <definedName name="REQUIREMENT_nPAX">#REF!</definedName>
    <definedName name="REQUIREMENT_R">Fuselage!$K$4</definedName>
    <definedName name="REQUIREMENT_sTOFL">#REF!</definedName>
    <definedName name="SEAT_delta_width_floor">'Data Fuselage'!$C$4</definedName>
    <definedName name="SEAT_Dy_cushion">Fuselage!$K$50</definedName>
    <definedName name="SEAT_h_armrest_bottom">Fuselage!$K$58</definedName>
    <definedName name="SEAT_h_armrest_top">Fuselage!$K$56</definedName>
    <definedName name="SEAT_h_backrest">Fuselage!$K$60</definedName>
    <definedName name="SEAT_length_BC">Fuselage!$K$80</definedName>
    <definedName name="SEAT_length_FC">Fuselage!$K$71</definedName>
    <definedName name="SEAT_length_YC">Fuselage!$K$62</definedName>
    <definedName name="SEAT_pitch_BC">Fuselage!$K$267</definedName>
    <definedName name="SEAT_pitch_FC">Fuselage!$K$265</definedName>
    <definedName name="SEAT_pitch_YC">Fuselage!$K$269</definedName>
    <definedName name="SEAT_t_cushion">Fuselage!$K$52</definedName>
    <definedName name="SEAT_w_armrest">'Data Fuselage'!$H$70</definedName>
    <definedName name="SEAT_w_armrest_BC">Fuselage!$K$78</definedName>
    <definedName name="SEAT_w_armrest_FC">Fuselage!$K$69</definedName>
    <definedName name="SEAT_w_armrest_YC">Fuselage!$K$54</definedName>
    <definedName name="SEAT_w_cushion">'Data Fuselage'!$H$69</definedName>
    <definedName name="SEAT_w_cushion_BC">Fuselage!$K$76</definedName>
    <definedName name="SEAT_w_cushion_FC">Fuselage!$K$67</definedName>
    <definedName name="SEAT_w_cushion_YC">Fuselage!$K$48</definedName>
    <definedName name="SH">#REF!</definedName>
    <definedName name="solver_adj" localSheetId="1" hidden="1">Fuselage!$D$126</definedName>
    <definedName name="solver_cvg" localSheetId="1" hidden="1">0.0001</definedName>
    <definedName name="solver_drv" localSheetId="1" hidden="1">1</definedName>
    <definedName name="solver_eng" localSheetId="2" hidden="1">1</definedName>
    <definedName name="solver_est" localSheetId="1" hidden="1">1</definedName>
    <definedName name="solver_itr" localSheetId="1" hidden="1">100</definedName>
    <definedName name="solver_lhs1" localSheetId="1" hidden="1">Fuselage!$D$138</definedName>
    <definedName name="solver_lhs2" localSheetId="1" hidden="1">Fuselage!$D$138</definedName>
    <definedName name="solver_lhs3" localSheetId="1" hidden="1">Fuselage!$D$138</definedName>
    <definedName name="solver_lhs4" localSheetId="1" hidden="1">Fuselage!$D$138</definedName>
    <definedName name="solver_lhs5" localSheetId="1" hidden="1">Fuselage!$D$138</definedName>
    <definedName name="solver_lhs6" localSheetId="1" hidden="1">Fuselage!$D$138</definedName>
    <definedName name="solver_lin" localSheetId="1" hidden="1">2</definedName>
    <definedName name="solver_neg" localSheetId="2" hidden="1">1</definedName>
    <definedName name="solver_neg" localSheetId="1" hidden="1">2</definedName>
    <definedName name="solver_num" localSheetId="2" hidden="1">0</definedName>
    <definedName name="solver_num" localSheetId="1" hidden="1">0</definedName>
    <definedName name="solver_nwt" localSheetId="1" hidden="1">1</definedName>
    <definedName name="solver_opt" localSheetId="2" hidden="1">Analysis!$C$4</definedName>
    <definedName name="solver_opt" localSheetId="1" hidden="1">Fuselage!$D$136</definedName>
    <definedName name="solver_pre" localSheetId="1" hidden="1">0.05</definedName>
    <definedName name="solver_rel1" localSheetId="1" hidden="1">2</definedName>
    <definedName name="solver_rel2" localSheetId="1" hidden="1">2</definedName>
    <definedName name="solver_rel3" localSheetId="1" hidden="1">2</definedName>
    <definedName name="solver_rel4" localSheetId="1" hidden="1">2</definedName>
    <definedName name="solver_rel5" localSheetId="1" hidden="1">2</definedName>
    <definedName name="solver_rel6" localSheetId="1" hidden="1">2</definedName>
    <definedName name="solver_rhs1" localSheetId="1" hidden="1">201220542536445</definedName>
    <definedName name="solver_rhs2" localSheetId="1" hidden="1">2020496396712</definedName>
    <definedName name="solver_rhs3" localSheetId="1" hidden="1">201220542536445</definedName>
    <definedName name="solver_rhs4" localSheetId="1" hidden="1">147152998664993</definedName>
    <definedName name="solver_rhs5" localSheetId="1" hidden="1">15258275861814</definedName>
    <definedName name="solver_rhs6" localSheetId="1" hidden="1">200406270670968</definedName>
    <definedName name="solver_scl" localSheetId="1" hidden="1">2</definedName>
    <definedName name="solver_sho" localSheetId="1" hidden="1">2</definedName>
    <definedName name="solver_tim" localSheetId="1" hidden="1">100</definedName>
    <definedName name="solver_tol" localSheetId="1" hidden="1">0.05</definedName>
    <definedName name="solver_typ" localSheetId="2" hidden="1">1</definedName>
    <definedName name="solver_typ" localSheetId="1" hidden="1">2</definedName>
    <definedName name="solver_val" localSheetId="2" hidden="1">0</definedName>
    <definedName name="solver_val" localSheetId="1" hidden="1">0</definedName>
    <definedName name="solver_ver" localSheetId="2" hidden="1">3</definedName>
    <definedName name="SR" comment="rudder area">#REF!</definedName>
    <definedName name="STATSENGINE_available_data">#REF!</definedName>
    <definedName name="STATSENGINE_name_airflow_CR">#REF!</definedName>
    <definedName name="STATSENGINE_name_airflow_SSL">#REF!</definedName>
    <definedName name="STATSENGINE_name_altitude_CR">#REF!</definedName>
    <definedName name="STATSENGINE_name_application">#REF!</definedName>
    <definedName name="STATSENGINE_name_BPR">#REF!</definedName>
    <definedName name="STATSENGINE_name_compressor_stages">#REF!</definedName>
    <definedName name="STATSENGINE_name_engine_diameter">#REF!</definedName>
    <definedName name="STATSENGINE_name_engine_length">#REF!</definedName>
    <definedName name="STATSENGINE_name_engine_mass">#REF!</definedName>
    <definedName name="STATSENGINE_name_fan_diameter">#REF!</definedName>
    <definedName name="STATSENGINE_name_fan_stages">#REF!</definedName>
    <definedName name="STATSENGINE_name_HPC_stages">#REF!</definedName>
    <definedName name="STATSENGINE_name_HPT_stages">#REF!</definedName>
    <definedName name="STATSENGINE_name_IPT_stages">#REF!</definedName>
    <definedName name="STATSENGINE_name_LPC_stages">#REF!</definedName>
    <definedName name="STATSENGINE_name_LPT_stages">#REF!</definedName>
    <definedName name="STATSENGINE_name_mach_CR">#REF!</definedName>
    <definedName name="STATSENGINE_name_pressure_ratio_cruise">#REF!</definedName>
    <definedName name="STATSENGINE_name_pressure_ratio_SSL">#REF!</definedName>
    <definedName name="STATSENGINE_name_SFC_CR">#REF!</definedName>
    <definedName name="STATSENGINE_name_SFC_SSL">#REF!</definedName>
    <definedName name="STATSENGINE_name_shafts">#REF!</definedName>
    <definedName name="STATSENGINE_name_thrust_CR">#REF!</definedName>
    <definedName name="STATSENGINE_name_thrust_SSL">#REF!</definedName>
    <definedName name="STATSENGINE_name_year">#REF!</definedName>
    <definedName name="STATSENGINE_previous_sheet">#REF!</definedName>
    <definedName name="STATSENGINE_x_axis">#REF!</definedName>
    <definedName name="STATSENGINE_y_axis">#REF!</definedName>
    <definedName name="STATSJET_available_data">#REF!</definedName>
    <definedName name="STATSJET_name_A">#REF!</definedName>
    <definedName name="STATSJET_name_BPR">#REF!</definedName>
    <definedName name="STATSJET_name_CD_0">#REF!</definedName>
    <definedName name="STATSJET_name_CL_max_L">#REF!</definedName>
    <definedName name="STATSJET_name_CL_max_TO">#REF!</definedName>
    <definedName name="STATSJET_name_delta_CD_slat_2nd">#REF!</definedName>
    <definedName name="STATSJET_name_delta_CD_slat_MA">#REF!</definedName>
    <definedName name="STATSJET_name_e_cruise">#REF!</definedName>
    <definedName name="STATSJET_name_e_landing">#REF!</definedName>
    <definedName name="STATSJET_name_extra_fuel">#REF!</definedName>
    <definedName name="STATSJET_name_kapp">#REF!</definedName>
    <definedName name="STATSJET_name_kE">#REF!</definedName>
    <definedName name="STATSJET_name_kTO">#REF!</definedName>
    <definedName name="STATSJET_name_MCR">#REF!</definedName>
    <definedName name="STATSJET_name_mML_mMTO">#REF!</definedName>
    <definedName name="STATSJET_name_mOE_mMTO">#REF!</definedName>
    <definedName name="STATSJET_name_nPAX">#REF!</definedName>
    <definedName name="STATSJET_name_range">#REF!</definedName>
    <definedName name="STATSJET_name_S_to_alternate">#REF!</definedName>
    <definedName name="STATSJET_name_SFC_cruise">#REF!</definedName>
    <definedName name="STATSJET_name_SFC_loiter">#REF!</definedName>
    <definedName name="STATSJET_name_sLFL">#REF!</definedName>
    <definedName name="STATSJET_name_sTOFL">#REF!</definedName>
    <definedName name="STATSJET_name_SWET_SW">#REF!</definedName>
    <definedName name="STATSJET_name_V_Vm">#REF!</definedName>
    <definedName name="STATSJET_name_Vapp">#REF!</definedName>
    <definedName name="STATSJET_previous_sheet">#REF!</definedName>
    <definedName name="STATSJET_wing_kink_ratio">#REF!</definedName>
    <definedName name="STATSJET_wing_sweep_angle">#REF!</definedName>
    <definedName name="STATSJET_x_axis">#REF!</definedName>
    <definedName name="STATSJET_y_axis">#REF!</definedName>
    <definedName name="STATSPROP_available_data">#REF!</definedName>
    <definedName name="STATSPROP_name_A">#REF!</definedName>
    <definedName name="STATSPROP_name_CL_max_L">#REF!</definedName>
    <definedName name="STATSPROP_name_CL_max_TO">#REF!</definedName>
    <definedName name="STATSPROP_name_mCARGO">#REF!</definedName>
    <definedName name="STATSPROP_name_MCR">#REF!</definedName>
    <definedName name="STATSPROP_name_Mff">#REF!</definedName>
    <definedName name="STATSPROP_name_mML">#REF!</definedName>
    <definedName name="STATSPROP_name_mMTO">#REF!</definedName>
    <definedName name="STATSPROP_name_mOE">#REF!</definedName>
    <definedName name="STATSPROP_name_mPL">#REF!</definedName>
    <definedName name="STATSPROP_name_nE">#REF!</definedName>
    <definedName name="STATSPROP_name_nPAX">#REF!</definedName>
    <definedName name="STATSPROP_name_range">#REF!</definedName>
    <definedName name="STATSPROP_name_sLFL">#REF!</definedName>
    <definedName name="STATSPROP_name_sTOFL">#REF!</definedName>
    <definedName name="STATSPROP_name_Sw">#REF!</definedName>
    <definedName name="STATSPROP_name_Swet_Sw">#REF!</definedName>
    <definedName name="STATSPROP_name_Vapp">#REF!</definedName>
    <definedName name="STATSPROP_previous_sheet">#REF!</definedName>
    <definedName name="STATSPROP_x_axis">#REF!</definedName>
    <definedName name="STATSPROP_y_axis">#REF!</definedName>
    <definedName name="SV">#REF!</definedName>
    <definedName name="sweep25H" comment="horizontal tail quarter chord sweep">#REF!</definedName>
    <definedName name="Sweep25V" comment="vertical tail quarter chord sweep">#REF!</definedName>
    <definedName name="sweepH">#REF!</definedName>
    <definedName name="taperH" comment="horizontal tail taper ratio">#REF!</definedName>
    <definedName name="taperV" comment="vertical tail taper ratio">#REF!</definedName>
    <definedName name="TPI_aircraft_type_chosen_1">#REF!</definedName>
    <definedName name="TPI_aircraft_type_chosen_2">#REF!</definedName>
    <definedName name="TPI_aircraft_type_chosen_3">#REF!</definedName>
    <definedName name="TPI_aircraft_type_list_1">#REF!</definedName>
    <definedName name="TPI_aircraft_type_list_2">#REF!</definedName>
    <definedName name="TPI_aircraft_type_list_3">#REF!</definedName>
    <definedName name="TPI_DVTAIL_HTAIL">#REF!</definedName>
    <definedName name="TPI_has_active_flight_control_system">#REF!</definedName>
    <definedName name="TPI_HT_airfoil">#REF!</definedName>
    <definedName name="TPI_is_HT_all_moving">#REF!</definedName>
    <definedName name="TPI_is_VT_all_moving">#REF!</definedName>
    <definedName name="TPI_tail_arrangement_chosen">#REF!</definedName>
    <definedName name="TPI_tail_arrangement_list">#REF!</definedName>
    <definedName name="TPI_VT_airfoil">#REF!</definedName>
    <definedName name="TPI_φ50_H">#REF!</definedName>
    <definedName name="TPI_φ50_V">#REF!</definedName>
    <definedName name="TPI_φLE_H">#REF!</definedName>
    <definedName name="TPI_φLE_V">#REF!</definedName>
    <definedName name="TPI_φTE_H">#REF!</definedName>
    <definedName name="TPI_φTE_V">#REF!</definedName>
    <definedName name="TPII_propeller_configuration_chosen">#REF!</definedName>
    <definedName name="TPII_propeller_configuration_list">#REF!</definedName>
    <definedName name="WING_A">#REF!</definedName>
    <definedName name="WING_Ai">#REF!</definedName>
    <definedName name="WING_aircraft_type_list">#REF!</definedName>
    <definedName name="WING_aircraft_type_result">#REF!</definedName>
    <definedName name="WING_airfoil_list">OFFSET(#REF!,0,0,COUNT(#REF!),1)</definedName>
    <definedName name="WING_airfoil_result">#REF!</definedName>
    <definedName name="WING_airfoil_technology_level">#REF!</definedName>
    <definedName name="WING_airfoil_technology_level_list">#REF!</definedName>
    <definedName name="WING_airfoil_technology_level_result">#REF!</definedName>
    <definedName name="WING_airfoil_thickness">#REF!</definedName>
    <definedName name="WING_alpha0">#REF!</definedName>
    <definedName name="WING_Ao">#REF!</definedName>
    <definedName name="WING_b">#REF!</definedName>
    <definedName name="WING_bA">#REF!</definedName>
    <definedName name="WING_bA_b">#REF!</definedName>
    <definedName name="WING_bA_b_outboard_recommendation">#REF!</definedName>
    <definedName name="WING_bA_b_selected_outboard_recommendation">#REF!</definedName>
    <definedName name="WING_bA_b_selected_recommendation">#REF!</definedName>
    <definedName name="WING_bAH">#REF!</definedName>
    <definedName name="WING_bAH_b">#REF!</definedName>
    <definedName name="WING_bAH_b_outboard_recommendation">#REF!</definedName>
    <definedName name="WING_bAH_b_recommendation">#REF!</definedName>
    <definedName name="WING_cA_c">#REF!</definedName>
    <definedName name="WING_cA_c_outboard_recommendation">#REF!</definedName>
    <definedName name="WING_cA_c_selected_outboard_recommendation">#REF!</definedName>
    <definedName name="WING_cA_c_selected_recommendation">#REF!</definedName>
    <definedName name="WING_cAH_c">#REF!</definedName>
    <definedName name="WING_cAH_c_outboard_recommendation">#REF!</definedName>
    <definedName name="WING_cAH_c_recommendation">#REF!</definedName>
    <definedName name="WING_ck">#REF!</definedName>
    <definedName name="WING_CL_cr">#REF!</definedName>
    <definedName name="WING_CL_max">#REF!</definedName>
    <definedName name="WING_CLa">#REF!</definedName>
    <definedName name="WING_cls_max">#REF!</definedName>
    <definedName name="WING_cm0">#REF!</definedName>
    <definedName name="WING_cMAC">#REF!</definedName>
    <definedName name="WING_cMAC_f">#REF!</definedName>
    <definedName name="WING_cMAC_i">#REF!</definedName>
    <definedName name="WING_cMAC_o">#REF!</definedName>
    <definedName name="WING_cMACAH">#REF!</definedName>
    <definedName name="WING_cr">#REF!</definedName>
    <definedName name="WING_cr_A">#REF!</definedName>
    <definedName name="WING_crAH">#REF!</definedName>
    <definedName name="WING_ct">#REF!</definedName>
    <definedName name="WING_ct_A">#REF!</definedName>
    <definedName name="WING_ctAH">#REF!</definedName>
    <definedName name="WING_df">#REF!</definedName>
    <definedName name="WING_DMDD">#REF!</definedName>
    <definedName name="WING_has_inboard_fuel_tank">#REF!</definedName>
    <definedName name="WING_has_inboard_fuel_tank_result">#REF!</definedName>
    <definedName name="WING_has_inner_wing_fuel_tank">#REF!</definedName>
    <definedName name="WING_has_inner_wing_fuel_tank_result">#REF!</definedName>
    <definedName name="WING_has_outer_wing_fuel_tank">#REF!</definedName>
    <definedName name="WING_has_outer_wing_fuel_tank_result">#REF!</definedName>
    <definedName name="WING_i">#REF!</definedName>
    <definedName name="WING_is_high_speed_ailerons">#REF!</definedName>
    <definedName name="WING_is_inner_trailing_edge_perpendicular">#REF!</definedName>
    <definedName name="WING_is_straight_leading_edge">#REF!</definedName>
    <definedName name="WING_km">#REF!</definedName>
    <definedName name="WING_km_non_linear">#REF!</definedName>
    <definedName name="WING_lambda">#REF!</definedName>
    <definedName name="WING_lambda_suggestion">#REF!</definedName>
    <definedName name="WING_lambdai">#REF!</definedName>
    <definedName name="WING_lambdai_saved_value">#REF!</definedName>
    <definedName name="WING_lambdao">#REF!</definedName>
    <definedName name="WING_lambdao_saved_value">#REF!</definedName>
    <definedName name="WING_leading_edge_radius">#REF!</definedName>
    <definedName name="WING_MAC_calculation_is_fuselage_used">#REF!</definedName>
    <definedName name="WING_MAC_calculation_is_fuselage_used_result">#REF!</definedName>
    <definedName name="WING_MAC_calculation_is_inner_trapezoid_used">#REF!</definedName>
    <definedName name="WING_MAC_calculation_is_inner_trapezoid_used_result">#REF!</definedName>
    <definedName name="WING_MAC_calculation_is_outer_trapezoid_used">#REF!</definedName>
    <definedName name="WING_MAC_calculation_is_outer_trapezoid_used_result">#REF!</definedName>
    <definedName name="WING_maximum_camber">#REF!</definedName>
    <definedName name="WING_MCR">#REF!</definedName>
    <definedName name="WING_MDD">#REF!</definedName>
    <definedName name="WING_MDDeff">#REF!</definedName>
    <definedName name="WING_mF_req">#REF!</definedName>
    <definedName name="WING_MFC">#REF!</definedName>
    <definedName name="WING_mMTO">#REF!</definedName>
    <definedName name="WING_phi25_i">#REF!</definedName>
    <definedName name="WING_phi25_i_saved_value">#REF!</definedName>
    <definedName name="WING_phi25_o">#REF!</definedName>
    <definedName name="WING_phi25_o_saved_value">#REF!</definedName>
    <definedName name="WING_position_of_max_camber">#REF!</definedName>
    <definedName name="WING_postion_of_max_thickness">#REF!</definedName>
    <definedName name="WING_SA">#REF!</definedName>
    <definedName name="WING_SA_S_outboard_recommendation">#REF!</definedName>
    <definedName name="WING_SA_S_selected_outboard_recommendation">#REF!</definedName>
    <definedName name="WING_SA_S_selected_recommendation">#REF!</definedName>
    <definedName name="WING_SAH">#REF!</definedName>
    <definedName name="WING_SAH_S_outboard_recommendation">#REF!</definedName>
    <definedName name="WING_SAH_S_recommendation">#REF!</definedName>
    <definedName name="WING_Sf">#REF!</definedName>
    <definedName name="WING_Si">#REF!</definedName>
    <definedName name="WING_So">#REF!</definedName>
    <definedName name="WING_Sref">#REF!</definedName>
    <definedName name="WING_t">#REF!</definedName>
    <definedName name="WING_t_c">#REF!</definedName>
    <definedName name="WING_t_ck">#REF!</definedName>
    <definedName name="WING_t_cr">#REF!</definedName>
    <definedName name="WING_t_ct">#REF!</definedName>
    <definedName name="WING_ti">#REF!</definedName>
    <definedName name="WING_to">#REF!</definedName>
    <definedName name="WING_VA">#REF!</definedName>
    <definedName name="WING_VA_outboard_recommendation">#REF!</definedName>
    <definedName name="WING_VA_selected_outboard_recommendation">#REF!</definedName>
    <definedName name="WING_VAH_outboard_recommendation">#REF!</definedName>
    <definedName name="WING_VF">#REF!</definedName>
    <definedName name="WING_VF_req">#REF!</definedName>
    <definedName name="WING_VFF">#REF!</definedName>
    <definedName name="WING_VFi">#REF!</definedName>
    <definedName name="WING_VFo">#REF!</definedName>
    <definedName name="WING_wing_fuselage_arrangement">#REF!</definedName>
    <definedName name="WING_wing_fuselage_arrangement_list">#REF!</definedName>
    <definedName name="WING_wing_fuselage_arrangement_result">#REF!</definedName>
    <definedName name="WING_YA_M">#REF!</definedName>
    <definedName name="WING_YA_M_b">#REF!</definedName>
    <definedName name="WING_YAM_b_outboard_recommendation">#REF!</definedName>
    <definedName name="WING_YAM_b_selected_outboard_recommendation">#REF!</definedName>
    <definedName name="WING_YAM_b_selected_recommendation">#REF!</definedName>
    <definedName name="WING_YAMH">#REF!</definedName>
    <definedName name="WING_YAMH_b">#REF!</definedName>
    <definedName name="WING_YAMH_b_outboard_recommendation">#REF!</definedName>
    <definedName name="WING_YAMH_b_recommendation">#REF!</definedName>
    <definedName name="WING_Yk">#REF!</definedName>
    <definedName name="WING_YMAC">#REF!</definedName>
    <definedName name="WING_YMAC_A">#REF!</definedName>
    <definedName name="WING_YMAC_f">#REF!</definedName>
    <definedName name="WING_YMAC_i">#REF!</definedName>
    <definedName name="WING_YMAC_o">#REF!</definedName>
    <definedName name="WING_YMACAH">#REF!</definedName>
    <definedName name="WING_Yr_A">#REF!</definedName>
    <definedName name="WING_YrAH">#REF!</definedName>
    <definedName name="WING_Yt_A">#REF!</definedName>
    <definedName name="WING_YtAH">#REF!</definedName>
    <definedName name="WING_εt">#REF!</definedName>
    <definedName name="WING_ηk">#REF!</definedName>
    <definedName name="WING_λ">#REF!</definedName>
    <definedName name="WING_λi">#REF!</definedName>
    <definedName name="WING_λo">#REF!</definedName>
    <definedName name="WING_ν">#REF!</definedName>
    <definedName name="WING_ν_suggestion">#REF!</definedName>
    <definedName name="WING_ρF">#REF!</definedName>
    <definedName name="WING_φ25_i">#REF!</definedName>
    <definedName name="WING_φ25_o">#REF!</definedName>
    <definedName name="WING_φ50_o">#REF!</definedName>
    <definedName name="WING_φLE_i">#REF!</definedName>
    <definedName name="WING_φLE_o">#REF!</definedName>
    <definedName name="WING_φTE_i">#REF!</definedName>
    <definedName name="WING_φTE_o">#REF!</definedName>
    <definedName name="X_CP_cMAC">#REF!</definedName>
    <definedName name="X_CP_cMACp">#REF!</definedName>
    <definedName name="xAftCG">#REF!</definedName>
    <definedName name="xCG">#REF!</definedName>
    <definedName name="xcoordinatesHT">OFFSET(#REF!,0,0,(COUNT(#REF!)),1)</definedName>
    <definedName name="xcoordinatesVT">OFFSET(#REF!,0,0,(COUNT(#REF!)),1)</definedName>
    <definedName name="xcoordinatesW" comment="x coordinaten of the selected airfoil for the wing">OFFSET(#REF!,0,0,(COUNT(#REF!)),1)</definedName>
    <definedName name="xFwdCG">#REF!</definedName>
    <definedName name="xLEMAC">#REF!</definedName>
    <definedName name="xPm">#REF!</definedName>
    <definedName name="xPn">#REF!</definedName>
    <definedName name="ycoordinatesHT">OFFSET(#REF!,0,0,(COUNT(#REF!)),1)</definedName>
    <definedName name="ycoordinatesVT">OFFSET(#REF!,0,0,(COUNT(#REF!)),1)</definedName>
    <definedName name="ycoordinatesW">OFFSET(#REF!,0,0,(COUNT(#REF!)),1)</definedName>
    <definedName name="YMACH" comment="horizontal tail mean aerodynamic chord span">#REF!</definedName>
    <definedName name="YMACV" comment="vertical tail mean aerodynamic chord span">#REF!</definedName>
    <definedName name="YrE" comment="elevator root chord span">#REF!</definedName>
    <definedName name="YrE_bH" comment="elevator root chord span ratio">#REF!</definedName>
    <definedName name="YrR" comment="rudder root chord span">#REF!</definedName>
    <definedName name="YrR_bV" comment="elevator root chord span ratio">#REF!</definedName>
    <definedName name="YtE" comment="elevator tip chord span">#REF!</definedName>
    <definedName name="YtE_bH" comment="elevator tip chord span ratio">#REF!</definedName>
    <definedName name="YtR" comment="rudder tip chord span">#REF!</definedName>
    <definedName name="YtR_bV" comment="elevator tip chord span ratio">#REF!</definedName>
    <definedName name="ZMAC" comment="vertical position of wing aerdynamic chord">#REF!</definedName>
    <definedName name="ZMACH" comment="vertical position of horizontal tail mean aerodynamic chord">#REF!</definedName>
    <definedName name="ZMACV" comment="vertical position of MAC of vertical tail">#REF!</definedName>
    <definedName name="Zr" comment="vertical position of the root chord of the wing">#REF!</definedName>
    <definedName name="ZrH" comment="vertical position of the root chord of the horizontal tail">#REF!</definedName>
    <definedName name="ZrV" comment="vertical position of root chord of vertical tail">#REF!</definedName>
  </definedNames>
  <calcPr calcId="191029"/>
  <webPublishing dpi="72" codePage="1252"/>
  <webPublishObjects count="2">
    <webPublishObject id="22819" divId="PreSTo_2.1_a320_redesign_22819" destinationFile="C:\Dokumente und Einstellungen\pmontarnal\Desktop\test\PreSTo_2.1_a320_redesign.htm"/>
    <webPublishObject id="29330" divId="PreSTo_2.1_a320_redesign_29330" destinationFile="C:\Dokumente und Einstellungen\pmontarnal\Desktop\test\PreSTo_2.1.htm"/>
  </webPublishObject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50" i="43" l="1"/>
  <c r="K50" i="43"/>
  <c r="T2559" i="44"/>
  <c r="T2560" i="44"/>
  <c r="T2561" i="44"/>
  <c r="T2562" i="44"/>
  <c r="T2558" i="44"/>
  <c r="D161" i="43"/>
  <c r="AC39" i="43"/>
  <c r="K390" i="43" s="1"/>
  <c r="D390" i="43" s="1"/>
  <c r="K392" i="43" s="1"/>
  <c r="D124" i="43"/>
  <c r="H7" i="44" s="1"/>
  <c r="E15" i="44"/>
  <c r="F15" i="44" s="1"/>
  <c r="E16" i="44"/>
  <c r="F16" i="44" s="1"/>
  <c r="AI118" i="43"/>
  <c r="AI122" i="43" s="1"/>
  <c r="D204" i="44"/>
  <c r="C193" i="44"/>
  <c r="C195" i="44"/>
  <c r="C194" i="44"/>
  <c r="E194" i="44"/>
  <c r="D194" i="44" s="1"/>
  <c r="D205" i="44"/>
  <c r="C196" i="44"/>
  <c r="D206" i="44"/>
  <c r="AA208" i="44" s="1"/>
  <c r="C191" i="44"/>
  <c r="C192" i="44"/>
  <c r="E192" i="44"/>
  <c r="D192" i="44" s="1"/>
  <c r="B276" i="43"/>
  <c r="D202" i="44" s="1"/>
  <c r="K30" i="43"/>
  <c r="K31" i="43" s="1"/>
  <c r="D21" i="43"/>
  <c r="K32" i="43"/>
  <c r="K28" i="43"/>
  <c r="X201" i="44"/>
  <c r="H205" i="44" s="1"/>
  <c r="B309" i="43"/>
  <c r="F309" i="43" s="1"/>
  <c r="E193" i="44"/>
  <c r="D193" i="44" s="1"/>
  <c r="B310" i="43"/>
  <c r="F310" i="43" s="1"/>
  <c r="K104" i="43"/>
  <c r="E140" i="44" s="1"/>
  <c r="E141" i="44" s="1"/>
  <c r="K48" i="43"/>
  <c r="D100" i="43"/>
  <c r="K54" i="43"/>
  <c r="D196" i="43" s="1"/>
  <c r="K56" i="43"/>
  <c r="E13" i="44" s="1"/>
  <c r="F13" i="44" s="1"/>
  <c r="K58" i="43"/>
  <c r="E14" i="44" s="1"/>
  <c r="F14" i="44" s="1"/>
  <c r="AF128" i="43"/>
  <c r="AB128" i="43"/>
  <c r="AC128" i="43"/>
  <c r="AE128" i="43"/>
  <c r="D237" i="44"/>
  <c r="D273" i="44" s="1"/>
  <c r="AC277" i="43"/>
  <c r="K265" i="43"/>
  <c r="J194" i="44"/>
  <c r="K269" i="43"/>
  <c r="I95" i="48"/>
  <c r="J95" i="48"/>
  <c r="I96" i="48"/>
  <c r="J96" i="48"/>
  <c r="I97" i="48"/>
  <c r="J97" i="48"/>
  <c r="I98" i="48"/>
  <c r="J98" i="48"/>
  <c r="I99" i="48"/>
  <c r="J99" i="48"/>
  <c r="I100" i="48"/>
  <c r="J100" i="48"/>
  <c r="I101" i="48"/>
  <c r="J101" i="48"/>
  <c r="I102" i="48"/>
  <c r="J102" i="48"/>
  <c r="I103" i="48"/>
  <c r="J103" i="48"/>
  <c r="D5" i="48"/>
  <c r="E5" i="48"/>
  <c r="F5" i="48"/>
  <c r="D388" i="43"/>
  <c r="K406" i="43"/>
  <c r="K399" i="43"/>
  <c r="D424" i="43"/>
  <c r="AW219" i="44"/>
  <c r="AW224" i="44"/>
  <c r="AW229" i="44"/>
  <c r="AW234" i="44"/>
  <c r="AW239" i="44" s="1"/>
  <c r="AW244" i="44" s="1"/>
  <c r="AW249" i="44" s="1"/>
  <c r="AW254" i="44" s="1"/>
  <c r="AW259" i="44" s="1"/>
  <c r="AW264" i="44" s="1"/>
  <c r="AW269" i="44" s="1"/>
  <c r="AW274" i="44" s="1"/>
  <c r="AW279" i="44" s="1"/>
  <c r="AW284" i="44" s="1"/>
  <c r="AW289" i="44" s="1"/>
  <c r="AW294" i="44" s="1"/>
  <c r="AW299" i="44" s="1"/>
  <c r="AW304" i="44" s="1"/>
  <c r="AW309" i="44" s="1"/>
  <c r="AW314" i="44" s="1"/>
  <c r="AW319" i="44" s="1"/>
  <c r="AW324" i="44" s="1"/>
  <c r="AW329" i="44" s="1"/>
  <c r="AW334" i="44" s="1"/>
  <c r="AW339" i="44" s="1"/>
  <c r="AW344" i="44" s="1"/>
  <c r="AW349" i="44" s="1"/>
  <c r="AW354" i="44" s="1"/>
  <c r="AW359" i="44" s="1"/>
  <c r="AW364" i="44" s="1"/>
  <c r="AW369" i="44" s="1"/>
  <c r="AW374" i="44" s="1"/>
  <c r="AW379" i="44" s="1"/>
  <c r="AW384" i="44" s="1"/>
  <c r="AW389" i="44" s="1"/>
  <c r="AW394" i="44" s="1"/>
  <c r="AW399" i="44" s="1"/>
  <c r="AW404" i="44" s="1"/>
  <c r="AW409" i="44" s="1"/>
  <c r="AW414" i="44" s="1"/>
  <c r="AW419" i="44" s="1"/>
  <c r="AW424" i="44" s="1"/>
  <c r="AW429" i="44"/>
  <c r="AW434" i="44" s="1"/>
  <c r="AW439" i="44" s="1"/>
  <c r="AW444" i="44" s="1"/>
  <c r="AW449" i="44" s="1"/>
  <c r="AW454" i="44" s="1"/>
  <c r="AW459" i="44" s="1"/>
  <c r="AW464" i="44" s="1"/>
  <c r="AW469" i="44" s="1"/>
  <c r="AW474" i="44" s="1"/>
  <c r="AW479" i="44" s="1"/>
  <c r="AW484" i="44" s="1"/>
  <c r="AW489" i="44" s="1"/>
  <c r="AW494" i="44" s="1"/>
  <c r="AW499" i="44" s="1"/>
  <c r="AW504" i="44" s="1"/>
  <c r="AW509" i="44" s="1"/>
  <c r="AW514" i="44" s="1"/>
  <c r="AW519" i="44" s="1"/>
  <c r="AW524" i="44" s="1"/>
  <c r="AW529" i="44" s="1"/>
  <c r="AW534" i="44" s="1"/>
  <c r="AW535" i="44" s="1"/>
  <c r="AW216" i="44"/>
  <c r="AW221" i="44"/>
  <c r="AW226" i="44" s="1"/>
  <c r="AW231" i="44" s="1"/>
  <c r="AW236" i="44" s="1"/>
  <c r="AW241" i="44" s="1"/>
  <c r="AW246" i="44" s="1"/>
  <c r="AW251" i="44" s="1"/>
  <c r="AW256" i="44" s="1"/>
  <c r="AW261" i="44" s="1"/>
  <c r="AW266" i="44" s="1"/>
  <c r="AW271" i="44" s="1"/>
  <c r="AW276" i="44" s="1"/>
  <c r="AW281" i="44" s="1"/>
  <c r="AW286" i="44" s="1"/>
  <c r="AW291" i="44" s="1"/>
  <c r="AW296" i="44" s="1"/>
  <c r="AW301" i="44" s="1"/>
  <c r="AW306" i="44" s="1"/>
  <c r="AW311" i="44" s="1"/>
  <c r="AW316" i="44" s="1"/>
  <c r="AW321" i="44" s="1"/>
  <c r="AW326" i="44" s="1"/>
  <c r="AW331" i="44" s="1"/>
  <c r="AW336" i="44" s="1"/>
  <c r="AW341" i="44" s="1"/>
  <c r="AW346" i="44" s="1"/>
  <c r="AW351" i="44" s="1"/>
  <c r="AW356" i="44" s="1"/>
  <c r="AW361" i="44" s="1"/>
  <c r="AW366" i="44" s="1"/>
  <c r="AW371" i="44" s="1"/>
  <c r="AW376" i="44" s="1"/>
  <c r="AW381" i="44" s="1"/>
  <c r="AW386" i="44" s="1"/>
  <c r="AW391" i="44" s="1"/>
  <c r="AW396" i="44" s="1"/>
  <c r="AW401" i="44" s="1"/>
  <c r="AW406" i="44" s="1"/>
  <c r="AW411" i="44" s="1"/>
  <c r="AW416" i="44" s="1"/>
  <c r="AW421" i="44" s="1"/>
  <c r="AW426" i="44" s="1"/>
  <c r="AW431" i="44" s="1"/>
  <c r="AW436" i="44" s="1"/>
  <c r="AW441" i="44" s="1"/>
  <c r="AW446" i="44" s="1"/>
  <c r="AW451" i="44" s="1"/>
  <c r="AW456" i="44" s="1"/>
  <c r="AW461" i="44" s="1"/>
  <c r="AW466" i="44" s="1"/>
  <c r="AW471" i="44" s="1"/>
  <c r="AW476" i="44" s="1"/>
  <c r="AW481" i="44" s="1"/>
  <c r="AW486" i="44" s="1"/>
  <c r="AW491" i="44" s="1"/>
  <c r="AW496" i="44" s="1"/>
  <c r="AW501" i="44" s="1"/>
  <c r="AW506" i="44" s="1"/>
  <c r="AW511" i="44" s="1"/>
  <c r="AW516" i="44" s="1"/>
  <c r="AW521" i="44" s="1"/>
  <c r="AW526" i="44" s="1"/>
  <c r="AW531" i="44" s="1"/>
  <c r="AW217" i="44"/>
  <c r="AW222" i="44"/>
  <c r="AW227" i="44"/>
  <c r="AW232" i="44" s="1"/>
  <c r="AW237" i="44" s="1"/>
  <c r="AW242" i="44" s="1"/>
  <c r="AW247" i="44" s="1"/>
  <c r="AW252" i="44" s="1"/>
  <c r="AW257" i="44" s="1"/>
  <c r="AW262" i="44" s="1"/>
  <c r="AW267" i="44" s="1"/>
  <c r="AW272" i="44" s="1"/>
  <c r="AW277" i="44" s="1"/>
  <c r="AW282" i="44" s="1"/>
  <c r="AW287" i="44" s="1"/>
  <c r="AW292" i="44" s="1"/>
  <c r="AW297" i="44" s="1"/>
  <c r="AW302" i="44" s="1"/>
  <c r="AW307" i="44" s="1"/>
  <c r="AW312" i="44" s="1"/>
  <c r="AW317" i="44" s="1"/>
  <c r="AW322" i="44" s="1"/>
  <c r="AW327" i="44" s="1"/>
  <c r="AW332" i="44" s="1"/>
  <c r="AW337" i="44" s="1"/>
  <c r="AW342" i="44" s="1"/>
  <c r="AW347" i="44" s="1"/>
  <c r="AW352" i="44" s="1"/>
  <c r="AW357" i="44" s="1"/>
  <c r="AW362" i="44" s="1"/>
  <c r="AW367" i="44" s="1"/>
  <c r="AW372" i="44" s="1"/>
  <c r="AW377" i="44" s="1"/>
  <c r="AW382" i="44"/>
  <c r="AW387" i="44" s="1"/>
  <c r="AW392" i="44" s="1"/>
  <c r="AW397" i="44" s="1"/>
  <c r="AW402" i="44" s="1"/>
  <c r="AW407" i="44" s="1"/>
  <c r="AW412" i="44" s="1"/>
  <c r="AW417" i="44" s="1"/>
  <c r="AW422" i="44" s="1"/>
  <c r="AW427" i="44" s="1"/>
  <c r="AW432" i="44" s="1"/>
  <c r="AW437" i="44" s="1"/>
  <c r="AW442" i="44" s="1"/>
  <c r="AW447" i="44" s="1"/>
  <c r="AW452" i="44" s="1"/>
  <c r="AW457" i="44" s="1"/>
  <c r="AW462" i="44" s="1"/>
  <c r="AW467" i="44" s="1"/>
  <c r="AW472" i="44" s="1"/>
  <c r="AW477" i="44" s="1"/>
  <c r="AW482" i="44" s="1"/>
  <c r="AW487" i="44" s="1"/>
  <c r="AW492" i="44" s="1"/>
  <c r="AW497" i="44" s="1"/>
  <c r="AW502" i="44" s="1"/>
  <c r="AW507" i="44" s="1"/>
  <c r="AW512" i="44" s="1"/>
  <c r="AW517" i="44" s="1"/>
  <c r="AW522" i="44" s="1"/>
  <c r="AW527" i="44" s="1"/>
  <c r="AW532" i="44" s="1"/>
  <c r="AW218" i="44"/>
  <c r="AW223" i="44"/>
  <c r="AW228" i="44" s="1"/>
  <c r="AW233" i="44" s="1"/>
  <c r="AW238" i="44" s="1"/>
  <c r="AW243" i="44" s="1"/>
  <c r="AW248" i="44" s="1"/>
  <c r="AW253" i="44" s="1"/>
  <c r="AW258" i="44" s="1"/>
  <c r="AW263" i="44" s="1"/>
  <c r="AW268" i="44" s="1"/>
  <c r="AW273" i="44" s="1"/>
  <c r="AW278" i="44" s="1"/>
  <c r="AW283" i="44" s="1"/>
  <c r="AW288" i="44" s="1"/>
  <c r="AW293" i="44" s="1"/>
  <c r="AW298" i="44" s="1"/>
  <c r="AW303" i="44" s="1"/>
  <c r="AW308" i="44" s="1"/>
  <c r="AW313" i="44" s="1"/>
  <c r="AW318" i="44" s="1"/>
  <c r="AW323" i="44" s="1"/>
  <c r="AW328" i="44" s="1"/>
  <c r="AW333" i="44" s="1"/>
  <c r="AW338" i="44" s="1"/>
  <c r="AW343" i="44" s="1"/>
  <c r="AW348" i="44" s="1"/>
  <c r="AW353" i="44" s="1"/>
  <c r="AW358" i="44" s="1"/>
  <c r="AW363" i="44" s="1"/>
  <c r="AW368" i="44"/>
  <c r="AW373" i="44" s="1"/>
  <c r="AW378" i="44" s="1"/>
  <c r="AW383" i="44" s="1"/>
  <c r="AW388" i="44"/>
  <c r="AW393" i="44" s="1"/>
  <c r="AW398" i="44" s="1"/>
  <c r="AW403" i="44" s="1"/>
  <c r="AW408" i="44" s="1"/>
  <c r="AW413" i="44" s="1"/>
  <c r="AW418" i="44" s="1"/>
  <c r="AW423" i="44" s="1"/>
  <c r="AW428" i="44" s="1"/>
  <c r="AW433" i="44" s="1"/>
  <c r="AW438" i="44" s="1"/>
  <c r="AW443" i="44" s="1"/>
  <c r="AW448" i="44"/>
  <c r="AW453" i="44" s="1"/>
  <c r="AW458" i="44" s="1"/>
  <c r="AW463" i="44"/>
  <c r="AW468" i="44"/>
  <c r="AW473" i="44" s="1"/>
  <c r="AW478" i="44" s="1"/>
  <c r="AW483" i="44" s="1"/>
  <c r="AW488" i="44" s="1"/>
  <c r="AW493" i="44" s="1"/>
  <c r="AW498" i="44" s="1"/>
  <c r="AW503" i="44" s="1"/>
  <c r="AW508" i="44" s="1"/>
  <c r="AW513" i="44" s="1"/>
  <c r="AW518" i="44" s="1"/>
  <c r="AW523" i="44" s="1"/>
  <c r="AW528" i="44" s="1"/>
  <c r="AW533" i="44" s="1"/>
  <c r="AW215" i="44"/>
  <c r="AW220" i="44"/>
  <c r="AW225" i="44"/>
  <c r="AW230" i="44" s="1"/>
  <c r="AW235" i="44" s="1"/>
  <c r="AW240" i="44" s="1"/>
  <c r="AW245" i="44" s="1"/>
  <c r="AW250" i="44" s="1"/>
  <c r="AW255" i="44" s="1"/>
  <c r="AW260" i="44" s="1"/>
  <c r="AW265" i="44" s="1"/>
  <c r="AW270" i="44" s="1"/>
  <c r="AW275" i="44" s="1"/>
  <c r="AW280" i="44" s="1"/>
  <c r="AW285" i="44" s="1"/>
  <c r="AW290" i="44" s="1"/>
  <c r="AW295" i="44" s="1"/>
  <c r="AW300" i="44" s="1"/>
  <c r="AW305" i="44" s="1"/>
  <c r="AW310" i="44" s="1"/>
  <c r="AW315" i="44" s="1"/>
  <c r="AW320" i="44" s="1"/>
  <c r="AW325" i="44" s="1"/>
  <c r="AW330" i="44" s="1"/>
  <c r="AW335" i="44" s="1"/>
  <c r="AW340" i="44"/>
  <c r="AW345" i="44" s="1"/>
  <c r="AW350" i="44" s="1"/>
  <c r="AW355" i="44" s="1"/>
  <c r="AW360" i="44" s="1"/>
  <c r="AW365" i="44" s="1"/>
  <c r="AW370" i="44" s="1"/>
  <c r="AW375" i="44" s="1"/>
  <c r="AW380" i="44" s="1"/>
  <c r="AW385" i="44" s="1"/>
  <c r="AW390" i="44" s="1"/>
  <c r="AW395" i="44" s="1"/>
  <c r="AW400" i="44" s="1"/>
  <c r="AW405" i="44" s="1"/>
  <c r="AW410" i="44" s="1"/>
  <c r="AW415" i="44" s="1"/>
  <c r="AW420" i="44" s="1"/>
  <c r="AW425" i="44" s="1"/>
  <c r="AW430" i="44" s="1"/>
  <c r="AW435" i="44" s="1"/>
  <c r="AW440" i="44" s="1"/>
  <c r="AW445" i="44" s="1"/>
  <c r="AW450" i="44" s="1"/>
  <c r="AW455" i="44" s="1"/>
  <c r="AW460" i="44" s="1"/>
  <c r="AW465" i="44"/>
  <c r="AW470" i="44" s="1"/>
  <c r="AW475" i="44" s="1"/>
  <c r="AW480" i="44" s="1"/>
  <c r="AW485" i="44" s="1"/>
  <c r="AW490" i="44" s="1"/>
  <c r="AW495" i="44" s="1"/>
  <c r="AW500" i="44" s="1"/>
  <c r="AW505" i="44" s="1"/>
  <c r="AW510" i="44" s="1"/>
  <c r="AW515" i="44" s="1"/>
  <c r="AW520" i="44" s="1"/>
  <c r="AW525" i="44" s="1"/>
  <c r="AW530" i="44" s="1"/>
  <c r="K67" i="43"/>
  <c r="K69" i="43"/>
  <c r="AB13" i="43"/>
  <c r="Z103" i="43"/>
  <c r="AA103" i="43"/>
  <c r="K100" i="43"/>
  <c r="D156" i="44"/>
  <c r="H151" i="44"/>
  <c r="D157" i="44"/>
  <c r="L151" i="44"/>
  <c r="K154" i="44"/>
  <c r="L154" i="44"/>
  <c r="D158" i="44"/>
  <c r="P151" i="44"/>
  <c r="D159" i="44"/>
  <c r="T151" i="44"/>
  <c r="D160" i="44"/>
  <c r="X151" i="44"/>
  <c r="D161" i="44"/>
  <c r="AB151" i="44"/>
  <c r="D162" i="44"/>
  <c r="E162" i="44" s="1"/>
  <c r="AF151" i="44"/>
  <c r="D163" i="44"/>
  <c r="E163" i="44" s="1"/>
  <c r="AJ151" i="44"/>
  <c r="D164" i="44"/>
  <c r="E164" i="44"/>
  <c r="AN151" i="44"/>
  <c r="D165" i="44"/>
  <c r="E165" i="44"/>
  <c r="AR151" i="44"/>
  <c r="AR152" i="44" s="1"/>
  <c r="AR166" i="44" s="1"/>
  <c r="AB171" i="43"/>
  <c r="D69" i="44" s="1"/>
  <c r="K76" i="43"/>
  <c r="K78" i="43"/>
  <c r="K267" i="43"/>
  <c r="AZ151" i="44"/>
  <c r="AZ152" i="44" s="1"/>
  <c r="AV151" i="44"/>
  <c r="AV152" i="44" s="1"/>
  <c r="AK169" i="44"/>
  <c r="AK168" i="44"/>
  <c r="AG169" i="44"/>
  <c r="AG168" i="44"/>
  <c r="AC169" i="44"/>
  <c r="AC168" i="44"/>
  <c r="Y169" i="44"/>
  <c r="Y168" i="44"/>
  <c r="U169" i="44"/>
  <c r="D52" i="43"/>
  <c r="K52" i="43"/>
  <c r="U168" i="44"/>
  <c r="Q169" i="44"/>
  <c r="Q168" i="44"/>
  <c r="M169" i="44"/>
  <c r="M168" i="44"/>
  <c r="I169" i="44"/>
  <c r="I168" i="44"/>
  <c r="K445" i="43"/>
  <c r="D445" i="43"/>
  <c r="C447" i="43"/>
  <c r="AG2544" i="44"/>
  <c r="AK2544" i="44" s="1"/>
  <c r="AG2545" i="44"/>
  <c r="AK2545" i="44" s="1"/>
  <c r="AG2546" i="44"/>
  <c r="AK2546" i="44"/>
  <c r="AG2547" i="44"/>
  <c r="AK2547" i="44"/>
  <c r="AG2548" i="44"/>
  <c r="AK2548" i="44"/>
  <c r="AG2543" i="44"/>
  <c r="AK2543" i="44" s="1"/>
  <c r="A11" i="48"/>
  <c r="D26" i="43"/>
  <c r="D2543" i="44"/>
  <c r="D2550" i="44" s="1"/>
  <c r="T2543" i="44"/>
  <c r="T2544" i="44"/>
  <c r="U2543" i="44"/>
  <c r="U2549" i="44"/>
  <c r="U2551" i="44" s="1"/>
  <c r="X239" i="44"/>
  <c r="X203" i="44"/>
  <c r="D416" i="43"/>
  <c r="D418" i="43"/>
  <c r="D420" i="43"/>
  <c r="K416" i="43"/>
  <c r="K418" i="43"/>
  <c r="K420" i="43"/>
  <c r="J10" i="48"/>
  <c r="J11" i="48"/>
  <c r="J12" i="48"/>
  <c r="J13" i="48"/>
  <c r="J14" i="48"/>
  <c r="J15" i="48"/>
  <c r="J16" i="48"/>
  <c r="J17" i="48"/>
  <c r="J18" i="48"/>
  <c r="J19" i="48"/>
  <c r="J20" i="48"/>
  <c r="J21" i="48"/>
  <c r="J22" i="48"/>
  <c r="J23" i="48"/>
  <c r="J24" i="48"/>
  <c r="J25" i="48"/>
  <c r="J26" i="48"/>
  <c r="J27" i="48"/>
  <c r="J28" i="48"/>
  <c r="J29" i="48"/>
  <c r="J30" i="48"/>
  <c r="J31" i="48"/>
  <c r="J32" i="48"/>
  <c r="J33" i="48"/>
  <c r="J34" i="48"/>
  <c r="J35" i="48"/>
  <c r="J36" i="48"/>
  <c r="J37" i="48"/>
  <c r="J38" i="48"/>
  <c r="J39" i="48"/>
  <c r="J40" i="48"/>
  <c r="J41" i="48"/>
  <c r="J42" i="48"/>
  <c r="J43" i="48"/>
  <c r="J44" i="48"/>
  <c r="J45" i="48"/>
  <c r="J46" i="48"/>
  <c r="J47" i="48"/>
  <c r="J48" i="48"/>
  <c r="J49" i="48"/>
  <c r="J51" i="48"/>
  <c r="J52" i="48"/>
  <c r="J53" i="48"/>
  <c r="J54" i="48"/>
  <c r="J55" i="48"/>
  <c r="J56" i="48"/>
  <c r="J57" i="48"/>
  <c r="J58" i="48"/>
  <c r="J59" i="48"/>
  <c r="J60" i="48"/>
  <c r="J61" i="48"/>
  <c r="J62" i="48"/>
  <c r="J63" i="48"/>
  <c r="J64" i="48"/>
  <c r="J65" i="48"/>
  <c r="J66" i="48"/>
  <c r="J67" i="48"/>
  <c r="J68" i="48"/>
  <c r="J69" i="48"/>
  <c r="J70" i="48"/>
  <c r="J71" i="48"/>
  <c r="J72" i="48"/>
  <c r="J73" i="48"/>
  <c r="J74" i="48"/>
  <c r="J75" i="48"/>
  <c r="J76" i="48"/>
  <c r="J77" i="48"/>
  <c r="J78" i="48"/>
  <c r="J79" i="48"/>
  <c r="J80" i="48"/>
  <c r="J81" i="48"/>
  <c r="J82" i="48"/>
  <c r="J83" i="48"/>
  <c r="J84" i="48"/>
  <c r="J85" i="48"/>
  <c r="J86" i="48"/>
  <c r="J87" i="48"/>
  <c r="J88" i="48"/>
  <c r="J89" i="48"/>
  <c r="J90" i="48"/>
  <c r="J91" i="48"/>
  <c r="J92" i="48"/>
  <c r="J93" i="48"/>
  <c r="J94" i="48"/>
  <c r="I10" i="48"/>
  <c r="I11" i="48"/>
  <c r="I12" i="48"/>
  <c r="I13" i="48"/>
  <c r="I14" i="48"/>
  <c r="I15" i="48"/>
  <c r="I16" i="48"/>
  <c r="I17" i="48"/>
  <c r="I18" i="48"/>
  <c r="I19" i="48"/>
  <c r="I20" i="48"/>
  <c r="I22" i="48"/>
  <c r="I23" i="48"/>
  <c r="I24" i="48"/>
  <c r="I25" i="48"/>
  <c r="I26" i="48"/>
  <c r="I27" i="48"/>
  <c r="I28" i="48"/>
  <c r="I29" i="48"/>
  <c r="I30" i="48"/>
  <c r="I31" i="48"/>
  <c r="I32" i="48"/>
  <c r="I33" i="48"/>
  <c r="I34" i="48"/>
  <c r="I35" i="48"/>
  <c r="I36" i="48"/>
  <c r="I37" i="48"/>
  <c r="I38" i="48"/>
  <c r="I39" i="48"/>
  <c r="I40" i="48"/>
  <c r="I41" i="48"/>
  <c r="I42" i="48"/>
  <c r="I43" i="48"/>
  <c r="I44" i="48"/>
  <c r="I45" i="48"/>
  <c r="I46" i="48"/>
  <c r="I47" i="48"/>
  <c r="I48" i="48"/>
  <c r="I49" i="48"/>
  <c r="I50" i="48"/>
  <c r="I51" i="48"/>
  <c r="I52" i="48"/>
  <c r="I53" i="48"/>
  <c r="I54" i="48"/>
  <c r="I55" i="48"/>
  <c r="I56" i="48"/>
  <c r="I57" i="48"/>
  <c r="I58" i="48"/>
  <c r="I59" i="48"/>
  <c r="I60" i="48"/>
  <c r="I61" i="48"/>
  <c r="I62" i="48"/>
  <c r="I63" i="48"/>
  <c r="I64" i="48"/>
  <c r="I65" i="48"/>
  <c r="I66" i="48"/>
  <c r="I67" i="48"/>
  <c r="I68" i="48"/>
  <c r="I69" i="48"/>
  <c r="I70" i="48"/>
  <c r="I71" i="48"/>
  <c r="I72" i="48"/>
  <c r="I73" i="48"/>
  <c r="I74" i="48"/>
  <c r="I75" i="48"/>
  <c r="I76" i="48"/>
  <c r="I77" i="48"/>
  <c r="I78" i="48"/>
  <c r="I79" i="48"/>
  <c r="I80" i="48"/>
  <c r="I81" i="48"/>
  <c r="I82" i="48"/>
  <c r="I83" i="48"/>
  <c r="I84" i="48"/>
  <c r="I85" i="48"/>
  <c r="I86" i="48"/>
  <c r="I87" i="48"/>
  <c r="I88" i="48"/>
  <c r="I89" i="48"/>
  <c r="I90" i="48"/>
  <c r="I91" i="48"/>
  <c r="I92" i="48"/>
  <c r="I93" i="48"/>
  <c r="I94" i="48"/>
  <c r="G5" i="48"/>
  <c r="H5" i="48"/>
  <c r="F6" i="48"/>
  <c r="G6" i="48"/>
  <c r="H6" i="48"/>
  <c r="F7" i="48"/>
  <c r="G7" i="48"/>
  <c r="H7" i="48"/>
  <c r="K437" i="43"/>
  <c r="K71" i="43"/>
  <c r="AA285" i="43"/>
  <c r="AB129" i="43"/>
  <c r="AC129" i="43"/>
  <c r="F193" i="44"/>
  <c r="F194" i="44"/>
  <c r="F192" i="44"/>
  <c r="K62" i="43"/>
  <c r="J197" i="44"/>
  <c r="F195" i="44"/>
  <c r="F191" i="44"/>
  <c r="E195" i="44"/>
  <c r="D195" i="44" s="1"/>
  <c r="E191" i="44"/>
  <c r="D191" i="44"/>
  <c r="K233" i="43"/>
  <c r="K235" i="43"/>
  <c r="K242" i="43"/>
  <c r="K244" i="43" s="1"/>
  <c r="K251" i="43"/>
  <c r="K253" i="43" s="1"/>
  <c r="Z254" i="43"/>
  <c r="AA254" i="43" s="1"/>
  <c r="K258" i="43" s="1"/>
  <c r="AB2545" i="44"/>
  <c r="AB2546" i="44"/>
  <c r="AC2544" i="44"/>
  <c r="AC2547" i="44"/>
  <c r="AB2547" i="44"/>
  <c r="AB2544" i="44"/>
  <c r="AC2546" i="44"/>
  <c r="AB2548" i="44"/>
  <c r="K424" i="43"/>
  <c r="U2553" i="44"/>
  <c r="U2555" i="44"/>
  <c r="U2547" i="44"/>
  <c r="U2545" i="44"/>
  <c r="T2547" i="44"/>
  <c r="AN210" i="44"/>
  <c r="AX210" i="44" s="1"/>
  <c r="BB210" i="44" s="1"/>
  <c r="O2541" i="44"/>
  <c r="D169" i="43"/>
  <c r="D153" i="43"/>
  <c r="I169" i="43"/>
  <c r="I161" i="43"/>
  <c r="I153" i="43"/>
  <c r="K28" i="44"/>
  <c r="K80" i="43"/>
  <c r="J192" i="44"/>
  <c r="K198" i="44"/>
  <c r="K197" i="44"/>
  <c r="K196" i="44"/>
  <c r="K195" i="44"/>
  <c r="K194" i="44"/>
  <c r="K193" i="44"/>
  <c r="K192" i="44"/>
  <c r="J198" i="44"/>
  <c r="J196" i="44"/>
  <c r="J195" i="44"/>
  <c r="J193" i="44"/>
  <c r="AF129" i="43"/>
  <c r="P25" i="44"/>
  <c r="P26" i="44"/>
  <c r="K27" i="44"/>
  <c r="P27" i="44"/>
  <c r="C28" i="44"/>
  <c r="C29" i="44" s="1"/>
  <c r="C30" i="44" s="1"/>
  <c r="C31" i="44" s="1"/>
  <c r="C32" i="44" s="1"/>
  <c r="C33" i="44" s="1"/>
  <c r="C34" i="44" s="1"/>
  <c r="C35" i="44" s="1"/>
  <c r="C36" i="44" s="1"/>
  <c r="C37" i="44" s="1"/>
  <c r="C38" i="44" s="1"/>
  <c r="C39" i="44" s="1"/>
  <c r="C40" i="44" s="1"/>
  <c r="C41" i="44" s="1"/>
  <c r="C42" i="44" s="1"/>
  <c r="C43" i="44" s="1"/>
  <c r="C44" i="44" s="1"/>
  <c r="C45" i="44" s="1"/>
  <c r="C46" i="44" s="1"/>
  <c r="C47" i="44" s="1"/>
  <c r="C48" i="44" s="1"/>
  <c r="C49" i="44" s="1"/>
  <c r="C50" i="44" s="1"/>
  <c r="C51" i="44" s="1"/>
  <c r="C52" i="44" s="1"/>
  <c r="C53" i="44" s="1"/>
  <c r="C54" i="44" s="1"/>
  <c r="C55" i="44" s="1"/>
  <c r="C56" i="44" s="1"/>
  <c r="C57" i="44" s="1"/>
  <c r="C58" i="44" s="1"/>
  <c r="C59" i="44"/>
  <c r="C60" i="44" s="1"/>
  <c r="C61" i="44" s="1"/>
  <c r="C62" i="44"/>
  <c r="C63" i="44" s="1"/>
  <c r="C64" i="44" s="1"/>
  <c r="Q32" i="44"/>
  <c r="Q35" i="44" s="1"/>
  <c r="K33" i="44"/>
  <c r="Q33" i="44"/>
  <c r="Q34" i="44" s="1"/>
  <c r="K34" i="44"/>
  <c r="Q36" i="44"/>
  <c r="Q39" i="44"/>
  <c r="Q37" i="44"/>
  <c r="Q38" i="44" s="1"/>
  <c r="K38" i="44"/>
  <c r="K39" i="44"/>
  <c r="K40" i="44"/>
  <c r="K41" i="44"/>
  <c r="O44" i="44"/>
  <c r="K51" i="44"/>
  <c r="K52" i="44" s="1"/>
  <c r="D68" i="44"/>
  <c r="I140" i="44"/>
  <c r="I145" i="44" s="1"/>
  <c r="H154" i="44"/>
  <c r="AR154" i="44"/>
  <c r="I156" i="44"/>
  <c r="M156" i="44"/>
  <c r="Q156" i="44"/>
  <c r="U156" i="44"/>
  <c r="Y156" i="44"/>
  <c r="AC156" i="44"/>
  <c r="AG156" i="44"/>
  <c r="AK156" i="44"/>
  <c r="AO156" i="44"/>
  <c r="AS156" i="44"/>
  <c r="I157" i="44"/>
  <c r="M157" i="44"/>
  <c r="Q157" i="44"/>
  <c r="U157" i="44"/>
  <c r="Y157" i="44"/>
  <c r="AC157" i="44"/>
  <c r="AG157" i="44"/>
  <c r="AK157" i="44"/>
  <c r="AO157" i="44"/>
  <c r="AS157" i="44"/>
  <c r="I158" i="44"/>
  <c r="M158" i="44"/>
  <c r="Q158" i="44"/>
  <c r="U158" i="44"/>
  <c r="Y158" i="44"/>
  <c r="AC158" i="44"/>
  <c r="AG158" i="44"/>
  <c r="AK158" i="44"/>
  <c r="AO158" i="44"/>
  <c r="AS158" i="44"/>
  <c r="I159" i="44"/>
  <c r="M159" i="44"/>
  <c r="Q159" i="44"/>
  <c r="U159" i="44"/>
  <c r="Y159" i="44"/>
  <c r="AC159" i="44"/>
  <c r="AG159" i="44"/>
  <c r="AK159" i="44"/>
  <c r="AO159" i="44"/>
  <c r="AS159" i="44"/>
  <c r="I160" i="44"/>
  <c r="M160" i="44"/>
  <c r="Q160" i="44"/>
  <c r="U160" i="44"/>
  <c r="Y160" i="44"/>
  <c r="AC160" i="44"/>
  <c r="AG160" i="44"/>
  <c r="AK160" i="44"/>
  <c r="AO160" i="44"/>
  <c r="AS160" i="44"/>
  <c r="I161" i="44"/>
  <c r="M161" i="44"/>
  <c r="Q161" i="44"/>
  <c r="U161" i="44"/>
  <c r="Y161" i="44"/>
  <c r="AC161" i="44"/>
  <c r="AG161" i="44"/>
  <c r="AK161" i="44"/>
  <c r="AO161" i="44"/>
  <c r="AS161" i="44"/>
  <c r="I162" i="44"/>
  <c r="M162" i="44"/>
  <c r="Q162" i="44"/>
  <c r="U162" i="44"/>
  <c r="Y162" i="44"/>
  <c r="AC162" i="44"/>
  <c r="AG162" i="44"/>
  <c r="AK162" i="44"/>
  <c r="AO162" i="44"/>
  <c r="AS162" i="44"/>
  <c r="I163" i="44"/>
  <c r="M163" i="44"/>
  <c r="Q163" i="44"/>
  <c r="U163" i="44"/>
  <c r="Y163" i="44"/>
  <c r="AC163" i="44"/>
  <c r="AG163" i="44"/>
  <c r="AK163" i="44"/>
  <c r="AO163" i="44"/>
  <c r="AS163" i="44"/>
  <c r="I164" i="44"/>
  <c r="M164" i="44"/>
  <c r="Q164" i="44"/>
  <c r="U164" i="44"/>
  <c r="Y164" i="44"/>
  <c r="AC164" i="44"/>
  <c r="AG164" i="44"/>
  <c r="AK164" i="44"/>
  <c r="AO164" i="44"/>
  <c r="AS164" i="44"/>
  <c r="I165" i="44"/>
  <c r="M165" i="44"/>
  <c r="Q165" i="44"/>
  <c r="U165" i="44"/>
  <c r="Y165" i="44"/>
  <c r="AC165" i="44"/>
  <c r="AG165" i="44"/>
  <c r="AK165" i="44"/>
  <c r="AO165" i="44"/>
  <c r="AS165" i="44"/>
  <c r="I166" i="44"/>
  <c r="M166" i="44"/>
  <c r="Q166" i="44"/>
  <c r="U166" i="44"/>
  <c r="Y166" i="44"/>
  <c r="AC166" i="44"/>
  <c r="AG166" i="44"/>
  <c r="AK166" i="44"/>
  <c r="AO166" i="44"/>
  <c r="AS166" i="44"/>
  <c r="I167" i="44"/>
  <c r="M167" i="44"/>
  <c r="Q167" i="44"/>
  <c r="U167" i="44"/>
  <c r="Y167" i="44"/>
  <c r="AC167" i="44"/>
  <c r="AG167" i="44"/>
  <c r="AK167" i="44"/>
  <c r="AO167" i="44"/>
  <c r="AS167" i="44"/>
  <c r="AO168" i="44"/>
  <c r="AS168" i="44"/>
  <c r="AO169" i="44"/>
  <c r="AS169" i="44"/>
  <c r="I170" i="44"/>
  <c r="M170" i="44"/>
  <c r="Q170" i="44"/>
  <c r="U170" i="44"/>
  <c r="Y170" i="44"/>
  <c r="AC170" i="44"/>
  <c r="AG170" i="44"/>
  <c r="AK170" i="44"/>
  <c r="AO170" i="44"/>
  <c r="AS170" i="44"/>
  <c r="I171" i="44"/>
  <c r="M171" i="44"/>
  <c r="Q171" i="44"/>
  <c r="U171" i="44"/>
  <c r="Y171" i="44"/>
  <c r="AC171" i="44"/>
  <c r="AG171" i="44"/>
  <c r="AK171" i="44"/>
  <c r="AO171" i="44"/>
  <c r="AS171" i="44"/>
  <c r="I172" i="44"/>
  <c r="M172" i="44"/>
  <c r="Q172" i="44"/>
  <c r="U172" i="44"/>
  <c r="Y172" i="44"/>
  <c r="AC172" i="44"/>
  <c r="AG172" i="44"/>
  <c r="AK172" i="44"/>
  <c r="AO172" i="44"/>
  <c r="AS172" i="44"/>
  <c r="D13" i="43"/>
  <c r="K13" i="43"/>
  <c r="AF136" i="43"/>
  <c r="AB120" i="43"/>
  <c r="AC120" i="43"/>
  <c r="AD120" i="43"/>
  <c r="AE120" i="43"/>
  <c r="AF120" i="43"/>
  <c r="AB121" i="43"/>
  <c r="AC121" i="43"/>
  <c r="AD121" i="43"/>
  <c r="AE121" i="43"/>
  <c r="AF121" i="43"/>
  <c r="AD128" i="43"/>
  <c r="AD129" i="43"/>
  <c r="AB122" i="43"/>
  <c r="AC122" i="43"/>
  <c r="AD122" i="43"/>
  <c r="AE122" i="43"/>
  <c r="AF122" i="43"/>
  <c r="AB123" i="43"/>
  <c r="AC123" i="43"/>
  <c r="AD123" i="43"/>
  <c r="AE123" i="43"/>
  <c r="AF123" i="43"/>
  <c r="AB124" i="43"/>
  <c r="AC124" i="43"/>
  <c r="AD124" i="43"/>
  <c r="AE124" i="43"/>
  <c r="AF124" i="43"/>
  <c r="AB125" i="43"/>
  <c r="AC125" i="43"/>
  <c r="AD125" i="43"/>
  <c r="AE125" i="43"/>
  <c r="AF125" i="43"/>
  <c r="AB126" i="43"/>
  <c r="AC126" i="43"/>
  <c r="AD126" i="43"/>
  <c r="AE126" i="43"/>
  <c r="AF126" i="43"/>
  <c r="AB127" i="43"/>
  <c r="AC127" i="43"/>
  <c r="AD127" i="43"/>
  <c r="AE127" i="43"/>
  <c r="AF127" i="43"/>
  <c r="AE129" i="43"/>
  <c r="AB130" i="43"/>
  <c r="AC130" i="43"/>
  <c r="AD130" i="43"/>
  <c r="AE130" i="43"/>
  <c r="AF130" i="43"/>
  <c r="AB131" i="43"/>
  <c r="AC131" i="43"/>
  <c r="AD131" i="43"/>
  <c r="AE131" i="43"/>
  <c r="AF131" i="43"/>
  <c r="AB132" i="43"/>
  <c r="AC132" i="43"/>
  <c r="AD132" i="43"/>
  <c r="AE132" i="43"/>
  <c r="AF132" i="43"/>
  <c r="AB133" i="43"/>
  <c r="AC133" i="43"/>
  <c r="AD133" i="43"/>
  <c r="AE133" i="43"/>
  <c r="AF133" i="43"/>
  <c r="AB134" i="43"/>
  <c r="AC134" i="43"/>
  <c r="AD134" i="43"/>
  <c r="AE134" i="43"/>
  <c r="AF134" i="43"/>
  <c r="AB135" i="43"/>
  <c r="AC135" i="43"/>
  <c r="AD135" i="43"/>
  <c r="AE135" i="43"/>
  <c r="AF135" i="43"/>
  <c r="Z171" i="43"/>
  <c r="AA219" i="43"/>
  <c r="K218" i="43"/>
  <c r="AA220" i="43"/>
  <c r="K220" i="43"/>
  <c r="AA221" i="43"/>
  <c r="K222" i="43" s="1"/>
  <c r="E9" i="44"/>
  <c r="F9" i="44" s="1"/>
  <c r="D240" i="44"/>
  <c r="T237" i="44" s="1"/>
  <c r="D241" i="44"/>
  <c r="T239" i="44" s="1"/>
  <c r="D242" i="44"/>
  <c r="O244" i="44" s="1"/>
  <c r="X237" i="44"/>
  <c r="AF2548" i="44"/>
  <c r="AJ2548" i="44" s="1"/>
  <c r="AF2546" i="44"/>
  <c r="AJ2546" i="44" s="1"/>
  <c r="AF2544" i="44"/>
  <c r="AJ2544" i="44" s="1"/>
  <c r="AF2547" i="44"/>
  <c r="AJ2547" i="44" s="1"/>
  <c r="AF2543" i="44"/>
  <c r="AJ2543" i="44" s="1"/>
  <c r="AF2545" i="44"/>
  <c r="AJ2545" i="44" s="1"/>
  <c r="E160" i="44"/>
  <c r="E161" i="44"/>
  <c r="U2544" i="44"/>
  <c r="U2546" i="44"/>
  <c r="U2548" i="44"/>
  <c r="U2554" i="44"/>
  <c r="T2546" i="44"/>
  <c r="T2555" i="44"/>
  <c r="T2554" i="44"/>
  <c r="H184" i="44"/>
  <c r="H185" i="44"/>
  <c r="T2548" i="44"/>
  <c r="T2552" i="44" s="1"/>
  <c r="T2550" i="44"/>
  <c r="T2549" i="44"/>
  <c r="T2553" i="44"/>
  <c r="AA18" i="43"/>
  <c r="K19" i="43" s="1"/>
  <c r="U2550" i="44"/>
  <c r="U2552" i="44"/>
  <c r="O154" i="44"/>
  <c r="AA17" i="43"/>
  <c r="K17" i="43" s="1"/>
  <c r="S154" i="44"/>
  <c r="P154" i="44"/>
  <c r="T154" i="44"/>
  <c r="W154" i="44"/>
  <c r="K33" i="43"/>
  <c r="D34" i="43"/>
  <c r="I34" i="43"/>
  <c r="K29" i="43"/>
  <c r="AZ156" i="44" l="1"/>
  <c r="BA156" i="44" s="1"/>
  <c r="AZ157" i="44"/>
  <c r="BA157" i="44" s="1"/>
  <c r="AZ158" i="44"/>
  <c r="AV153" i="44"/>
  <c r="AV159" i="44" s="1"/>
  <c r="AZ153" i="44"/>
  <c r="AZ159" i="44" s="1"/>
  <c r="BA158" i="44"/>
  <c r="AW158" i="44"/>
  <c r="X152" i="44"/>
  <c r="X166" i="44" s="1"/>
  <c r="Q40" i="44"/>
  <c r="K384" i="43"/>
  <c r="K394" i="43"/>
  <c r="D394" i="43" s="1"/>
  <c r="C9" i="44"/>
  <c r="D9" i="44" s="1"/>
  <c r="G9" i="44" s="1"/>
  <c r="D200" i="43"/>
  <c r="D192" i="43"/>
  <c r="C13" i="44"/>
  <c r="C15" i="44" s="1"/>
  <c r="D15" i="44" s="1"/>
  <c r="G15" i="44" s="1"/>
  <c r="H15" i="44" s="1"/>
  <c r="D70" i="44"/>
  <c r="T103" i="44" s="1"/>
  <c r="AV156" i="44"/>
  <c r="AW156" i="44" s="1"/>
  <c r="AV157" i="44"/>
  <c r="AW157" i="44" s="1"/>
  <c r="AV158" i="44"/>
  <c r="E83" i="44"/>
  <c r="E84" i="44" s="1"/>
  <c r="I84" i="44" s="1"/>
  <c r="M81" i="44"/>
  <c r="M85" i="44" s="1"/>
  <c r="L81" i="44"/>
  <c r="L85" i="44" s="1"/>
  <c r="M86" i="44"/>
  <c r="M82" i="44"/>
  <c r="M79" i="44"/>
  <c r="L80" i="44"/>
  <c r="M83" i="44"/>
  <c r="M77" i="44"/>
  <c r="L76" i="44"/>
  <c r="M80" i="44"/>
  <c r="L77" i="44"/>
  <c r="L84" i="44"/>
  <c r="L78" i="44"/>
  <c r="M78" i="44"/>
  <c r="L82" i="44"/>
  <c r="L83" i="44"/>
  <c r="L87" i="44"/>
  <c r="L79" i="44"/>
  <c r="L86" i="44"/>
  <c r="M87" i="44"/>
  <c r="M76" i="44"/>
  <c r="M84" i="44"/>
  <c r="H70" i="44"/>
  <c r="H69" i="44"/>
  <c r="D71" i="44"/>
  <c r="E119" i="44" s="1"/>
  <c r="E120" i="44" s="1"/>
  <c r="I120" i="44" s="1"/>
  <c r="F276" i="43"/>
  <c r="D203" i="44" s="1"/>
  <c r="L208" i="44" s="1"/>
  <c r="C426" i="43"/>
  <c r="AI121" i="43"/>
  <c r="I141" i="44"/>
  <c r="AI123" i="43"/>
  <c r="AO124" i="43" s="1"/>
  <c r="AI119" i="43"/>
  <c r="AI126" i="43" s="1"/>
  <c r="AI120" i="43"/>
  <c r="AI124" i="43" s="1"/>
  <c r="D198" i="43"/>
  <c r="I144" i="44"/>
  <c r="C14" i="44"/>
  <c r="D14" i="44" s="1"/>
  <c r="G14" i="44" s="1"/>
  <c r="C102" i="43"/>
  <c r="K53" i="44"/>
  <c r="K54" i="44" s="1"/>
  <c r="K60" i="43"/>
  <c r="K47" i="44" s="1"/>
  <c r="K48" i="44" s="1"/>
  <c r="E138" i="44"/>
  <c r="E139" i="44" s="1"/>
  <c r="E10" i="44"/>
  <c r="F10" i="44" s="1"/>
  <c r="E12" i="44"/>
  <c r="F12" i="44" s="1"/>
  <c r="K46" i="44"/>
  <c r="E185" i="44"/>
  <c r="AE244" i="44"/>
  <c r="I184" i="44"/>
  <c r="I138" i="44"/>
  <c r="M184" i="44"/>
  <c r="E86" i="44"/>
  <c r="I185" i="44"/>
  <c r="K55" i="44"/>
  <c r="K56" i="44" s="1"/>
  <c r="E76" i="44"/>
  <c r="I76" i="44" s="1"/>
  <c r="M185" i="44"/>
  <c r="E11" i="44"/>
  <c r="F11" i="44" s="1"/>
  <c r="E184" i="44"/>
  <c r="E81" i="44"/>
  <c r="W244" i="44"/>
  <c r="Y246" i="44" s="1"/>
  <c r="Y250" i="44" s="1"/>
  <c r="AR158" i="44"/>
  <c r="AR159" i="44"/>
  <c r="H237" i="44"/>
  <c r="T240" i="44"/>
  <c r="AQ208" i="44"/>
  <c r="D194" i="43"/>
  <c r="D152" i="44" s="1"/>
  <c r="AR164" i="44"/>
  <c r="AR165" i="44"/>
  <c r="AR161" i="44"/>
  <c r="AR168" i="44"/>
  <c r="AR172" i="44"/>
  <c r="AR163" i="44"/>
  <c r="AR167" i="44"/>
  <c r="H238" i="44"/>
  <c r="H203" i="44"/>
  <c r="Q246" i="44"/>
  <c r="Q247" i="44" s="1"/>
  <c r="P246" i="44"/>
  <c r="P250" i="44" s="1"/>
  <c r="AM208" i="44"/>
  <c r="S244" i="44"/>
  <c r="X202" i="44"/>
  <c r="X275" i="44"/>
  <c r="D277" i="44"/>
  <c r="H274" i="44" s="1"/>
  <c r="D278" i="44"/>
  <c r="H275" i="44" s="1"/>
  <c r="D309" i="44"/>
  <c r="D276" i="44"/>
  <c r="T273" i="44" s="1"/>
  <c r="X273" i="44"/>
  <c r="H277" i="44" s="1"/>
  <c r="AC278" i="43"/>
  <c r="B277" i="43"/>
  <c r="A12" i="48"/>
  <c r="A13" i="48" s="1"/>
  <c r="A14" i="48" s="1"/>
  <c r="A15" i="48" s="1"/>
  <c r="A16" i="48" s="1"/>
  <c r="A17" i="48" s="1"/>
  <c r="A18" i="48" s="1"/>
  <c r="A19" i="48" s="1"/>
  <c r="A20" i="48" s="1"/>
  <c r="A21" i="48" s="1"/>
  <c r="X165" i="44"/>
  <c r="X158" i="44"/>
  <c r="O45" i="44"/>
  <c r="K401" i="43"/>
  <c r="K403" i="43"/>
  <c r="Q2561" i="44"/>
  <c r="AR160" i="44"/>
  <c r="AR171" i="44"/>
  <c r="AR170" i="44"/>
  <c r="AR169" i="44"/>
  <c r="Q2562" i="44"/>
  <c r="AR157" i="44"/>
  <c r="AR156" i="44"/>
  <c r="AR162" i="44"/>
  <c r="AA154" i="44"/>
  <c r="X154" i="44"/>
  <c r="D258" i="43"/>
  <c r="C260" i="43" s="1"/>
  <c r="Q41" i="44"/>
  <c r="Q43" i="44" s="1"/>
  <c r="C422" i="43"/>
  <c r="Z28" i="43"/>
  <c r="Z172" i="43"/>
  <c r="Z39" i="43"/>
  <c r="K39" i="43" s="1"/>
  <c r="I41" i="43" s="1"/>
  <c r="AA19" i="43"/>
  <c r="K21" i="43" s="1"/>
  <c r="T206" i="44"/>
  <c r="AR210" i="44"/>
  <c r="T2551" i="44"/>
  <c r="T2545" i="44"/>
  <c r="T202" i="44"/>
  <c r="T201" i="44"/>
  <c r="W208" i="44"/>
  <c r="H201" i="44"/>
  <c r="AI208" i="44"/>
  <c r="AB208" i="44"/>
  <c r="AM244" i="44"/>
  <c r="X238" i="44"/>
  <c r="AQ244" i="44"/>
  <c r="O208" i="44"/>
  <c r="T205" i="44"/>
  <c r="H239" i="44"/>
  <c r="T241" i="44"/>
  <c r="AA244" i="44"/>
  <c r="T242" i="44"/>
  <c r="T238" i="44"/>
  <c r="AI244" i="44"/>
  <c r="T204" i="44"/>
  <c r="H202" i="44"/>
  <c r="T203" i="44"/>
  <c r="S208" i="44"/>
  <c r="AE208" i="44"/>
  <c r="Y99" i="44" l="1"/>
  <c r="D211" i="43"/>
  <c r="I211" i="43" s="1"/>
  <c r="D13" i="44"/>
  <c r="G13" i="44" s="1"/>
  <c r="H13" i="44" s="1"/>
  <c r="X156" i="44"/>
  <c r="Q2551" i="44"/>
  <c r="X159" i="44"/>
  <c r="X168" i="44"/>
  <c r="X161" i="44"/>
  <c r="Q2552" i="44"/>
  <c r="X171" i="44"/>
  <c r="X169" i="44"/>
  <c r="X163" i="44"/>
  <c r="E77" i="44"/>
  <c r="E78" i="44" s="1"/>
  <c r="I78" i="44" s="1"/>
  <c r="T97" i="44"/>
  <c r="Q99" i="44"/>
  <c r="I100" i="44"/>
  <c r="Q101" i="44"/>
  <c r="X102" i="44"/>
  <c r="X106" i="44" s="1"/>
  <c r="E107" i="44"/>
  <c r="E108" i="44" s="1"/>
  <c r="Y103" i="44"/>
  <c r="M98" i="44"/>
  <c r="Y108" i="44"/>
  <c r="X103" i="44"/>
  <c r="Y98" i="44"/>
  <c r="Y104" i="44"/>
  <c r="H105" i="44"/>
  <c r="X97" i="44"/>
  <c r="Q98" i="44"/>
  <c r="X104" i="44"/>
  <c r="M100" i="44"/>
  <c r="H104" i="44"/>
  <c r="U102" i="44"/>
  <c r="U106" i="44" s="1"/>
  <c r="Y100" i="44"/>
  <c r="Y101" i="44"/>
  <c r="I102" i="44"/>
  <c r="I106" i="44" s="1"/>
  <c r="L97" i="44"/>
  <c r="P105" i="44"/>
  <c r="L103" i="44"/>
  <c r="Y105" i="44"/>
  <c r="X101" i="44"/>
  <c r="U104" i="44"/>
  <c r="X100" i="44"/>
  <c r="U97" i="44"/>
  <c r="H103" i="44"/>
  <c r="M135" i="44"/>
  <c r="M139" i="44" s="1"/>
  <c r="L98" i="44"/>
  <c r="L99" i="44"/>
  <c r="I104" i="44"/>
  <c r="Y107" i="44"/>
  <c r="M99" i="44"/>
  <c r="Y97" i="44"/>
  <c r="T107" i="44"/>
  <c r="P98" i="44"/>
  <c r="M103" i="44"/>
  <c r="H102" i="44"/>
  <c r="H106" i="44" s="1"/>
  <c r="X167" i="44"/>
  <c r="AW159" i="44"/>
  <c r="X157" i="44"/>
  <c r="X160" i="44"/>
  <c r="X162" i="44"/>
  <c r="BA159" i="44"/>
  <c r="X172" i="44"/>
  <c r="X164" i="44"/>
  <c r="X170" i="44"/>
  <c r="L102" i="44"/>
  <c r="L106" i="44" s="1"/>
  <c r="H98" i="44"/>
  <c r="T100" i="44"/>
  <c r="M105" i="44"/>
  <c r="T99" i="44"/>
  <c r="P100" i="44"/>
  <c r="X98" i="44"/>
  <c r="L105" i="44"/>
  <c r="M97" i="44"/>
  <c r="I97" i="44"/>
  <c r="L108" i="44"/>
  <c r="Q97" i="44"/>
  <c r="M102" i="44"/>
  <c r="M106" i="44" s="1"/>
  <c r="Q100" i="44"/>
  <c r="P103" i="44"/>
  <c r="M101" i="44"/>
  <c r="U105" i="44"/>
  <c r="Q104" i="44"/>
  <c r="T102" i="44"/>
  <c r="T106" i="44" s="1"/>
  <c r="M108" i="44"/>
  <c r="I101" i="44"/>
  <c r="Y102" i="44"/>
  <c r="Y106" i="44" s="1"/>
  <c r="T104" i="44"/>
  <c r="M104" i="44"/>
  <c r="X105" i="44"/>
  <c r="I105" i="44"/>
  <c r="E97" i="44"/>
  <c r="E101" i="44" s="1"/>
  <c r="L104" i="44"/>
  <c r="P99" i="44"/>
  <c r="Q105" i="44"/>
  <c r="C3" i="44"/>
  <c r="P34" i="44" s="1"/>
  <c r="P35" i="44" s="1"/>
  <c r="Q103" i="44"/>
  <c r="X108" i="44"/>
  <c r="P108" i="44"/>
  <c r="U107" i="44"/>
  <c r="U99" i="44"/>
  <c r="X107" i="44"/>
  <c r="T101" i="44"/>
  <c r="Q107" i="44"/>
  <c r="E104" i="44"/>
  <c r="E105" i="44" s="1"/>
  <c r="E102" i="44"/>
  <c r="E109" i="44" s="1"/>
  <c r="E113" i="44" s="1"/>
  <c r="U101" i="44"/>
  <c r="I108" i="44"/>
  <c r="I98" i="44"/>
  <c r="L107" i="44"/>
  <c r="L101" i="44"/>
  <c r="I99" i="44"/>
  <c r="E98" i="44"/>
  <c r="E99" i="44" s="1"/>
  <c r="H100" i="44"/>
  <c r="U103" i="44"/>
  <c r="Q102" i="44"/>
  <c r="Q106" i="44" s="1"/>
  <c r="P101" i="44"/>
  <c r="I103" i="44"/>
  <c r="P107" i="44"/>
  <c r="H108" i="44"/>
  <c r="H107" i="44"/>
  <c r="P102" i="44"/>
  <c r="P106" i="44" s="1"/>
  <c r="U98" i="44"/>
  <c r="P104" i="44"/>
  <c r="X99" i="44"/>
  <c r="H99" i="44"/>
  <c r="U108" i="44"/>
  <c r="H97" i="44"/>
  <c r="M107" i="44"/>
  <c r="U100" i="44"/>
  <c r="T98" i="44"/>
  <c r="Q108" i="44"/>
  <c r="I107" i="44"/>
  <c r="T108" i="44"/>
  <c r="P97" i="44"/>
  <c r="T105" i="44"/>
  <c r="D209" i="43"/>
  <c r="I209" i="43" s="1"/>
  <c r="M118" i="44"/>
  <c r="H71" i="44"/>
  <c r="D89" i="44" s="1"/>
  <c r="D90" i="44" s="1"/>
  <c r="L100" i="44"/>
  <c r="H101" i="44"/>
  <c r="H204" i="44"/>
  <c r="H206" i="44" s="1"/>
  <c r="E90" i="44"/>
  <c r="I83" i="44"/>
  <c r="E91" i="44"/>
  <c r="E118" i="44"/>
  <c r="I118" i="44" s="1"/>
  <c r="M120" i="44"/>
  <c r="E125" i="44"/>
  <c r="E132" i="44" s="1"/>
  <c r="L118" i="44"/>
  <c r="M129" i="44"/>
  <c r="M119" i="44"/>
  <c r="L119" i="44"/>
  <c r="M126" i="44"/>
  <c r="M123" i="44"/>
  <c r="M127" i="44" s="1"/>
  <c r="L121" i="44"/>
  <c r="L124" i="44"/>
  <c r="M122" i="44"/>
  <c r="L120" i="44"/>
  <c r="M121" i="44"/>
  <c r="L123" i="44"/>
  <c r="L127" i="44" s="1"/>
  <c r="M125" i="44"/>
  <c r="M128" i="44"/>
  <c r="M124" i="44"/>
  <c r="L129" i="44"/>
  <c r="L125" i="44"/>
  <c r="L126" i="44"/>
  <c r="L128" i="44"/>
  <c r="L122" i="44"/>
  <c r="K69" i="44"/>
  <c r="D94" i="44" s="1"/>
  <c r="E128" i="44"/>
  <c r="E129" i="44" s="1"/>
  <c r="I129" i="44" s="1"/>
  <c r="E123" i="44"/>
  <c r="E131" i="44" s="1"/>
  <c r="L205" i="44"/>
  <c r="C208" i="44" s="1"/>
  <c r="E210" i="44" s="1"/>
  <c r="P202" i="44"/>
  <c r="P201" i="44"/>
  <c r="P203" i="44"/>
  <c r="D208" i="44"/>
  <c r="L203" i="44"/>
  <c r="K208" i="44" s="1"/>
  <c r="H208" i="44"/>
  <c r="AF208" i="44" s="1"/>
  <c r="L204" i="44"/>
  <c r="G208" i="44" s="1"/>
  <c r="H210" i="44" s="1"/>
  <c r="AK119" i="43"/>
  <c r="AL122" i="43"/>
  <c r="K117" i="43" s="1"/>
  <c r="AL119" i="43"/>
  <c r="K113" i="43" s="1"/>
  <c r="C18" i="44" s="1"/>
  <c r="D18" i="44" s="1"/>
  <c r="AK122" i="43"/>
  <c r="M27" i="44"/>
  <c r="M28" i="44" s="1"/>
  <c r="AK120" i="43"/>
  <c r="AL120" i="43"/>
  <c r="K115" i="43" s="1"/>
  <c r="C17" i="44" s="1"/>
  <c r="D17" i="44" s="1"/>
  <c r="I119" i="44"/>
  <c r="E143" i="44"/>
  <c r="E142" i="44"/>
  <c r="M142" i="44" s="1"/>
  <c r="E79" i="44"/>
  <c r="I79" i="44" s="1"/>
  <c r="Y247" i="44"/>
  <c r="Y248" i="44" s="1"/>
  <c r="Y249" i="44" s="1"/>
  <c r="X246" i="44"/>
  <c r="X250" i="44" s="1"/>
  <c r="K50" i="44"/>
  <c r="K49" i="44"/>
  <c r="I86" i="44"/>
  <c r="E87" i="44"/>
  <c r="I87" i="44" s="1"/>
  <c r="E80" i="44"/>
  <c r="I80" i="44" s="1"/>
  <c r="I143" i="44"/>
  <c r="I139" i="44"/>
  <c r="I147" i="44"/>
  <c r="I142" i="44"/>
  <c r="I146" i="44"/>
  <c r="I81" i="44"/>
  <c r="I85" i="44" s="1"/>
  <c r="E88" i="44"/>
  <c r="E92" i="44" s="1"/>
  <c r="E82" i="44"/>
  <c r="I82" i="44" s="1"/>
  <c r="E85" i="44"/>
  <c r="E89" i="44"/>
  <c r="P36" i="44"/>
  <c r="P37" i="44" s="1"/>
  <c r="Q250" i="44"/>
  <c r="Q44" i="44"/>
  <c r="T276" i="44"/>
  <c r="S280" i="44"/>
  <c r="U282" i="44" s="1"/>
  <c r="X274" i="44"/>
  <c r="AQ280" i="44"/>
  <c r="U246" i="44"/>
  <c r="T246" i="44"/>
  <c r="AI280" i="44"/>
  <c r="AM280" i="44"/>
  <c r="W280" i="44"/>
  <c r="Y282" i="44" s="1"/>
  <c r="T278" i="44"/>
  <c r="P249" i="44"/>
  <c r="P247" i="44"/>
  <c r="P248" i="44" s="1"/>
  <c r="AC279" i="43"/>
  <c r="B278" i="43"/>
  <c r="Q45" i="44"/>
  <c r="O46" i="44"/>
  <c r="F277" i="43"/>
  <c r="D239" i="44" s="1"/>
  <c r="D238" i="44"/>
  <c r="H9" i="44"/>
  <c r="H273" i="44"/>
  <c r="T274" i="44"/>
  <c r="H14" i="44"/>
  <c r="E18" i="44"/>
  <c r="K30" i="44"/>
  <c r="M30" i="44" s="1"/>
  <c r="M31" i="44" s="1"/>
  <c r="K31" i="44"/>
  <c r="X309" i="44"/>
  <c r="X311" i="44"/>
  <c r="D313" i="44"/>
  <c r="D314" i="44"/>
  <c r="D345" i="44"/>
  <c r="D312" i="44"/>
  <c r="AB152" i="44"/>
  <c r="AB154" i="44"/>
  <c r="AE154" i="44"/>
  <c r="T277" i="44"/>
  <c r="AA280" i="44"/>
  <c r="O280" i="44"/>
  <c r="I21" i="48"/>
  <c r="H2" i="48" s="1"/>
  <c r="A22" i="48"/>
  <c r="T275" i="44"/>
  <c r="AE280" i="44"/>
  <c r="Q248" i="44"/>
  <c r="Q249" i="44" s="1"/>
  <c r="AJ208" i="44"/>
  <c r="U210" i="44"/>
  <c r="T210" i="44"/>
  <c r="I77" i="44" l="1"/>
  <c r="C11" i="44"/>
  <c r="D11" i="44" s="1"/>
  <c r="G11" i="44" s="1"/>
  <c r="H11" i="44" s="1"/>
  <c r="P44" i="44"/>
  <c r="Q210" i="44"/>
  <c r="Q211" i="44" s="1"/>
  <c r="Q212" i="44" s="1"/>
  <c r="Y210" i="44"/>
  <c r="AK210" i="44" s="1"/>
  <c r="H139" i="44"/>
  <c r="H140" i="44" s="1"/>
  <c r="H141" i="44" s="1"/>
  <c r="H143" i="44" s="1"/>
  <c r="H144" i="44" s="1"/>
  <c r="P38" i="44"/>
  <c r="P39" i="44" s="1"/>
  <c r="D142" i="44"/>
  <c r="P32" i="44"/>
  <c r="P33" i="44" s="1"/>
  <c r="C12" i="44"/>
  <c r="D12" i="44" s="1"/>
  <c r="G12" i="44" s="1"/>
  <c r="H12" i="44" s="1"/>
  <c r="J46" i="44"/>
  <c r="J55" i="44" s="1"/>
  <c r="P43" i="44"/>
  <c r="D139" i="44"/>
  <c r="D140" i="44" s="1"/>
  <c r="L140" i="44" s="1"/>
  <c r="H146" i="44"/>
  <c r="P45" i="44"/>
  <c r="D141" i="44"/>
  <c r="L141" i="44" s="1"/>
  <c r="H145" i="44"/>
  <c r="P40" i="44"/>
  <c r="P41" i="44" s="1"/>
  <c r="C10" i="44"/>
  <c r="D10" i="44" s="1"/>
  <c r="G10" i="44" s="1"/>
  <c r="H10" i="44" s="1"/>
  <c r="J48" i="44"/>
  <c r="J49" i="44" s="1"/>
  <c r="D153" i="44"/>
  <c r="E159" i="44" s="1"/>
  <c r="T152" i="44" s="1"/>
  <c r="T164" i="44" s="1"/>
  <c r="J52" i="44"/>
  <c r="J53" i="44" s="1"/>
  <c r="D151" i="44"/>
  <c r="M141" i="44"/>
  <c r="M144" i="44"/>
  <c r="M138" i="44"/>
  <c r="M140" i="44"/>
  <c r="L142" i="44"/>
  <c r="E100" i="44"/>
  <c r="E103" i="44"/>
  <c r="E111" i="44"/>
  <c r="D78" i="44"/>
  <c r="D84" i="44" s="1"/>
  <c r="H84" i="44" s="1"/>
  <c r="D82" i="44"/>
  <c r="D83" i="44" s="1"/>
  <c r="H83" i="44" s="1"/>
  <c r="E112" i="44"/>
  <c r="I128" i="44"/>
  <c r="M146" i="44"/>
  <c r="M147" i="44"/>
  <c r="E110" i="44"/>
  <c r="D76" i="44"/>
  <c r="H76" i="44" s="1"/>
  <c r="E106" i="44"/>
  <c r="D115" i="44"/>
  <c r="D131" i="44" s="1"/>
  <c r="D132" i="44" s="1"/>
  <c r="D99" i="44"/>
  <c r="D110" i="44"/>
  <c r="D111" i="44" s="1"/>
  <c r="D97" i="44"/>
  <c r="D103" i="44"/>
  <c r="D104" i="44" s="1"/>
  <c r="E158" i="44"/>
  <c r="P152" i="44" s="1"/>
  <c r="P168" i="44" s="1"/>
  <c r="I123" i="44"/>
  <c r="I127" i="44" s="1"/>
  <c r="I125" i="44"/>
  <c r="E133" i="44"/>
  <c r="E122" i="44"/>
  <c r="I122" i="44" s="1"/>
  <c r="E121" i="44"/>
  <c r="I121" i="44" s="1"/>
  <c r="E124" i="44"/>
  <c r="I124" i="44" s="1"/>
  <c r="E127" i="44"/>
  <c r="E126" i="44"/>
  <c r="I126" i="44" s="1"/>
  <c r="AO201" i="44"/>
  <c r="AN211" i="44" s="1"/>
  <c r="AX211" i="44" s="1"/>
  <c r="BB211" i="44" s="1"/>
  <c r="E130" i="44"/>
  <c r="E134" i="44" s="1"/>
  <c r="P205" i="44"/>
  <c r="D210" i="44"/>
  <c r="D213" i="44" s="1"/>
  <c r="I210" i="44"/>
  <c r="I234" i="44" s="1"/>
  <c r="AG234" i="44" s="1"/>
  <c r="M29" i="44"/>
  <c r="M32" i="44" s="1"/>
  <c r="M34" i="44"/>
  <c r="M33" i="44"/>
  <c r="M145" i="44"/>
  <c r="M143" i="44"/>
  <c r="E17" i="44"/>
  <c r="F17" i="44" s="1"/>
  <c r="K377" i="43"/>
  <c r="C16" i="44"/>
  <c r="D16" i="44" s="1"/>
  <c r="G16" i="44" s="1"/>
  <c r="H16" i="44" s="1"/>
  <c r="X249" i="44"/>
  <c r="X247" i="44"/>
  <c r="X248" i="44" s="1"/>
  <c r="H142" i="44"/>
  <c r="T282" i="44"/>
  <c r="T285" i="44" s="1"/>
  <c r="J50" i="44"/>
  <c r="J51" i="44"/>
  <c r="E157" i="44"/>
  <c r="L152" i="44" s="1"/>
  <c r="E156" i="44"/>
  <c r="H152" i="44" s="1"/>
  <c r="X282" i="44"/>
  <c r="X283" i="44" s="1"/>
  <c r="X284" i="44" s="1"/>
  <c r="T250" i="44"/>
  <c r="T249" i="44"/>
  <c r="T247" i="44"/>
  <c r="T248" i="44" s="1"/>
  <c r="U250" i="44"/>
  <c r="U247" i="44"/>
  <c r="U248" i="44" s="1"/>
  <c r="U249" i="44" s="1"/>
  <c r="L201" i="44"/>
  <c r="AN215" i="44" s="1"/>
  <c r="F18" i="44"/>
  <c r="G18" i="44"/>
  <c r="D6" i="48"/>
  <c r="E6" i="48"/>
  <c r="L239" i="44"/>
  <c r="L244" i="44"/>
  <c r="AJ244" i="44" s="1"/>
  <c r="P238" i="44"/>
  <c r="H240" i="44"/>
  <c r="P237" i="44"/>
  <c r="L240" i="44"/>
  <c r="G244" i="44" s="1"/>
  <c r="H244" i="44"/>
  <c r="AF244" i="44" s="1"/>
  <c r="D244" i="44"/>
  <c r="AB244" i="44" s="1"/>
  <c r="L241" i="44"/>
  <c r="C244" i="44" s="1"/>
  <c r="P239" i="44"/>
  <c r="AM316" i="44"/>
  <c r="X310" i="44"/>
  <c r="AQ316" i="44"/>
  <c r="H313" i="44"/>
  <c r="AB171" i="44"/>
  <c r="AB161" i="44"/>
  <c r="AB164" i="44"/>
  <c r="Q2554" i="44"/>
  <c r="AB159" i="44"/>
  <c r="AB162" i="44"/>
  <c r="AB167" i="44"/>
  <c r="AB168" i="44"/>
  <c r="AB172" i="44"/>
  <c r="AB166" i="44"/>
  <c r="AB165" i="44"/>
  <c r="AB156" i="44"/>
  <c r="AB169" i="44"/>
  <c r="AB170" i="44"/>
  <c r="AB157" i="44"/>
  <c r="AB163" i="44"/>
  <c r="AB160" i="44"/>
  <c r="AB158" i="44"/>
  <c r="Q2553" i="44"/>
  <c r="T156" i="44"/>
  <c r="T169" i="44"/>
  <c r="T163" i="44"/>
  <c r="T157" i="44"/>
  <c r="T166" i="44"/>
  <c r="Q2549" i="44"/>
  <c r="Q2550" i="44"/>
  <c r="T170" i="44"/>
  <c r="T160" i="44"/>
  <c r="T159" i="44"/>
  <c r="A23" i="48"/>
  <c r="A24" i="48" s="1"/>
  <c r="A25" i="48" s="1"/>
  <c r="A26" i="48" s="1"/>
  <c r="A27" i="48" s="1"/>
  <c r="A28" i="48" s="1"/>
  <c r="A29" i="48" s="1"/>
  <c r="A30" i="48" s="1"/>
  <c r="A31" i="48" s="1"/>
  <c r="A32" i="48" s="1"/>
  <c r="A33" i="48" s="1"/>
  <c r="A34" i="48" s="1"/>
  <c r="A35" i="48" s="1"/>
  <c r="A36" i="48" s="1"/>
  <c r="A37" i="48" s="1"/>
  <c r="A38" i="48" s="1"/>
  <c r="A39" i="48" s="1"/>
  <c r="A40" i="48" s="1"/>
  <c r="A41" i="48" s="1"/>
  <c r="A42" i="48" s="1"/>
  <c r="A43" i="48" s="1"/>
  <c r="A44" i="48" s="1"/>
  <c r="A45" i="48" s="1"/>
  <c r="A46" i="48" s="1"/>
  <c r="A47" i="48" s="1"/>
  <c r="A48" i="48" s="1"/>
  <c r="A49" i="48" s="1"/>
  <c r="A50" i="48" s="1"/>
  <c r="AI316" i="44"/>
  <c r="T310" i="44"/>
  <c r="H309" i="44"/>
  <c r="W316" i="44"/>
  <c r="T309" i="44"/>
  <c r="F278" i="43"/>
  <c r="D275" i="44" s="1"/>
  <c r="D274" i="44"/>
  <c r="AC280" i="43"/>
  <c r="B279" i="43"/>
  <c r="Q282" i="44"/>
  <c r="P282" i="44"/>
  <c r="X345" i="44"/>
  <c r="X347" i="44"/>
  <c r="D348" i="44"/>
  <c r="D349" i="44"/>
  <c r="D381" i="44"/>
  <c r="D350" i="44"/>
  <c r="O316" i="44"/>
  <c r="AA316" i="44"/>
  <c r="T313" i="44"/>
  <c r="T314" i="44"/>
  <c r="H311" i="44"/>
  <c r="AI154" i="44"/>
  <c r="AF154" i="44"/>
  <c r="AF152" i="44"/>
  <c r="H310" i="44"/>
  <c r="S316" i="44"/>
  <c r="T312" i="44"/>
  <c r="AE316" i="44"/>
  <c r="T311" i="44"/>
  <c r="O47" i="44"/>
  <c r="P46" i="44"/>
  <c r="Q46" i="44"/>
  <c r="H234" i="44"/>
  <c r="AF234" i="44" s="1"/>
  <c r="H213" i="44"/>
  <c r="AF210" i="44"/>
  <c r="H211" i="44"/>
  <c r="U286" i="44"/>
  <c r="U283" i="44"/>
  <c r="U284" i="44" s="1"/>
  <c r="U285" i="44" s="1"/>
  <c r="U214" i="44"/>
  <c r="U211" i="44"/>
  <c r="U212" i="44" s="1"/>
  <c r="U213" i="44" s="1"/>
  <c r="Y283" i="44"/>
  <c r="Y284" i="44" s="1"/>
  <c r="Y285" i="44" s="1"/>
  <c r="Y286" i="44"/>
  <c r="L210" i="44"/>
  <c r="M210" i="44"/>
  <c r="T211" i="44"/>
  <c r="T212" i="44" s="1"/>
  <c r="T213" i="44"/>
  <c r="T214" i="44"/>
  <c r="E211" i="44"/>
  <c r="E212" i="44" s="1"/>
  <c r="E213" i="44" s="1"/>
  <c r="E222" i="44"/>
  <c r="AC210" i="44" l="1"/>
  <c r="AC211" i="44"/>
  <c r="Q214" i="44"/>
  <c r="AC214" i="44" s="1"/>
  <c r="AC220" i="44" s="1"/>
  <c r="L139" i="44"/>
  <c r="T171" i="44"/>
  <c r="T158" i="44"/>
  <c r="T167" i="44"/>
  <c r="T165" i="44"/>
  <c r="T172" i="44"/>
  <c r="T161" i="44"/>
  <c r="Y211" i="44"/>
  <c r="Y212" i="44" s="1"/>
  <c r="Y213" i="44" s="1"/>
  <c r="AK213" i="44" s="1"/>
  <c r="T162" i="44"/>
  <c r="D81" i="44"/>
  <c r="H81" i="44" s="1"/>
  <c r="H85" i="44" s="1"/>
  <c r="T168" i="44"/>
  <c r="Y214" i="44"/>
  <c r="AK214" i="44" s="1"/>
  <c r="AK221" i="44" s="1"/>
  <c r="J56" i="44"/>
  <c r="J54" i="44"/>
  <c r="J47" i="44"/>
  <c r="H78" i="44"/>
  <c r="H82" i="44"/>
  <c r="D80" i="44"/>
  <c r="H80" i="44" s="1"/>
  <c r="P157" i="44"/>
  <c r="P161" i="44"/>
  <c r="D86" i="44"/>
  <c r="P141" i="44" s="1"/>
  <c r="D88" i="44"/>
  <c r="D91" i="44" s="1"/>
  <c r="P158" i="44"/>
  <c r="D77" i="44"/>
  <c r="H77" i="44" s="1"/>
  <c r="D87" i="44"/>
  <c r="H87" i="44" s="1"/>
  <c r="P140" i="44" s="1"/>
  <c r="D79" i="44"/>
  <c r="H79" i="44" s="1"/>
  <c r="P160" i="44"/>
  <c r="P170" i="44"/>
  <c r="P167" i="44"/>
  <c r="P156" i="44"/>
  <c r="P169" i="44"/>
  <c r="Q2548" i="44"/>
  <c r="Q2547" i="44"/>
  <c r="P166" i="44"/>
  <c r="P171" i="44"/>
  <c r="D120" i="44"/>
  <c r="D124" i="44"/>
  <c r="H124" i="44" s="1"/>
  <c r="D98" i="44"/>
  <c r="D107" i="44"/>
  <c r="P139" i="44" s="1"/>
  <c r="D109" i="44"/>
  <c r="D101" i="44"/>
  <c r="P165" i="44"/>
  <c r="P172" i="44"/>
  <c r="D118" i="44"/>
  <c r="D119" i="44" s="1"/>
  <c r="H119" i="44" s="1"/>
  <c r="P164" i="44"/>
  <c r="D105" i="44"/>
  <c r="D102" i="44"/>
  <c r="D106" i="44" s="1"/>
  <c r="D100" i="44"/>
  <c r="D108" i="44"/>
  <c r="P138" i="44" s="1"/>
  <c r="P159" i="44"/>
  <c r="P163" i="44"/>
  <c r="P162" i="44"/>
  <c r="AN212" i="44"/>
  <c r="AX212" i="44" s="1"/>
  <c r="BB212" i="44" s="1"/>
  <c r="AR211" i="44"/>
  <c r="I211" i="44"/>
  <c r="I212" i="44" s="1"/>
  <c r="I213" i="44" s="1"/>
  <c r="AG213" i="44" s="1"/>
  <c r="AG210" i="44"/>
  <c r="D222" i="44"/>
  <c r="D211" i="44"/>
  <c r="D212" i="44" s="1"/>
  <c r="G17" i="44"/>
  <c r="C5" i="44" s="1"/>
  <c r="AC215" i="44"/>
  <c r="T283" i="44"/>
  <c r="T284" i="44" s="1"/>
  <c r="X286" i="44"/>
  <c r="X285" i="44"/>
  <c r="T286" i="44"/>
  <c r="L156" i="44"/>
  <c r="L164" i="44"/>
  <c r="Q2545" i="44"/>
  <c r="L171" i="44"/>
  <c r="L170" i="44"/>
  <c r="L162" i="44"/>
  <c r="L172" i="44"/>
  <c r="L167" i="44"/>
  <c r="L160" i="44"/>
  <c r="L159" i="44"/>
  <c r="L157" i="44"/>
  <c r="L165" i="44"/>
  <c r="L163" i="44"/>
  <c r="L158" i="44"/>
  <c r="L166" i="44"/>
  <c r="L161" i="44"/>
  <c r="L169" i="44"/>
  <c r="Q2546" i="44"/>
  <c r="L168" i="44"/>
  <c r="H86" i="44"/>
  <c r="H162" i="44"/>
  <c r="H156" i="44"/>
  <c r="H166" i="44"/>
  <c r="H159" i="44"/>
  <c r="H171" i="44"/>
  <c r="H157" i="44"/>
  <c r="H169" i="44"/>
  <c r="H165" i="44"/>
  <c r="H164" i="44"/>
  <c r="H168" i="44"/>
  <c r="H160" i="44"/>
  <c r="H167" i="44"/>
  <c r="Q2544" i="44"/>
  <c r="H163" i="44"/>
  <c r="H172" i="44"/>
  <c r="Q2543" i="44"/>
  <c r="H158" i="44"/>
  <c r="H170" i="44"/>
  <c r="H161" i="44"/>
  <c r="P210" i="44"/>
  <c r="P214" i="44" s="1"/>
  <c r="AB214" i="44" s="1"/>
  <c r="X210" i="44"/>
  <c r="X214" i="44" s="1"/>
  <c r="AJ214" i="44" s="1"/>
  <c r="Q318" i="44"/>
  <c r="P318" i="44"/>
  <c r="K244" i="44"/>
  <c r="P241" i="44"/>
  <c r="J50" i="48"/>
  <c r="H3" i="48" s="1"/>
  <c r="A51" i="48"/>
  <c r="X318" i="44"/>
  <c r="Y318" i="44"/>
  <c r="AA352" i="44"/>
  <c r="T349" i="44"/>
  <c r="T350" i="44"/>
  <c r="O352" i="44"/>
  <c r="H347" i="44"/>
  <c r="AI352" i="44"/>
  <c r="T346" i="44"/>
  <c r="W352" i="44"/>
  <c r="H345" i="44"/>
  <c r="T345" i="44"/>
  <c r="X383" i="44"/>
  <c r="D384" i="44"/>
  <c r="D385" i="44"/>
  <c r="D417" i="44"/>
  <c r="D386" i="44"/>
  <c r="X381" i="44"/>
  <c r="H241" i="44"/>
  <c r="H242" i="44" s="1"/>
  <c r="S352" i="44"/>
  <c r="T348" i="44"/>
  <c r="H346" i="44"/>
  <c r="AE352" i="44"/>
  <c r="T347" i="44"/>
  <c r="X346" i="44"/>
  <c r="AM352" i="44"/>
  <c r="H349" i="44"/>
  <c r="AQ352" i="44"/>
  <c r="H18" i="44"/>
  <c r="Q2555" i="44"/>
  <c r="AF165" i="44"/>
  <c r="AF156" i="44"/>
  <c r="AF160" i="44"/>
  <c r="AF169" i="44"/>
  <c r="AF170" i="44"/>
  <c r="AF172" i="44"/>
  <c r="AF163" i="44"/>
  <c r="AF166" i="44"/>
  <c r="AF157" i="44"/>
  <c r="AF158" i="44"/>
  <c r="AF164" i="44"/>
  <c r="AF167" i="44"/>
  <c r="Q2556" i="44"/>
  <c r="AF159" i="44"/>
  <c r="AF162" i="44"/>
  <c r="AF171" i="44"/>
  <c r="AF161" i="44"/>
  <c r="AF168" i="44"/>
  <c r="P283" i="44"/>
  <c r="P284" i="44" s="1"/>
  <c r="P286" i="44"/>
  <c r="P285" i="44"/>
  <c r="T318" i="44"/>
  <c r="U318" i="44"/>
  <c r="Q283" i="44"/>
  <c r="Q284" i="44" s="1"/>
  <c r="Q285" i="44" s="1"/>
  <c r="Q286" i="44"/>
  <c r="AJ152" i="44"/>
  <c r="AM154" i="44"/>
  <c r="AJ154" i="44"/>
  <c r="F279" i="43"/>
  <c r="D311" i="44" s="1"/>
  <c r="D310" i="44"/>
  <c r="P47" i="44"/>
  <c r="O48" i="44"/>
  <c r="Q47" i="44"/>
  <c r="AC281" i="43"/>
  <c r="B280" i="43"/>
  <c r="E246" i="44"/>
  <c r="H280" i="44"/>
  <c r="AF280" i="44" s="1"/>
  <c r="H276" i="44"/>
  <c r="H278" i="44" s="1"/>
  <c r="L275" i="44"/>
  <c r="L277" i="44"/>
  <c r="C280" i="44" s="1"/>
  <c r="P274" i="44"/>
  <c r="L280" i="44"/>
  <c r="AJ280" i="44" s="1"/>
  <c r="D280" i="44"/>
  <c r="AB280" i="44" s="1"/>
  <c r="L276" i="44"/>
  <c r="G280" i="44" s="1"/>
  <c r="P273" i="44"/>
  <c r="P275" i="44"/>
  <c r="H216" i="44"/>
  <c r="AF216" i="44" s="1"/>
  <c r="H214" i="44"/>
  <c r="AF214" i="44" s="1"/>
  <c r="H215" i="44"/>
  <c r="AF215" i="44" s="1"/>
  <c r="H217" i="44"/>
  <c r="AF213" i="44"/>
  <c r="Q213" i="44"/>
  <c r="AC213" i="44" s="1"/>
  <c r="AC212" i="44"/>
  <c r="H212" i="44"/>
  <c r="AF212" i="44" s="1"/>
  <c r="AF211" i="44"/>
  <c r="AR215" i="44"/>
  <c r="AN246" i="44"/>
  <c r="E214" i="44"/>
  <c r="E215" i="44" s="1"/>
  <c r="E216" i="44"/>
  <c r="E217" i="44" s="1"/>
  <c r="D215" i="44"/>
  <c r="D216" i="44"/>
  <c r="D214" i="44"/>
  <c r="D217" i="44"/>
  <c r="L211" i="44"/>
  <c r="L212" i="44" s="1"/>
  <c r="L213" i="44"/>
  <c r="L222" i="44"/>
  <c r="M211" i="44"/>
  <c r="M212" i="44" s="1"/>
  <c r="M213" i="44" s="1"/>
  <c r="M222" i="44"/>
  <c r="AC221" i="44" l="1"/>
  <c r="AC216" i="44"/>
  <c r="AC222" i="44"/>
  <c r="AC218" i="44"/>
  <c r="AC217" i="44"/>
  <c r="AC219" i="44"/>
  <c r="AK218" i="44"/>
  <c r="AK215" i="44"/>
  <c r="AK222" i="44"/>
  <c r="AK216" i="44"/>
  <c r="AK219" i="44"/>
  <c r="AK212" i="44"/>
  <c r="AK220" i="44"/>
  <c r="AK211" i="44"/>
  <c r="AK217" i="44"/>
  <c r="D85" i="44"/>
  <c r="D92" i="44"/>
  <c r="AG211" i="44"/>
  <c r="D125" i="44"/>
  <c r="H125" i="44" s="1"/>
  <c r="D112" i="44"/>
  <c r="D113" i="44"/>
  <c r="H118" i="44"/>
  <c r="D122" i="44"/>
  <c r="H122" i="44" s="1"/>
  <c r="D128" i="44"/>
  <c r="D130" i="44"/>
  <c r="D126" i="44"/>
  <c r="H126" i="44" s="1"/>
  <c r="D123" i="44"/>
  <c r="D121" i="44"/>
  <c r="H121" i="44" s="1"/>
  <c r="D129" i="44"/>
  <c r="H129" i="44" s="1"/>
  <c r="P136" i="44" s="1"/>
  <c r="H120" i="44"/>
  <c r="I214" i="44"/>
  <c r="AG214" i="44" s="1"/>
  <c r="AN213" i="44"/>
  <c r="AR213" i="44" s="1"/>
  <c r="I217" i="44"/>
  <c r="AG217" i="44" s="1"/>
  <c r="AR212" i="44"/>
  <c r="AG212" i="44"/>
  <c r="I216" i="44"/>
  <c r="AG216" i="44" s="1"/>
  <c r="I215" i="44"/>
  <c r="AG215" i="44" s="1"/>
  <c r="H17" i="44"/>
  <c r="C6" i="44" s="1"/>
  <c r="D59" i="44"/>
  <c r="D45" i="44"/>
  <c r="D61" i="44"/>
  <c r="D44" i="44"/>
  <c r="D30" i="44"/>
  <c r="D130" i="43"/>
  <c r="D41" i="44"/>
  <c r="D48" i="44"/>
  <c r="D47" i="44"/>
  <c r="I17" i="44"/>
  <c r="D39" i="44"/>
  <c r="I16" i="44"/>
  <c r="D38" i="44"/>
  <c r="I13" i="44"/>
  <c r="D27" i="44"/>
  <c r="D54" i="44"/>
  <c r="D34" i="44"/>
  <c r="D52" i="44"/>
  <c r="D57" i="44"/>
  <c r="D40" i="44"/>
  <c r="D32" i="44"/>
  <c r="D35" i="44"/>
  <c r="D56" i="44"/>
  <c r="D42" i="44"/>
  <c r="I18" i="44"/>
  <c r="D60" i="44"/>
  <c r="D49" i="44"/>
  <c r="D29" i="44"/>
  <c r="I10" i="44"/>
  <c r="D33" i="44"/>
  <c r="D64" i="44"/>
  <c r="D51" i="44"/>
  <c r="I11" i="44"/>
  <c r="D63" i="44"/>
  <c r="D55" i="44"/>
  <c r="I9" i="44"/>
  <c r="D36" i="44"/>
  <c r="D28" i="44"/>
  <c r="I14" i="44"/>
  <c r="D31" i="44"/>
  <c r="I12" i="44"/>
  <c r="D53" i="44"/>
  <c r="D46" i="44"/>
  <c r="D58" i="44"/>
  <c r="D37" i="44"/>
  <c r="D50" i="44"/>
  <c r="D43" i="44"/>
  <c r="I15" i="44"/>
  <c r="D62" i="44"/>
  <c r="P211" i="44"/>
  <c r="P212" i="44" s="1"/>
  <c r="AB212" i="44" s="1"/>
  <c r="P213" i="44"/>
  <c r="AB213" i="44" s="1"/>
  <c r="AB210" i="44"/>
  <c r="AJ210" i="44"/>
  <c r="X213" i="44"/>
  <c r="AJ213" i="44" s="1"/>
  <c r="X211" i="44"/>
  <c r="X212" i="44" s="1"/>
  <c r="AJ212" i="44" s="1"/>
  <c r="E282" i="44"/>
  <c r="E294" i="44" s="1"/>
  <c r="AC294" i="44" s="1"/>
  <c r="P354" i="44"/>
  <c r="Q354" i="44"/>
  <c r="E247" i="44"/>
  <c r="AC246" i="44"/>
  <c r="E258" i="44"/>
  <c r="AC258" i="44" s="1"/>
  <c r="H385" i="44"/>
  <c r="X382" i="44"/>
  <c r="AQ388" i="44"/>
  <c r="AM388" i="44"/>
  <c r="A52" i="48"/>
  <c r="A53" i="48" s="1"/>
  <c r="A54" i="48" s="1"/>
  <c r="A55" i="48" s="1"/>
  <c r="A56" i="48" s="1"/>
  <c r="A57" i="48" s="1"/>
  <c r="A58" i="48" s="1"/>
  <c r="A59" i="48" s="1"/>
  <c r="A60" i="48" s="1"/>
  <c r="A61" i="48" s="1"/>
  <c r="A62" i="48" s="1"/>
  <c r="A63" i="48" s="1"/>
  <c r="A64" i="48" s="1"/>
  <c r="A65" i="48" s="1"/>
  <c r="A66" i="48" s="1"/>
  <c r="A67" i="48" s="1"/>
  <c r="A68" i="48" s="1"/>
  <c r="A69" i="48" s="1"/>
  <c r="A70" i="48" s="1"/>
  <c r="A71" i="48" s="1"/>
  <c r="A72" i="48" s="1"/>
  <c r="A73" i="48" s="1"/>
  <c r="A74" i="48" s="1"/>
  <c r="A75" i="48" s="1"/>
  <c r="A76" i="48" s="1"/>
  <c r="A77" i="48" s="1"/>
  <c r="A78" i="48" s="1"/>
  <c r="A79" i="48" s="1"/>
  <c r="A80" i="48" s="1"/>
  <c r="A81" i="48" s="1"/>
  <c r="A82" i="48" s="1"/>
  <c r="A83" i="48" s="1"/>
  <c r="A84" i="48" s="1"/>
  <c r="A85" i="48" s="1"/>
  <c r="A86" i="48" s="1"/>
  <c r="A87" i="48" s="1"/>
  <c r="A88" i="48" s="1"/>
  <c r="A89" i="48" s="1"/>
  <c r="A90" i="48" s="1"/>
  <c r="A91" i="48" s="1"/>
  <c r="A92" i="48" s="1"/>
  <c r="A93" i="48" s="1"/>
  <c r="A94" i="48" s="1"/>
  <c r="A95" i="48" s="1"/>
  <c r="A96" i="48" s="1"/>
  <c r="A97" i="48" s="1"/>
  <c r="A98" i="48" s="1"/>
  <c r="A99" i="48" s="1"/>
  <c r="A100" i="48" s="1"/>
  <c r="A101" i="48" s="1"/>
  <c r="A102" i="48" s="1"/>
  <c r="A103" i="48" s="1"/>
  <c r="L2" i="48"/>
  <c r="AO237" i="44"/>
  <c r="AN247" i="44" s="1"/>
  <c r="L237" i="44"/>
  <c r="H246" i="44" s="1"/>
  <c r="AF246" i="44" s="1"/>
  <c r="P310" i="44"/>
  <c r="L313" i="44"/>
  <c r="C316" i="44" s="1"/>
  <c r="L316" i="44"/>
  <c r="AJ316" i="44" s="1"/>
  <c r="D316" i="44"/>
  <c r="AB316" i="44" s="1"/>
  <c r="P309" i="44"/>
  <c r="H316" i="44"/>
  <c r="AF316" i="44" s="1"/>
  <c r="P311" i="44"/>
  <c r="L312" i="44"/>
  <c r="G316" i="44" s="1"/>
  <c r="L311" i="44"/>
  <c r="H312" i="44"/>
  <c r="H314" i="44" s="1"/>
  <c r="H383" i="44"/>
  <c r="T385" i="44"/>
  <c r="O388" i="44"/>
  <c r="AA388" i="44"/>
  <c r="T386" i="44"/>
  <c r="D7" i="48"/>
  <c r="E7" i="48"/>
  <c r="F280" i="43"/>
  <c r="D347" i="44" s="1"/>
  <c r="D346" i="44"/>
  <c r="X321" i="44"/>
  <c r="X319" i="44"/>
  <c r="X320" i="44" s="1"/>
  <c r="X322" i="44"/>
  <c r="K280" i="44"/>
  <c r="P277" i="44"/>
  <c r="AC282" i="43"/>
  <c r="B281" i="43"/>
  <c r="AN154" i="44"/>
  <c r="AN152" i="44"/>
  <c r="T354" i="44"/>
  <c r="U354" i="44"/>
  <c r="Y322" i="44"/>
  <c r="Y319" i="44"/>
  <c r="Y320" i="44" s="1"/>
  <c r="Y321" i="44" s="1"/>
  <c r="O49" i="44"/>
  <c r="P48" i="44"/>
  <c r="Q48" i="44"/>
  <c r="H382" i="44"/>
  <c r="T384" i="44"/>
  <c r="T383" i="44"/>
  <c r="AE388" i="44"/>
  <c r="S388" i="44"/>
  <c r="AI388" i="44"/>
  <c r="H381" i="44"/>
  <c r="T381" i="44"/>
  <c r="W388" i="44"/>
  <c r="T382" i="44"/>
  <c r="AO273" i="44"/>
  <c r="D420" i="44"/>
  <c r="D453" i="44"/>
  <c r="D422" i="44"/>
  <c r="X417" i="44"/>
  <c r="X419" i="44"/>
  <c r="D421" i="44"/>
  <c r="U319" i="44"/>
  <c r="U320" i="44" s="1"/>
  <c r="U321" i="44" s="1"/>
  <c r="U322" i="44"/>
  <c r="T319" i="44"/>
  <c r="T320" i="44" s="1"/>
  <c r="T321" i="44"/>
  <c r="T322" i="44"/>
  <c r="Q2557" i="44"/>
  <c r="AJ165" i="44"/>
  <c r="Q2558" i="44"/>
  <c r="AJ166" i="44"/>
  <c r="AJ159" i="44"/>
  <c r="AJ160" i="44"/>
  <c r="AJ171" i="44"/>
  <c r="AJ169" i="44"/>
  <c r="AJ168" i="44"/>
  <c r="AJ158" i="44"/>
  <c r="AJ163" i="44"/>
  <c r="AJ164" i="44"/>
  <c r="AJ162" i="44"/>
  <c r="AJ156" i="44"/>
  <c r="AJ172" i="44"/>
  <c r="AJ170" i="44"/>
  <c r="AJ167" i="44"/>
  <c r="AJ157" i="44"/>
  <c r="AJ161" i="44"/>
  <c r="P319" i="44"/>
  <c r="P320" i="44" s="1"/>
  <c r="P322" i="44"/>
  <c r="P321" i="44"/>
  <c r="X354" i="44"/>
  <c r="Y354" i="44"/>
  <c r="Q322" i="44"/>
  <c r="Q319" i="44"/>
  <c r="Q320" i="44" s="1"/>
  <c r="Q321" i="44" s="1"/>
  <c r="AF217" i="44"/>
  <c r="H221" i="44"/>
  <c r="H218" i="44"/>
  <c r="AF218" i="44" s="1"/>
  <c r="H220" i="44"/>
  <c r="AF220" i="44" s="1"/>
  <c r="H219" i="44"/>
  <c r="AF219" i="44" s="1"/>
  <c r="L217" i="44"/>
  <c r="L215" i="44"/>
  <c r="L216" i="44" s="1"/>
  <c r="L214" i="44"/>
  <c r="L219" i="44"/>
  <c r="L220" i="44" s="1"/>
  <c r="AB222" i="44"/>
  <c r="AB217" i="44"/>
  <c r="AB220" i="44"/>
  <c r="AB216" i="44"/>
  <c r="AB221" i="44"/>
  <c r="AB218" i="44"/>
  <c r="AB219" i="44"/>
  <c r="AB215" i="44"/>
  <c r="E220" i="44"/>
  <c r="E221" i="44" s="1"/>
  <c r="E218" i="44"/>
  <c r="E219" i="44" s="1"/>
  <c r="AX215" i="44"/>
  <c r="BB215" i="44" s="1"/>
  <c r="AR246" i="44"/>
  <c r="M217" i="44"/>
  <c r="M215" i="44"/>
  <c r="M216" i="44"/>
  <c r="M214" i="44"/>
  <c r="D218" i="44"/>
  <c r="D221" i="44"/>
  <c r="D219" i="44"/>
  <c r="D220" i="44"/>
  <c r="AJ221" i="44"/>
  <c r="AJ217" i="44"/>
  <c r="AJ222" i="44"/>
  <c r="AJ216" i="44"/>
  <c r="AJ218" i="44"/>
  <c r="AJ220" i="44"/>
  <c r="AJ215" i="44"/>
  <c r="AJ219" i="44"/>
  <c r="AX213" i="44" l="1"/>
  <c r="BB213" i="44" s="1"/>
  <c r="H270" i="44"/>
  <c r="AF270" i="44" s="1"/>
  <c r="H249" i="44"/>
  <c r="H250" i="44" s="1"/>
  <c r="AF250" i="44" s="1"/>
  <c r="H123" i="44"/>
  <c r="H127" i="44" s="1"/>
  <c r="D127" i="44"/>
  <c r="I219" i="44"/>
  <c r="AG219" i="44" s="1"/>
  <c r="H128" i="44"/>
  <c r="P137" i="44"/>
  <c r="I218" i="44"/>
  <c r="AG218" i="44" s="1"/>
  <c r="I221" i="44"/>
  <c r="I223" i="44" s="1"/>
  <c r="AG223" i="44" s="1"/>
  <c r="D133" i="44"/>
  <c r="D134" i="44"/>
  <c r="AN214" i="44"/>
  <c r="AX214" i="44" s="1"/>
  <c r="BB214" i="44" s="1"/>
  <c r="H247" i="44"/>
  <c r="AF247" i="44" s="1"/>
  <c r="I220" i="44"/>
  <c r="AG220" i="44" s="1"/>
  <c r="AC282" i="44"/>
  <c r="E283" i="44"/>
  <c r="E284" i="44" s="1"/>
  <c r="AJ211" i="44"/>
  <c r="AB211" i="44"/>
  <c r="E318" i="44"/>
  <c r="AC318" i="44" s="1"/>
  <c r="Y390" i="44"/>
  <c r="X390" i="44"/>
  <c r="U390" i="44"/>
  <c r="T390" i="44"/>
  <c r="L347" i="44"/>
  <c r="P347" i="44"/>
  <c r="P346" i="44"/>
  <c r="P345" i="44"/>
  <c r="H352" i="44"/>
  <c r="AF352" i="44" s="1"/>
  <c r="D352" i="44"/>
  <c r="AB352" i="44" s="1"/>
  <c r="L348" i="44"/>
  <c r="G352" i="44" s="1"/>
  <c r="H348" i="44"/>
  <c r="H350" i="44" s="1"/>
  <c r="L349" i="44"/>
  <c r="C352" i="44" s="1"/>
  <c r="L352" i="44"/>
  <c r="AJ352" i="44" s="1"/>
  <c r="H421" i="44"/>
  <c r="X418" i="44"/>
  <c r="AM424" i="44"/>
  <c r="AQ424" i="44"/>
  <c r="D457" i="44"/>
  <c r="D489" i="44"/>
  <c r="X455" i="44"/>
  <c r="D456" i="44"/>
  <c r="X453" i="44"/>
  <c r="D458" i="44"/>
  <c r="AN163" i="44"/>
  <c r="AN159" i="44"/>
  <c r="AN167" i="44"/>
  <c r="AN156" i="44"/>
  <c r="AN165" i="44"/>
  <c r="AN160" i="44"/>
  <c r="AN171" i="44"/>
  <c r="AN161" i="44"/>
  <c r="AN170" i="44"/>
  <c r="AN162" i="44"/>
  <c r="AN172" i="44"/>
  <c r="Q2559" i="44"/>
  <c r="AN158" i="44"/>
  <c r="AN168" i="44"/>
  <c r="AN164" i="44"/>
  <c r="AN169" i="44"/>
  <c r="AN166" i="44"/>
  <c r="AN157" i="44"/>
  <c r="Q2560" i="44"/>
  <c r="T422" i="44"/>
  <c r="O424" i="44"/>
  <c r="T421" i="44"/>
  <c r="H419" i="44"/>
  <c r="AA424" i="44"/>
  <c r="E248" i="44"/>
  <c r="AC247" i="44"/>
  <c r="H417" i="44"/>
  <c r="T417" i="44"/>
  <c r="W424" i="44"/>
  <c r="AI424" i="44"/>
  <c r="T418" i="44"/>
  <c r="O50" i="44"/>
  <c r="P49" i="44"/>
  <c r="Q49" i="44"/>
  <c r="D246" i="44"/>
  <c r="AN251" i="44"/>
  <c r="L273" i="44"/>
  <c r="H282" i="44" s="1"/>
  <c r="AF282" i="44" s="1"/>
  <c r="U358" i="44"/>
  <c r="U355" i="44"/>
  <c r="U356" i="44" s="1"/>
  <c r="U357" i="44" s="1"/>
  <c r="AC283" i="43"/>
  <c r="B282" i="43"/>
  <c r="F281" i="43"/>
  <c r="D383" i="44" s="1"/>
  <c r="D382" i="44"/>
  <c r="Q390" i="44"/>
  <c r="P390" i="44"/>
  <c r="Y355" i="44"/>
  <c r="Y356" i="44" s="1"/>
  <c r="Y357" i="44" s="1"/>
  <c r="Y358" i="44"/>
  <c r="T358" i="44"/>
  <c r="T355" i="44"/>
  <c r="T356" i="44" s="1"/>
  <c r="T357" i="44"/>
  <c r="Q355" i="44"/>
  <c r="Q356" i="44" s="1"/>
  <c r="Q357" i="44" s="1"/>
  <c r="Q358" i="44"/>
  <c r="X358" i="44"/>
  <c r="X357" i="44"/>
  <c r="X355" i="44"/>
  <c r="X356" i="44" s="1"/>
  <c r="T419" i="44"/>
  <c r="T420" i="44"/>
  <c r="H418" i="44"/>
  <c r="AE424" i="44"/>
  <c r="S424" i="44"/>
  <c r="E47" i="44"/>
  <c r="E45" i="44"/>
  <c r="E46" i="44"/>
  <c r="E48" i="44"/>
  <c r="E56" i="44"/>
  <c r="E62" i="44"/>
  <c r="E60" i="44"/>
  <c r="E58" i="44"/>
  <c r="E27" i="44"/>
  <c r="E40" i="44"/>
  <c r="E30" i="44"/>
  <c r="E36" i="44"/>
  <c r="E51" i="44"/>
  <c r="E52" i="44"/>
  <c r="E33" i="44"/>
  <c r="E57" i="44"/>
  <c r="D128" i="43"/>
  <c r="E41" i="44"/>
  <c r="E32" i="44"/>
  <c r="E39" i="44"/>
  <c r="E35" i="44"/>
  <c r="E61" i="44"/>
  <c r="E34" i="44"/>
  <c r="E37" i="44"/>
  <c r="E55" i="44"/>
  <c r="E29" i="44"/>
  <c r="E44" i="44"/>
  <c r="E49" i="44"/>
  <c r="E63" i="44"/>
  <c r="E54" i="44"/>
  <c r="E38" i="44"/>
  <c r="E64" i="44"/>
  <c r="E50" i="44"/>
  <c r="E59" i="44"/>
  <c r="E31" i="44"/>
  <c r="E42" i="44"/>
  <c r="E53" i="44"/>
  <c r="E43" i="44"/>
  <c r="E28" i="44"/>
  <c r="J41" i="44"/>
  <c r="J39" i="44"/>
  <c r="D138" i="44"/>
  <c r="J40" i="44"/>
  <c r="J30" i="44"/>
  <c r="L30" i="44" s="1"/>
  <c r="F5" i="44"/>
  <c r="J31" i="44"/>
  <c r="L31" i="44" s="1"/>
  <c r="H138" i="44"/>
  <c r="H147" i="44" s="1"/>
  <c r="J38" i="44"/>
  <c r="J33" i="44"/>
  <c r="J28" i="44"/>
  <c r="L28" i="44" s="1"/>
  <c r="J29" i="44"/>
  <c r="J32" i="44"/>
  <c r="L32" i="44" s="1"/>
  <c r="D132" i="43"/>
  <c r="AO309" i="44"/>
  <c r="P357" i="44"/>
  <c r="P358" i="44"/>
  <c r="P355" i="44"/>
  <c r="P356" i="44" s="1"/>
  <c r="P313" i="44"/>
  <c r="K316" i="44"/>
  <c r="L246" i="44"/>
  <c r="AF221" i="44"/>
  <c r="H225" i="44"/>
  <c r="H222" i="44"/>
  <c r="AF222" i="44" s="1"/>
  <c r="H223" i="44"/>
  <c r="AF223" i="44" s="1"/>
  <c r="H224" i="44"/>
  <c r="AF224" i="44" s="1"/>
  <c r="L221" i="44"/>
  <c r="L218" i="44"/>
  <c r="AN248" i="44"/>
  <c r="AR247" i="44"/>
  <c r="AX216" i="44"/>
  <c r="BB216" i="44" s="1"/>
  <c r="M221" i="44"/>
  <c r="M220" i="44"/>
  <c r="M219" i="44"/>
  <c r="M218" i="44"/>
  <c r="I224" i="44" l="1"/>
  <c r="AG224" i="44" s="1"/>
  <c r="AF249" i="44"/>
  <c r="H251" i="44"/>
  <c r="AF251" i="44" s="1"/>
  <c r="H253" i="44"/>
  <c r="AF253" i="44" s="1"/>
  <c r="H252" i="44"/>
  <c r="AF252" i="44" s="1"/>
  <c r="I222" i="44"/>
  <c r="AG222" i="44" s="1"/>
  <c r="AR214" i="44"/>
  <c r="AG221" i="44"/>
  <c r="H306" i="44"/>
  <c r="AF306" i="44" s="1"/>
  <c r="AJ153" i="44"/>
  <c r="AR153" i="44"/>
  <c r="T153" i="44"/>
  <c r="AB153" i="44"/>
  <c r="H153" i="44"/>
  <c r="X153" i="44"/>
  <c r="AF153" i="44"/>
  <c r="P153" i="44"/>
  <c r="H283" i="44"/>
  <c r="AF283" i="44" s="1"/>
  <c r="H285" i="44"/>
  <c r="H286" i="44" s="1"/>
  <c r="AF286" i="44" s="1"/>
  <c r="H248" i="44"/>
  <c r="AF248" i="44" s="1"/>
  <c r="AN153" i="44"/>
  <c r="AO175" i="44" s="1"/>
  <c r="I225" i="44"/>
  <c r="I226" i="44" s="1"/>
  <c r="AG226" i="44" s="1"/>
  <c r="L153" i="44"/>
  <c r="L33" i="44"/>
  <c r="K29" i="44"/>
  <c r="K32" i="44" s="1"/>
  <c r="L29" i="44"/>
  <c r="AC283" i="44"/>
  <c r="E319" i="44"/>
  <c r="E320" i="44" s="1"/>
  <c r="E330" i="44"/>
  <c r="AC330" i="44" s="1"/>
  <c r="AO345" i="44"/>
  <c r="E249" i="44"/>
  <c r="AC248" i="44"/>
  <c r="Q426" i="44"/>
  <c r="P426" i="44"/>
  <c r="AC284" i="43"/>
  <c r="B283" i="43"/>
  <c r="K352" i="44"/>
  <c r="P349" i="44"/>
  <c r="AN282" i="44"/>
  <c r="AR251" i="44"/>
  <c r="F282" i="43"/>
  <c r="D419" i="44" s="1"/>
  <c r="D418" i="44"/>
  <c r="U391" i="44"/>
  <c r="U392" i="44" s="1"/>
  <c r="U393" i="44" s="1"/>
  <c r="U394" i="44"/>
  <c r="L247" i="44"/>
  <c r="L249" i="44"/>
  <c r="L258" i="44"/>
  <c r="AJ258" i="44" s="1"/>
  <c r="AJ246" i="44"/>
  <c r="D525" i="44"/>
  <c r="X489" i="44"/>
  <c r="X491" i="44"/>
  <c r="D494" i="44"/>
  <c r="D492" i="44"/>
  <c r="D493" i="44"/>
  <c r="P393" i="44"/>
  <c r="P391" i="44"/>
  <c r="P392" i="44" s="1"/>
  <c r="P394" i="44"/>
  <c r="D143" i="44"/>
  <c r="L138" i="44"/>
  <c r="S460" i="44"/>
  <c r="AE460" i="44"/>
  <c r="T455" i="44"/>
  <c r="H454" i="44"/>
  <c r="T456" i="44"/>
  <c r="T391" i="44"/>
  <c r="T392" i="44" s="1"/>
  <c r="T394" i="44"/>
  <c r="T393" i="44"/>
  <c r="T426" i="44"/>
  <c r="U426" i="44"/>
  <c r="AC284" i="44"/>
  <c r="E285" i="44"/>
  <c r="L309" i="44"/>
  <c r="H318" i="44" s="1"/>
  <c r="H342" i="44" s="1"/>
  <c r="AF342" i="44" s="1"/>
  <c r="L282" i="44"/>
  <c r="AN287" i="44"/>
  <c r="D282" i="44"/>
  <c r="E354" i="44"/>
  <c r="P381" i="44"/>
  <c r="H384" i="44"/>
  <c r="H386" i="44" s="1"/>
  <c r="L383" i="44"/>
  <c r="L385" i="44"/>
  <c r="C388" i="44" s="1"/>
  <c r="P383" i="44"/>
  <c r="D388" i="44"/>
  <c r="AB388" i="44" s="1"/>
  <c r="P382" i="44"/>
  <c r="L388" i="44"/>
  <c r="AJ388" i="44" s="1"/>
  <c r="H388" i="44"/>
  <c r="AF388" i="44" s="1"/>
  <c r="L384" i="44"/>
  <c r="G388" i="44" s="1"/>
  <c r="O51" i="44"/>
  <c r="P50" i="44"/>
  <c r="Q50" i="44"/>
  <c r="AA460" i="44"/>
  <c r="H455" i="44"/>
  <c r="T457" i="44"/>
  <c r="T458" i="44"/>
  <c r="O460" i="44"/>
  <c r="AM460" i="44"/>
  <c r="AQ460" i="44"/>
  <c r="X454" i="44"/>
  <c r="H457" i="44"/>
  <c r="T454" i="44"/>
  <c r="H453" i="44"/>
  <c r="T453" i="44"/>
  <c r="AI460" i="44"/>
  <c r="W460" i="44"/>
  <c r="D134" i="43"/>
  <c r="D136" i="43" s="1"/>
  <c r="J138" i="43" s="1"/>
  <c r="Y426" i="44"/>
  <c r="X426" i="44"/>
  <c r="X391" i="44"/>
  <c r="X392" i="44" s="1"/>
  <c r="X393" i="44"/>
  <c r="X394" i="44"/>
  <c r="Q394" i="44"/>
  <c r="Q391" i="44"/>
  <c r="Q392" i="44" s="1"/>
  <c r="Q393" i="44" s="1"/>
  <c r="D250" i="44"/>
  <c r="AB250" i="44" s="1"/>
  <c r="D253" i="44"/>
  <c r="D251" i="44"/>
  <c r="D258" i="44"/>
  <c r="AB258" i="44" s="1"/>
  <c r="AB246" i="44"/>
  <c r="D247" i="44"/>
  <c r="D249" i="44"/>
  <c r="AB249" i="44" s="1"/>
  <c r="Y394" i="44"/>
  <c r="Y391" i="44"/>
  <c r="Y392" i="44" s="1"/>
  <c r="Y393" i="44" s="1"/>
  <c r="H227" i="44"/>
  <c r="AF227" i="44" s="1"/>
  <c r="H226" i="44"/>
  <c r="AF226" i="44" s="1"/>
  <c r="H228" i="44"/>
  <c r="AF228" i="44" s="1"/>
  <c r="AF225" i="44"/>
  <c r="H229" i="44"/>
  <c r="AR248" i="44"/>
  <c r="AN249" i="44"/>
  <c r="AX217" i="44"/>
  <c r="BB217" i="44" s="1"/>
  <c r="H257" i="44" l="1"/>
  <c r="H261" i="44" s="1"/>
  <c r="H256" i="44"/>
  <c r="AF256" i="44" s="1"/>
  <c r="H254" i="44"/>
  <c r="AF254" i="44" s="1"/>
  <c r="H255" i="44"/>
  <c r="AF255" i="44" s="1"/>
  <c r="AN174" i="44"/>
  <c r="AF318" i="44"/>
  <c r="H319" i="44"/>
  <c r="AF319" i="44" s="1"/>
  <c r="AN180" i="44"/>
  <c r="H321" i="44"/>
  <c r="AF321" i="44" s="1"/>
  <c r="AF285" i="44"/>
  <c r="AF178" i="44"/>
  <c r="AF179" i="44"/>
  <c r="AG174" i="44"/>
  <c r="AF174" i="44"/>
  <c r="AF180" i="44"/>
  <c r="AF173" i="44"/>
  <c r="AF175" i="44"/>
  <c r="AG173" i="44"/>
  <c r="AG175" i="44"/>
  <c r="H284" i="44"/>
  <c r="AF284" i="44" s="1"/>
  <c r="AN178" i="44"/>
  <c r="Y174" i="44"/>
  <c r="X178" i="44"/>
  <c r="X173" i="44"/>
  <c r="X180" i="44"/>
  <c r="Y173" i="44"/>
  <c r="X175" i="44"/>
  <c r="X179" i="44"/>
  <c r="Y175" i="44"/>
  <c r="X174" i="44"/>
  <c r="L175" i="44"/>
  <c r="M175" i="44"/>
  <c r="L180" i="44"/>
  <c r="L173" i="44"/>
  <c r="L179" i="44"/>
  <c r="M173" i="44"/>
  <c r="L174" i="44"/>
  <c r="M174" i="44"/>
  <c r="L178" i="44"/>
  <c r="I227" i="44"/>
  <c r="AG227" i="44" s="1"/>
  <c r="AO174" i="44"/>
  <c r="AB178" i="44"/>
  <c r="AC175" i="44"/>
  <c r="AB174" i="44"/>
  <c r="AB173" i="44"/>
  <c r="AB180" i="44"/>
  <c r="AC173" i="44"/>
  <c r="AB175" i="44"/>
  <c r="AB179" i="44"/>
  <c r="AC174" i="44"/>
  <c r="H287" i="44"/>
  <c r="AF287" i="44" s="1"/>
  <c r="U173" i="44"/>
  <c r="T174" i="44"/>
  <c r="T178" i="44"/>
  <c r="U175" i="44"/>
  <c r="T179" i="44"/>
  <c r="T173" i="44"/>
  <c r="U174" i="44"/>
  <c r="T180" i="44"/>
  <c r="T175" i="44"/>
  <c r="H288" i="44"/>
  <c r="AF288" i="44" s="1"/>
  <c r="AO173" i="44"/>
  <c r="AG225" i="44"/>
  <c r="AS173" i="44"/>
  <c r="AR173" i="44"/>
  <c r="AS175" i="44"/>
  <c r="AR174" i="44"/>
  <c r="AS174" i="44"/>
  <c r="AR175" i="44"/>
  <c r="AR178" i="44"/>
  <c r="AR180" i="44"/>
  <c r="AR179" i="44"/>
  <c r="H173" i="44"/>
  <c r="H174" i="44"/>
  <c r="H180" i="44"/>
  <c r="H178" i="44"/>
  <c r="I173" i="44"/>
  <c r="I175" i="44"/>
  <c r="H179" i="44"/>
  <c r="I174" i="44"/>
  <c r="H175" i="44"/>
  <c r="I229" i="44"/>
  <c r="I232" i="44" s="1"/>
  <c r="AG232" i="44" s="1"/>
  <c r="AN173" i="44"/>
  <c r="H289" i="44"/>
  <c r="AF289" i="44" s="1"/>
  <c r="AN175" i="44"/>
  <c r="AK174" i="44"/>
  <c r="AK173" i="44"/>
  <c r="AJ175" i="44"/>
  <c r="AJ179" i="44"/>
  <c r="AJ173" i="44"/>
  <c r="AJ174" i="44"/>
  <c r="AJ180" i="44"/>
  <c r="AK175" i="44"/>
  <c r="AJ178" i="44"/>
  <c r="Q175" i="44"/>
  <c r="Q174" i="44"/>
  <c r="P173" i="44"/>
  <c r="P178" i="44"/>
  <c r="Q173" i="44"/>
  <c r="P174" i="44"/>
  <c r="P175" i="44"/>
  <c r="P179" i="44"/>
  <c r="P180" i="44"/>
  <c r="AN179" i="44"/>
  <c r="I228" i="44"/>
  <c r="AG228" i="44" s="1"/>
  <c r="AC319" i="44"/>
  <c r="X429" i="44"/>
  <c r="X427" i="44"/>
  <c r="X428" i="44" s="1"/>
  <c r="X430" i="44"/>
  <c r="D528" i="44"/>
  <c r="X527" i="44"/>
  <c r="X525" i="44"/>
  <c r="D529" i="44"/>
  <c r="D561" i="44"/>
  <c r="D530" i="44"/>
  <c r="F283" i="43"/>
  <c r="D455" i="44" s="1"/>
  <c r="D454" i="44"/>
  <c r="L283" i="44"/>
  <c r="L285" i="44"/>
  <c r="AJ282" i="44"/>
  <c r="L294" i="44"/>
  <c r="AJ294" i="44" s="1"/>
  <c r="AN323" i="44"/>
  <c r="D318" i="44"/>
  <c r="L345" i="44"/>
  <c r="H354" i="44" s="1"/>
  <c r="H378" i="44" s="1"/>
  <c r="AF378" i="44" s="1"/>
  <c r="P462" i="44"/>
  <c r="Q462" i="44"/>
  <c r="E390" i="44"/>
  <c r="AN283" i="44"/>
  <c r="AX220" i="44"/>
  <c r="BB220" i="44" s="1"/>
  <c r="AR282" i="44"/>
  <c r="Y430" i="44"/>
  <c r="Y427" i="44"/>
  <c r="Y428" i="44" s="1"/>
  <c r="Y429" i="44" s="1"/>
  <c r="L318" i="44"/>
  <c r="F61" i="44"/>
  <c r="F62" i="44"/>
  <c r="F32" i="44"/>
  <c r="F44" i="44"/>
  <c r="F34" i="44"/>
  <c r="F37" i="44"/>
  <c r="F29" i="44"/>
  <c r="F54" i="44"/>
  <c r="F33" i="44"/>
  <c r="F63" i="44"/>
  <c r="F41" i="44"/>
  <c r="F59" i="44"/>
  <c r="D142" i="43"/>
  <c r="F58" i="44"/>
  <c r="F31" i="44"/>
  <c r="F56" i="44"/>
  <c r="F51" i="44"/>
  <c r="F38" i="44"/>
  <c r="F53" i="44"/>
  <c r="F50" i="44"/>
  <c r="F60" i="44"/>
  <c r="E2543" i="44"/>
  <c r="E2544" i="44" s="1"/>
  <c r="E2549" i="44" s="1"/>
  <c r="E2550" i="44" s="1"/>
  <c r="F39" i="44"/>
  <c r="F30" i="44"/>
  <c r="F45" i="44"/>
  <c r="F36" i="44"/>
  <c r="F40" i="44"/>
  <c r="F47" i="44"/>
  <c r="F55" i="44"/>
  <c r="F57" i="44"/>
  <c r="F42" i="44"/>
  <c r="F46" i="44"/>
  <c r="F52" i="44"/>
  <c r="F48" i="44"/>
  <c r="F28" i="44"/>
  <c r="F27" i="44"/>
  <c r="F64" i="44"/>
  <c r="F35" i="44"/>
  <c r="F43" i="44"/>
  <c r="F49" i="44"/>
  <c r="G43" i="44"/>
  <c r="G37" i="44"/>
  <c r="G30" i="44"/>
  <c r="G48" i="44"/>
  <c r="G49" i="44"/>
  <c r="G31" i="44"/>
  <c r="G53" i="44"/>
  <c r="G50" i="44"/>
  <c r="G54" i="44"/>
  <c r="G60" i="44"/>
  <c r="G62" i="44"/>
  <c r="G56" i="44"/>
  <c r="G58" i="44"/>
  <c r="G51" i="44"/>
  <c r="G52" i="44"/>
  <c r="G64" i="44"/>
  <c r="G35" i="44"/>
  <c r="G46" i="44"/>
  <c r="G27" i="44"/>
  <c r="G63" i="44"/>
  <c r="G57" i="44"/>
  <c r="G28" i="44"/>
  <c r="G40" i="44"/>
  <c r="G47" i="44"/>
  <c r="G55" i="44"/>
  <c r="G44" i="44"/>
  <c r="G39" i="44"/>
  <c r="G38" i="44"/>
  <c r="D140" i="43"/>
  <c r="G45" i="44"/>
  <c r="G36" i="44"/>
  <c r="G29" i="44"/>
  <c r="G33" i="44"/>
  <c r="G59" i="44"/>
  <c r="G42" i="44"/>
  <c r="G41" i="44"/>
  <c r="G32" i="44"/>
  <c r="G34" i="44"/>
  <c r="G61" i="44"/>
  <c r="K388" i="44"/>
  <c r="P385" i="44"/>
  <c r="U462" i="44"/>
  <c r="T462" i="44"/>
  <c r="L424" i="44"/>
  <c r="AJ424" i="44" s="1"/>
  <c r="H424" i="44"/>
  <c r="AF424" i="44" s="1"/>
  <c r="P417" i="44"/>
  <c r="L419" i="44"/>
  <c r="P419" i="44"/>
  <c r="P418" i="44"/>
  <c r="D424" i="44"/>
  <c r="AB424" i="44" s="1"/>
  <c r="H420" i="44"/>
  <c r="H422" i="44" s="1"/>
  <c r="L420" i="44"/>
  <c r="G424" i="44" s="1"/>
  <c r="L421" i="44"/>
  <c r="C424" i="44" s="1"/>
  <c r="K368" i="43"/>
  <c r="K364" i="43"/>
  <c r="K370" i="43"/>
  <c r="E2546" i="44"/>
  <c r="E2547" i="44" s="1"/>
  <c r="AO381" i="44"/>
  <c r="L251" i="44"/>
  <c r="AJ249" i="44"/>
  <c r="L250" i="44"/>
  <c r="AJ250" i="44" s="1"/>
  <c r="L253" i="44"/>
  <c r="L255" i="44"/>
  <c r="D287" i="44"/>
  <c r="D289" i="44"/>
  <c r="D286" i="44"/>
  <c r="AB286" i="44" s="1"/>
  <c r="AB282" i="44"/>
  <c r="D283" i="44"/>
  <c r="D294" i="44"/>
  <c r="AB294" i="44" s="1"/>
  <c r="D285" i="44"/>
  <c r="AB285" i="44" s="1"/>
  <c r="D248" i="44"/>
  <c r="AB248" i="44" s="1"/>
  <c r="AB247" i="44"/>
  <c r="L144" i="44"/>
  <c r="L143" i="44"/>
  <c r="L146" i="44"/>
  <c r="L145" i="44"/>
  <c r="L147" i="44"/>
  <c r="AJ247" i="44"/>
  <c r="L248" i="44"/>
  <c r="AJ248" i="44" s="1"/>
  <c r="P430" i="44"/>
  <c r="P427" i="44"/>
  <c r="P428" i="44" s="1"/>
  <c r="P429" i="44"/>
  <c r="E355" i="44"/>
  <c r="E366" i="44"/>
  <c r="AC366" i="44" s="1"/>
  <c r="AC354" i="44"/>
  <c r="E286" i="44"/>
  <c r="AC285" i="44"/>
  <c r="Q430" i="44"/>
  <c r="Q427" i="44"/>
  <c r="Q428" i="44" s="1"/>
  <c r="Q429" i="44" s="1"/>
  <c r="T490" i="44"/>
  <c r="T489" i="44"/>
  <c r="W496" i="44"/>
  <c r="H489" i="44"/>
  <c r="AI496" i="44"/>
  <c r="T430" i="44"/>
  <c r="T427" i="44"/>
  <c r="T428" i="44" s="1"/>
  <c r="T429" i="44"/>
  <c r="AM496" i="44"/>
  <c r="AQ496" i="44"/>
  <c r="X490" i="44"/>
  <c r="H493" i="44"/>
  <c r="U427" i="44"/>
  <c r="U428" i="44" s="1"/>
  <c r="U429" i="44" s="1"/>
  <c r="U430" i="44"/>
  <c r="T493" i="44"/>
  <c r="H491" i="44"/>
  <c r="AA496" i="44"/>
  <c r="T494" i="44"/>
  <c r="O496" i="44"/>
  <c r="D252" i="44"/>
  <c r="AB252" i="44" s="1"/>
  <c r="AB251" i="44"/>
  <c r="X462" i="44"/>
  <c r="Y462" i="44"/>
  <c r="E321" i="44"/>
  <c r="AC320" i="44"/>
  <c r="E250" i="44"/>
  <c r="AC249" i="44"/>
  <c r="AC285" i="43"/>
  <c r="B284" i="43"/>
  <c r="AN318" i="44"/>
  <c r="AR287" i="44"/>
  <c r="D256" i="44"/>
  <c r="AB256" i="44" s="1"/>
  <c r="D255" i="44"/>
  <c r="AB255" i="44" s="1"/>
  <c r="D257" i="44"/>
  <c r="AB257" i="44" s="1"/>
  <c r="AB253" i="44"/>
  <c r="D254" i="44"/>
  <c r="AB254" i="44" s="1"/>
  <c r="O52" i="44"/>
  <c r="P51" i="44"/>
  <c r="Q51" i="44"/>
  <c r="AE496" i="44"/>
  <c r="S496" i="44"/>
  <c r="H490" i="44"/>
  <c r="T492" i="44"/>
  <c r="T491" i="44"/>
  <c r="H233" i="44"/>
  <c r="AF233" i="44" s="1"/>
  <c r="H230" i="44"/>
  <c r="AF230" i="44" s="1"/>
  <c r="H232" i="44"/>
  <c r="AF232" i="44" s="1"/>
  <c r="H231" i="44"/>
  <c r="AF231" i="44" s="1"/>
  <c r="AF229" i="44"/>
  <c r="AR249" i="44"/>
  <c r="AN250" i="44"/>
  <c r="AX218" i="44"/>
  <c r="BB218" i="44" s="1"/>
  <c r="H259" i="44" l="1"/>
  <c r="AF259" i="44" s="1"/>
  <c r="AF257" i="44"/>
  <c r="H320" i="44"/>
  <c r="AF320" i="44" s="1"/>
  <c r="H324" i="44"/>
  <c r="AF324" i="44" s="1"/>
  <c r="H325" i="44"/>
  <c r="H329" i="44" s="1"/>
  <c r="H323" i="44"/>
  <c r="AF323" i="44" s="1"/>
  <c r="H258" i="44"/>
  <c r="AF258" i="44" s="1"/>
  <c r="H260" i="44"/>
  <c r="AF260" i="44" s="1"/>
  <c r="H322" i="44"/>
  <c r="AF322" i="44" s="1"/>
  <c r="H290" i="44"/>
  <c r="AF290" i="44" s="1"/>
  <c r="H292" i="44"/>
  <c r="AF292" i="44" s="1"/>
  <c r="D184" i="44"/>
  <c r="D185" i="44"/>
  <c r="L185" i="44"/>
  <c r="L184" i="44"/>
  <c r="H291" i="44"/>
  <c r="AF291" i="44" s="1"/>
  <c r="H357" i="44"/>
  <c r="H361" i="44" s="1"/>
  <c r="I230" i="44"/>
  <c r="AG230" i="44" s="1"/>
  <c r="AF354" i="44"/>
  <c r="I231" i="44"/>
  <c r="AG231" i="44" s="1"/>
  <c r="H293" i="44"/>
  <c r="H295" i="44" s="1"/>
  <c r="AF295" i="44" s="1"/>
  <c r="H355" i="44"/>
  <c r="AF355" i="44" s="1"/>
  <c r="I233" i="44"/>
  <c r="AG233" i="44" s="1"/>
  <c r="AG229" i="44"/>
  <c r="K433" i="43"/>
  <c r="AC390" i="44"/>
  <c r="E391" i="44"/>
  <c r="E402" i="44"/>
  <c r="AC402" i="44" s="1"/>
  <c r="E356" i="44"/>
  <c r="AC355" i="44"/>
  <c r="K424" i="44"/>
  <c r="P421" i="44"/>
  <c r="P465" i="44"/>
  <c r="P466" i="44"/>
  <c r="P463" i="44"/>
  <c r="P464" i="44" s="1"/>
  <c r="H527" i="44"/>
  <c r="O532" i="44"/>
  <c r="T530" i="44"/>
  <c r="AA532" i="44"/>
  <c r="T529" i="44"/>
  <c r="AX221" i="44"/>
  <c r="BB221" i="44" s="1"/>
  <c r="AN284" i="44"/>
  <c r="AR283" i="44"/>
  <c r="D565" i="44"/>
  <c r="D566" i="44"/>
  <c r="D564" i="44"/>
  <c r="X563" i="44"/>
  <c r="X561" i="44"/>
  <c r="D597" i="44"/>
  <c r="AJ251" i="44"/>
  <c r="L252" i="44"/>
  <c r="AJ252" i="44" s="1"/>
  <c r="U463" i="44"/>
  <c r="U464" i="44" s="1"/>
  <c r="U465" i="44" s="1"/>
  <c r="U466" i="44"/>
  <c r="F284" i="43"/>
  <c r="D491" i="44" s="1"/>
  <c r="D490" i="44"/>
  <c r="D284" i="44"/>
  <c r="AB284" i="44" s="1"/>
  <c r="AB283" i="44"/>
  <c r="AN359" i="44"/>
  <c r="D354" i="44"/>
  <c r="L354" i="44"/>
  <c r="L381" i="44"/>
  <c r="H390" i="44" s="1"/>
  <c r="H393" i="44" s="1"/>
  <c r="T525" i="44"/>
  <c r="AI532" i="44"/>
  <c r="T526" i="44"/>
  <c r="H525" i="44"/>
  <c r="W532" i="44"/>
  <c r="P2543" i="44"/>
  <c r="P2553" i="44"/>
  <c r="L2544" i="44"/>
  <c r="H2546" i="44"/>
  <c r="P2545" i="44"/>
  <c r="H2550" i="44"/>
  <c r="P2555" i="44"/>
  <c r="K431" i="43"/>
  <c r="H2543" i="44"/>
  <c r="L2552" i="44"/>
  <c r="H2544" i="44"/>
  <c r="L2545" i="44"/>
  <c r="P2561" i="44"/>
  <c r="H2549" i="44"/>
  <c r="L2551" i="44"/>
  <c r="L2548" i="44"/>
  <c r="H2552" i="44"/>
  <c r="AF2540" i="44"/>
  <c r="P2557" i="44"/>
  <c r="P2551" i="44"/>
  <c r="P2549" i="44"/>
  <c r="H2547" i="44"/>
  <c r="H2553" i="44"/>
  <c r="I2553" i="44" s="1"/>
  <c r="P2559" i="44"/>
  <c r="H2545" i="44"/>
  <c r="L2547" i="44"/>
  <c r="L2546" i="44"/>
  <c r="L2549" i="44"/>
  <c r="H2548" i="44"/>
  <c r="L2553" i="44"/>
  <c r="L2550" i="44"/>
  <c r="H2551" i="44"/>
  <c r="L2543" i="44"/>
  <c r="P2547" i="44"/>
  <c r="AC2543" i="44"/>
  <c r="AC2548" i="44" s="1"/>
  <c r="T465" i="44"/>
  <c r="T466" i="44"/>
  <c r="T463" i="44"/>
  <c r="T464" i="44" s="1"/>
  <c r="T498" i="44"/>
  <c r="U498" i="44"/>
  <c r="AC286" i="43"/>
  <c r="B285" i="43"/>
  <c r="X498" i="44"/>
  <c r="Y498" i="44"/>
  <c r="D319" i="44"/>
  <c r="D321" i="44"/>
  <c r="AB321" i="44" s="1"/>
  <c r="D330" i="44"/>
  <c r="AB330" i="44" s="1"/>
  <c r="AB318" i="44"/>
  <c r="D325" i="44"/>
  <c r="D323" i="44"/>
  <c r="D322" i="44"/>
  <c r="AB322" i="44" s="1"/>
  <c r="AF261" i="44"/>
  <c r="H265" i="44"/>
  <c r="H264" i="44"/>
  <c r="AF264" i="44" s="1"/>
  <c r="H262" i="44"/>
  <c r="AF262" i="44" s="1"/>
  <c r="H263" i="44"/>
  <c r="AF263" i="44" s="1"/>
  <c r="P498" i="44"/>
  <c r="Q498" i="44"/>
  <c r="AR323" i="44"/>
  <c r="AN354" i="44"/>
  <c r="Q463" i="44"/>
  <c r="Q464" i="44" s="1"/>
  <c r="Q465" i="44" s="1"/>
  <c r="Q466" i="44"/>
  <c r="E251" i="44"/>
  <c r="AC251" i="44" s="1"/>
  <c r="E252" i="44"/>
  <c r="AC250" i="44"/>
  <c r="D293" i="44"/>
  <c r="AB293" i="44" s="1"/>
  <c r="D291" i="44"/>
  <c r="AB291" i="44" s="1"/>
  <c r="D292" i="44"/>
  <c r="AB292" i="44" s="1"/>
  <c r="D290" i="44"/>
  <c r="AB290" i="44" s="1"/>
  <c r="AB289" i="44"/>
  <c r="D288" i="44"/>
  <c r="AB288" i="44" s="1"/>
  <c r="AB287" i="44"/>
  <c r="E426" i="44"/>
  <c r="AE532" i="44"/>
  <c r="S532" i="44"/>
  <c r="T528" i="44"/>
  <c r="T527" i="44"/>
  <c r="H526" i="44"/>
  <c r="X526" i="44"/>
  <c r="AM532" i="44"/>
  <c r="AQ532" i="44"/>
  <c r="H529" i="44"/>
  <c r="AR318" i="44"/>
  <c r="AX225" i="44"/>
  <c r="BB225" i="44" s="1"/>
  <c r="AN319" i="44"/>
  <c r="AC321" i="44"/>
  <c r="E322" i="44"/>
  <c r="AJ255" i="44"/>
  <c r="L256" i="44"/>
  <c r="AJ256" i="44" s="1"/>
  <c r="L286" i="44"/>
  <c r="AJ286" i="44" s="1"/>
  <c r="L291" i="44"/>
  <c r="L289" i="44"/>
  <c r="L287" i="44"/>
  <c r="AJ285" i="44"/>
  <c r="Y466" i="44"/>
  <c r="Y463" i="44"/>
  <c r="Y464" i="44" s="1"/>
  <c r="Y465" i="44" s="1"/>
  <c r="AJ253" i="44"/>
  <c r="L257" i="44"/>
  <c r="AJ257" i="44" s="1"/>
  <c r="L254" i="44"/>
  <c r="AJ254" i="44" s="1"/>
  <c r="AO417" i="44"/>
  <c r="L323" i="44"/>
  <c r="L321" i="44"/>
  <c r="L325" i="44"/>
  <c r="L319" i="44"/>
  <c r="L330" i="44"/>
  <c r="AJ330" i="44" s="1"/>
  <c r="AJ318" i="44"/>
  <c r="L322" i="44"/>
  <c r="AJ322" i="44" s="1"/>
  <c r="L284" i="44"/>
  <c r="AJ284" i="44" s="1"/>
  <c r="AJ283" i="44"/>
  <c r="D460" i="44"/>
  <c r="AB460" i="44" s="1"/>
  <c r="P455" i="44"/>
  <c r="L460" i="44"/>
  <c r="AJ460" i="44" s="1"/>
  <c r="L457" i="44"/>
  <c r="C460" i="44" s="1"/>
  <c r="P454" i="44"/>
  <c r="L455" i="44"/>
  <c r="H456" i="44"/>
  <c r="H458" i="44" s="1"/>
  <c r="H460" i="44"/>
  <c r="AF460" i="44" s="1"/>
  <c r="P453" i="44"/>
  <c r="L456" i="44"/>
  <c r="G460" i="44" s="1"/>
  <c r="O53" i="44"/>
  <c r="P52" i="44"/>
  <c r="Q52" i="44"/>
  <c r="X466" i="44"/>
  <c r="X465" i="44"/>
  <c r="X463" i="44"/>
  <c r="X464" i="44" s="1"/>
  <c r="AC286" i="44"/>
  <c r="E288" i="44"/>
  <c r="E287" i="44"/>
  <c r="AC287" i="44" s="1"/>
  <c r="AR250" i="44"/>
  <c r="AX219" i="44"/>
  <c r="BB219" i="44" s="1"/>
  <c r="AF325" i="44" l="1"/>
  <c r="H328" i="44"/>
  <c r="AF328" i="44" s="1"/>
  <c r="H327" i="44"/>
  <c r="AF327" i="44" s="1"/>
  <c r="H326" i="44"/>
  <c r="AF326" i="44" s="1"/>
  <c r="H296" i="44"/>
  <c r="AF296" i="44" s="1"/>
  <c r="AF293" i="44"/>
  <c r="H391" i="44"/>
  <c r="H392" i="44" s="1"/>
  <c r="AF392" i="44" s="1"/>
  <c r="H294" i="44"/>
  <c r="AF294" i="44" s="1"/>
  <c r="H297" i="44"/>
  <c r="H300" i="44" s="1"/>
  <c r="AF300" i="44" s="1"/>
  <c r="AF357" i="44"/>
  <c r="AF390" i="44"/>
  <c r="H414" i="44"/>
  <c r="AF414" i="44" s="1"/>
  <c r="H360" i="44"/>
  <c r="AF360" i="44" s="1"/>
  <c r="H356" i="44"/>
  <c r="AF356" i="44" s="1"/>
  <c r="H359" i="44"/>
  <c r="AF359" i="44" s="1"/>
  <c r="H358" i="44"/>
  <c r="AF358" i="44" s="1"/>
  <c r="E462" i="44"/>
  <c r="E474" i="44" s="1"/>
  <c r="AC474" i="44" s="1"/>
  <c r="U499" i="44"/>
  <c r="U500" i="44" s="1"/>
  <c r="U501" i="44" s="1"/>
  <c r="U502" i="44"/>
  <c r="E438" i="44"/>
  <c r="AC438" i="44" s="1"/>
  <c r="E427" i="44"/>
  <c r="AC426" i="44"/>
  <c r="X499" i="44"/>
  <c r="X500" i="44" s="1"/>
  <c r="X501" i="44"/>
  <c r="X502" i="44"/>
  <c r="L2563" i="44"/>
  <c r="M2563" i="44" s="1"/>
  <c r="M2543" i="44"/>
  <c r="H2554" i="44"/>
  <c r="I2554" i="44" s="1"/>
  <c r="I2552" i="44"/>
  <c r="AF329" i="44"/>
  <c r="H330" i="44"/>
  <c r="AF330" i="44" s="1"/>
  <c r="H332" i="44"/>
  <c r="AF332" i="44" s="1"/>
  <c r="H333" i="44"/>
  <c r="H331" i="44"/>
  <c r="AF331" i="44" s="1"/>
  <c r="P534" i="44"/>
  <c r="Q534" i="44"/>
  <c r="AJ287" i="44"/>
  <c r="L288" i="44"/>
  <c r="AJ288" i="44" s="1"/>
  <c r="E323" i="44"/>
  <c r="AC323" i="44" s="1"/>
  <c r="AC322" i="44"/>
  <c r="E324" i="44"/>
  <c r="AF265" i="44"/>
  <c r="H268" i="44"/>
  <c r="AF268" i="44" s="1"/>
  <c r="H267" i="44"/>
  <c r="AF267" i="44" s="1"/>
  <c r="H269" i="44"/>
  <c r="AF269" i="44" s="1"/>
  <c r="H266" i="44"/>
  <c r="AF266" i="44" s="1"/>
  <c r="H2555" i="44"/>
  <c r="I2555" i="44" s="1"/>
  <c r="I2551" i="44"/>
  <c r="L2558" i="44"/>
  <c r="M2558" i="44" s="1"/>
  <c r="M2548" i="44"/>
  <c r="L290" i="44"/>
  <c r="AJ290" i="44" s="1"/>
  <c r="L293" i="44"/>
  <c r="AJ293" i="44" s="1"/>
  <c r="AJ289" i="44"/>
  <c r="L2556" i="44"/>
  <c r="M2556" i="44" s="1"/>
  <c r="M2550" i="44"/>
  <c r="L2555" i="44"/>
  <c r="M2555" i="44" s="1"/>
  <c r="M2551" i="44"/>
  <c r="O568" i="44"/>
  <c r="T565" i="44"/>
  <c r="T566" i="44"/>
  <c r="AA568" i="44"/>
  <c r="H563" i="44"/>
  <c r="AR284" i="44"/>
  <c r="AX222" i="44"/>
  <c r="BB222" i="44" s="1"/>
  <c r="AN285" i="44"/>
  <c r="AO453" i="44"/>
  <c r="L2559" i="44"/>
  <c r="M2559" i="44" s="1"/>
  <c r="M2547" i="44"/>
  <c r="L2554" i="44"/>
  <c r="M2554" i="44" s="1"/>
  <c r="M2552" i="44"/>
  <c r="E253" i="44"/>
  <c r="AC252" i="44"/>
  <c r="AR319" i="44"/>
  <c r="AN320" i="44"/>
  <c r="AX226" i="44"/>
  <c r="BB226" i="44" s="1"/>
  <c r="H2557" i="44"/>
  <c r="I2557" i="44" s="1"/>
  <c r="I2549" i="44"/>
  <c r="AJ321" i="44"/>
  <c r="L327" i="44"/>
  <c r="P457" i="44"/>
  <c r="K460" i="44"/>
  <c r="H2561" i="44"/>
  <c r="I2561" i="44" s="1"/>
  <c r="I2545" i="44"/>
  <c r="H2563" i="44"/>
  <c r="I2563" i="44" s="1"/>
  <c r="I2543" i="44"/>
  <c r="L2562" i="44"/>
  <c r="M2562" i="44" s="1"/>
  <c r="M2544" i="44"/>
  <c r="T502" i="44"/>
  <c r="T499" i="44"/>
  <c r="T500" i="44" s="1"/>
  <c r="T501" i="44"/>
  <c r="L292" i="44"/>
  <c r="AJ292" i="44" s="1"/>
  <c r="AJ291" i="44"/>
  <c r="L2557" i="44"/>
  <c r="M2557" i="44" s="1"/>
  <c r="M2549" i="44"/>
  <c r="D320" i="44"/>
  <c r="AB320" i="44" s="1"/>
  <c r="AB319" i="44"/>
  <c r="AF361" i="44"/>
  <c r="H363" i="44"/>
  <c r="AF363" i="44" s="1"/>
  <c r="H364" i="44"/>
  <c r="AF364" i="44" s="1"/>
  <c r="H365" i="44"/>
  <c r="H362" i="44"/>
  <c r="AF362" i="44" s="1"/>
  <c r="X597" i="44"/>
  <c r="D602" i="44"/>
  <c r="X599" i="44"/>
  <c r="D600" i="44"/>
  <c r="D601" i="44"/>
  <c r="D633" i="44"/>
  <c r="E357" i="44"/>
  <c r="AC356" i="44"/>
  <c r="AE568" i="44"/>
  <c r="T564" i="44"/>
  <c r="T563" i="44"/>
  <c r="H562" i="44"/>
  <c r="S568" i="44"/>
  <c r="D496" i="44"/>
  <c r="AB496" i="44" s="1"/>
  <c r="L493" i="44"/>
  <c r="C496" i="44" s="1"/>
  <c r="P489" i="44"/>
  <c r="P491" i="44"/>
  <c r="H496" i="44"/>
  <c r="AF496" i="44" s="1"/>
  <c r="P490" i="44"/>
  <c r="L491" i="44"/>
  <c r="L496" i="44"/>
  <c r="AJ496" i="44" s="1"/>
  <c r="H492" i="44"/>
  <c r="H494" i="44" s="1"/>
  <c r="L492" i="44"/>
  <c r="G496" i="44" s="1"/>
  <c r="L2561" i="44"/>
  <c r="M2561" i="44" s="1"/>
  <c r="M2545" i="44"/>
  <c r="H2562" i="44"/>
  <c r="I2562" i="44" s="1"/>
  <c r="I2544" i="44"/>
  <c r="H2559" i="44"/>
  <c r="I2559" i="44" s="1"/>
  <c r="I2547" i="44"/>
  <c r="H2556" i="44"/>
  <c r="I2556" i="44" s="1"/>
  <c r="I2550" i="44"/>
  <c r="AN395" i="44"/>
  <c r="L417" i="44"/>
  <c r="H426" i="44" s="1"/>
  <c r="H429" i="44" s="1"/>
  <c r="D390" i="44"/>
  <c r="L390" i="44"/>
  <c r="X562" i="44"/>
  <c r="AM568" i="44"/>
  <c r="H565" i="44"/>
  <c r="AQ568" i="44"/>
  <c r="AR354" i="44"/>
  <c r="AN355" i="44"/>
  <c r="AX230" i="44"/>
  <c r="BB230" i="44" s="1"/>
  <c r="AN390" i="44"/>
  <c r="AR359" i="44"/>
  <c r="Y502" i="44"/>
  <c r="Y499" i="44"/>
  <c r="Y500" i="44" s="1"/>
  <c r="Y501" i="44" s="1"/>
  <c r="AJ319" i="44"/>
  <c r="L320" i="44"/>
  <c r="AJ320" i="44" s="1"/>
  <c r="AB323" i="44"/>
  <c r="D324" i="44"/>
  <c r="AB324" i="44" s="1"/>
  <c r="L2560" i="44"/>
  <c r="M2560" i="44" s="1"/>
  <c r="M2546" i="44"/>
  <c r="E289" i="44"/>
  <c r="AC288" i="44"/>
  <c r="Q499" i="44"/>
  <c r="Q500" i="44" s="1"/>
  <c r="Q501" i="44" s="1"/>
  <c r="Q502" i="44"/>
  <c r="F285" i="43"/>
  <c r="D527" i="44" s="1"/>
  <c r="D526" i="44"/>
  <c r="L358" i="44"/>
  <c r="AJ358" i="44" s="1"/>
  <c r="L366" i="44"/>
  <c r="AJ366" i="44" s="1"/>
  <c r="AJ354" i="44"/>
  <c r="L357" i="44"/>
  <c r="L355" i="44"/>
  <c r="L361" i="44"/>
  <c r="L359" i="44"/>
  <c r="AF393" i="44"/>
  <c r="H395" i="44"/>
  <c r="AF395" i="44" s="1"/>
  <c r="H397" i="44"/>
  <c r="H396" i="44"/>
  <c r="AF396" i="44" s="1"/>
  <c r="H394" i="44"/>
  <c r="AF394" i="44" s="1"/>
  <c r="E392" i="44"/>
  <c r="AC391" i="44"/>
  <c r="O54" i="44"/>
  <c r="P53" i="44"/>
  <c r="Q53" i="44"/>
  <c r="AJ325" i="44"/>
  <c r="L326" i="44"/>
  <c r="AJ326" i="44" s="1"/>
  <c r="L329" i="44"/>
  <c r="AJ329" i="44" s="1"/>
  <c r="H2558" i="44"/>
  <c r="I2558" i="44" s="1"/>
  <c r="I2548" i="44"/>
  <c r="AB325" i="44"/>
  <c r="D326" i="44"/>
  <c r="AB326" i="44" s="1"/>
  <c r="D327" i="44"/>
  <c r="AB327" i="44" s="1"/>
  <c r="D329" i="44"/>
  <c r="AB329" i="44" s="1"/>
  <c r="D328" i="44"/>
  <c r="AB328" i="44" s="1"/>
  <c r="L324" i="44"/>
  <c r="AJ324" i="44" s="1"/>
  <c r="AJ323" i="44"/>
  <c r="X534" i="44"/>
  <c r="Y534" i="44"/>
  <c r="T534" i="44"/>
  <c r="U534" i="44"/>
  <c r="P502" i="44"/>
  <c r="P499" i="44"/>
  <c r="P500" i="44" s="1"/>
  <c r="P501" i="44"/>
  <c r="AC287" i="43"/>
  <c r="B286" i="43"/>
  <c r="H2560" i="44"/>
  <c r="I2560" i="44" s="1"/>
  <c r="I2546" i="44"/>
  <c r="D361" i="44"/>
  <c r="D366" i="44"/>
  <c r="AB366" i="44" s="1"/>
  <c r="D355" i="44"/>
  <c r="D359" i="44"/>
  <c r="D357" i="44"/>
  <c r="AB357" i="44" s="1"/>
  <c r="AB354" i="44"/>
  <c r="D358" i="44"/>
  <c r="AB358" i="44" s="1"/>
  <c r="H561" i="44"/>
  <c r="T562" i="44"/>
  <c r="T561" i="44"/>
  <c r="W568" i="44"/>
  <c r="AI568" i="44"/>
  <c r="H299" i="44" l="1"/>
  <c r="AF299" i="44" s="1"/>
  <c r="H298" i="44"/>
  <c r="AF298" i="44" s="1"/>
  <c r="AF297" i="44"/>
  <c r="H301" i="44"/>
  <c r="H305" i="44" s="1"/>
  <c r="AF305" i="44" s="1"/>
  <c r="AF391" i="44"/>
  <c r="AF426" i="44"/>
  <c r="H427" i="44"/>
  <c r="H428" i="44" s="1"/>
  <c r="AF428" i="44" s="1"/>
  <c r="H450" i="44"/>
  <c r="AF450" i="44" s="1"/>
  <c r="AC462" i="44"/>
  <c r="E463" i="44"/>
  <c r="E464" i="44" s="1"/>
  <c r="K496" i="44"/>
  <c r="P493" i="44"/>
  <c r="AJ359" i="44"/>
  <c r="L360" i="44"/>
  <c r="AJ360" i="44" s="1"/>
  <c r="Q570" i="44"/>
  <c r="P570" i="44"/>
  <c r="X570" i="44"/>
  <c r="Y570" i="44"/>
  <c r="L363" i="44"/>
  <c r="AJ357" i="44"/>
  <c r="E498" i="44"/>
  <c r="AQ604" i="44"/>
  <c r="AM604" i="44"/>
  <c r="X598" i="44"/>
  <c r="H601" i="44"/>
  <c r="AN431" i="44"/>
  <c r="L426" i="44"/>
  <c r="L453" i="44"/>
  <c r="H462" i="44" s="1"/>
  <c r="H465" i="44" s="1"/>
  <c r="D426" i="44"/>
  <c r="AR395" i="44"/>
  <c r="AN426" i="44"/>
  <c r="O55" i="44"/>
  <c r="P54" i="44"/>
  <c r="Q54" i="44"/>
  <c r="E290" i="44"/>
  <c r="E292" i="44"/>
  <c r="AC289" i="44"/>
  <c r="T602" i="44"/>
  <c r="T601" i="44"/>
  <c r="H599" i="44"/>
  <c r="AA604" i="44"/>
  <c r="O604" i="44"/>
  <c r="AR320" i="44"/>
  <c r="AN321" i="44"/>
  <c r="AX227" i="44"/>
  <c r="BB227" i="44" s="1"/>
  <c r="F286" i="43"/>
  <c r="D563" i="44" s="1"/>
  <c r="D562" i="44"/>
  <c r="AN391" i="44"/>
  <c r="AX235" i="44"/>
  <c r="BB235" i="44" s="1"/>
  <c r="AR390" i="44"/>
  <c r="U538" i="44"/>
  <c r="U535" i="44"/>
  <c r="U536" i="44" s="1"/>
  <c r="U537" i="44" s="1"/>
  <c r="T535" i="44"/>
  <c r="T536" i="44" s="1"/>
  <c r="T537" i="44"/>
  <c r="T538" i="44"/>
  <c r="D360" i="44"/>
  <c r="AB360" i="44" s="1"/>
  <c r="AB359" i="44"/>
  <c r="E393" i="44"/>
  <c r="AC392" i="44"/>
  <c r="L528" i="44"/>
  <c r="G532" i="44" s="1"/>
  <c r="L532" i="44"/>
  <c r="AJ532" i="44" s="1"/>
  <c r="P526" i="44"/>
  <c r="P527" i="44"/>
  <c r="D532" i="44"/>
  <c r="AB532" i="44" s="1"/>
  <c r="H532" i="44"/>
  <c r="AF532" i="44" s="1"/>
  <c r="P525" i="44"/>
  <c r="H528" i="44"/>
  <c r="H530" i="44" s="1"/>
  <c r="L527" i="44"/>
  <c r="L529" i="44"/>
  <c r="C532" i="44" s="1"/>
  <c r="X537" i="44"/>
  <c r="X535" i="44"/>
  <c r="X536" i="44" s="1"/>
  <c r="X538" i="44"/>
  <c r="L365" i="44"/>
  <c r="AJ365" i="44" s="1"/>
  <c r="AJ361" i="44"/>
  <c r="L362" i="44"/>
  <c r="AJ362" i="44" s="1"/>
  <c r="AB355" i="44"/>
  <c r="D356" i="44"/>
  <c r="AB356" i="44" s="1"/>
  <c r="AE604" i="44"/>
  <c r="T600" i="44"/>
  <c r="S604" i="44"/>
  <c r="T599" i="44"/>
  <c r="H598" i="44"/>
  <c r="AN286" i="44"/>
  <c r="AX223" i="44"/>
  <c r="BB223" i="44" s="1"/>
  <c r="AR285" i="44"/>
  <c r="AJ355" i="44"/>
  <c r="L356" i="44"/>
  <c r="AJ356" i="44" s="1"/>
  <c r="U570" i="44"/>
  <c r="T570" i="44"/>
  <c r="AC324" i="44"/>
  <c r="E325" i="44"/>
  <c r="AF429" i="44"/>
  <c r="H430" i="44"/>
  <c r="AF430" i="44" s="1"/>
  <c r="H433" i="44"/>
  <c r="H432" i="44"/>
  <c r="AF432" i="44" s="1"/>
  <c r="H431" i="44"/>
  <c r="AF431" i="44" s="1"/>
  <c r="AC357" i="44"/>
  <c r="E358" i="44"/>
  <c r="E428" i="44"/>
  <c r="AC427" i="44"/>
  <c r="D669" i="44"/>
  <c r="D637" i="44"/>
  <c r="X633" i="44"/>
  <c r="D638" i="44"/>
  <c r="D636" i="44"/>
  <c r="X635" i="44"/>
  <c r="L328" i="44"/>
  <c r="AJ328" i="44" s="1"/>
  <c r="AJ327" i="44"/>
  <c r="B287" i="43"/>
  <c r="AC288" i="43"/>
  <c r="AR355" i="44"/>
  <c r="AX231" i="44"/>
  <c r="BB231" i="44" s="1"/>
  <c r="AN356" i="44"/>
  <c r="AB361" i="44"/>
  <c r="D365" i="44"/>
  <c r="AB365" i="44" s="1"/>
  <c r="D364" i="44"/>
  <c r="AB364" i="44" s="1"/>
  <c r="D363" i="44"/>
  <c r="AB363" i="44" s="1"/>
  <c r="D362" i="44"/>
  <c r="AB362" i="44" s="1"/>
  <c r="AF397" i="44"/>
  <c r="H399" i="44"/>
  <c r="AF399" i="44" s="1"/>
  <c r="H398" i="44"/>
  <c r="AF398" i="44" s="1"/>
  <c r="H400" i="44"/>
  <c r="AF400" i="44" s="1"/>
  <c r="H401" i="44"/>
  <c r="L394" i="44"/>
  <c r="AJ394" i="44" s="1"/>
  <c r="L402" i="44"/>
  <c r="AJ402" i="44" s="1"/>
  <c r="L395" i="44"/>
  <c r="L397" i="44"/>
  <c r="L393" i="44"/>
  <c r="AJ390" i="44"/>
  <c r="L391" i="44"/>
  <c r="AO489" i="44"/>
  <c r="Q535" i="44"/>
  <c r="Q536" i="44" s="1"/>
  <c r="Q537" i="44" s="1"/>
  <c r="Q538" i="44"/>
  <c r="H336" i="44"/>
  <c r="AF336" i="44" s="1"/>
  <c r="H334" i="44"/>
  <c r="AF334" i="44" s="1"/>
  <c r="H337" i="44"/>
  <c r="AF333" i="44"/>
  <c r="H335" i="44"/>
  <c r="AF335" i="44" s="1"/>
  <c r="T598" i="44"/>
  <c r="AI604" i="44"/>
  <c r="H597" i="44"/>
  <c r="W604" i="44"/>
  <c r="T597" i="44"/>
  <c r="E256" i="44"/>
  <c r="AC253" i="44"/>
  <c r="E254" i="44"/>
  <c r="Y535" i="44"/>
  <c r="Y536" i="44" s="1"/>
  <c r="Y537" i="44" s="1"/>
  <c r="Y538" i="44"/>
  <c r="D391" i="44"/>
  <c r="D394" i="44"/>
  <c r="AB394" i="44" s="1"/>
  <c r="D402" i="44"/>
  <c r="AB402" i="44" s="1"/>
  <c r="D393" i="44"/>
  <c r="AB393" i="44" s="1"/>
  <c r="D395" i="44"/>
  <c r="AB390" i="44"/>
  <c r="D397" i="44"/>
  <c r="H369" i="44"/>
  <c r="H367" i="44"/>
  <c r="AF367" i="44" s="1"/>
  <c r="H368" i="44"/>
  <c r="AF368" i="44" s="1"/>
  <c r="H366" i="44"/>
  <c r="AF366" i="44" s="1"/>
  <c r="AF365" i="44"/>
  <c r="P538" i="44"/>
  <c r="P535" i="44"/>
  <c r="P536" i="44" s="1"/>
  <c r="P537" i="44"/>
  <c r="H303" i="44" l="1"/>
  <c r="AF303" i="44" s="1"/>
  <c r="H304" i="44"/>
  <c r="AF304" i="44" s="1"/>
  <c r="AF301" i="44"/>
  <c r="H302" i="44"/>
  <c r="AF302" i="44" s="1"/>
  <c r="AF462" i="44"/>
  <c r="H463" i="44"/>
  <c r="AF463" i="44" s="1"/>
  <c r="H486" i="44"/>
  <c r="AF486" i="44" s="1"/>
  <c r="AF427" i="44"/>
  <c r="AC463" i="44"/>
  <c r="L396" i="44"/>
  <c r="AJ396" i="44" s="1"/>
  <c r="AJ395" i="44"/>
  <c r="AN427" i="44"/>
  <c r="AX240" i="44"/>
  <c r="BB240" i="44" s="1"/>
  <c r="AR426" i="44"/>
  <c r="AF337" i="44"/>
  <c r="H341" i="44"/>
  <c r="AF341" i="44" s="1"/>
  <c r="H339" i="44"/>
  <c r="AF339" i="44" s="1"/>
  <c r="H340" i="44"/>
  <c r="AF340" i="44" s="1"/>
  <c r="H338" i="44"/>
  <c r="AF338" i="44" s="1"/>
  <c r="F287" i="43"/>
  <c r="D599" i="44" s="1"/>
  <c r="D598" i="44"/>
  <c r="Q606" i="44"/>
  <c r="P606" i="44"/>
  <c r="L433" i="44"/>
  <c r="L431" i="44"/>
  <c r="L430" i="44"/>
  <c r="AJ430" i="44" s="1"/>
  <c r="AJ426" i="44"/>
  <c r="L429" i="44"/>
  <c r="L438" i="44"/>
  <c r="AJ438" i="44" s="1"/>
  <c r="L427" i="44"/>
  <c r="Y571" i="44"/>
  <c r="Y572" i="44" s="1"/>
  <c r="Y573" i="44" s="1"/>
  <c r="Y574" i="44"/>
  <c r="AI640" i="44"/>
  <c r="T634" i="44"/>
  <c r="W640" i="44"/>
  <c r="T633" i="44"/>
  <c r="H633" i="44"/>
  <c r="E326" i="44"/>
  <c r="E328" i="44"/>
  <c r="AC325" i="44"/>
  <c r="AR431" i="44"/>
  <c r="AN462" i="44"/>
  <c r="X573" i="44"/>
  <c r="X571" i="44"/>
  <c r="X572" i="44" s="1"/>
  <c r="X574" i="44"/>
  <c r="T606" i="44"/>
  <c r="U606" i="44"/>
  <c r="AC289" i="43"/>
  <c r="B288" i="43"/>
  <c r="AF401" i="44"/>
  <c r="H403" i="44"/>
  <c r="AF403" i="44" s="1"/>
  <c r="H402" i="44"/>
  <c r="AF402" i="44" s="1"/>
  <c r="H404" i="44"/>
  <c r="AF404" i="44" s="1"/>
  <c r="H405" i="44"/>
  <c r="AQ640" i="44"/>
  <c r="X634" i="44"/>
  <c r="AM640" i="44"/>
  <c r="H637" i="44"/>
  <c r="T571" i="44"/>
  <c r="T572" i="44" s="1"/>
  <c r="T574" i="44"/>
  <c r="T573" i="44"/>
  <c r="T636" i="44"/>
  <c r="T635" i="44"/>
  <c r="S640" i="44"/>
  <c r="H634" i="44"/>
  <c r="AE640" i="44"/>
  <c r="U571" i="44"/>
  <c r="U572" i="44" s="1"/>
  <c r="U573" i="44" s="1"/>
  <c r="U574" i="44"/>
  <c r="L565" i="44"/>
  <c r="C568" i="44" s="1"/>
  <c r="L563" i="44"/>
  <c r="H568" i="44"/>
  <c r="AF568" i="44" s="1"/>
  <c r="P561" i="44"/>
  <c r="P563" i="44"/>
  <c r="H564" i="44"/>
  <c r="H566" i="44" s="1"/>
  <c r="L568" i="44"/>
  <c r="AJ568" i="44" s="1"/>
  <c r="D568" i="44"/>
  <c r="AB568" i="44" s="1"/>
  <c r="P562" i="44"/>
  <c r="L564" i="44"/>
  <c r="G568" i="44" s="1"/>
  <c r="AJ363" i="44"/>
  <c r="L364" i="44"/>
  <c r="AJ364" i="44" s="1"/>
  <c r="H635" i="44"/>
  <c r="O640" i="44"/>
  <c r="T638" i="44"/>
  <c r="T637" i="44"/>
  <c r="AA640" i="44"/>
  <c r="P573" i="44"/>
  <c r="P574" i="44"/>
  <c r="Q571" i="44"/>
  <c r="Q572" i="44" s="1"/>
  <c r="Q573" i="44" s="1"/>
  <c r="Q574" i="44"/>
  <c r="X671" i="44"/>
  <c r="D674" i="44"/>
  <c r="D673" i="44"/>
  <c r="D705" i="44"/>
  <c r="X669" i="44"/>
  <c r="D672" i="44"/>
  <c r="AN357" i="44"/>
  <c r="AR356" i="44"/>
  <c r="AX232" i="44"/>
  <c r="BB232" i="44" s="1"/>
  <c r="AB391" i="44"/>
  <c r="D392" i="44"/>
  <c r="AB392" i="44" s="1"/>
  <c r="D429" i="44"/>
  <c r="AB429" i="44" s="1"/>
  <c r="D438" i="44"/>
  <c r="AB438" i="44" s="1"/>
  <c r="D427" i="44"/>
  <c r="D433" i="44"/>
  <c r="D431" i="44"/>
  <c r="D430" i="44"/>
  <c r="AB430" i="44" s="1"/>
  <c r="AB426" i="44"/>
  <c r="AC393" i="44"/>
  <c r="E394" i="44"/>
  <c r="E257" i="44"/>
  <c r="I246" i="44" s="1"/>
  <c r="AC256" i="44"/>
  <c r="E293" i="44"/>
  <c r="I282" i="44" s="1"/>
  <c r="AC292" i="44"/>
  <c r="P571" i="44"/>
  <c r="P572" i="44" s="1"/>
  <c r="P55" i="44"/>
  <c r="Q55" i="44"/>
  <c r="AF433" i="44"/>
  <c r="H437" i="44"/>
  <c r="H435" i="44"/>
  <c r="AF435" i="44" s="1"/>
  <c r="H436" i="44"/>
  <c r="AF436" i="44" s="1"/>
  <c r="H434" i="44"/>
  <c r="AF434" i="44" s="1"/>
  <c r="H373" i="44"/>
  <c r="AF369" i="44"/>
  <c r="H372" i="44"/>
  <c r="AF372" i="44" s="1"/>
  <c r="H371" i="44"/>
  <c r="AF371" i="44" s="1"/>
  <c r="H370" i="44"/>
  <c r="AF370" i="44" s="1"/>
  <c r="Y606" i="44"/>
  <c r="X606" i="44"/>
  <c r="E429" i="44"/>
  <c r="AC428" i="44"/>
  <c r="AF465" i="44"/>
  <c r="H469" i="44"/>
  <c r="H467" i="44"/>
  <c r="AF467" i="44" s="1"/>
  <c r="H466" i="44"/>
  <c r="AF466" i="44" s="1"/>
  <c r="H468" i="44"/>
  <c r="AF468" i="44" s="1"/>
  <c r="AC290" i="44"/>
  <c r="E291" i="44"/>
  <c r="AC291" i="44" s="1"/>
  <c r="AJ397" i="44"/>
  <c r="L401" i="44"/>
  <c r="AJ401" i="44" s="1"/>
  <c r="L398" i="44"/>
  <c r="AJ398" i="44" s="1"/>
  <c r="AB397" i="44"/>
  <c r="D400" i="44"/>
  <c r="AB400" i="44" s="1"/>
  <c r="D399" i="44"/>
  <c r="AB399" i="44" s="1"/>
  <c r="D398" i="44"/>
  <c r="AB398" i="44" s="1"/>
  <c r="D401" i="44"/>
  <c r="AB401" i="44" s="1"/>
  <c r="AJ391" i="44"/>
  <c r="L392" i="44"/>
  <c r="AJ392" i="44" s="1"/>
  <c r="AC358" i="44"/>
  <c r="E360" i="44"/>
  <c r="E359" i="44"/>
  <c r="AC359" i="44" s="1"/>
  <c r="E534" i="44"/>
  <c r="L489" i="44"/>
  <c r="H498" i="44" s="1"/>
  <c r="H522" i="44" s="1"/>
  <c r="AF522" i="44" s="1"/>
  <c r="L462" i="44"/>
  <c r="D462" i="44"/>
  <c r="AN467" i="44"/>
  <c r="AC254" i="44"/>
  <c r="E255" i="44"/>
  <c r="AC255" i="44" s="1"/>
  <c r="AX224" i="44"/>
  <c r="BB224" i="44" s="1"/>
  <c r="AR286" i="44"/>
  <c r="K532" i="44"/>
  <c r="P529" i="44"/>
  <c r="E499" i="44"/>
  <c r="E510" i="44"/>
  <c r="AC510" i="44" s="1"/>
  <c r="AC498" i="44"/>
  <c r="AN322" i="44"/>
  <c r="AR321" i="44"/>
  <c r="AX228" i="44"/>
  <c r="BB228" i="44" s="1"/>
  <c r="D396" i="44"/>
  <c r="AB396" i="44" s="1"/>
  <c r="AB395" i="44"/>
  <c r="AJ393" i="44"/>
  <c r="L399" i="44"/>
  <c r="E465" i="44"/>
  <c r="AC464" i="44"/>
  <c r="AO525" i="44"/>
  <c r="AX236" i="44"/>
  <c r="BB236" i="44" s="1"/>
  <c r="AR391" i="44"/>
  <c r="AN392" i="44"/>
  <c r="H464" i="44" l="1"/>
  <c r="AF464" i="44" s="1"/>
  <c r="I270" i="44"/>
  <c r="AG270" i="44" s="1"/>
  <c r="I247" i="44"/>
  <c r="AG246" i="44"/>
  <c r="I283" i="44"/>
  <c r="I306" i="44"/>
  <c r="AG306" i="44" s="1"/>
  <c r="AG282" i="44"/>
  <c r="H501" i="44"/>
  <c r="H502" i="44" s="1"/>
  <c r="AF502" i="44" s="1"/>
  <c r="H499" i="44"/>
  <c r="H500" i="44" s="1"/>
  <c r="AF500" i="44" s="1"/>
  <c r="AF498" i="44"/>
  <c r="AO561" i="44"/>
  <c r="E500" i="44"/>
  <c r="AC499" i="44"/>
  <c r="D432" i="44"/>
  <c r="AB432" i="44" s="1"/>
  <c r="AB431" i="44"/>
  <c r="AJ399" i="44"/>
  <c r="L400" i="44"/>
  <c r="AJ400" i="44" s="1"/>
  <c r="AB427" i="44"/>
  <c r="D428" i="44"/>
  <c r="AB428" i="44" s="1"/>
  <c r="B289" i="43"/>
  <c r="AC290" i="43"/>
  <c r="U607" i="44"/>
  <c r="U608" i="44" s="1"/>
  <c r="U609" i="44" s="1"/>
  <c r="U610" i="44"/>
  <c r="H600" i="44"/>
  <c r="H602" i="44" s="1"/>
  <c r="P599" i="44"/>
  <c r="D604" i="44"/>
  <c r="AB604" i="44" s="1"/>
  <c r="L601" i="44"/>
  <c r="C604" i="44" s="1"/>
  <c r="L604" i="44"/>
  <c r="AJ604" i="44" s="1"/>
  <c r="L599" i="44"/>
  <c r="P597" i="44"/>
  <c r="H604" i="44"/>
  <c r="AF604" i="44" s="1"/>
  <c r="L600" i="44"/>
  <c r="G604" i="44" s="1"/>
  <c r="P598" i="44"/>
  <c r="AX237" i="44"/>
  <c r="BB237" i="44" s="1"/>
  <c r="AR392" i="44"/>
  <c r="AN393" i="44"/>
  <c r="E570" i="44"/>
  <c r="T609" i="44"/>
  <c r="T607" i="44"/>
  <c r="T608" i="44" s="1"/>
  <c r="T610" i="44"/>
  <c r="X642" i="44"/>
  <c r="Y642" i="44"/>
  <c r="AC257" i="44"/>
  <c r="E546" i="44"/>
  <c r="AC546" i="44" s="1"/>
  <c r="E535" i="44"/>
  <c r="AC534" i="44"/>
  <c r="H374" i="44"/>
  <c r="AF374" i="44" s="1"/>
  <c r="AF373" i="44"/>
  <c r="H375" i="44"/>
  <c r="AF375" i="44" s="1"/>
  <c r="H377" i="44"/>
  <c r="AF377" i="44" s="1"/>
  <c r="H376" i="44"/>
  <c r="AF376" i="44" s="1"/>
  <c r="D463" i="44"/>
  <c r="AB462" i="44"/>
  <c r="D466" i="44"/>
  <c r="AB466" i="44" s="1"/>
  <c r="D469" i="44"/>
  <c r="D474" i="44"/>
  <c r="AB474" i="44" s="1"/>
  <c r="D465" i="44"/>
  <c r="AB465" i="44" s="1"/>
  <c r="D467" i="44"/>
  <c r="AF437" i="44"/>
  <c r="H440" i="44"/>
  <c r="AF440" i="44" s="1"/>
  <c r="H441" i="44"/>
  <c r="H439" i="44"/>
  <c r="AF439" i="44" s="1"/>
  <c r="H438" i="44"/>
  <c r="AF438" i="44" s="1"/>
  <c r="AX233" i="44"/>
  <c r="BB233" i="44" s="1"/>
  <c r="AR357" i="44"/>
  <c r="AN358" i="44"/>
  <c r="P642" i="44"/>
  <c r="Q642" i="44"/>
  <c r="F288" i="43"/>
  <c r="D635" i="44" s="1"/>
  <c r="D634" i="44"/>
  <c r="AC360" i="44"/>
  <c r="E361" i="44"/>
  <c r="Y610" i="44"/>
  <c r="Y607" i="44"/>
  <c r="Y608" i="44" s="1"/>
  <c r="Y609" i="44" s="1"/>
  <c r="AC465" i="44"/>
  <c r="E466" i="44"/>
  <c r="AB433" i="44"/>
  <c r="D434" i="44"/>
  <c r="AB434" i="44" s="1"/>
  <c r="D436" i="44"/>
  <c r="AB436" i="44" s="1"/>
  <c r="D435" i="44"/>
  <c r="AB435" i="44" s="1"/>
  <c r="D437" i="44"/>
  <c r="AB437" i="44" s="1"/>
  <c r="P609" i="44"/>
  <c r="P610" i="44"/>
  <c r="P607" i="44"/>
  <c r="P608" i="44" s="1"/>
  <c r="E327" i="44"/>
  <c r="AC327" i="44" s="1"/>
  <c r="AC326" i="44"/>
  <c r="T642" i="44"/>
  <c r="U642" i="44"/>
  <c r="D498" i="44"/>
  <c r="AN503" i="44"/>
  <c r="L498" i="44"/>
  <c r="L525" i="44"/>
  <c r="H534" i="44" s="1"/>
  <c r="H558" i="44" s="1"/>
  <c r="AF558" i="44" s="1"/>
  <c r="AF469" i="44"/>
  <c r="H470" i="44"/>
  <c r="AF470" i="44" s="1"/>
  <c r="H471" i="44"/>
  <c r="AF471" i="44" s="1"/>
  <c r="H472" i="44"/>
  <c r="AF472" i="44" s="1"/>
  <c r="H473" i="44"/>
  <c r="L428" i="44"/>
  <c r="AJ428" i="44" s="1"/>
  <c r="AJ427" i="44"/>
  <c r="AI676" i="44"/>
  <c r="T670" i="44"/>
  <c r="W676" i="44"/>
  <c r="H669" i="44"/>
  <c r="T669" i="44"/>
  <c r="AX245" i="44"/>
  <c r="BB245" i="44" s="1"/>
  <c r="AR462" i="44"/>
  <c r="AN463" i="44"/>
  <c r="AA676" i="44"/>
  <c r="T674" i="44"/>
  <c r="O676" i="44"/>
  <c r="H671" i="44"/>
  <c r="T673" i="44"/>
  <c r="AJ431" i="44"/>
  <c r="L432" i="44"/>
  <c r="AJ432" i="44" s="1"/>
  <c r="AC328" i="44"/>
  <c r="E329" i="44"/>
  <c r="I318" i="44" s="1"/>
  <c r="AX229" i="44"/>
  <c r="BB229" i="44" s="1"/>
  <c r="AR322" i="44"/>
  <c r="AM676" i="44"/>
  <c r="H673" i="44"/>
  <c r="X670" i="44"/>
  <c r="AQ676" i="44"/>
  <c r="L435" i="44"/>
  <c r="AJ429" i="44"/>
  <c r="AR427" i="44"/>
  <c r="AN428" i="44"/>
  <c r="AX241" i="44"/>
  <c r="BB241" i="44" s="1"/>
  <c r="AC394" i="44"/>
  <c r="E395" i="44"/>
  <c r="AC395" i="44" s="1"/>
  <c r="E396" i="44"/>
  <c r="K568" i="44"/>
  <c r="P565" i="44"/>
  <c r="AC429" i="44"/>
  <c r="E430" i="44"/>
  <c r="D741" i="44"/>
  <c r="X705" i="44"/>
  <c r="D708" i="44"/>
  <c r="D710" i="44"/>
  <c r="D709" i="44"/>
  <c r="X707" i="44"/>
  <c r="AF405" i="44"/>
  <c r="H406" i="44"/>
  <c r="AF406" i="44" s="1"/>
  <c r="H409" i="44"/>
  <c r="H407" i="44"/>
  <c r="AF407" i="44" s="1"/>
  <c r="H408" i="44"/>
  <c r="AF408" i="44" s="1"/>
  <c r="L434" i="44"/>
  <c r="AJ434" i="44" s="1"/>
  <c r="AJ433" i="44"/>
  <c r="L437" i="44"/>
  <c r="AJ437" i="44" s="1"/>
  <c r="Q607" i="44"/>
  <c r="Q608" i="44" s="1"/>
  <c r="Q609" i="44" s="1"/>
  <c r="Q610" i="44"/>
  <c r="AR467" i="44"/>
  <c r="AN498" i="44"/>
  <c r="L474" i="44"/>
  <c r="AJ474" i="44" s="1"/>
  <c r="AJ462" i="44"/>
  <c r="L463" i="44"/>
  <c r="L469" i="44"/>
  <c r="L465" i="44"/>
  <c r="L467" i="44"/>
  <c r="L466" i="44"/>
  <c r="AJ466" i="44" s="1"/>
  <c r="X610" i="44"/>
  <c r="X609" i="44"/>
  <c r="X607" i="44"/>
  <c r="X608" i="44" s="1"/>
  <c r="AC293" i="44"/>
  <c r="T672" i="44"/>
  <c r="H670" i="44"/>
  <c r="S676" i="44"/>
  <c r="AE676" i="44"/>
  <c r="T671" i="44"/>
  <c r="AF499" i="44" l="1"/>
  <c r="AF501" i="44"/>
  <c r="H535" i="44"/>
  <c r="H536" i="44" s="1"/>
  <c r="AF536" i="44" s="1"/>
  <c r="H503" i="44"/>
  <c r="AF503" i="44" s="1"/>
  <c r="AG283" i="44"/>
  <c r="I284" i="44"/>
  <c r="AF534" i="44"/>
  <c r="H537" i="44"/>
  <c r="H541" i="44" s="1"/>
  <c r="H504" i="44"/>
  <c r="AF504" i="44" s="1"/>
  <c r="H505" i="44"/>
  <c r="H509" i="44" s="1"/>
  <c r="I248" i="44"/>
  <c r="AG247" i="44"/>
  <c r="I342" i="44"/>
  <c r="AG342" i="44" s="1"/>
  <c r="I319" i="44"/>
  <c r="AG318" i="44"/>
  <c r="AO597" i="44"/>
  <c r="Q643" i="44"/>
  <c r="Q644" i="44" s="1"/>
  <c r="Q645" i="44" s="1"/>
  <c r="Q646" i="44"/>
  <c r="E467" i="44"/>
  <c r="AC467" i="44" s="1"/>
  <c r="AC466" i="44"/>
  <c r="E468" i="44"/>
  <c r="H413" i="44"/>
  <c r="AF413" i="44" s="1"/>
  <c r="AF409" i="44"/>
  <c r="H411" i="44"/>
  <c r="AF411" i="44" s="1"/>
  <c r="H410" i="44"/>
  <c r="AF410" i="44" s="1"/>
  <c r="H412" i="44"/>
  <c r="AF412" i="44" s="1"/>
  <c r="L436" i="44"/>
  <c r="AJ436" i="44" s="1"/>
  <c r="AJ435" i="44"/>
  <c r="E571" i="44"/>
  <c r="E582" i="44"/>
  <c r="AC582" i="44" s="1"/>
  <c r="AC570" i="44"/>
  <c r="AC291" i="43"/>
  <c r="B290" i="43"/>
  <c r="AX242" i="44"/>
  <c r="BB242" i="44" s="1"/>
  <c r="AR428" i="44"/>
  <c r="AN429" i="44"/>
  <c r="D501" i="44"/>
  <c r="AB501" i="44" s="1"/>
  <c r="AB498" i="44"/>
  <c r="D503" i="44"/>
  <c r="D502" i="44"/>
  <c r="AB502" i="44" s="1"/>
  <c r="D505" i="44"/>
  <c r="D499" i="44"/>
  <c r="D510" i="44"/>
  <c r="AB510" i="44" s="1"/>
  <c r="AR358" i="44"/>
  <c r="AX234" i="44"/>
  <c r="BB234" i="44" s="1"/>
  <c r="AN464" i="44"/>
  <c r="AX246" i="44"/>
  <c r="BB246" i="44" s="1"/>
  <c r="AR463" i="44"/>
  <c r="AC396" i="44"/>
  <c r="E397" i="44"/>
  <c r="AF473" i="44"/>
  <c r="H477" i="44"/>
  <c r="H475" i="44"/>
  <c r="AF475" i="44" s="1"/>
  <c r="H474" i="44"/>
  <c r="AF474" i="44" s="1"/>
  <c r="H476" i="44"/>
  <c r="AF476" i="44" s="1"/>
  <c r="Q678" i="44"/>
  <c r="P678" i="44"/>
  <c r="AN394" i="44"/>
  <c r="AR393" i="44"/>
  <c r="AX238" i="44"/>
  <c r="BB238" i="44" s="1"/>
  <c r="U643" i="44"/>
  <c r="U644" i="44" s="1"/>
  <c r="U645" i="44" s="1"/>
  <c r="U646" i="44"/>
  <c r="E536" i="44"/>
  <c r="AC535" i="44"/>
  <c r="U678" i="44"/>
  <c r="T678" i="44"/>
  <c r="T707" i="44"/>
  <c r="T708" i="44"/>
  <c r="AE712" i="44"/>
  <c r="S712" i="44"/>
  <c r="H706" i="44"/>
  <c r="D468" i="44"/>
  <c r="AB468" i="44" s="1"/>
  <c r="AB467" i="44"/>
  <c r="AF441" i="44"/>
  <c r="H444" i="44"/>
  <c r="AF444" i="44" s="1"/>
  <c r="H442" i="44"/>
  <c r="AF442" i="44" s="1"/>
  <c r="H443" i="44"/>
  <c r="AF443" i="44" s="1"/>
  <c r="H445" i="44"/>
  <c r="T646" i="44"/>
  <c r="T645" i="44"/>
  <c r="T643" i="44"/>
  <c r="T644" i="44" s="1"/>
  <c r="AN499" i="44"/>
  <c r="AR498" i="44"/>
  <c r="AX250" i="44"/>
  <c r="BB250" i="44" s="1"/>
  <c r="Y643" i="44"/>
  <c r="Y644" i="44" s="1"/>
  <c r="Y645" i="44" s="1"/>
  <c r="Y646" i="44"/>
  <c r="AN534" i="44"/>
  <c r="AR503" i="44"/>
  <c r="T706" i="44"/>
  <c r="AI712" i="44"/>
  <c r="W712" i="44"/>
  <c r="H705" i="44"/>
  <c r="T705" i="44"/>
  <c r="E364" i="44"/>
  <c r="E362" i="44"/>
  <c r="AC361" i="44"/>
  <c r="X643" i="44"/>
  <c r="X644" i="44" s="1"/>
  <c r="X645" i="44"/>
  <c r="X646" i="44"/>
  <c r="K604" i="44"/>
  <c r="P601" i="44"/>
  <c r="D464" i="44"/>
  <c r="AB464" i="44" s="1"/>
  <c r="AB463" i="44"/>
  <c r="L464" i="44"/>
  <c r="AJ464" i="44" s="1"/>
  <c r="AJ463" i="44"/>
  <c r="H709" i="44"/>
  <c r="AQ712" i="44"/>
  <c r="AM712" i="44"/>
  <c r="X706" i="44"/>
  <c r="X678" i="44"/>
  <c r="Y678" i="44"/>
  <c r="D470" i="44"/>
  <c r="AB470" i="44" s="1"/>
  <c r="D473" i="44"/>
  <c r="AB473" i="44" s="1"/>
  <c r="D471" i="44"/>
  <c r="AB471" i="44" s="1"/>
  <c r="D472" i="44"/>
  <c r="AB472" i="44" s="1"/>
  <c r="AB469" i="44"/>
  <c r="E501" i="44"/>
  <c r="AC500" i="44"/>
  <c r="F289" i="43"/>
  <c r="D671" i="44" s="1"/>
  <c r="D670" i="44"/>
  <c r="T710" i="44"/>
  <c r="O712" i="44"/>
  <c r="T709" i="44"/>
  <c r="AA712" i="44"/>
  <c r="H707" i="44"/>
  <c r="X741" i="44"/>
  <c r="D777" i="44"/>
  <c r="X743" i="44"/>
  <c r="D745" i="44"/>
  <c r="D744" i="44"/>
  <c r="D746" i="44"/>
  <c r="AN539" i="44"/>
  <c r="D534" i="44"/>
  <c r="L561" i="44"/>
  <c r="E606" i="44"/>
  <c r="L534" i="44"/>
  <c r="P645" i="44"/>
  <c r="P643" i="44"/>
  <c r="P644" i="44" s="1"/>
  <c r="P646" i="44"/>
  <c r="L468" i="44"/>
  <c r="AJ468" i="44" s="1"/>
  <c r="AJ467" i="44"/>
  <c r="L471" i="44"/>
  <c r="AJ465" i="44"/>
  <c r="L473" i="44"/>
  <c r="AJ473" i="44" s="1"/>
  <c r="L470" i="44"/>
  <c r="AJ470" i="44" s="1"/>
  <c r="AJ469" i="44"/>
  <c r="E431" i="44"/>
  <c r="AC431" i="44" s="1"/>
  <c r="AC430" i="44"/>
  <c r="E432" i="44"/>
  <c r="AC329" i="44"/>
  <c r="AJ498" i="44"/>
  <c r="L502" i="44"/>
  <c r="AJ502" i="44" s="1"/>
  <c r="L501" i="44"/>
  <c r="L505" i="44"/>
  <c r="L510" i="44"/>
  <c r="AJ510" i="44" s="1"/>
  <c r="L503" i="44"/>
  <c r="L499" i="44"/>
  <c r="L636" i="44"/>
  <c r="G640" i="44" s="1"/>
  <c r="L640" i="44"/>
  <c r="AJ640" i="44" s="1"/>
  <c r="L637" i="44"/>
  <c r="C640" i="44" s="1"/>
  <c r="P634" i="44"/>
  <c r="P633" i="44"/>
  <c r="D640" i="44"/>
  <c r="AB640" i="44" s="1"/>
  <c r="H636" i="44"/>
  <c r="H638" i="44" s="1"/>
  <c r="L635" i="44"/>
  <c r="H640" i="44"/>
  <c r="AF640" i="44" s="1"/>
  <c r="P635" i="44"/>
  <c r="H539" i="44" l="1"/>
  <c r="AF539" i="44" s="1"/>
  <c r="H508" i="44"/>
  <c r="AF508" i="44" s="1"/>
  <c r="H540" i="44"/>
  <c r="AF540" i="44" s="1"/>
  <c r="AF505" i="44"/>
  <c r="H538" i="44"/>
  <c r="AF538" i="44" s="1"/>
  <c r="AF537" i="44"/>
  <c r="AF535" i="44"/>
  <c r="H507" i="44"/>
  <c r="AF507" i="44" s="1"/>
  <c r="H506" i="44"/>
  <c r="AF506" i="44" s="1"/>
  <c r="I249" i="44"/>
  <c r="AG248" i="44"/>
  <c r="AG284" i="44"/>
  <c r="I285" i="44"/>
  <c r="I320" i="44"/>
  <c r="AG319" i="44"/>
  <c r="L570" i="44"/>
  <c r="L571" i="44" s="1"/>
  <c r="AJ571" i="44" s="1"/>
  <c r="H570" i="44"/>
  <c r="AO633" i="44"/>
  <c r="P682" i="44"/>
  <c r="P681" i="44"/>
  <c r="P679" i="44"/>
  <c r="P680" i="44" s="1"/>
  <c r="L537" i="44"/>
  <c r="L538" i="44"/>
  <c r="AJ538" i="44" s="1"/>
  <c r="L535" i="44"/>
  <c r="L539" i="44"/>
  <c r="L541" i="44"/>
  <c r="L546" i="44"/>
  <c r="AJ546" i="44" s="1"/>
  <c r="AJ534" i="44"/>
  <c r="Q682" i="44"/>
  <c r="Q679" i="44"/>
  <c r="Q680" i="44" s="1"/>
  <c r="Q681" i="44" s="1"/>
  <c r="E642" i="44"/>
  <c r="AF477" i="44"/>
  <c r="H481" i="44"/>
  <c r="H479" i="44"/>
  <c r="AF479" i="44" s="1"/>
  <c r="H478" i="44"/>
  <c r="AF478" i="44" s="1"/>
  <c r="H480" i="44"/>
  <c r="AF480" i="44" s="1"/>
  <c r="D507" i="44"/>
  <c r="AB507" i="44" s="1"/>
  <c r="D509" i="44"/>
  <c r="AB509" i="44" s="1"/>
  <c r="D508" i="44"/>
  <c r="AB508" i="44" s="1"/>
  <c r="D506" i="44"/>
  <c r="AB506" i="44" s="1"/>
  <c r="AB505" i="44"/>
  <c r="AC364" i="44"/>
  <c r="E365" i="44"/>
  <c r="I354" i="44" s="1"/>
  <c r="AN500" i="44"/>
  <c r="AX251" i="44"/>
  <c r="BB251" i="44" s="1"/>
  <c r="AR499" i="44"/>
  <c r="L504" i="44"/>
  <c r="AJ504" i="44" s="1"/>
  <c r="AJ503" i="44"/>
  <c r="H448" i="44"/>
  <c r="AF448" i="44" s="1"/>
  <c r="AF445" i="44"/>
  <c r="H449" i="44"/>
  <c r="AF449" i="44" s="1"/>
  <c r="H447" i="44"/>
  <c r="AF447" i="44" s="1"/>
  <c r="H446" i="44"/>
  <c r="AF446" i="44" s="1"/>
  <c r="E398" i="44"/>
  <c r="E400" i="44"/>
  <c r="AC397" i="44"/>
  <c r="AB503" i="44"/>
  <c r="D504" i="44"/>
  <c r="AB504" i="44" s="1"/>
  <c r="Q714" i="44"/>
  <c r="P714" i="44"/>
  <c r="AN535" i="44"/>
  <c r="AX255" i="44"/>
  <c r="BB255" i="44" s="1"/>
  <c r="AR534" i="44"/>
  <c r="S748" i="44"/>
  <c r="AE748" i="44"/>
  <c r="T744" i="44"/>
  <c r="T743" i="44"/>
  <c r="H742" i="44"/>
  <c r="X679" i="44"/>
  <c r="X680" i="44" s="1"/>
  <c r="X682" i="44"/>
  <c r="X681" i="44"/>
  <c r="D781" i="44"/>
  <c r="D782" i="44"/>
  <c r="D780" i="44"/>
  <c r="D813" i="44"/>
  <c r="X777" i="44"/>
  <c r="X779" i="44"/>
  <c r="AF509" i="44"/>
  <c r="H513" i="44"/>
  <c r="H512" i="44"/>
  <c r="AF512" i="44" s="1"/>
  <c r="H510" i="44"/>
  <c r="AF510" i="44" s="1"/>
  <c r="H511" i="44"/>
  <c r="AF511" i="44" s="1"/>
  <c r="AC606" i="44"/>
  <c r="E618" i="44"/>
  <c r="AC618" i="44" s="1"/>
  <c r="E607" i="44"/>
  <c r="AN575" i="44"/>
  <c r="D570" i="44"/>
  <c r="L597" i="44"/>
  <c r="H606" i="44" s="1"/>
  <c r="H630" i="44" s="1"/>
  <c r="AF630" i="44" s="1"/>
  <c r="T679" i="44"/>
  <c r="T680" i="44" s="1"/>
  <c r="T682" i="44"/>
  <c r="T681" i="44"/>
  <c r="E469" i="44"/>
  <c r="AC468" i="44"/>
  <c r="E502" i="44"/>
  <c r="AC501" i="44"/>
  <c r="AX239" i="44"/>
  <c r="BB239" i="44" s="1"/>
  <c r="AR394" i="44"/>
  <c r="D541" i="44"/>
  <c r="D539" i="44"/>
  <c r="D538" i="44"/>
  <c r="AB538" i="44" s="1"/>
  <c r="AB534" i="44"/>
  <c r="D537" i="44"/>
  <c r="AB537" i="44" s="1"/>
  <c r="D546" i="44"/>
  <c r="AB546" i="44" s="1"/>
  <c r="D535" i="44"/>
  <c r="U679" i="44"/>
  <c r="U680" i="44" s="1"/>
  <c r="U681" i="44" s="1"/>
  <c r="U682" i="44"/>
  <c r="AC292" i="43"/>
  <c r="B291" i="43"/>
  <c r="AI748" i="44"/>
  <c r="T742" i="44"/>
  <c r="H741" i="44"/>
  <c r="W748" i="44"/>
  <c r="T741" i="44"/>
  <c r="AC432" i="44"/>
  <c r="E433" i="44"/>
  <c r="T714" i="44"/>
  <c r="U714" i="44"/>
  <c r="AN430" i="44"/>
  <c r="AX243" i="44"/>
  <c r="BB243" i="44" s="1"/>
  <c r="AR429" i="44"/>
  <c r="K640" i="44"/>
  <c r="P637" i="44"/>
  <c r="T746" i="44"/>
  <c r="O748" i="44"/>
  <c r="H743" i="44"/>
  <c r="AA748" i="44"/>
  <c r="T745" i="44"/>
  <c r="D500" i="44"/>
  <c r="AB500" i="44" s="1"/>
  <c r="AB499" i="44"/>
  <c r="AJ499" i="44"/>
  <c r="L500" i="44"/>
  <c r="AJ500" i="44" s="1"/>
  <c r="L507" i="44"/>
  <c r="AJ501" i="44"/>
  <c r="P670" i="44"/>
  <c r="P669" i="44"/>
  <c r="D676" i="44"/>
  <c r="AB676" i="44" s="1"/>
  <c r="L676" i="44"/>
  <c r="AJ676" i="44" s="1"/>
  <c r="L672" i="44"/>
  <c r="G676" i="44" s="1"/>
  <c r="L673" i="44"/>
  <c r="C676" i="44" s="1"/>
  <c r="H672" i="44"/>
  <c r="H674" i="44" s="1"/>
  <c r="P671" i="44"/>
  <c r="H676" i="44"/>
  <c r="AF676" i="44" s="1"/>
  <c r="L671" i="44"/>
  <c r="E537" i="44"/>
  <c r="AC536" i="44"/>
  <c r="AN465" i="44"/>
  <c r="AX247" i="44"/>
  <c r="BB247" i="44" s="1"/>
  <c r="AR464" i="44"/>
  <c r="F290" i="43"/>
  <c r="D707" i="44" s="1"/>
  <c r="D706" i="44"/>
  <c r="Y714" i="44"/>
  <c r="X714" i="44"/>
  <c r="E572" i="44"/>
  <c r="AC571" i="44"/>
  <c r="Y679" i="44"/>
  <c r="Y680" i="44" s="1"/>
  <c r="Y681" i="44" s="1"/>
  <c r="Y682" i="44"/>
  <c r="H745" i="44"/>
  <c r="AQ748" i="44"/>
  <c r="AM748" i="44"/>
  <c r="X742" i="44"/>
  <c r="L509" i="44"/>
  <c r="AJ509" i="44" s="1"/>
  <c r="AJ505" i="44"/>
  <c r="L506" i="44"/>
  <c r="AJ506" i="44" s="1"/>
  <c r="AN570" i="44"/>
  <c r="AR539" i="44"/>
  <c r="L472" i="44"/>
  <c r="AJ472" i="44" s="1"/>
  <c r="AJ471" i="44"/>
  <c r="E363" i="44"/>
  <c r="AC363" i="44" s="1"/>
  <c r="AC362" i="44"/>
  <c r="AF541" i="44"/>
  <c r="H544" i="44"/>
  <c r="AF544" i="44" s="1"/>
  <c r="H542" i="44"/>
  <c r="AF542" i="44" s="1"/>
  <c r="H545" i="44"/>
  <c r="H543" i="44"/>
  <c r="AF543" i="44" s="1"/>
  <c r="L573" i="44" l="1"/>
  <c r="L579" i="44" s="1"/>
  <c r="AJ579" i="44" s="1"/>
  <c r="L577" i="44"/>
  <c r="L581" i="44" s="1"/>
  <c r="AJ581" i="44" s="1"/>
  <c r="L575" i="44"/>
  <c r="AJ575" i="44" s="1"/>
  <c r="L574" i="44"/>
  <c r="AJ574" i="44" s="1"/>
  <c r="L582" i="44"/>
  <c r="AJ582" i="44" s="1"/>
  <c r="AJ570" i="44"/>
  <c r="H571" i="44"/>
  <c r="H573" i="44"/>
  <c r="H594" i="44"/>
  <c r="AF594" i="44" s="1"/>
  <c r="AF570" i="44"/>
  <c r="AG320" i="44"/>
  <c r="I321" i="44"/>
  <c r="I289" i="44"/>
  <c r="I286" i="44"/>
  <c r="AG286" i="44" s="1"/>
  <c r="AG285" i="44"/>
  <c r="I288" i="44"/>
  <c r="AG288" i="44" s="1"/>
  <c r="I287" i="44"/>
  <c r="AG287" i="44" s="1"/>
  <c r="AF606" i="44"/>
  <c r="I355" i="44"/>
  <c r="I378" i="44"/>
  <c r="AG378" i="44" s="1"/>
  <c r="AG354" i="44"/>
  <c r="H607" i="44"/>
  <c r="AF607" i="44" s="1"/>
  <c r="H609" i="44"/>
  <c r="H613" i="44" s="1"/>
  <c r="I251" i="44"/>
  <c r="AG251" i="44" s="1"/>
  <c r="I253" i="44"/>
  <c r="AG249" i="44"/>
  <c r="I250" i="44"/>
  <c r="AG250" i="44" s="1"/>
  <c r="I252" i="44"/>
  <c r="AG252" i="44" s="1"/>
  <c r="AO669" i="44"/>
  <c r="L572" i="44"/>
  <c r="AJ572" i="44" s="1"/>
  <c r="E678" i="44"/>
  <c r="E690" i="44" s="1"/>
  <c r="AC690" i="44" s="1"/>
  <c r="X778" i="44"/>
  <c r="AM784" i="44"/>
  <c r="AQ784" i="44"/>
  <c r="H781" i="44"/>
  <c r="AR575" i="44"/>
  <c r="AN606" i="44"/>
  <c r="L536" i="44"/>
  <c r="AJ536" i="44" s="1"/>
  <c r="AJ535" i="44"/>
  <c r="AC433" i="44"/>
  <c r="E434" i="44"/>
  <c r="E436" i="44"/>
  <c r="T779" i="44"/>
  <c r="H778" i="44"/>
  <c r="AE784" i="44"/>
  <c r="S784" i="44"/>
  <c r="T780" i="44"/>
  <c r="Q718" i="44"/>
  <c r="Q715" i="44"/>
  <c r="Q716" i="44" s="1"/>
  <c r="Q717" i="44" s="1"/>
  <c r="AC365" i="44"/>
  <c r="E654" i="44"/>
  <c r="AC654" i="44" s="1"/>
  <c r="E643" i="44"/>
  <c r="AC642" i="44"/>
  <c r="AF481" i="44"/>
  <c r="H482" i="44"/>
  <c r="AF482" i="44" s="1"/>
  <c r="H484" i="44"/>
  <c r="AF484" i="44" s="1"/>
  <c r="H483" i="44"/>
  <c r="AF483" i="44" s="1"/>
  <c r="H485" i="44"/>
  <c r="AF485" i="44" s="1"/>
  <c r="AR430" i="44"/>
  <c r="AX244" i="44"/>
  <c r="BB244" i="44" s="1"/>
  <c r="D816" i="44"/>
  <c r="X813" i="44"/>
  <c r="D817" i="44"/>
  <c r="X815" i="44"/>
  <c r="D818" i="44"/>
  <c r="D849" i="44"/>
  <c r="D574" i="44"/>
  <c r="AB574" i="44" s="1"/>
  <c r="AB570" i="44"/>
  <c r="D575" i="44"/>
  <c r="D571" i="44"/>
  <c r="D577" i="44"/>
  <c r="D573" i="44"/>
  <c r="AB573" i="44" s="1"/>
  <c r="D582" i="44"/>
  <c r="AB582" i="44" s="1"/>
  <c r="Y750" i="44"/>
  <c r="X750" i="44"/>
  <c r="D542" i="44"/>
  <c r="AB542" i="44" s="1"/>
  <c r="D543" i="44"/>
  <c r="AB543" i="44" s="1"/>
  <c r="D545" i="44"/>
  <c r="AB545" i="44" s="1"/>
  <c r="D544" i="44"/>
  <c r="AB544" i="44" s="1"/>
  <c r="AB541" i="44"/>
  <c r="AR535" i="44"/>
  <c r="AX256" i="44"/>
  <c r="BB256" i="44" s="1"/>
  <c r="AN536" i="44"/>
  <c r="K676" i="44"/>
  <c r="P673" i="44"/>
  <c r="AJ541" i="44"/>
  <c r="L545" i="44"/>
  <c r="AJ545" i="44" s="1"/>
  <c r="L542" i="44"/>
  <c r="AJ542" i="44" s="1"/>
  <c r="AC537" i="44"/>
  <c r="E538" i="44"/>
  <c r="U715" i="44"/>
  <c r="U716" i="44" s="1"/>
  <c r="U717" i="44" s="1"/>
  <c r="U718" i="44"/>
  <c r="AA784" i="44"/>
  <c r="T782" i="44"/>
  <c r="H779" i="44"/>
  <c r="O784" i="44"/>
  <c r="T781" i="44"/>
  <c r="E608" i="44"/>
  <c r="AC607" i="44"/>
  <c r="AB539" i="44"/>
  <c r="D540" i="44"/>
  <c r="AB540" i="44" s="1"/>
  <c r="E573" i="44"/>
  <c r="AC572" i="44"/>
  <c r="E503" i="44"/>
  <c r="AC503" i="44" s="1"/>
  <c r="AC502" i="44"/>
  <c r="E504" i="44"/>
  <c r="L508" i="44"/>
  <c r="AJ508" i="44" s="1"/>
  <c r="AJ507" i="44"/>
  <c r="T717" i="44"/>
  <c r="T718" i="44"/>
  <c r="T715" i="44"/>
  <c r="T716" i="44" s="1"/>
  <c r="P750" i="44"/>
  <c r="Q750" i="44"/>
  <c r="E401" i="44"/>
  <c r="I390" i="44" s="1"/>
  <c r="AC400" i="44"/>
  <c r="AN466" i="44"/>
  <c r="AR465" i="44"/>
  <c r="AX248" i="44"/>
  <c r="BB248" i="44" s="1"/>
  <c r="D536" i="44"/>
  <c r="AB536" i="44" s="1"/>
  <c r="AB535" i="44"/>
  <c r="Y715" i="44"/>
  <c r="Y716" i="44" s="1"/>
  <c r="Y717" i="44" s="1"/>
  <c r="Y718" i="44"/>
  <c r="F291" i="43"/>
  <c r="D743" i="44" s="1"/>
  <c r="D742" i="44"/>
  <c r="AC469" i="44"/>
  <c r="E470" i="44"/>
  <c r="E472" i="44"/>
  <c r="AF513" i="44"/>
  <c r="H516" i="44"/>
  <c r="AF516" i="44" s="1"/>
  <c r="H515" i="44"/>
  <c r="AF515" i="44" s="1"/>
  <c r="H517" i="44"/>
  <c r="H514" i="44"/>
  <c r="AF514" i="44" s="1"/>
  <c r="E399" i="44"/>
  <c r="AC399" i="44" s="1"/>
  <c r="AC398" i="44"/>
  <c r="T778" i="44"/>
  <c r="AI784" i="44"/>
  <c r="T777" i="44"/>
  <c r="W784" i="44"/>
  <c r="H777" i="44"/>
  <c r="L543" i="44"/>
  <c r="AJ537" i="44"/>
  <c r="B292" i="43"/>
  <c r="AC293" i="43"/>
  <c r="U750" i="44"/>
  <c r="T750" i="44"/>
  <c r="L633" i="44"/>
  <c r="H642" i="44" s="1"/>
  <c r="H645" i="44" s="1"/>
  <c r="AN611" i="44"/>
  <c r="D606" i="44"/>
  <c r="L606" i="44"/>
  <c r="AJ539" i="44"/>
  <c r="L540" i="44"/>
  <c r="AJ540" i="44" s="1"/>
  <c r="P715" i="44"/>
  <c r="P716" i="44" s="1"/>
  <c r="P717" i="44"/>
  <c r="P718" i="44"/>
  <c r="X718" i="44"/>
  <c r="X715" i="44"/>
  <c r="X716" i="44" s="1"/>
  <c r="X717" i="44"/>
  <c r="AX260" i="44"/>
  <c r="BB260" i="44" s="1"/>
  <c r="AR570" i="44"/>
  <c r="AN571" i="44"/>
  <c r="AF545" i="44"/>
  <c r="H548" i="44"/>
  <c r="AF548" i="44" s="1"/>
  <c r="H549" i="44"/>
  <c r="H546" i="44"/>
  <c r="AF546" i="44" s="1"/>
  <c r="H547" i="44"/>
  <c r="AF547" i="44" s="1"/>
  <c r="L708" i="44"/>
  <c r="G712" i="44" s="1"/>
  <c r="H712" i="44"/>
  <c r="AF712" i="44" s="1"/>
  <c r="L707" i="44"/>
  <c r="H708" i="44"/>
  <c r="H710" i="44" s="1"/>
  <c r="L712" i="44"/>
  <c r="AJ712" i="44" s="1"/>
  <c r="P707" i="44"/>
  <c r="P705" i="44"/>
  <c r="D712" i="44"/>
  <c r="AB712" i="44" s="1"/>
  <c r="L709" i="44"/>
  <c r="C712" i="44" s="1"/>
  <c r="P706" i="44"/>
  <c r="AR500" i="44"/>
  <c r="AN501" i="44"/>
  <c r="AX252" i="44"/>
  <c r="BB252" i="44" s="1"/>
  <c r="H610" i="44" l="1"/>
  <c r="AF610" i="44" s="1"/>
  <c r="AF609" i="44"/>
  <c r="AJ573" i="44"/>
  <c r="L580" i="44"/>
  <c r="AJ580" i="44" s="1"/>
  <c r="AJ577" i="44"/>
  <c r="L578" i="44"/>
  <c r="AJ578" i="44" s="1"/>
  <c r="L576" i="44"/>
  <c r="AJ576" i="44" s="1"/>
  <c r="AF642" i="44"/>
  <c r="H643" i="44"/>
  <c r="H644" i="44" s="1"/>
  <c r="AF644" i="44" s="1"/>
  <c r="H612" i="44"/>
  <c r="AF612" i="44" s="1"/>
  <c r="H611" i="44"/>
  <c r="AF611" i="44" s="1"/>
  <c r="H666" i="44"/>
  <c r="AF666" i="44" s="1"/>
  <c r="I356" i="44"/>
  <c r="AG355" i="44"/>
  <c r="H608" i="44"/>
  <c r="AF608" i="44" s="1"/>
  <c r="AG289" i="44"/>
  <c r="I291" i="44"/>
  <c r="AG291" i="44" s="1"/>
  <c r="I292" i="44"/>
  <c r="AG292" i="44" s="1"/>
  <c r="I290" i="44"/>
  <c r="AG290" i="44" s="1"/>
  <c r="I293" i="44"/>
  <c r="I324" i="44"/>
  <c r="AG324" i="44" s="1"/>
  <c r="I322" i="44"/>
  <c r="AG322" i="44" s="1"/>
  <c r="I325" i="44"/>
  <c r="I323" i="44"/>
  <c r="AG323" i="44" s="1"/>
  <c r="AG321" i="44"/>
  <c r="I391" i="44"/>
  <c r="I414" i="44"/>
  <c r="AG414" i="44" s="1"/>
  <c r="AG390" i="44"/>
  <c r="I256" i="44"/>
  <c r="AG256" i="44" s="1"/>
  <c r="I254" i="44"/>
  <c r="AG254" i="44" s="1"/>
  <c r="I257" i="44"/>
  <c r="I255" i="44"/>
  <c r="AG255" i="44" s="1"/>
  <c r="AG253" i="44"/>
  <c r="AF573" i="44"/>
  <c r="H575" i="44"/>
  <c r="AF575" i="44" s="1"/>
  <c r="H577" i="44"/>
  <c r="H574" i="44"/>
  <c r="AF574" i="44" s="1"/>
  <c r="H576" i="44"/>
  <c r="AF576" i="44" s="1"/>
  <c r="H572" i="44"/>
  <c r="AF572" i="44" s="1"/>
  <c r="AF571" i="44"/>
  <c r="AC678" i="44"/>
  <c r="E679" i="44"/>
  <c r="E680" i="44" s="1"/>
  <c r="AC470" i="44"/>
  <c r="E471" i="44"/>
  <c r="AC471" i="44" s="1"/>
  <c r="H815" i="44"/>
  <c r="T817" i="44"/>
  <c r="T818" i="44"/>
  <c r="AA820" i="44"/>
  <c r="O820" i="44"/>
  <c r="AN607" i="44"/>
  <c r="AX265" i="44"/>
  <c r="BB265" i="44" s="1"/>
  <c r="AR606" i="44"/>
  <c r="D611" i="44"/>
  <c r="D618" i="44"/>
  <c r="AB618" i="44" s="1"/>
  <c r="D610" i="44"/>
  <c r="AB610" i="44" s="1"/>
  <c r="D607" i="44"/>
  <c r="D609" i="44"/>
  <c r="AB609" i="44" s="1"/>
  <c r="D613" i="44"/>
  <c r="AB606" i="44"/>
  <c r="E609" i="44"/>
  <c r="AC608" i="44"/>
  <c r="AC434" i="44"/>
  <c r="E435" i="44"/>
  <c r="AC435" i="44" s="1"/>
  <c r="AC401" i="44"/>
  <c r="AC472" i="44"/>
  <c r="E473" i="44"/>
  <c r="I462" i="44" s="1"/>
  <c r="Y751" i="44"/>
  <c r="Y752" i="44" s="1"/>
  <c r="Y753" i="44" s="1"/>
  <c r="Y754" i="44"/>
  <c r="AC573" i="44"/>
  <c r="E574" i="44"/>
  <c r="AN502" i="44"/>
  <c r="AR501" i="44"/>
  <c r="AX253" i="44"/>
  <c r="BB253" i="44" s="1"/>
  <c r="P753" i="44"/>
  <c r="P751" i="44"/>
  <c r="P752" i="44" s="1"/>
  <c r="P754" i="44"/>
  <c r="D885" i="44"/>
  <c r="D854" i="44"/>
  <c r="X849" i="44"/>
  <c r="D853" i="44"/>
  <c r="D852" i="44"/>
  <c r="X851" i="44"/>
  <c r="AN647" i="44"/>
  <c r="L669" i="44"/>
  <c r="H678" i="44" s="1"/>
  <c r="H702" i="44" s="1"/>
  <c r="AF702" i="44" s="1"/>
  <c r="D642" i="44"/>
  <c r="L642" i="44"/>
  <c r="T753" i="44"/>
  <c r="T751" i="44"/>
  <c r="T752" i="44" s="1"/>
  <c r="T754" i="44"/>
  <c r="T815" i="44"/>
  <c r="T816" i="44"/>
  <c r="S820" i="44"/>
  <c r="AE820" i="44"/>
  <c r="H814" i="44"/>
  <c r="D572" i="44"/>
  <c r="AB572" i="44" s="1"/>
  <c r="AB571" i="44"/>
  <c r="Q751" i="44"/>
  <c r="Q752" i="44" s="1"/>
  <c r="Q753" i="44" s="1"/>
  <c r="Q754" i="44"/>
  <c r="E644" i="44"/>
  <c r="AC643" i="44"/>
  <c r="AX261" i="44"/>
  <c r="BB261" i="44" s="1"/>
  <c r="AR571" i="44"/>
  <c r="AN572" i="44"/>
  <c r="X814" i="44"/>
  <c r="H817" i="44"/>
  <c r="AQ820" i="44"/>
  <c r="AM820" i="44"/>
  <c r="AX249" i="44"/>
  <c r="BB249" i="44" s="1"/>
  <c r="AR466" i="44"/>
  <c r="P743" i="44"/>
  <c r="L745" i="44"/>
  <c r="C748" i="44" s="1"/>
  <c r="P742" i="44"/>
  <c r="D748" i="44"/>
  <c r="AB748" i="44" s="1"/>
  <c r="L743" i="44"/>
  <c r="H744" i="44"/>
  <c r="H746" i="44" s="1"/>
  <c r="P741" i="44"/>
  <c r="L744" i="44"/>
  <c r="G748" i="44" s="1"/>
  <c r="H748" i="44"/>
  <c r="AF748" i="44" s="1"/>
  <c r="L748" i="44"/>
  <c r="AJ748" i="44" s="1"/>
  <c r="AC294" i="43"/>
  <c r="B293" i="43"/>
  <c r="T813" i="44"/>
  <c r="W820" i="44"/>
  <c r="H813" i="44"/>
  <c r="AI820" i="44"/>
  <c r="T814" i="44"/>
  <c r="AF645" i="44"/>
  <c r="H647" i="44"/>
  <c r="AF647" i="44" s="1"/>
  <c r="H648" i="44"/>
  <c r="AF648" i="44" s="1"/>
  <c r="H646" i="44"/>
  <c r="AF646" i="44" s="1"/>
  <c r="H649" i="44"/>
  <c r="F292" i="43"/>
  <c r="D779" i="44" s="1"/>
  <c r="D778" i="44"/>
  <c r="AN537" i="44"/>
  <c r="AX257" i="44"/>
  <c r="BB257" i="44" s="1"/>
  <c r="AR536" i="44"/>
  <c r="D576" i="44"/>
  <c r="AB576" i="44" s="1"/>
  <c r="AB575" i="44"/>
  <c r="AF549" i="44"/>
  <c r="H553" i="44"/>
  <c r="H552" i="44"/>
  <c r="AF552" i="44" s="1"/>
  <c r="H551" i="44"/>
  <c r="AF551" i="44" s="1"/>
  <c r="H550" i="44"/>
  <c r="AF550" i="44" s="1"/>
  <c r="L609" i="44"/>
  <c r="L611" i="44"/>
  <c r="L610" i="44"/>
  <c r="AJ610" i="44" s="1"/>
  <c r="L607" i="44"/>
  <c r="L613" i="44"/>
  <c r="L618" i="44"/>
  <c r="AJ618" i="44" s="1"/>
  <c r="AJ606" i="44"/>
  <c r="E437" i="44"/>
  <c r="I426" i="44" s="1"/>
  <c r="AC436" i="44"/>
  <c r="E505" i="44"/>
  <c r="AC504" i="44"/>
  <c r="AR611" i="44"/>
  <c r="AN642" i="44"/>
  <c r="AO705" i="44"/>
  <c r="L544" i="44"/>
  <c r="AJ544" i="44" s="1"/>
  <c r="AJ543" i="44"/>
  <c r="E539" i="44"/>
  <c r="AC539" i="44" s="1"/>
  <c r="AC538" i="44"/>
  <c r="E540" i="44"/>
  <c r="X786" i="44"/>
  <c r="Y786" i="44"/>
  <c r="U786" i="44"/>
  <c r="T786" i="44"/>
  <c r="X751" i="44"/>
  <c r="X752" i="44" s="1"/>
  <c r="X753" i="44"/>
  <c r="X754" i="44"/>
  <c r="E714" i="44"/>
  <c r="P786" i="44"/>
  <c r="Q786" i="44"/>
  <c r="U754" i="44"/>
  <c r="U751" i="44"/>
  <c r="U752" i="44" s="1"/>
  <c r="U753" i="44" s="1"/>
  <c r="AF613" i="44"/>
  <c r="H617" i="44"/>
  <c r="H614" i="44"/>
  <c r="AF614" i="44" s="1"/>
  <c r="H615" i="44"/>
  <c r="AF615" i="44" s="1"/>
  <c r="H616" i="44"/>
  <c r="AF616" i="44" s="1"/>
  <c r="K712" i="44"/>
  <c r="P709" i="44"/>
  <c r="AF517" i="44"/>
  <c r="H521" i="44"/>
  <c r="AF521" i="44" s="1"/>
  <c r="H520" i="44"/>
  <c r="AF520" i="44" s="1"/>
  <c r="H518" i="44"/>
  <c r="AF518" i="44" s="1"/>
  <c r="H519" i="44"/>
  <c r="AF519" i="44" s="1"/>
  <c r="D578" i="44"/>
  <c r="AB578" i="44" s="1"/>
  <c r="AB577" i="44"/>
  <c r="D579" i="44"/>
  <c r="AB579" i="44" s="1"/>
  <c r="D580" i="44"/>
  <c r="AB580" i="44" s="1"/>
  <c r="D581" i="44"/>
  <c r="AB581" i="44" s="1"/>
  <c r="AF643" i="44" l="1"/>
  <c r="H681" i="44"/>
  <c r="AF681" i="44" s="1"/>
  <c r="H679" i="44"/>
  <c r="H680" i="44" s="1"/>
  <c r="AF680" i="44" s="1"/>
  <c r="AF678" i="44"/>
  <c r="AG391" i="44"/>
  <c r="I392" i="44"/>
  <c r="H580" i="44"/>
  <c r="AF580" i="44" s="1"/>
  <c r="H581" i="44"/>
  <c r="AF577" i="44"/>
  <c r="H578" i="44"/>
  <c r="AF578" i="44" s="1"/>
  <c r="H579" i="44"/>
  <c r="AF579" i="44" s="1"/>
  <c r="AG426" i="44"/>
  <c r="I450" i="44"/>
  <c r="AG450" i="44" s="1"/>
  <c r="I427" i="44"/>
  <c r="I260" i="44"/>
  <c r="AG260" i="44" s="1"/>
  <c r="I259" i="44"/>
  <c r="AG259" i="44" s="1"/>
  <c r="I258" i="44"/>
  <c r="AG258" i="44" s="1"/>
  <c r="AG257" i="44"/>
  <c r="I261" i="44"/>
  <c r="I486" i="44"/>
  <c r="AG486" i="44" s="1"/>
  <c r="AG462" i="44"/>
  <c r="I463" i="44"/>
  <c r="I327" i="44"/>
  <c r="AG327" i="44" s="1"/>
  <c r="AG325" i="44"/>
  <c r="I329" i="44"/>
  <c r="I328" i="44"/>
  <c r="AG328" i="44" s="1"/>
  <c r="I326" i="44"/>
  <c r="AG326" i="44" s="1"/>
  <c r="I294" i="44"/>
  <c r="AG294" i="44" s="1"/>
  <c r="I295" i="44"/>
  <c r="AG295" i="44" s="1"/>
  <c r="I296" i="44"/>
  <c r="AG296" i="44" s="1"/>
  <c r="I297" i="44"/>
  <c r="AG293" i="44"/>
  <c r="I357" i="44"/>
  <c r="AG356" i="44"/>
  <c r="AC679" i="44"/>
  <c r="AO741" i="44"/>
  <c r="AB607" i="44"/>
  <c r="D608" i="44"/>
  <c r="AB608" i="44" s="1"/>
  <c r="H784" i="44"/>
  <c r="AF784" i="44" s="1"/>
  <c r="P779" i="44"/>
  <c r="P777" i="44"/>
  <c r="L779" i="44"/>
  <c r="L784" i="44"/>
  <c r="AJ784" i="44" s="1"/>
  <c r="L780" i="44"/>
  <c r="G784" i="44" s="1"/>
  <c r="H780" i="44"/>
  <c r="H782" i="44" s="1"/>
  <c r="D784" i="44"/>
  <c r="AB784" i="44" s="1"/>
  <c r="L781" i="44"/>
  <c r="C784" i="44" s="1"/>
  <c r="P778" i="44"/>
  <c r="L608" i="44"/>
  <c r="AJ608" i="44" s="1"/>
  <c r="AJ607" i="44"/>
  <c r="B294" i="43"/>
  <c r="AC295" i="43"/>
  <c r="U790" i="44"/>
  <c r="U787" i="44"/>
  <c r="U788" i="44" s="1"/>
  <c r="U789" i="44" s="1"/>
  <c r="Y790" i="44"/>
  <c r="Y787" i="44"/>
  <c r="Y788" i="44" s="1"/>
  <c r="Y789" i="44" s="1"/>
  <c r="E715" i="44"/>
  <c r="E726" i="44"/>
  <c r="AC726" i="44" s="1"/>
  <c r="AC714" i="44"/>
  <c r="H849" i="44"/>
  <c r="T849" i="44"/>
  <c r="T850" i="44"/>
  <c r="W856" i="44"/>
  <c r="AI856" i="44"/>
  <c r="T822" i="44"/>
  <c r="U822" i="44"/>
  <c r="T851" i="44"/>
  <c r="S856" i="44"/>
  <c r="H850" i="44"/>
  <c r="T852" i="44"/>
  <c r="AE856" i="44"/>
  <c r="AC609" i="44"/>
  <c r="E610" i="44"/>
  <c r="P822" i="44"/>
  <c r="Q822" i="44"/>
  <c r="AF649" i="44"/>
  <c r="H653" i="44"/>
  <c r="H650" i="44"/>
  <c r="AF650" i="44" s="1"/>
  <c r="H651" i="44"/>
  <c r="AF651" i="44" s="1"/>
  <c r="H652" i="44"/>
  <c r="AF652" i="44" s="1"/>
  <c r="AX254" i="44"/>
  <c r="BB254" i="44" s="1"/>
  <c r="AR502" i="44"/>
  <c r="E575" i="44"/>
  <c r="AC575" i="44" s="1"/>
  <c r="AC574" i="44"/>
  <c r="E576" i="44"/>
  <c r="AR607" i="44"/>
  <c r="AN608" i="44"/>
  <c r="AX266" i="44"/>
  <c r="BB266" i="44" s="1"/>
  <c r="AR642" i="44"/>
  <c r="AX270" i="44"/>
  <c r="BB270" i="44" s="1"/>
  <c r="AN643" i="44"/>
  <c r="AJ609" i="44"/>
  <c r="L615" i="44"/>
  <c r="E681" i="44"/>
  <c r="AC680" i="44"/>
  <c r="AQ856" i="44"/>
  <c r="AM856" i="44"/>
  <c r="X850" i="44"/>
  <c r="H853" i="44"/>
  <c r="P789" i="44"/>
  <c r="P790" i="44"/>
  <c r="E750" i="44"/>
  <c r="T853" i="44"/>
  <c r="AA856" i="44"/>
  <c r="O856" i="44"/>
  <c r="H851" i="44"/>
  <c r="T854" i="44"/>
  <c r="E645" i="44"/>
  <c r="AC644" i="44"/>
  <c r="F293" i="43"/>
  <c r="D815" i="44" s="1"/>
  <c r="D814" i="44"/>
  <c r="AF617" i="44"/>
  <c r="H620" i="44"/>
  <c r="AF620" i="44" s="1"/>
  <c r="H621" i="44"/>
  <c r="H619" i="44"/>
  <c r="AF619" i="44" s="1"/>
  <c r="H618" i="44"/>
  <c r="AF618" i="44" s="1"/>
  <c r="X887" i="44"/>
  <c r="X885" i="44"/>
  <c r="D921" i="44"/>
  <c r="D888" i="44"/>
  <c r="D889" i="44"/>
  <c r="D890" i="44"/>
  <c r="X822" i="44"/>
  <c r="Y822" i="44"/>
  <c r="AC505" i="44"/>
  <c r="E506" i="44"/>
  <c r="E508" i="44"/>
  <c r="AR537" i="44"/>
  <c r="AN538" i="44"/>
  <c r="AX258" i="44"/>
  <c r="BB258" i="44" s="1"/>
  <c r="K748" i="44"/>
  <c r="P745" i="44"/>
  <c r="P787" i="44"/>
  <c r="P788" i="44" s="1"/>
  <c r="AR647" i="44"/>
  <c r="AN678" i="44"/>
  <c r="AB611" i="44"/>
  <c r="D612" i="44"/>
  <c r="AB612" i="44" s="1"/>
  <c r="AJ613" i="44"/>
  <c r="L614" i="44"/>
  <c r="AJ614" i="44" s="1"/>
  <c r="L617" i="44"/>
  <c r="AJ617" i="44" s="1"/>
  <c r="L612" i="44"/>
  <c r="AJ612" i="44" s="1"/>
  <c r="AJ611" i="44"/>
  <c r="AN573" i="44"/>
  <c r="AR572" i="44"/>
  <c r="AX262" i="44"/>
  <c r="BB262" i="44" s="1"/>
  <c r="X790" i="44"/>
  <c r="X787" i="44"/>
  <c r="X788" i="44" s="1"/>
  <c r="X789" i="44"/>
  <c r="E541" i="44"/>
  <c r="AC540" i="44"/>
  <c r="L649" i="44"/>
  <c r="L645" i="44"/>
  <c r="L643" i="44"/>
  <c r="L646" i="44"/>
  <c r="AJ646" i="44" s="1"/>
  <c r="L647" i="44"/>
  <c r="AJ642" i="44"/>
  <c r="L654" i="44"/>
  <c r="AJ654" i="44" s="1"/>
  <c r="AC473" i="44"/>
  <c r="L705" i="44"/>
  <c r="H714" i="44" s="1"/>
  <c r="H738" i="44" s="1"/>
  <c r="AF738" i="44" s="1"/>
  <c r="D678" i="44"/>
  <c r="AN683" i="44"/>
  <c r="L678" i="44"/>
  <c r="AC437" i="44"/>
  <c r="Q790" i="44"/>
  <c r="Q787" i="44"/>
  <c r="Q788" i="44" s="1"/>
  <c r="Q789" i="44" s="1"/>
  <c r="T787" i="44"/>
  <c r="T788" i="44" s="1"/>
  <c r="T789" i="44"/>
  <c r="T790" i="44"/>
  <c r="AF553" i="44"/>
  <c r="H556" i="44"/>
  <c r="AF556" i="44" s="1"/>
  <c r="H557" i="44"/>
  <c r="AF557" i="44" s="1"/>
  <c r="H555" i="44"/>
  <c r="AF555" i="44" s="1"/>
  <c r="H554" i="44"/>
  <c r="AF554" i="44" s="1"/>
  <c r="D645" i="44"/>
  <c r="AB645" i="44" s="1"/>
  <c r="D649" i="44"/>
  <c r="D647" i="44"/>
  <c r="D646" i="44"/>
  <c r="AB646" i="44" s="1"/>
  <c r="D654" i="44"/>
  <c r="AB654" i="44" s="1"/>
  <c r="AB642" i="44"/>
  <c r="D643" i="44"/>
  <c r="D614" i="44"/>
  <c r="AB614" i="44" s="1"/>
  <c r="AB613" i="44"/>
  <c r="D616" i="44"/>
  <c r="AB616" i="44" s="1"/>
  <c r="D615" i="44"/>
  <c r="AB615" i="44" s="1"/>
  <c r="D617" i="44"/>
  <c r="AB617" i="44" s="1"/>
  <c r="H684" i="44" l="1"/>
  <c r="AF684" i="44" s="1"/>
  <c r="H683" i="44"/>
  <c r="AF683" i="44" s="1"/>
  <c r="H682" i="44"/>
  <c r="AF682" i="44" s="1"/>
  <c r="H685" i="44"/>
  <c r="H686" i="44" s="1"/>
  <c r="AF686" i="44" s="1"/>
  <c r="AF679" i="44"/>
  <c r="I360" i="44"/>
  <c r="AG360" i="44" s="1"/>
  <c r="I359" i="44"/>
  <c r="AG359" i="44" s="1"/>
  <c r="I358" i="44"/>
  <c r="AG358" i="44" s="1"/>
  <c r="I361" i="44"/>
  <c r="AG357" i="44"/>
  <c r="H717" i="44"/>
  <c r="AF717" i="44" s="1"/>
  <c r="I299" i="44"/>
  <c r="AG299" i="44" s="1"/>
  <c r="AG297" i="44"/>
  <c r="I300" i="44"/>
  <c r="AG300" i="44" s="1"/>
  <c r="I301" i="44"/>
  <c r="I298" i="44"/>
  <c r="AG298" i="44" s="1"/>
  <c r="H715" i="44"/>
  <c r="H716" i="44" s="1"/>
  <c r="AF716" i="44" s="1"/>
  <c r="I331" i="44"/>
  <c r="AG331" i="44" s="1"/>
  <c r="I332" i="44"/>
  <c r="AG332" i="44" s="1"/>
  <c r="I330" i="44"/>
  <c r="AG330" i="44" s="1"/>
  <c r="I333" i="44"/>
  <c r="AG329" i="44"/>
  <c r="H585" i="44"/>
  <c r="AF581" i="44"/>
  <c r="H583" i="44"/>
  <c r="AF583" i="44" s="1"/>
  <c r="H584" i="44"/>
  <c r="AF584" i="44" s="1"/>
  <c r="H582" i="44"/>
  <c r="AF582" i="44" s="1"/>
  <c r="AG427" i="44"/>
  <c r="I428" i="44"/>
  <c r="AG463" i="44"/>
  <c r="I464" i="44"/>
  <c r="AG392" i="44"/>
  <c r="I393" i="44"/>
  <c r="I262" i="44"/>
  <c r="AG262" i="44" s="1"/>
  <c r="I265" i="44"/>
  <c r="AG261" i="44"/>
  <c r="I264" i="44"/>
  <c r="AG264" i="44" s="1"/>
  <c r="I263" i="44"/>
  <c r="AG263" i="44" s="1"/>
  <c r="AF714" i="44"/>
  <c r="X886" i="44"/>
  <c r="AM892" i="44"/>
  <c r="H889" i="44"/>
  <c r="AQ892" i="44"/>
  <c r="E786" i="44"/>
  <c r="AO777" i="44"/>
  <c r="AJ643" i="44"/>
  <c r="L644" i="44"/>
  <c r="AJ644" i="44" s="1"/>
  <c r="AN644" i="44"/>
  <c r="AR643" i="44"/>
  <c r="AX271" i="44"/>
  <c r="BB271" i="44" s="1"/>
  <c r="T823" i="44"/>
  <c r="T824" i="44" s="1"/>
  <c r="T826" i="44"/>
  <c r="T825" i="44"/>
  <c r="E577" i="44"/>
  <c r="AC576" i="44"/>
  <c r="AR538" i="44"/>
  <c r="AX259" i="44"/>
  <c r="BB259" i="44" s="1"/>
  <c r="AB643" i="44"/>
  <c r="D644" i="44"/>
  <c r="AB644" i="44" s="1"/>
  <c r="L651" i="44"/>
  <c r="AJ645" i="44"/>
  <c r="AN719" i="44"/>
  <c r="L741" i="44"/>
  <c r="H750" i="44" s="1"/>
  <c r="H774" i="44" s="1"/>
  <c r="AF774" i="44" s="1"/>
  <c r="L714" i="44"/>
  <c r="D714" i="44"/>
  <c r="L650" i="44"/>
  <c r="AJ650" i="44" s="1"/>
  <c r="L653" i="44"/>
  <c r="AJ653" i="44" s="1"/>
  <c r="AJ649" i="44"/>
  <c r="AF653" i="44"/>
  <c r="H657" i="44"/>
  <c r="H654" i="44"/>
  <c r="AF654" i="44" s="1"/>
  <c r="H655" i="44"/>
  <c r="AF655" i="44" s="1"/>
  <c r="H656" i="44"/>
  <c r="AF656" i="44" s="1"/>
  <c r="K784" i="44"/>
  <c r="P781" i="44"/>
  <c r="D957" i="44"/>
  <c r="D924" i="44"/>
  <c r="D925" i="44"/>
  <c r="D926" i="44"/>
  <c r="X921" i="44"/>
  <c r="X923" i="44"/>
  <c r="AC681" i="44"/>
  <c r="E682" i="44"/>
  <c r="AR573" i="44"/>
  <c r="AN574" i="44"/>
  <c r="AX263" i="44"/>
  <c r="BB263" i="44" s="1"/>
  <c r="Y823" i="44"/>
  <c r="Y824" i="44" s="1"/>
  <c r="Y825" i="44" s="1"/>
  <c r="Y826" i="44"/>
  <c r="Y858" i="44"/>
  <c r="X858" i="44"/>
  <c r="AC541" i="44"/>
  <c r="E542" i="44"/>
  <c r="E544" i="44"/>
  <c r="X826" i="44"/>
  <c r="X823" i="44"/>
  <c r="X824" i="44" s="1"/>
  <c r="X825" i="44"/>
  <c r="AJ647" i="44"/>
  <c r="L648" i="44"/>
  <c r="AJ648" i="44" s="1"/>
  <c r="T858" i="44"/>
  <c r="U858" i="44"/>
  <c r="AJ678" i="44"/>
  <c r="L683" i="44"/>
  <c r="L690" i="44"/>
  <c r="AJ690" i="44" s="1"/>
  <c r="L681" i="44"/>
  <c r="L682" i="44"/>
  <c r="AJ682" i="44" s="1"/>
  <c r="L685" i="44"/>
  <c r="L679" i="44"/>
  <c r="AJ615" i="44"/>
  <c r="L616" i="44"/>
  <c r="AJ616" i="44" s="1"/>
  <c r="E509" i="44"/>
  <c r="I498" i="44" s="1"/>
  <c r="AC508" i="44"/>
  <c r="U826" i="44"/>
  <c r="U823" i="44"/>
  <c r="U824" i="44" s="1"/>
  <c r="U825" i="44" s="1"/>
  <c r="AX267" i="44"/>
  <c r="BB267" i="44" s="1"/>
  <c r="AR608" i="44"/>
  <c r="AN609" i="44"/>
  <c r="AC296" i="43"/>
  <c r="B295" i="43"/>
  <c r="L816" i="44"/>
  <c r="G820" i="44" s="1"/>
  <c r="H820" i="44"/>
  <c r="AF820" i="44" s="1"/>
  <c r="P814" i="44"/>
  <c r="P813" i="44"/>
  <c r="D820" i="44"/>
  <c r="AB820" i="44" s="1"/>
  <c r="L820" i="44"/>
  <c r="AJ820" i="44" s="1"/>
  <c r="P815" i="44"/>
  <c r="H816" i="44"/>
  <c r="H818" i="44" s="1"/>
  <c r="L815" i="44"/>
  <c r="L817" i="44"/>
  <c r="C820" i="44" s="1"/>
  <c r="D681" i="44"/>
  <c r="AB681" i="44" s="1"/>
  <c r="D682" i="44"/>
  <c r="AB682" i="44" s="1"/>
  <c r="D690" i="44"/>
  <c r="AB690" i="44" s="1"/>
  <c r="D683" i="44"/>
  <c r="AB678" i="44"/>
  <c r="D685" i="44"/>
  <c r="D679" i="44"/>
  <c r="AF621" i="44"/>
  <c r="H622" i="44"/>
  <c r="AF622" i="44" s="1"/>
  <c r="H625" i="44"/>
  <c r="H623" i="44"/>
  <c r="AF623" i="44" s="1"/>
  <c r="H624" i="44"/>
  <c r="AF624" i="44" s="1"/>
  <c r="P858" i="44"/>
  <c r="Q858" i="44"/>
  <c r="D652" i="44"/>
  <c r="AB652" i="44" s="1"/>
  <c r="D650" i="44"/>
  <c r="AB650" i="44" s="1"/>
  <c r="AB649" i="44"/>
  <c r="D653" i="44"/>
  <c r="AB653" i="44" s="1"/>
  <c r="D651" i="44"/>
  <c r="AB651" i="44" s="1"/>
  <c r="AF685" i="44"/>
  <c r="H887" i="44"/>
  <c r="AA892" i="44"/>
  <c r="T890" i="44"/>
  <c r="T889" i="44"/>
  <c r="O892" i="44"/>
  <c r="F294" i="43"/>
  <c r="D851" i="44" s="1"/>
  <c r="D850" i="44"/>
  <c r="D648" i="44"/>
  <c r="AB648" i="44" s="1"/>
  <c r="AB647" i="44"/>
  <c r="T888" i="44"/>
  <c r="S892" i="44"/>
  <c r="AE892" i="44"/>
  <c r="T887" i="44"/>
  <c r="H886" i="44"/>
  <c r="Q823" i="44"/>
  <c r="Q824" i="44" s="1"/>
  <c r="Q825" i="44" s="1"/>
  <c r="Q826" i="44"/>
  <c r="AC645" i="44"/>
  <c r="E646" i="44"/>
  <c r="W892" i="44"/>
  <c r="T885" i="44"/>
  <c r="H885" i="44"/>
  <c r="AI892" i="44"/>
  <c r="T886" i="44"/>
  <c r="P823" i="44"/>
  <c r="P824" i="44" s="1"/>
  <c r="P826" i="44"/>
  <c r="P825" i="44"/>
  <c r="E762" i="44"/>
  <c r="AC762" i="44" s="1"/>
  <c r="E751" i="44"/>
  <c r="AC750" i="44"/>
  <c r="AN679" i="44"/>
  <c r="AR678" i="44"/>
  <c r="AX275" i="44"/>
  <c r="BB275" i="44" s="1"/>
  <c r="AN714" i="44"/>
  <c r="AR683" i="44"/>
  <c r="E507" i="44"/>
  <c r="AC507" i="44" s="1"/>
  <c r="AC506" i="44"/>
  <c r="E611" i="44"/>
  <c r="AC611" i="44" s="1"/>
  <c r="AC610" i="44"/>
  <c r="E612" i="44"/>
  <c r="E716" i="44"/>
  <c r="AC715" i="44"/>
  <c r="H688" i="44" l="1"/>
  <c r="AF688" i="44" s="1"/>
  <c r="H753" i="44"/>
  <c r="AF753" i="44" s="1"/>
  <c r="H687" i="44"/>
  <c r="AF687" i="44" s="1"/>
  <c r="H689" i="44"/>
  <c r="H692" i="44" s="1"/>
  <c r="AF692" i="44" s="1"/>
  <c r="H720" i="44"/>
  <c r="AF720" i="44" s="1"/>
  <c r="H718" i="44"/>
  <c r="AF718" i="44" s="1"/>
  <c r="H719" i="44"/>
  <c r="AF719" i="44" s="1"/>
  <c r="H721" i="44"/>
  <c r="H722" i="44" s="1"/>
  <c r="AF722" i="44" s="1"/>
  <c r="AF750" i="44"/>
  <c r="H751" i="44"/>
  <c r="H752" i="44" s="1"/>
  <c r="AF752" i="44" s="1"/>
  <c r="AF715" i="44"/>
  <c r="I267" i="44"/>
  <c r="AG267" i="44" s="1"/>
  <c r="I266" i="44"/>
  <c r="AG266" i="44" s="1"/>
  <c r="I269" i="44"/>
  <c r="I268" i="44"/>
  <c r="AG268" i="44" s="1"/>
  <c r="AG265" i="44"/>
  <c r="AG393" i="44"/>
  <c r="I396" i="44"/>
  <c r="AG396" i="44" s="1"/>
  <c r="I395" i="44"/>
  <c r="AG395" i="44" s="1"/>
  <c r="I397" i="44"/>
  <c r="I394" i="44"/>
  <c r="AG394" i="44" s="1"/>
  <c r="I304" i="44"/>
  <c r="AG304" i="44" s="1"/>
  <c r="I302" i="44"/>
  <c r="AG302" i="44" s="1"/>
  <c r="I303" i="44"/>
  <c r="AG303" i="44" s="1"/>
  <c r="AG301" i="44"/>
  <c r="I305" i="44"/>
  <c r="I365" i="44"/>
  <c r="AG361" i="44"/>
  <c r="I363" i="44"/>
  <c r="AG363" i="44" s="1"/>
  <c r="I364" i="44"/>
  <c r="AG364" i="44" s="1"/>
  <c r="I362" i="44"/>
  <c r="AG362" i="44" s="1"/>
  <c r="I337" i="44"/>
  <c r="AG333" i="44"/>
  <c r="I334" i="44"/>
  <c r="AG334" i="44" s="1"/>
  <c r="I336" i="44"/>
  <c r="AG336" i="44" s="1"/>
  <c r="I335" i="44"/>
  <c r="AG335" i="44" s="1"/>
  <c r="I465" i="44"/>
  <c r="AG464" i="44"/>
  <c r="AG428" i="44"/>
  <c r="I429" i="44"/>
  <c r="AG498" i="44"/>
  <c r="I499" i="44"/>
  <c r="I522" i="44"/>
  <c r="AG522" i="44" s="1"/>
  <c r="H586" i="44"/>
  <c r="AF586" i="44" s="1"/>
  <c r="AF585" i="44"/>
  <c r="H588" i="44"/>
  <c r="AF588" i="44" s="1"/>
  <c r="H589" i="44"/>
  <c r="H587" i="44"/>
  <c r="AF587" i="44" s="1"/>
  <c r="AO813" i="44"/>
  <c r="E683" i="44"/>
  <c r="AC683" i="44" s="1"/>
  <c r="AC682" i="44"/>
  <c r="E684" i="44"/>
  <c r="E822" i="44"/>
  <c r="D750" i="44"/>
  <c r="AN755" i="44"/>
  <c r="L777" i="44"/>
  <c r="L750" i="44"/>
  <c r="K820" i="44"/>
  <c r="P817" i="44"/>
  <c r="AR719" i="44"/>
  <c r="AN750" i="44"/>
  <c r="AB679" i="44"/>
  <c r="D680" i="44"/>
  <c r="AB680" i="44" s="1"/>
  <c r="AC509" i="44"/>
  <c r="AJ651" i="44"/>
  <c r="L652" i="44"/>
  <c r="AJ652" i="44" s="1"/>
  <c r="AC577" i="44"/>
  <c r="E578" i="44"/>
  <c r="E580" i="44"/>
  <c r="AJ683" i="44"/>
  <c r="L684" i="44"/>
  <c r="AJ684" i="44" s="1"/>
  <c r="U862" i="44"/>
  <c r="U859" i="44"/>
  <c r="U860" i="44" s="1"/>
  <c r="U861" i="44" s="1"/>
  <c r="E717" i="44"/>
  <c r="AC716" i="44"/>
  <c r="AC544" i="44"/>
  <c r="E545" i="44"/>
  <c r="I534" i="44" s="1"/>
  <c r="AC542" i="44"/>
  <c r="E543" i="44"/>
  <c r="AC543" i="44" s="1"/>
  <c r="U894" i="44"/>
  <c r="T894" i="44"/>
  <c r="AB683" i="44"/>
  <c r="D684" i="44"/>
  <c r="AB684" i="44" s="1"/>
  <c r="Q862" i="44"/>
  <c r="Q859" i="44"/>
  <c r="Q860" i="44" s="1"/>
  <c r="Q861" i="44" s="1"/>
  <c r="AJ679" i="44"/>
  <c r="L680" i="44"/>
  <c r="AJ680" i="44" s="1"/>
  <c r="E798" i="44"/>
  <c r="AC798" i="44" s="1"/>
  <c r="E787" i="44"/>
  <c r="AC786" i="44"/>
  <c r="P894" i="44"/>
  <c r="Q894" i="44"/>
  <c r="D718" i="44"/>
  <c r="AB718" i="44" s="1"/>
  <c r="D717" i="44"/>
  <c r="AB717" i="44" s="1"/>
  <c r="D719" i="44"/>
  <c r="AB714" i="44"/>
  <c r="D715" i="44"/>
  <c r="D721" i="44"/>
  <c r="D726" i="44"/>
  <c r="AB726" i="44" s="1"/>
  <c r="X894" i="44"/>
  <c r="Y894" i="44"/>
  <c r="P859" i="44"/>
  <c r="P860" i="44" s="1"/>
  <c r="P861" i="44"/>
  <c r="P862" i="44"/>
  <c r="AJ685" i="44"/>
  <c r="L686" i="44"/>
  <c r="AJ686" i="44" s="1"/>
  <c r="L689" i="44"/>
  <c r="AJ689" i="44" s="1"/>
  <c r="X862" i="44"/>
  <c r="X859" i="44"/>
  <c r="X860" i="44" s="1"/>
  <c r="X861" i="44"/>
  <c r="AM928" i="44"/>
  <c r="H925" i="44"/>
  <c r="X922" i="44"/>
  <c r="AQ928" i="44"/>
  <c r="AX276" i="44"/>
  <c r="BB276" i="44" s="1"/>
  <c r="AN680" i="44"/>
  <c r="AR679" i="44"/>
  <c r="AX264" i="44"/>
  <c r="BB264" i="44" s="1"/>
  <c r="AR574" i="44"/>
  <c r="Y859" i="44"/>
  <c r="Y860" i="44" s="1"/>
  <c r="Y861" i="44" s="1"/>
  <c r="Y862" i="44"/>
  <c r="T926" i="44"/>
  <c r="T925" i="44"/>
  <c r="AA928" i="44"/>
  <c r="H923" i="44"/>
  <c r="O928" i="44"/>
  <c r="AC297" i="43"/>
  <c r="B296" i="43"/>
  <c r="D689" i="44"/>
  <c r="AB689" i="44" s="1"/>
  <c r="D688" i="44"/>
  <c r="AB688" i="44" s="1"/>
  <c r="D686" i="44"/>
  <c r="AB686" i="44" s="1"/>
  <c r="AB685" i="44"/>
  <c r="D687" i="44"/>
  <c r="AB687" i="44" s="1"/>
  <c r="L718" i="44"/>
  <c r="AJ718" i="44" s="1"/>
  <c r="L719" i="44"/>
  <c r="AJ714" i="44"/>
  <c r="L721" i="44"/>
  <c r="L717" i="44"/>
  <c r="L715" i="44"/>
  <c r="L726" i="44"/>
  <c r="AJ726" i="44" s="1"/>
  <c r="E613" i="44"/>
  <c r="AC612" i="44"/>
  <c r="L687" i="44"/>
  <c r="AJ681" i="44"/>
  <c r="S928" i="44"/>
  <c r="T924" i="44"/>
  <c r="AE928" i="44"/>
  <c r="H922" i="44"/>
  <c r="T923" i="44"/>
  <c r="AF657" i="44"/>
  <c r="H659" i="44"/>
  <c r="AF659" i="44" s="1"/>
  <c r="H658" i="44"/>
  <c r="AF658" i="44" s="1"/>
  <c r="H661" i="44"/>
  <c r="H660" i="44"/>
  <c r="AF660" i="44" s="1"/>
  <c r="AR644" i="44"/>
  <c r="AX272" i="44"/>
  <c r="BB272" i="44" s="1"/>
  <c r="AN645" i="44"/>
  <c r="P850" i="44"/>
  <c r="L851" i="44"/>
  <c r="L853" i="44"/>
  <c r="C856" i="44" s="1"/>
  <c r="H852" i="44"/>
  <c r="H854" i="44" s="1"/>
  <c r="H856" i="44"/>
  <c r="AF856" i="44" s="1"/>
  <c r="L852" i="44"/>
  <c r="G856" i="44" s="1"/>
  <c r="L856" i="44"/>
  <c r="AJ856" i="44" s="1"/>
  <c r="D856" i="44"/>
  <c r="AB856" i="44" s="1"/>
  <c r="P851" i="44"/>
  <c r="P849" i="44"/>
  <c r="D993" i="44"/>
  <c r="D961" i="44"/>
  <c r="X957" i="44"/>
  <c r="X959" i="44"/>
  <c r="D960" i="44"/>
  <c r="D962" i="44"/>
  <c r="E752" i="44"/>
  <c r="AC751" i="44"/>
  <c r="AX268" i="44"/>
  <c r="BB268" i="44" s="1"/>
  <c r="AN610" i="44"/>
  <c r="AR609" i="44"/>
  <c r="T861" i="44"/>
  <c r="T859" i="44"/>
  <c r="T860" i="44" s="1"/>
  <c r="T862" i="44"/>
  <c r="AX280" i="44"/>
  <c r="BB280" i="44" s="1"/>
  <c r="AR714" i="44"/>
  <c r="AN715" i="44"/>
  <c r="E647" i="44"/>
  <c r="AC647" i="44" s="1"/>
  <c r="AC646" i="44"/>
  <c r="E648" i="44"/>
  <c r="AF625" i="44"/>
  <c r="H626" i="44"/>
  <c r="AF626" i="44" s="1"/>
  <c r="H629" i="44"/>
  <c r="AF629" i="44" s="1"/>
  <c r="H627" i="44"/>
  <c r="AF627" i="44" s="1"/>
  <c r="H628" i="44"/>
  <c r="AF628" i="44" s="1"/>
  <c r="F295" i="43"/>
  <c r="D887" i="44" s="1"/>
  <c r="D886" i="44"/>
  <c r="AI928" i="44"/>
  <c r="T921" i="44"/>
  <c r="H921" i="44"/>
  <c r="W928" i="44"/>
  <c r="T922" i="44"/>
  <c r="H756" i="44" l="1"/>
  <c r="AF756" i="44" s="1"/>
  <c r="H757" i="44"/>
  <c r="H760" i="44" s="1"/>
  <c r="AF760" i="44" s="1"/>
  <c r="H754" i="44"/>
  <c r="AF754" i="44" s="1"/>
  <c r="AF689" i="44"/>
  <c r="H691" i="44"/>
  <c r="AF691" i="44" s="1"/>
  <c r="H690" i="44"/>
  <c r="AF690" i="44" s="1"/>
  <c r="H755" i="44"/>
  <c r="AF755" i="44" s="1"/>
  <c r="H693" i="44"/>
  <c r="AF693" i="44" s="1"/>
  <c r="AF751" i="44"/>
  <c r="H724" i="44"/>
  <c r="AF724" i="44" s="1"/>
  <c r="H723" i="44"/>
  <c r="AF723" i="44" s="1"/>
  <c r="H725" i="44"/>
  <c r="AF725" i="44" s="1"/>
  <c r="AF721" i="44"/>
  <c r="I467" i="44"/>
  <c r="AG467" i="44" s="1"/>
  <c r="I469" i="44"/>
  <c r="AG465" i="44"/>
  <c r="I466" i="44"/>
  <c r="AG466" i="44" s="1"/>
  <c r="I468" i="44"/>
  <c r="AG468" i="44" s="1"/>
  <c r="I500" i="44"/>
  <c r="AG499" i="44"/>
  <c r="L786" i="44"/>
  <c r="AJ786" i="44" s="1"/>
  <c r="H786" i="44"/>
  <c r="I535" i="44"/>
  <c r="I558" i="44"/>
  <c r="AG558" i="44" s="1"/>
  <c r="AG534" i="44"/>
  <c r="I338" i="44"/>
  <c r="AG338" i="44" s="1"/>
  <c r="I339" i="44"/>
  <c r="AG339" i="44" s="1"/>
  <c r="AG337" i="44"/>
  <c r="I341" i="44"/>
  <c r="I340" i="44"/>
  <c r="AG340" i="44" s="1"/>
  <c r="AF589" i="44"/>
  <c r="H593" i="44"/>
  <c r="AF593" i="44" s="1"/>
  <c r="H592" i="44"/>
  <c r="AF592" i="44" s="1"/>
  <c r="H590" i="44"/>
  <c r="AF590" i="44" s="1"/>
  <c r="H591" i="44"/>
  <c r="AF591" i="44" s="1"/>
  <c r="AG269" i="44"/>
  <c r="M246" i="44"/>
  <c r="AG305" i="44"/>
  <c r="M282" i="44"/>
  <c r="I430" i="44"/>
  <c r="AG430" i="44" s="1"/>
  <c r="AG429" i="44"/>
  <c r="I431" i="44"/>
  <c r="AG431" i="44" s="1"/>
  <c r="I432" i="44"/>
  <c r="AG432" i="44" s="1"/>
  <c r="I433" i="44"/>
  <c r="AG397" i="44"/>
  <c r="I401" i="44"/>
  <c r="I398" i="44"/>
  <c r="AG398" i="44" s="1"/>
  <c r="I400" i="44"/>
  <c r="AG400" i="44" s="1"/>
  <c r="I399" i="44"/>
  <c r="AG399" i="44" s="1"/>
  <c r="I366" i="44"/>
  <c r="AG366" i="44" s="1"/>
  <c r="I369" i="44"/>
  <c r="AG365" i="44"/>
  <c r="I367" i="44"/>
  <c r="AG367" i="44" s="1"/>
  <c r="I368" i="44"/>
  <c r="AG368" i="44" s="1"/>
  <c r="AO849" i="44"/>
  <c r="E579" i="44"/>
  <c r="AC579" i="44" s="1"/>
  <c r="AC578" i="44"/>
  <c r="AB719" i="44"/>
  <c r="D720" i="44"/>
  <c r="AB720" i="44" s="1"/>
  <c r="AJ719" i="44"/>
  <c r="L720" i="44"/>
  <c r="AJ720" i="44" s="1"/>
  <c r="Q895" i="44"/>
  <c r="Q896" i="44" s="1"/>
  <c r="Q897" i="44" s="1"/>
  <c r="Q898" i="44"/>
  <c r="D753" i="44"/>
  <c r="AB753" i="44" s="1"/>
  <c r="D754" i="44"/>
  <c r="AB754" i="44" s="1"/>
  <c r="D757" i="44"/>
  <c r="D762" i="44"/>
  <c r="AB762" i="44" s="1"/>
  <c r="D755" i="44"/>
  <c r="D751" i="44"/>
  <c r="AB750" i="44"/>
  <c r="D723" i="44"/>
  <c r="AB723" i="44" s="1"/>
  <c r="D722" i="44"/>
  <c r="AB722" i="44" s="1"/>
  <c r="AB721" i="44"/>
  <c r="D725" i="44"/>
  <c r="AB725" i="44" s="1"/>
  <c r="D724" i="44"/>
  <c r="AB724" i="44" s="1"/>
  <c r="E581" i="44"/>
  <c r="I570" i="44" s="1"/>
  <c r="AC580" i="44"/>
  <c r="L716" i="44"/>
  <c r="AJ716" i="44" s="1"/>
  <c r="AJ715" i="44"/>
  <c r="P898" i="44"/>
  <c r="P897" i="44"/>
  <c r="P895" i="44"/>
  <c r="P896" i="44" s="1"/>
  <c r="AE964" i="44"/>
  <c r="S964" i="44"/>
  <c r="T959" i="44"/>
  <c r="H958" i="44"/>
  <c r="T960" i="44"/>
  <c r="Y930" i="44"/>
  <c r="X930" i="44"/>
  <c r="Y898" i="44"/>
  <c r="Y895" i="44"/>
  <c r="Y896" i="44" s="1"/>
  <c r="Y897" i="44" s="1"/>
  <c r="L754" i="44"/>
  <c r="AJ754" i="44" s="1"/>
  <c r="L755" i="44"/>
  <c r="L762" i="44"/>
  <c r="AJ762" i="44" s="1"/>
  <c r="L751" i="44"/>
  <c r="L757" i="44"/>
  <c r="AJ750" i="44"/>
  <c r="L753" i="44"/>
  <c r="AX277" i="44"/>
  <c r="BB277" i="44" s="1"/>
  <c r="AN681" i="44"/>
  <c r="AR680" i="44"/>
  <c r="AR610" i="44"/>
  <c r="AX269" i="44"/>
  <c r="BB269" i="44" s="1"/>
  <c r="X897" i="44"/>
  <c r="X898" i="44"/>
  <c r="X895" i="44"/>
  <c r="X896" i="44" s="1"/>
  <c r="AC545" i="44"/>
  <c r="B297" i="43"/>
  <c r="AC298" i="43"/>
  <c r="D786" i="44"/>
  <c r="AN791" i="44"/>
  <c r="L813" i="44"/>
  <c r="AJ721" i="44"/>
  <c r="L725" i="44"/>
  <c r="AJ725" i="44" s="1"/>
  <c r="L722" i="44"/>
  <c r="AJ722" i="44" s="1"/>
  <c r="E834" i="44"/>
  <c r="AC834" i="44" s="1"/>
  <c r="E823" i="44"/>
  <c r="AC822" i="44"/>
  <c r="AF661" i="44"/>
  <c r="H664" i="44"/>
  <c r="AF664" i="44" s="1"/>
  <c r="H665" i="44"/>
  <c r="AF665" i="44" s="1"/>
  <c r="H662" i="44"/>
  <c r="AF662" i="44" s="1"/>
  <c r="H663" i="44"/>
  <c r="AF663" i="44" s="1"/>
  <c r="D998" i="44"/>
  <c r="X995" i="44"/>
  <c r="D996" i="44"/>
  <c r="X993" i="44"/>
  <c r="D997" i="44"/>
  <c r="D1029" i="44"/>
  <c r="AF757" i="44"/>
  <c r="AN786" i="44"/>
  <c r="AR755" i="44"/>
  <c r="L888" i="44"/>
  <c r="G892" i="44" s="1"/>
  <c r="P887" i="44"/>
  <c r="L887" i="44"/>
  <c r="L889" i="44"/>
  <c r="C892" i="44" s="1"/>
  <c r="H888" i="44"/>
  <c r="H890" i="44" s="1"/>
  <c r="P886" i="44"/>
  <c r="P885" i="44"/>
  <c r="D892" i="44"/>
  <c r="AB892" i="44" s="1"/>
  <c r="L892" i="44"/>
  <c r="AJ892" i="44" s="1"/>
  <c r="H892" i="44"/>
  <c r="AF892" i="44" s="1"/>
  <c r="T930" i="44"/>
  <c r="U930" i="44"/>
  <c r="E753" i="44"/>
  <c r="AC752" i="44"/>
  <c r="E858" i="44"/>
  <c r="AC717" i="44"/>
  <c r="E718" i="44"/>
  <c r="E685" i="44"/>
  <c r="AC684" i="44"/>
  <c r="AC613" i="44"/>
  <c r="E616" i="44"/>
  <c r="E614" i="44"/>
  <c r="E649" i="44"/>
  <c r="AC648" i="44"/>
  <c r="AQ964" i="44"/>
  <c r="AM964" i="44"/>
  <c r="H961" i="44"/>
  <c r="X958" i="44"/>
  <c r="L723" i="44"/>
  <c r="AJ717" i="44"/>
  <c r="AX281" i="44"/>
  <c r="BB281" i="44" s="1"/>
  <c r="AN716" i="44"/>
  <c r="AR715" i="44"/>
  <c r="O964" i="44"/>
  <c r="AA964" i="44"/>
  <c r="H959" i="44"/>
  <c r="T961" i="44"/>
  <c r="T962" i="44"/>
  <c r="K856" i="44"/>
  <c r="P853" i="44"/>
  <c r="AJ687" i="44"/>
  <c r="L688" i="44"/>
  <c r="AJ688" i="44" s="1"/>
  <c r="T898" i="44"/>
  <c r="T897" i="44"/>
  <c r="T895" i="44"/>
  <c r="T896" i="44" s="1"/>
  <c r="AR750" i="44"/>
  <c r="AN751" i="44"/>
  <c r="AX285" i="44"/>
  <c r="BB285" i="44" s="1"/>
  <c r="D716" i="44"/>
  <c r="AB716" i="44" s="1"/>
  <c r="AB715" i="44"/>
  <c r="Q930" i="44"/>
  <c r="P930" i="44"/>
  <c r="E788" i="44"/>
  <c r="AC787" i="44"/>
  <c r="U895" i="44"/>
  <c r="U896" i="44" s="1"/>
  <c r="U897" i="44" s="1"/>
  <c r="U898" i="44"/>
  <c r="F296" i="43"/>
  <c r="D923" i="44" s="1"/>
  <c r="D922" i="44"/>
  <c r="T957" i="44"/>
  <c r="W964" i="44"/>
  <c r="T958" i="44"/>
  <c r="H957" i="44"/>
  <c r="AI964" i="44"/>
  <c r="AX273" i="44"/>
  <c r="BB273" i="44" s="1"/>
  <c r="AR645" i="44"/>
  <c r="AN646" i="44"/>
  <c r="H758" i="44" l="1"/>
  <c r="AF758" i="44" s="1"/>
  <c r="H761" i="44"/>
  <c r="AF761" i="44" s="1"/>
  <c r="H759" i="44"/>
  <c r="AF759" i="44" s="1"/>
  <c r="L793" i="44"/>
  <c r="L797" i="44" s="1"/>
  <c r="AJ797" i="44" s="1"/>
  <c r="H726" i="44"/>
  <c r="AF726" i="44" s="1"/>
  <c r="H728" i="44"/>
  <c r="AF728" i="44" s="1"/>
  <c r="H727" i="44"/>
  <c r="AF727" i="44" s="1"/>
  <c r="H694" i="44"/>
  <c r="AF694" i="44" s="1"/>
  <c r="H695" i="44"/>
  <c r="AF695" i="44" s="1"/>
  <c r="H697" i="44"/>
  <c r="H700" i="44" s="1"/>
  <c r="AF700" i="44" s="1"/>
  <c r="H696" i="44"/>
  <c r="AF696" i="44" s="1"/>
  <c r="H729" i="44"/>
  <c r="H730" i="44" s="1"/>
  <c r="AF730" i="44" s="1"/>
  <c r="L790" i="44"/>
  <c r="AJ790" i="44" s="1"/>
  <c r="L791" i="44"/>
  <c r="L792" i="44" s="1"/>
  <c r="AJ792" i="44" s="1"/>
  <c r="L798" i="44"/>
  <c r="AJ798" i="44" s="1"/>
  <c r="L787" i="44"/>
  <c r="L788" i="44" s="1"/>
  <c r="AJ788" i="44" s="1"/>
  <c r="AG433" i="44"/>
  <c r="I434" i="44"/>
  <c r="AG434" i="44" s="1"/>
  <c r="I435" i="44"/>
  <c r="AG435" i="44" s="1"/>
  <c r="I436" i="44"/>
  <c r="AG436" i="44" s="1"/>
  <c r="I437" i="44"/>
  <c r="L822" i="44"/>
  <c r="AJ822" i="44" s="1"/>
  <c r="H822" i="44"/>
  <c r="I571" i="44"/>
  <c r="I594" i="44"/>
  <c r="AG594" i="44" s="1"/>
  <c r="AG570" i="44"/>
  <c r="I371" i="44"/>
  <c r="AG371" i="44" s="1"/>
  <c r="I373" i="44"/>
  <c r="I370" i="44"/>
  <c r="AG370" i="44" s="1"/>
  <c r="I372" i="44"/>
  <c r="AG372" i="44" s="1"/>
  <c r="AG369" i="44"/>
  <c r="I501" i="44"/>
  <c r="AG500" i="44"/>
  <c r="M294" i="44"/>
  <c r="AK294" i="44" s="1"/>
  <c r="M283" i="44"/>
  <c r="AK282" i="44"/>
  <c r="AG341" i="44"/>
  <c r="M318" i="44"/>
  <c r="H810" i="44"/>
  <c r="AF810" i="44" s="1"/>
  <c r="H789" i="44"/>
  <c r="AF786" i="44"/>
  <c r="H787" i="44"/>
  <c r="M258" i="44"/>
  <c r="AK258" i="44" s="1"/>
  <c r="AK246" i="44"/>
  <c r="M247" i="44"/>
  <c r="L789" i="44"/>
  <c r="L795" i="44" s="1"/>
  <c r="L796" i="44" s="1"/>
  <c r="AJ796" i="44" s="1"/>
  <c r="I471" i="44"/>
  <c r="AG471" i="44" s="1"/>
  <c r="I473" i="44"/>
  <c r="I472" i="44"/>
  <c r="AG472" i="44" s="1"/>
  <c r="AG469" i="44"/>
  <c r="I470" i="44"/>
  <c r="AG470" i="44" s="1"/>
  <c r="AG535" i="44"/>
  <c r="I536" i="44"/>
  <c r="AG401" i="44"/>
  <c r="I405" i="44"/>
  <c r="I403" i="44"/>
  <c r="AG403" i="44" s="1"/>
  <c r="I404" i="44"/>
  <c r="AG404" i="44" s="1"/>
  <c r="I402" i="44"/>
  <c r="AG402" i="44" s="1"/>
  <c r="AO885" i="44"/>
  <c r="AX274" i="44"/>
  <c r="BB274" i="44" s="1"/>
  <c r="AR646" i="44"/>
  <c r="E870" i="44"/>
  <c r="AC870" i="44" s="1"/>
  <c r="E859" i="44"/>
  <c r="AC858" i="44"/>
  <c r="AR751" i="44"/>
  <c r="AX286" i="44"/>
  <c r="BB286" i="44" s="1"/>
  <c r="AN752" i="44"/>
  <c r="AJ757" i="44"/>
  <c r="L761" i="44"/>
  <c r="AJ761" i="44" s="1"/>
  <c r="L758" i="44"/>
  <c r="AJ758" i="44" s="1"/>
  <c r="F297" i="43"/>
  <c r="D959" i="44" s="1"/>
  <c r="D958" i="44"/>
  <c r="Y934" i="44"/>
  <c r="Y931" i="44"/>
  <c r="Y932" i="44" s="1"/>
  <c r="Y933" i="44" s="1"/>
  <c r="AC685" i="44"/>
  <c r="E688" i="44"/>
  <c r="E686" i="44"/>
  <c r="L724" i="44"/>
  <c r="AJ724" i="44" s="1"/>
  <c r="AJ723" i="44"/>
  <c r="E719" i="44"/>
  <c r="AC719" i="44" s="1"/>
  <c r="AC718" i="44"/>
  <c r="E720" i="44"/>
  <c r="H762" i="44"/>
  <c r="AF762" i="44" s="1"/>
  <c r="AJ751" i="44"/>
  <c r="L752" i="44"/>
  <c r="AJ752" i="44" s="1"/>
  <c r="E617" i="44"/>
  <c r="I606" i="44" s="1"/>
  <c r="AC616" i="44"/>
  <c r="P921" i="44"/>
  <c r="L924" i="44"/>
  <c r="G928" i="44" s="1"/>
  <c r="L925" i="44"/>
  <c r="C928" i="44" s="1"/>
  <c r="L928" i="44"/>
  <c r="AJ928" i="44" s="1"/>
  <c r="L923" i="44"/>
  <c r="P922" i="44"/>
  <c r="H928" i="44"/>
  <c r="AF928" i="44" s="1"/>
  <c r="H924" i="44"/>
  <c r="H926" i="44" s="1"/>
  <c r="P923" i="44"/>
  <c r="D928" i="44"/>
  <c r="AB928" i="44" s="1"/>
  <c r="AN717" i="44"/>
  <c r="AX282" i="44"/>
  <c r="BB282" i="44" s="1"/>
  <c r="AR716" i="44"/>
  <c r="X1031" i="44"/>
  <c r="D1065" i="44"/>
  <c r="D1034" i="44"/>
  <c r="D1032" i="44"/>
  <c r="D1033" i="44"/>
  <c r="X1029" i="44"/>
  <c r="D822" i="44"/>
  <c r="AN827" i="44"/>
  <c r="L849" i="44"/>
  <c r="H858" i="44" s="1"/>
  <c r="H882" i="44" s="1"/>
  <c r="AF882" i="44" s="1"/>
  <c r="D752" i="44"/>
  <c r="AB752" i="44" s="1"/>
  <c r="AB751" i="44"/>
  <c r="Q966" i="44"/>
  <c r="P966" i="44"/>
  <c r="AA1000" i="44"/>
  <c r="T997" i="44"/>
  <c r="T998" i="44"/>
  <c r="H995" i="44"/>
  <c r="O1000" i="44"/>
  <c r="AC299" i="43"/>
  <c r="B298" i="43"/>
  <c r="AC581" i="44"/>
  <c r="E789" i="44"/>
  <c r="AC788" i="44"/>
  <c r="X966" i="44"/>
  <c r="Y966" i="44"/>
  <c r="T995" i="44"/>
  <c r="AE1000" i="44"/>
  <c r="H994" i="44"/>
  <c r="S1000" i="44"/>
  <c r="T996" i="44"/>
  <c r="AN822" i="44"/>
  <c r="AR791" i="44"/>
  <c r="D756" i="44"/>
  <c r="AB756" i="44" s="1"/>
  <c r="AB755" i="44"/>
  <c r="X931" i="44"/>
  <c r="X932" i="44" s="1"/>
  <c r="X933" i="44"/>
  <c r="X934" i="44"/>
  <c r="AM1000" i="44"/>
  <c r="AQ1000" i="44"/>
  <c r="X994" i="44"/>
  <c r="H997" i="44"/>
  <c r="AB786" i="44"/>
  <c r="D787" i="44"/>
  <c r="D798" i="44"/>
  <c r="AB798" i="44" s="1"/>
  <c r="D791" i="44"/>
  <c r="D789" i="44"/>
  <c r="AB789" i="44" s="1"/>
  <c r="D790" i="44"/>
  <c r="AB790" i="44" s="1"/>
  <c r="D793" i="44"/>
  <c r="P889" i="44"/>
  <c r="K892" i="44"/>
  <c r="AX278" i="44"/>
  <c r="BB278" i="44" s="1"/>
  <c r="AN682" i="44"/>
  <c r="AR681" i="44"/>
  <c r="H894" i="44"/>
  <c r="I894" i="44"/>
  <c r="AN787" i="44"/>
  <c r="AX290" i="44"/>
  <c r="BB290" i="44" s="1"/>
  <c r="AR786" i="44"/>
  <c r="W1000" i="44"/>
  <c r="T993" i="44"/>
  <c r="AI1000" i="44"/>
  <c r="H993" i="44"/>
  <c r="T994" i="44"/>
  <c r="E824" i="44"/>
  <c r="AC823" i="44"/>
  <c r="D760" i="44"/>
  <c r="AB760" i="44" s="1"/>
  <c r="D759" i="44"/>
  <c r="AB759" i="44" s="1"/>
  <c r="D758" i="44"/>
  <c r="AB758" i="44" s="1"/>
  <c r="D761" i="44"/>
  <c r="AB761" i="44" s="1"/>
  <c r="AB757" i="44"/>
  <c r="E615" i="44"/>
  <c r="AC615" i="44" s="1"/>
  <c r="AC614" i="44"/>
  <c r="AC753" i="44"/>
  <c r="E754" i="44"/>
  <c r="U931" i="44"/>
  <c r="U932" i="44" s="1"/>
  <c r="U933" i="44" s="1"/>
  <c r="U934" i="44"/>
  <c r="T934" i="44"/>
  <c r="T933" i="44"/>
  <c r="T931" i="44"/>
  <c r="T932" i="44" s="1"/>
  <c r="L756" i="44"/>
  <c r="AJ756" i="44" s="1"/>
  <c r="AJ755" i="44"/>
  <c r="P933" i="44"/>
  <c r="P934" i="44"/>
  <c r="P931" i="44"/>
  <c r="P932" i="44" s="1"/>
  <c r="AC649" i="44"/>
  <c r="E650" i="44"/>
  <c r="E652" i="44"/>
  <c r="AJ753" i="44"/>
  <c r="L759" i="44"/>
  <c r="U966" i="44"/>
  <c r="T966" i="44"/>
  <c r="Q931" i="44"/>
  <c r="Q932" i="44" s="1"/>
  <c r="Q933" i="44" s="1"/>
  <c r="Q934" i="44"/>
  <c r="E894" i="44"/>
  <c r="D894" i="44"/>
  <c r="H764" i="44" l="1"/>
  <c r="AF764" i="44" s="1"/>
  <c r="H765" i="44"/>
  <c r="AF765" i="44" s="1"/>
  <c r="H763" i="44"/>
  <c r="AF763" i="44" s="1"/>
  <c r="H699" i="44"/>
  <c r="AF699" i="44" s="1"/>
  <c r="AF697" i="44"/>
  <c r="L794" i="44"/>
  <c r="AJ794" i="44" s="1"/>
  <c r="AJ793" i="44"/>
  <c r="H698" i="44"/>
  <c r="AF698" i="44" s="1"/>
  <c r="H701" i="44"/>
  <c r="AF701" i="44" s="1"/>
  <c r="H859" i="44"/>
  <c r="H860" i="44" s="1"/>
  <c r="AF860" i="44" s="1"/>
  <c r="H861" i="44"/>
  <c r="H862" i="44" s="1"/>
  <c r="AF862" i="44" s="1"/>
  <c r="AF858" i="44"/>
  <c r="H731" i="44"/>
  <c r="AF731" i="44" s="1"/>
  <c r="H733" i="44"/>
  <c r="AF733" i="44" s="1"/>
  <c r="H732" i="44"/>
  <c r="AF732" i="44" s="1"/>
  <c r="AF729" i="44"/>
  <c r="AJ791" i="44"/>
  <c r="AJ789" i="44"/>
  <c r="L834" i="44"/>
  <c r="AJ834" i="44" s="1"/>
  <c r="L825" i="44"/>
  <c r="L831" i="44" s="1"/>
  <c r="AJ831" i="44" s="1"/>
  <c r="L829" i="44"/>
  <c r="L830" i="44" s="1"/>
  <c r="AJ830" i="44" s="1"/>
  <c r="L827" i="44"/>
  <c r="L828" i="44" s="1"/>
  <c r="AJ828" i="44" s="1"/>
  <c r="AJ787" i="44"/>
  <c r="M248" i="44"/>
  <c r="AK247" i="44"/>
  <c r="I607" i="44"/>
  <c r="I630" i="44"/>
  <c r="AG630" i="44" s="1"/>
  <c r="AG606" i="44"/>
  <c r="H790" i="44"/>
  <c r="AF790" i="44" s="1"/>
  <c r="H793" i="44"/>
  <c r="H791" i="44"/>
  <c r="AF791" i="44" s="1"/>
  <c r="H792" i="44"/>
  <c r="AF792" i="44" s="1"/>
  <c r="AF789" i="44"/>
  <c r="AG571" i="44"/>
  <c r="I572" i="44"/>
  <c r="H788" i="44"/>
  <c r="AF788" i="44" s="1"/>
  <c r="AF787" i="44"/>
  <c r="AG405" i="44"/>
  <c r="I409" i="44"/>
  <c r="I406" i="44"/>
  <c r="AG406" i="44" s="1"/>
  <c r="I408" i="44"/>
  <c r="AG408" i="44" s="1"/>
  <c r="I407" i="44"/>
  <c r="AG407" i="44" s="1"/>
  <c r="H846" i="44"/>
  <c r="AF846" i="44" s="1"/>
  <c r="AF822" i="44"/>
  <c r="H823" i="44"/>
  <c r="H825" i="44"/>
  <c r="M330" i="44"/>
  <c r="AK330" i="44" s="1"/>
  <c r="AK318" i="44"/>
  <c r="M319" i="44"/>
  <c r="L823" i="44"/>
  <c r="AJ823" i="44" s="1"/>
  <c r="AK283" i="44"/>
  <c r="M284" i="44"/>
  <c r="I505" i="44"/>
  <c r="AG501" i="44"/>
  <c r="I504" i="44"/>
  <c r="AG504" i="44" s="1"/>
  <c r="I503" i="44"/>
  <c r="AG503" i="44" s="1"/>
  <c r="I502" i="44"/>
  <c r="AG502" i="44" s="1"/>
  <c r="AG373" i="44"/>
  <c r="I377" i="44"/>
  <c r="I376" i="44"/>
  <c r="AG376" i="44" s="1"/>
  <c r="I374" i="44"/>
  <c r="AG374" i="44" s="1"/>
  <c r="I375" i="44"/>
  <c r="AG375" i="44" s="1"/>
  <c r="AG536" i="44"/>
  <c r="I537" i="44"/>
  <c r="AJ795" i="44"/>
  <c r="L826" i="44"/>
  <c r="AJ826" i="44" s="1"/>
  <c r="AG473" i="44"/>
  <c r="I474" i="44"/>
  <c r="AG474" i="44" s="1"/>
  <c r="I475" i="44"/>
  <c r="AG475" i="44" s="1"/>
  <c r="I476" i="44"/>
  <c r="AG476" i="44" s="1"/>
  <c r="I477" i="44"/>
  <c r="I439" i="44"/>
  <c r="AG439" i="44" s="1"/>
  <c r="I441" i="44"/>
  <c r="I438" i="44"/>
  <c r="AG438" i="44" s="1"/>
  <c r="I440" i="44"/>
  <c r="AG440" i="44" s="1"/>
  <c r="AG437" i="44"/>
  <c r="AO921" i="44"/>
  <c r="E687" i="44"/>
  <c r="AC687" i="44" s="1"/>
  <c r="AC686" i="44"/>
  <c r="E860" i="44"/>
  <c r="AC859" i="44"/>
  <c r="E755" i="44"/>
  <c r="AC755" i="44" s="1"/>
  <c r="AC754" i="44"/>
  <c r="E756" i="44"/>
  <c r="E930" i="44"/>
  <c r="D930" i="44"/>
  <c r="AC617" i="44"/>
  <c r="AR787" i="44"/>
  <c r="AX291" i="44"/>
  <c r="BB291" i="44" s="1"/>
  <c r="AN788" i="44"/>
  <c r="F298" i="43"/>
  <c r="D995" i="44" s="1"/>
  <c r="D994" i="44"/>
  <c r="L858" i="44"/>
  <c r="AN863" i="44"/>
  <c r="L885" i="44"/>
  <c r="D858" i="44"/>
  <c r="I930" i="44"/>
  <c r="H930" i="44"/>
  <c r="AC300" i="43"/>
  <c r="B299" i="43"/>
  <c r="AR827" i="44"/>
  <c r="AN858" i="44"/>
  <c r="Y970" i="44"/>
  <c r="Y967" i="44"/>
  <c r="Y968" i="44" s="1"/>
  <c r="Y969" i="44" s="1"/>
  <c r="D897" i="44"/>
  <c r="D906" i="44"/>
  <c r="AB906" i="44" s="1"/>
  <c r="D895" i="44"/>
  <c r="AB894" i="44"/>
  <c r="H1031" i="44"/>
  <c r="T1034" i="44"/>
  <c r="T1033" i="44"/>
  <c r="AA1036" i="44"/>
  <c r="O1036" i="44"/>
  <c r="M894" i="44"/>
  <c r="L894" i="44"/>
  <c r="E653" i="44"/>
  <c r="I642" i="44" s="1"/>
  <c r="AC652" i="44"/>
  <c r="D826" i="44"/>
  <c r="AB826" i="44" s="1"/>
  <c r="AB822" i="44"/>
  <c r="D823" i="44"/>
  <c r="D827" i="44"/>
  <c r="D834" i="44"/>
  <c r="AB834" i="44" s="1"/>
  <c r="D825" i="44"/>
  <c r="AB825" i="44" s="1"/>
  <c r="D829" i="44"/>
  <c r="P957" i="44"/>
  <c r="L960" i="44"/>
  <c r="G964" i="44" s="1"/>
  <c r="L964" i="44"/>
  <c r="AJ964" i="44" s="1"/>
  <c r="H964" i="44"/>
  <c r="AF964" i="44" s="1"/>
  <c r="D964" i="44"/>
  <c r="AB964" i="44" s="1"/>
  <c r="P958" i="44"/>
  <c r="L959" i="44"/>
  <c r="L961" i="44"/>
  <c r="C964" i="44" s="1"/>
  <c r="P959" i="44"/>
  <c r="H960" i="44"/>
  <c r="H962" i="44" s="1"/>
  <c r="AE1036" i="44"/>
  <c r="T1031" i="44"/>
  <c r="S1036" i="44"/>
  <c r="H1030" i="44"/>
  <c r="T1032" i="44"/>
  <c r="AC789" i="44"/>
  <c r="E790" i="44"/>
  <c r="T967" i="44"/>
  <c r="T968" i="44" s="1"/>
  <c r="T969" i="44"/>
  <c r="T970" i="44"/>
  <c r="Q1002" i="44"/>
  <c r="P1002" i="44"/>
  <c r="D792" i="44"/>
  <c r="AB792" i="44" s="1"/>
  <c r="AB791" i="44"/>
  <c r="H768" i="44"/>
  <c r="AF768" i="44" s="1"/>
  <c r="T1002" i="44"/>
  <c r="U1002" i="44"/>
  <c r="X969" i="44"/>
  <c r="X970" i="44"/>
  <c r="X967" i="44"/>
  <c r="X968" i="44" s="1"/>
  <c r="W1036" i="44"/>
  <c r="H1029" i="44"/>
  <c r="AI1036" i="44"/>
  <c r="T1030" i="44"/>
  <c r="T1029" i="44"/>
  <c r="D1070" i="44"/>
  <c r="X1067" i="44"/>
  <c r="D1101" i="44"/>
  <c r="D1068" i="44"/>
  <c r="X1065" i="44"/>
  <c r="D1069" i="44"/>
  <c r="L760" i="44"/>
  <c r="AJ760" i="44" s="1"/>
  <c r="AJ759" i="44"/>
  <c r="X1002" i="44"/>
  <c r="Y1002" i="44"/>
  <c r="D788" i="44"/>
  <c r="AB788" i="44" s="1"/>
  <c r="AB787" i="44"/>
  <c r="AX279" i="44"/>
  <c r="BB279" i="44" s="1"/>
  <c r="AR682" i="44"/>
  <c r="D796" i="44"/>
  <c r="AB796" i="44" s="1"/>
  <c r="D794" i="44"/>
  <c r="AB794" i="44" s="1"/>
  <c r="D797" i="44"/>
  <c r="AB797" i="44" s="1"/>
  <c r="D795" i="44"/>
  <c r="AB795" i="44" s="1"/>
  <c r="AB793" i="44"/>
  <c r="U967" i="44"/>
  <c r="U968" i="44" s="1"/>
  <c r="U969" i="44" s="1"/>
  <c r="U970" i="44"/>
  <c r="I918" i="44"/>
  <c r="AG918" i="44" s="1"/>
  <c r="I895" i="44"/>
  <c r="AG894" i="44"/>
  <c r="E721" i="44"/>
  <c r="AC720" i="44"/>
  <c r="E689" i="44"/>
  <c r="I678" i="44" s="1"/>
  <c r="AC688" i="44"/>
  <c r="E825" i="44"/>
  <c r="AC824" i="44"/>
  <c r="AF894" i="44"/>
  <c r="H895" i="44"/>
  <c r="H897" i="44"/>
  <c r="H918" i="44"/>
  <c r="AF918" i="44" s="1"/>
  <c r="P969" i="44"/>
  <c r="P970" i="44"/>
  <c r="P967" i="44"/>
  <c r="P968" i="44" s="1"/>
  <c r="AX283" i="44"/>
  <c r="BB283" i="44" s="1"/>
  <c r="AN718" i="44"/>
  <c r="AR717" i="44"/>
  <c r="K928" i="44"/>
  <c r="P925" i="44"/>
  <c r="E895" i="44"/>
  <c r="E906" i="44"/>
  <c r="AC906" i="44" s="1"/>
  <c r="AC894" i="44"/>
  <c r="E651" i="44"/>
  <c r="AC651" i="44" s="1"/>
  <c r="AC650" i="44"/>
  <c r="AR822" i="44"/>
  <c r="AX295" i="44"/>
  <c r="BB295" i="44" s="1"/>
  <c r="AN823" i="44"/>
  <c r="Q970" i="44"/>
  <c r="Q967" i="44"/>
  <c r="Q968" i="44" s="1"/>
  <c r="Q969" i="44" s="1"/>
  <c r="X1030" i="44"/>
  <c r="H1033" i="44"/>
  <c r="AM1036" i="44"/>
  <c r="AQ1036" i="44"/>
  <c r="AX287" i="44"/>
  <c r="BB287" i="44" s="1"/>
  <c r="AR752" i="44"/>
  <c r="AN753" i="44"/>
  <c r="H769" i="44" l="1"/>
  <c r="H770" i="44" s="1"/>
  <c r="AF770" i="44" s="1"/>
  <c r="H766" i="44"/>
  <c r="AF766" i="44" s="1"/>
  <c r="H767" i="44"/>
  <c r="AF767" i="44" s="1"/>
  <c r="AF859" i="44"/>
  <c r="H863" i="44"/>
  <c r="AF863" i="44" s="1"/>
  <c r="H864" i="44"/>
  <c r="AF864" i="44" s="1"/>
  <c r="AF861" i="44"/>
  <c r="H865" i="44"/>
  <c r="H866" i="44" s="1"/>
  <c r="AF866" i="44" s="1"/>
  <c r="H734" i="44"/>
  <c r="AF734" i="44" s="1"/>
  <c r="H736" i="44"/>
  <c r="AF736" i="44" s="1"/>
  <c r="H737" i="44"/>
  <c r="AF737" i="44" s="1"/>
  <c r="H735" i="44"/>
  <c r="AF735" i="44" s="1"/>
  <c r="L832" i="44"/>
  <c r="AJ832" i="44" s="1"/>
  <c r="AJ829" i="44"/>
  <c r="AJ827" i="44"/>
  <c r="L833" i="44"/>
  <c r="AJ833" i="44" s="1"/>
  <c r="AJ825" i="44"/>
  <c r="AK284" i="44"/>
  <c r="M285" i="44"/>
  <c r="AG409" i="44"/>
  <c r="I410" i="44"/>
  <c r="AG410" i="44" s="1"/>
  <c r="I412" i="44"/>
  <c r="AG412" i="44" s="1"/>
  <c r="I413" i="44"/>
  <c r="I411" i="44"/>
  <c r="AG411" i="44" s="1"/>
  <c r="L824" i="44"/>
  <c r="AJ824" i="44" s="1"/>
  <c r="H828" i="44"/>
  <c r="AF828" i="44" s="1"/>
  <c r="AF825" i="44"/>
  <c r="H829" i="44"/>
  <c r="H826" i="44"/>
  <c r="AF826" i="44" s="1"/>
  <c r="H827" i="44"/>
  <c r="AF827" i="44" s="1"/>
  <c r="AF793" i="44"/>
  <c r="H796" i="44"/>
  <c r="AF796" i="44" s="1"/>
  <c r="H797" i="44"/>
  <c r="H794" i="44"/>
  <c r="AF794" i="44" s="1"/>
  <c r="H795" i="44"/>
  <c r="AF795" i="44" s="1"/>
  <c r="I479" i="44"/>
  <c r="AG479" i="44" s="1"/>
  <c r="I480" i="44"/>
  <c r="AG480" i="44" s="1"/>
  <c r="I481" i="44"/>
  <c r="I478" i="44"/>
  <c r="AG478" i="44" s="1"/>
  <c r="AG477" i="44"/>
  <c r="H824" i="44"/>
  <c r="AF824" i="44" s="1"/>
  <c r="AF823" i="44"/>
  <c r="I541" i="44"/>
  <c r="I539" i="44"/>
  <c r="AG539" i="44" s="1"/>
  <c r="I540" i="44"/>
  <c r="AG540" i="44" s="1"/>
  <c r="I538" i="44"/>
  <c r="AG538" i="44" s="1"/>
  <c r="AG537" i="44"/>
  <c r="AK319" i="44"/>
  <c r="M320" i="44"/>
  <c r="AG377" i="44"/>
  <c r="M354" i="44"/>
  <c r="I666" i="44"/>
  <c r="AG666" i="44" s="1"/>
  <c r="I643" i="44"/>
  <c r="AG642" i="44"/>
  <c r="I573" i="44"/>
  <c r="AG572" i="44"/>
  <c r="I608" i="44"/>
  <c r="AG607" i="44"/>
  <c r="I443" i="44"/>
  <c r="AG443" i="44" s="1"/>
  <c r="AG441" i="44"/>
  <c r="I444" i="44"/>
  <c r="AG444" i="44" s="1"/>
  <c r="I445" i="44"/>
  <c r="I442" i="44"/>
  <c r="AG442" i="44" s="1"/>
  <c r="I506" i="44"/>
  <c r="AG506" i="44" s="1"/>
  <c r="I507" i="44"/>
  <c r="AG507" i="44" s="1"/>
  <c r="I508" i="44"/>
  <c r="AG508" i="44" s="1"/>
  <c r="I509" i="44"/>
  <c r="AG505" i="44"/>
  <c r="AG678" i="44"/>
  <c r="I679" i="44"/>
  <c r="I702" i="44"/>
  <c r="AG702" i="44" s="1"/>
  <c r="AK248" i="44"/>
  <c r="M249" i="44"/>
  <c r="AO957" i="44"/>
  <c r="E791" i="44"/>
  <c r="AC791" i="44" s="1"/>
  <c r="AC790" i="44"/>
  <c r="E792" i="44"/>
  <c r="H896" i="44"/>
  <c r="AF896" i="44" s="1"/>
  <c r="AF895" i="44"/>
  <c r="L930" i="44"/>
  <c r="M930" i="44"/>
  <c r="U1038" i="44"/>
  <c r="T1038" i="44"/>
  <c r="D828" i="44"/>
  <c r="AB828" i="44" s="1"/>
  <c r="AB827" i="44"/>
  <c r="D861" i="44"/>
  <c r="AB861" i="44" s="1"/>
  <c r="D865" i="44"/>
  <c r="D870" i="44"/>
  <c r="AB870" i="44" s="1"/>
  <c r="D863" i="44"/>
  <c r="AB858" i="44"/>
  <c r="D862" i="44"/>
  <c r="AB862" i="44" s="1"/>
  <c r="D859" i="44"/>
  <c r="E757" i="44"/>
  <c r="AC756" i="44"/>
  <c r="AR823" i="44"/>
  <c r="AN824" i="44"/>
  <c r="AX296" i="44"/>
  <c r="BB296" i="44" s="1"/>
  <c r="AB823" i="44"/>
  <c r="D824" i="44"/>
  <c r="AB824" i="44" s="1"/>
  <c r="D896" i="44"/>
  <c r="AB896" i="44" s="1"/>
  <c r="AB895" i="44"/>
  <c r="AN899" i="44"/>
  <c r="L921" i="44"/>
  <c r="D832" i="44"/>
  <c r="AB832" i="44" s="1"/>
  <c r="D831" i="44"/>
  <c r="AB831" i="44" s="1"/>
  <c r="AB829" i="44"/>
  <c r="D830" i="44"/>
  <c r="AB830" i="44" s="1"/>
  <c r="D833" i="44"/>
  <c r="AB833" i="44" s="1"/>
  <c r="E896" i="44"/>
  <c r="AC895" i="44"/>
  <c r="T1006" i="44"/>
  <c r="T1005" i="44"/>
  <c r="T1003" i="44"/>
  <c r="T1004" i="44" s="1"/>
  <c r="AN894" i="44"/>
  <c r="AR863" i="44"/>
  <c r="L906" i="44"/>
  <c r="AJ906" i="44" s="1"/>
  <c r="L897" i="44"/>
  <c r="L895" i="44"/>
  <c r="AJ894" i="44"/>
  <c r="H933" i="44"/>
  <c r="H931" i="44"/>
  <c r="H954" i="44"/>
  <c r="AF954" i="44" s="1"/>
  <c r="AF930" i="44"/>
  <c r="AC689" i="44"/>
  <c r="Y1006" i="44"/>
  <c r="Y1003" i="44"/>
  <c r="Y1004" i="44" s="1"/>
  <c r="Y1005" i="44" s="1"/>
  <c r="E966" i="44"/>
  <c r="D966" i="44"/>
  <c r="AC653" i="44"/>
  <c r="M906" i="44"/>
  <c r="AK906" i="44" s="1"/>
  <c r="M895" i="44"/>
  <c r="AK894" i="44"/>
  <c r="L995" i="44"/>
  <c r="P995" i="44"/>
  <c r="P994" i="44"/>
  <c r="H1000" i="44"/>
  <c r="AF1000" i="44" s="1"/>
  <c r="H996" i="44"/>
  <c r="H998" i="44" s="1"/>
  <c r="P993" i="44"/>
  <c r="D1000" i="44"/>
  <c r="AB1000" i="44" s="1"/>
  <c r="L1000" i="44"/>
  <c r="AJ1000" i="44" s="1"/>
  <c r="L997" i="44"/>
  <c r="C1000" i="44" s="1"/>
  <c r="L996" i="44"/>
  <c r="G1000" i="44" s="1"/>
  <c r="P961" i="44"/>
  <c r="K964" i="44"/>
  <c r="AR858" i="44"/>
  <c r="AX300" i="44"/>
  <c r="BB300" i="44" s="1"/>
  <c r="AN859" i="44"/>
  <c r="E861" i="44"/>
  <c r="AC860" i="44"/>
  <c r="E931" i="44"/>
  <c r="E942" i="44"/>
  <c r="AC942" i="44" s="1"/>
  <c r="AC930" i="44"/>
  <c r="AB897" i="44"/>
  <c r="D901" i="44"/>
  <c r="D899" i="44"/>
  <c r="AB899" i="44" s="1"/>
  <c r="D900" i="44"/>
  <c r="AB900" i="44" s="1"/>
  <c r="D898" i="44"/>
  <c r="AB898" i="44" s="1"/>
  <c r="X1003" i="44"/>
  <c r="X1004" i="44" s="1"/>
  <c r="X1005" i="44"/>
  <c r="X1006" i="44"/>
  <c r="AX284" i="44"/>
  <c r="BB284" i="44" s="1"/>
  <c r="AR718" i="44"/>
  <c r="P1006" i="44"/>
  <c r="P1005" i="44"/>
  <c r="P1003" i="44"/>
  <c r="P1004" i="44" s="1"/>
  <c r="AQ1072" i="44"/>
  <c r="AM1072" i="44"/>
  <c r="H1069" i="44"/>
  <c r="X1066" i="44"/>
  <c r="I896" i="44"/>
  <c r="AG895" i="44"/>
  <c r="Q1006" i="44"/>
  <c r="Q1003" i="44"/>
  <c r="Q1004" i="44" s="1"/>
  <c r="Q1005" i="44" s="1"/>
  <c r="F299" i="43"/>
  <c r="D1031" i="44" s="1"/>
  <c r="D1030" i="44"/>
  <c r="W1072" i="44"/>
  <c r="H1065" i="44"/>
  <c r="AI1072" i="44"/>
  <c r="T1066" i="44"/>
  <c r="T1065" i="44"/>
  <c r="I931" i="44"/>
  <c r="I954" i="44"/>
  <c r="AG954" i="44" s="1"/>
  <c r="AG930" i="44"/>
  <c r="AC825" i="44"/>
  <c r="E826" i="44"/>
  <c r="AC721" i="44"/>
  <c r="E722" i="44"/>
  <c r="E724" i="44"/>
  <c r="X1038" i="44"/>
  <c r="Y1038" i="44"/>
  <c r="B300" i="43"/>
  <c r="AC301" i="43"/>
  <c r="U1003" i="44"/>
  <c r="U1004" i="44" s="1"/>
  <c r="U1005" i="44" s="1"/>
  <c r="U1006" i="44"/>
  <c r="AF897" i="44"/>
  <c r="H899" i="44"/>
  <c r="AF899" i="44" s="1"/>
  <c r="H901" i="44"/>
  <c r="H900" i="44"/>
  <c r="AF900" i="44" s="1"/>
  <c r="H898" i="44"/>
  <c r="AF898" i="44" s="1"/>
  <c r="X1103" i="44"/>
  <c r="D1137" i="44"/>
  <c r="D1104" i="44"/>
  <c r="X1101" i="44"/>
  <c r="D1105" i="44"/>
  <c r="D1106" i="44"/>
  <c r="T1070" i="44"/>
  <c r="AA1072" i="44"/>
  <c r="T1069" i="44"/>
  <c r="O1072" i="44"/>
  <c r="H1067" i="44"/>
  <c r="L863" i="44"/>
  <c r="L865" i="44"/>
  <c r="L870" i="44"/>
  <c r="AJ870" i="44" s="1"/>
  <c r="L859" i="44"/>
  <c r="AJ858" i="44"/>
  <c r="L862" i="44"/>
  <c r="AJ862" i="44" s="1"/>
  <c r="L861" i="44"/>
  <c r="AX288" i="44"/>
  <c r="BB288" i="44" s="1"/>
  <c r="AN754" i="44"/>
  <c r="AR753" i="44"/>
  <c r="H1066" i="44"/>
  <c r="S1072" i="44"/>
  <c r="T1067" i="44"/>
  <c r="T1068" i="44"/>
  <c r="AE1072" i="44"/>
  <c r="I966" i="44"/>
  <c r="H966" i="44"/>
  <c r="P1038" i="44"/>
  <c r="Q1038" i="44"/>
  <c r="AR788" i="44"/>
  <c r="AN789" i="44"/>
  <c r="AX292" i="44"/>
  <c r="BB292" i="44" s="1"/>
  <c r="D942" i="44"/>
  <c r="AB942" i="44" s="1"/>
  <c r="D933" i="44"/>
  <c r="D931" i="44"/>
  <c r="AB930" i="44"/>
  <c r="H771" i="44" l="1"/>
  <c r="AF771" i="44" s="1"/>
  <c r="H772" i="44"/>
  <c r="AF772" i="44" s="1"/>
  <c r="AF769" i="44"/>
  <c r="H773" i="44"/>
  <c r="AF773" i="44" s="1"/>
  <c r="AF865" i="44"/>
  <c r="H867" i="44"/>
  <c r="AF867" i="44" s="1"/>
  <c r="H868" i="44"/>
  <c r="AF868" i="44" s="1"/>
  <c r="H869" i="44"/>
  <c r="H870" i="44" s="1"/>
  <c r="AF870" i="44" s="1"/>
  <c r="I544" i="44"/>
  <c r="AG544" i="44" s="1"/>
  <c r="I545" i="44"/>
  <c r="AG541" i="44"/>
  <c r="I542" i="44"/>
  <c r="AG542" i="44" s="1"/>
  <c r="I543" i="44"/>
  <c r="AG543" i="44" s="1"/>
  <c r="I577" i="44"/>
  <c r="I575" i="44"/>
  <c r="AG575" i="44" s="1"/>
  <c r="I574" i="44"/>
  <c r="AG574" i="44" s="1"/>
  <c r="I576" i="44"/>
  <c r="AG576" i="44" s="1"/>
  <c r="AG573" i="44"/>
  <c r="AG413" i="44"/>
  <c r="M390" i="44"/>
  <c r="AF797" i="44"/>
  <c r="H800" i="44"/>
  <c r="AF800" i="44" s="1"/>
  <c r="H798" i="44"/>
  <c r="AF798" i="44" s="1"/>
  <c r="H799" i="44"/>
  <c r="AF799" i="44" s="1"/>
  <c r="H801" i="44"/>
  <c r="I680" i="44"/>
  <c r="AG679" i="44"/>
  <c r="I483" i="44"/>
  <c r="AG483" i="44" s="1"/>
  <c r="I484" i="44"/>
  <c r="AG484" i="44" s="1"/>
  <c r="I482" i="44"/>
  <c r="AG482" i="44" s="1"/>
  <c r="AG481" i="44"/>
  <c r="I485" i="44"/>
  <c r="AK320" i="44"/>
  <c r="M321" i="44"/>
  <c r="AF829" i="44"/>
  <c r="H832" i="44"/>
  <c r="AF832" i="44" s="1"/>
  <c r="H831" i="44"/>
  <c r="AF831" i="44" s="1"/>
  <c r="H830" i="44"/>
  <c r="AF830" i="44" s="1"/>
  <c r="H833" i="44"/>
  <c r="M253" i="44"/>
  <c r="M251" i="44"/>
  <c r="AK251" i="44" s="1"/>
  <c r="M252" i="44"/>
  <c r="AK252" i="44" s="1"/>
  <c r="AK249" i="44"/>
  <c r="M250" i="44"/>
  <c r="AK250" i="44" s="1"/>
  <c r="AO993" i="44"/>
  <c r="AG643" i="44"/>
  <c r="I644" i="44"/>
  <c r="AG608" i="44"/>
  <c r="I609" i="44"/>
  <c r="I447" i="44"/>
  <c r="AG447" i="44" s="1"/>
  <c r="I448" i="44"/>
  <c r="AG448" i="44" s="1"/>
  <c r="I446" i="44"/>
  <c r="AG446" i="44" s="1"/>
  <c r="AG445" i="44"/>
  <c r="I449" i="44"/>
  <c r="I510" i="44"/>
  <c r="AG510" i="44" s="1"/>
  <c r="I512" i="44"/>
  <c r="AG512" i="44" s="1"/>
  <c r="I511" i="44"/>
  <c r="AG511" i="44" s="1"/>
  <c r="AG509" i="44"/>
  <c r="I513" i="44"/>
  <c r="M355" i="44"/>
  <c r="AK354" i="44"/>
  <c r="M366" i="44"/>
  <c r="AK366" i="44" s="1"/>
  <c r="M288" i="44"/>
  <c r="AK288" i="44" s="1"/>
  <c r="M287" i="44"/>
  <c r="AK287" i="44" s="1"/>
  <c r="M286" i="44"/>
  <c r="AK286" i="44" s="1"/>
  <c r="AK285" i="44"/>
  <c r="M289" i="44"/>
  <c r="H1036" i="44"/>
  <c r="AF1036" i="44" s="1"/>
  <c r="L1031" i="44"/>
  <c r="L1033" i="44"/>
  <c r="C1036" i="44" s="1"/>
  <c r="L1032" i="44"/>
  <c r="G1036" i="44" s="1"/>
  <c r="D1036" i="44"/>
  <c r="AB1036" i="44" s="1"/>
  <c r="L1036" i="44"/>
  <c r="AJ1036" i="44" s="1"/>
  <c r="P1029" i="44"/>
  <c r="H1032" i="44"/>
  <c r="H1034" i="44" s="1"/>
  <c r="P1031" i="44"/>
  <c r="P1030" i="44"/>
  <c r="M896" i="44"/>
  <c r="AK895" i="44"/>
  <c r="AJ897" i="44"/>
  <c r="L898" i="44"/>
  <c r="AJ898" i="44" s="1"/>
  <c r="L903" i="44"/>
  <c r="L901" i="44"/>
  <c r="L899" i="44"/>
  <c r="Q1039" i="44"/>
  <c r="Q1040" i="44" s="1"/>
  <c r="Q1041" i="44" s="1"/>
  <c r="Q1042" i="44"/>
  <c r="O1108" i="44"/>
  <c r="T1105" i="44"/>
  <c r="H1103" i="44"/>
  <c r="T1106" i="44"/>
  <c r="AA1108" i="44"/>
  <c r="H1002" i="44"/>
  <c r="I1002" i="44"/>
  <c r="AB863" i="44"/>
  <c r="D864" i="44"/>
  <c r="AB864" i="44" s="1"/>
  <c r="E1002" i="44"/>
  <c r="D1002" i="44"/>
  <c r="AN930" i="44"/>
  <c r="AR899" i="44"/>
  <c r="I967" i="44"/>
  <c r="I990" i="44"/>
  <c r="AG990" i="44" s="1"/>
  <c r="AG966" i="44"/>
  <c r="AB966" i="44"/>
  <c r="D969" i="44"/>
  <c r="D978" i="44"/>
  <c r="AB978" i="44" s="1"/>
  <c r="D967" i="44"/>
  <c r="AC966" i="44"/>
  <c r="E978" i="44"/>
  <c r="AC978" i="44" s="1"/>
  <c r="E967" i="44"/>
  <c r="D867" i="44"/>
  <c r="AB867" i="44" s="1"/>
  <c r="D869" i="44"/>
  <c r="AB869" i="44" s="1"/>
  <c r="D866" i="44"/>
  <c r="AB866" i="44" s="1"/>
  <c r="AB865" i="44"/>
  <c r="D868" i="44"/>
  <c r="AB868" i="44" s="1"/>
  <c r="H1102" i="44"/>
  <c r="T1103" i="44"/>
  <c r="T1104" i="44"/>
  <c r="AE1108" i="44"/>
  <c r="S1108" i="44"/>
  <c r="E932" i="44"/>
  <c r="AC931" i="44"/>
  <c r="T1039" i="44"/>
  <c r="T1040" i="44" s="1"/>
  <c r="T1042" i="44"/>
  <c r="T1041" i="44"/>
  <c r="M931" i="44"/>
  <c r="M942" i="44"/>
  <c r="AK942" i="44" s="1"/>
  <c r="AK930" i="44"/>
  <c r="AF901" i="44"/>
  <c r="H905" i="44"/>
  <c r="H904" i="44"/>
  <c r="AF904" i="44" s="1"/>
  <c r="H902" i="44"/>
  <c r="AF902" i="44" s="1"/>
  <c r="H903" i="44"/>
  <c r="AF903" i="44" s="1"/>
  <c r="I932" i="44"/>
  <c r="AG931" i="44"/>
  <c r="P1041" i="44"/>
  <c r="P1042" i="44"/>
  <c r="P1039" i="44"/>
  <c r="P1040" i="44" s="1"/>
  <c r="AC302" i="43"/>
  <c r="B301" i="43"/>
  <c r="I897" i="44"/>
  <c r="AG896" i="44"/>
  <c r="AN895" i="44"/>
  <c r="AX305" i="44"/>
  <c r="BB305" i="44" s="1"/>
  <c r="AR894" i="44"/>
  <c r="AX297" i="44"/>
  <c r="BB297" i="44" s="1"/>
  <c r="AN825" i="44"/>
  <c r="AR824" i="44"/>
  <c r="U1042" i="44"/>
  <c r="U1039" i="44"/>
  <c r="U1040" i="44" s="1"/>
  <c r="U1041" i="44" s="1"/>
  <c r="L933" i="44"/>
  <c r="L942" i="44"/>
  <c r="AJ942" i="44" s="1"/>
  <c r="L931" i="44"/>
  <c r="AJ930" i="44"/>
  <c r="H967" i="44"/>
  <c r="H969" i="44"/>
  <c r="H990" i="44"/>
  <c r="AF990" i="44" s="1"/>
  <c r="AF966" i="44"/>
  <c r="AB901" i="44"/>
  <c r="D903" i="44"/>
  <c r="AB903" i="44" s="1"/>
  <c r="D905" i="44"/>
  <c r="AB905" i="44" s="1"/>
  <c r="D904" i="44"/>
  <c r="AB904" i="44" s="1"/>
  <c r="D902" i="44"/>
  <c r="AB902" i="44" s="1"/>
  <c r="P1074" i="44"/>
  <c r="Q1074" i="44"/>
  <c r="H1101" i="44"/>
  <c r="T1102" i="44"/>
  <c r="AI1108" i="44"/>
  <c r="T1101" i="44"/>
  <c r="W1108" i="44"/>
  <c r="F300" i="43"/>
  <c r="D1067" i="44" s="1"/>
  <c r="D1066" i="44"/>
  <c r="AC861" i="44"/>
  <c r="E862" i="44"/>
  <c r="E827" i="44"/>
  <c r="AC827" i="44" s="1"/>
  <c r="AC826" i="44"/>
  <c r="E828" i="44"/>
  <c r="E897" i="44"/>
  <c r="AC896" i="44"/>
  <c r="AB933" i="44"/>
  <c r="D934" i="44"/>
  <c r="AB934" i="44" s="1"/>
  <c r="D936" i="44"/>
  <c r="AB936" i="44" s="1"/>
  <c r="D935" i="44"/>
  <c r="AB935" i="44" s="1"/>
  <c r="D937" i="44"/>
  <c r="Y1042" i="44"/>
  <c r="Y1039" i="44"/>
  <c r="Y1040" i="44" s="1"/>
  <c r="Y1041" i="44" s="1"/>
  <c r="AN860" i="44"/>
  <c r="AX301" i="44"/>
  <c r="BB301" i="44" s="1"/>
  <c r="AR859" i="44"/>
  <c r="L867" i="44"/>
  <c r="AJ861" i="44"/>
  <c r="Y1074" i="44"/>
  <c r="X1074" i="44"/>
  <c r="AC757" i="44"/>
  <c r="E758" i="44"/>
  <c r="E760" i="44"/>
  <c r="E793" i="44"/>
  <c r="AC792" i="44"/>
  <c r="AJ863" i="44"/>
  <c r="L864" i="44"/>
  <c r="AJ864" i="44" s="1"/>
  <c r="L896" i="44"/>
  <c r="AJ896" i="44" s="1"/>
  <c r="AJ895" i="44"/>
  <c r="L966" i="44"/>
  <c r="M966" i="44"/>
  <c r="U1074" i="44"/>
  <c r="T1074" i="44"/>
  <c r="T1075" i="44" s="1"/>
  <c r="T1076" i="44" s="1"/>
  <c r="AN935" i="44"/>
  <c r="L957" i="44"/>
  <c r="D1173" i="44"/>
  <c r="D1141" i="44"/>
  <c r="D1140" i="44"/>
  <c r="D1142" i="44"/>
  <c r="X1137" i="44"/>
  <c r="X1139" i="44"/>
  <c r="E725" i="44"/>
  <c r="I714" i="44" s="1"/>
  <c r="AC724" i="44"/>
  <c r="H932" i="44"/>
  <c r="AF932" i="44" s="1"/>
  <c r="AF931" i="44"/>
  <c r="AB859" i="44"/>
  <c r="D860" i="44"/>
  <c r="AB860" i="44" s="1"/>
  <c r="AR754" i="44"/>
  <c r="AX289" i="44"/>
  <c r="BB289" i="44" s="1"/>
  <c r="AQ1108" i="44"/>
  <c r="AM1108" i="44"/>
  <c r="X1102" i="44"/>
  <c r="H1105" i="44"/>
  <c r="D932" i="44"/>
  <c r="AB932" i="44" s="1"/>
  <c r="AB931" i="44"/>
  <c r="AJ859" i="44"/>
  <c r="L860" i="44"/>
  <c r="AJ860" i="44" s="1"/>
  <c r="X1039" i="44"/>
  <c r="X1040" i="44" s="1"/>
  <c r="X1041" i="44"/>
  <c r="X1042" i="44"/>
  <c r="AR789" i="44"/>
  <c r="AX293" i="44"/>
  <c r="BB293" i="44" s="1"/>
  <c r="AN790" i="44"/>
  <c r="L866" i="44"/>
  <c r="AJ866" i="44" s="1"/>
  <c r="L869" i="44"/>
  <c r="AJ869" i="44" s="1"/>
  <c r="AJ865" i="44"/>
  <c r="E723" i="44"/>
  <c r="AC723" i="44" s="1"/>
  <c r="AC722" i="44"/>
  <c r="K1000" i="44"/>
  <c r="P997" i="44"/>
  <c r="AF933" i="44"/>
  <c r="H936" i="44"/>
  <c r="AF936" i="44" s="1"/>
  <c r="H937" i="44"/>
  <c r="H935" i="44"/>
  <c r="AF935" i="44" s="1"/>
  <c r="H934" i="44"/>
  <c r="AF934" i="44" s="1"/>
  <c r="AF869" i="44" l="1"/>
  <c r="H873" i="44"/>
  <c r="H875" i="44" s="1"/>
  <c r="AF875" i="44" s="1"/>
  <c r="H872" i="44"/>
  <c r="AF872" i="44" s="1"/>
  <c r="H871" i="44"/>
  <c r="AF871" i="44" s="1"/>
  <c r="I645" i="44"/>
  <c r="AG644" i="44"/>
  <c r="I581" i="44"/>
  <c r="AG577" i="44"/>
  <c r="I578" i="44"/>
  <c r="AG578" i="44" s="1"/>
  <c r="I579" i="44"/>
  <c r="AG579" i="44" s="1"/>
  <c r="I580" i="44"/>
  <c r="AG580" i="44" s="1"/>
  <c r="M322" i="44"/>
  <c r="AK321" i="44"/>
  <c r="AG485" i="44"/>
  <c r="M462" i="44"/>
  <c r="AG449" i="44"/>
  <c r="M426" i="44"/>
  <c r="M292" i="44"/>
  <c r="AK292" i="44" s="1"/>
  <c r="M291" i="44"/>
  <c r="AK291" i="44" s="1"/>
  <c r="M290" i="44"/>
  <c r="AK290" i="44" s="1"/>
  <c r="AK289" i="44"/>
  <c r="M293" i="44"/>
  <c r="AK293" i="44" s="1"/>
  <c r="I613" i="44"/>
  <c r="AG609" i="44"/>
  <c r="I612" i="44"/>
  <c r="AG612" i="44" s="1"/>
  <c r="I611" i="44"/>
  <c r="AG611" i="44" s="1"/>
  <c r="I610" i="44"/>
  <c r="AG610" i="44" s="1"/>
  <c r="AG714" i="44"/>
  <c r="I715" i="44"/>
  <c r="I738" i="44"/>
  <c r="AG738" i="44" s="1"/>
  <c r="AK355" i="44"/>
  <c r="M356" i="44"/>
  <c r="H837" i="44"/>
  <c r="H835" i="44"/>
  <c r="AF835" i="44" s="1"/>
  <c r="AF833" i="44"/>
  <c r="H834" i="44"/>
  <c r="AF834" i="44" s="1"/>
  <c r="H836" i="44"/>
  <c r="AF836" i="44" s="1"/>
  <c r="M402" i="44"/>
  <c r="AK402" i="44" s="1"/>
  <c r="M391" i="44"/>
  <c r="AK390" i="44"/>
  <c r="I514" i="44"/>
  <c r="AG514" i="44" s="1"/>
  <c r="AG513" i="44"/>
  <c r="I516" i="44"/>
  <c r="AG516" i="44" s="1"/>
  <c r="I515" i="44"/>
  <c r="AG515" i="44" s="1"/>
  <c r="I517" i="44"/>
  <c r="M254" i="44"/>
  <c r="AK254" i="44" s="1"/>
  <c r="AK253" i="44"/>
  <c r="M257" i="44"/>
  <c r="AK257" i="44" s="1"/>
  <c r="M256" i="44"/>
  <c r="AK256" i="44" s="1"/>
  <c r="M255" i="44"/>
  <c r="AK255" i="44" s="1"/>
  <c r="I681" i="44"/>
  <c r="AG680" i="44"/>
  <c r="I547" i="44"/>
  <c r="AG547" i="44" s="1"/>
  <c r="I546" i="44"/>
  <c r="AG546" i="44" s="1"/>
  <c r="AG545" i="44"/>
  <c r="I549" i="44"/>
  <c r="I548" i="44"/>
  <c r="AG548" i="44" s="1"/>
  <c r="AF801" i="44"/>
  <c r="H805" i="44"/>
  <c r="H802" i="44"/>
  <c r="AF802" i="44" s="1"/>
  <c r="H804" i="44"/>
  <c r="AF804" i="44" s="1"/>
  <c r="H803" i="44"/>
  <c r="AF803" i="44" s="1"/>
  <c r="AN861" i="44"/>
  <c r="AR860" i="44"/>
  <c r="AX302" i="44"/>
  <c r="BB302" i="44" s="1"/>
  <c r="X1175" i="44"/>
  <c r="D1178" i="44"/>
  <c r="D1209" i="44"/>
  <c r="D1177" i="44"/>
  <c r="X1173" i="44"/>
  <c r="D1176" i="44"/>
  <c r="L993" i="44"/>
  <c r="AN971" i="44"/>
  <c r="E1003" i="44"/>
  <c r="E1014" i="44"/>
  <c r="AC1014" i="44" s="1"/>
  <c r="AC1002" i="44"/>
  <c r="AC303" i="43"/>
  <c r="B302" i="43"/>
  <c r="L932" i="44"/>
  <c r="AJ932" i="44" s="1"/>
  <c r="AJ931" i="44"/>
  <c r="AO1029" i="44"/>
  <c r="AE1144" i="44"/>
  <c r="S1144" i="44"/>
  <c r="H1138" i="44"/>
  <c r="T1140" i="44"/>
  <c r="T1139" i="44"/>
  <c r="X1075" i="44"/>
  <c r="X1076" i="44" s="1"/>
  <c r="X1078" i="44"/>
  <c r="X1077" i="44"/>
  <c r="AJ901" i="44"/>
  <c r="L905" i="44"/>
  <c r="AJ905" i="44" s="1"/>
  <c r="L902" i="44"/>
  <c r="AJ902" i="44" s="1"/>
  <c r="L904" i="44"/>
  <c r="AJ904" i="44" s="1"/>
  <c r="AJ903" i="44"/>
  <c r="AN966" i="44"/>
  <c r="AR935" i="44"/>
  <c r="E759" i="44"/>
  <c r="AC759" i="44" s="1"/>
  <c r="AC758" i="44"/>
  <c r="AJ933" i="44"/>
  <c r="L939" i="44"/>
  <c r="L935" i="44"/>
  <c r="L934" i="44"/>
  <c r="AJ934" i="44" s="1"/>
  <c r="L937" i="44"/>
  <c r="M932" i="44"/>
  <c r="AK931" i="44"/>
  <c r="E968" i="44"/>
  <c r="AC967" i="44"/>
  <c r="M1002" i="44"/>
  <c r="L1002" i="44"/>
  <c r="AG897" i="44"/>
  <c r="I901" i="44"/>
  <c r="I900" i="44"/>
  <c r="AG900" i="44" s="1"/>
  <c r="I899" i="44"/>
  <c r="AG899" i="44" s="1"/>
  <c r="I898" i="44"/>
  <c r="AG898" i="44" s="1"/>
  <c r="E863" i="44"/>
  <c r="AC863" i="44" s="1"/>
  <c r="AC862" i="44"/>
  <c r="E864" i="44"/>
  <c r="AF969" i="44"/>
  <c r="H970" i="44"/>
  <c r="AF970" i="44" s="1"/>
  <c r="H973" i="44"/>
  <c r="H972" i="44"/>
  <c r="AF972" i="44" s="1"/>
  <c r="H971" i="44"/>
  <c r="AF971" i="44" s="1"/>
  <c r="E761" i="44"/>
  <c r="I750" i="44" s="1"/>
  <c r="AC760" i="44"/>
  <c r="T1078" i="44"/>
  <c r="T1077" i="44"/>
  <c r="AB937" i="44"/>
  <c r="D939" i="44"/>
  <c r="AB939" i="44" s="1"/>
  <c r="D941" i="44"/>
  <c r="AB941" i="44" s="1"/>
  <c r="D938" i="44"/>
  <c r="AB938" i="44" s="1"/>
  <c r="D940" i="44"/>
  <c r="AB940" i="44" s="1"/>
  <c r="I933" i="44"/>
  <c r="AG932" i="44"/>
  <c r="Y1110" i="44"/>
  <c r="X1110" i="44"/>
  <c r="AC725" i="44"/>
  <c r="AJ867" i="44"/>
  <c r="L868" i="44"/>
  <c r="AJ868" i="44" s="1"/>
  <c r="Q1078" i="44"/>
  <c r="Q1075" i="44"/>
  <c r="Q1076" i="44" s="1"/>
  <c r="Q1077" i="44" s="1"/>
  <c r="Q1110" i="44"/>
  <c r="P1110" i="44"/>
  <c r="I1038" i="44"/>
  <c r="H1038" i="44"/>
  <c r="AI1144" i="44"/>
  <c r="T1137" i="44"/>
  <c r="H1137" i="44"/>
  <c r="T1138" i="44"/>
  <c r="W1144" i="44"/>
  <c r="T1110" i="44"/>
  <c r="U1110" i="44"/>
  <c r="D1005" i="44"/>
  <c r="D1014" i="44"/>
  <c r="AB1014" i="44" s="1"/>
  <c r="D1003" i="44"/>
  <c r="AB1002" i="44"/>
  <c r="P1067" i="44"/>
  <c r="L1067" i="44"/>
  <c r="D1072" i="44"/>
  <c r="AB1072" i="44" s="1"/>
  <c r="P1066" i="44"/>
  <c r="L1069" i="44"/>
  <c r="C1072" i="44" s="1"/>
  <c r="H1068" i="44"/>
  <c r="H1070" i="44" s="1"/>
  <c r="L1072" i="44"/>
  <c r="AJ1072" i="44" s="1"/>
  <c r="H1072" i="44"/>
  <c r="AF1072" i="44" s="1"/>
  <c r="L1068" i="44"/>
  <c r="G1072" i="44" s="1"/>
  <c r="P1065" i="44"/>
  <c r="AC793" i="44"/>
  <c r="E794" i="44"/>
  <c r="E796" i="44"/>
  <c r="Y1078" i="44"/>
  <c r="Y1075" i="44"/>
  <c r="Y1076" i="44" s="1"/>
  <c r="Y1077" i="44" s="1"/>
  <c r="P1077" i="44"/>
  <c r="P1078" i="44"/>
  <c r="P1075" i="44"/>
  <c r="P1076" i="44" s="1"/>
  <c r="D968" i="44"/>
  <c r="AB968" i="44" s="1"/>
  <c r="AB967" i="44"/>
  <c r="I1026" i="44"/>
  <c r="AG1026" i="44" s="1"/>
  <c r="I1003" i="44"/>
  <c r="AG1002" i="44"/>
  <c r="D1038" i="44"/>
  <c r="E1038" i="44"/>
  <c r="E829" i="44"/>
  <c r="AC828" i="44"/>
  <c r="AX306" i="44"/>
  <c r="BB306" i="44" s="1"/>
  <c r="AN896" i="44"/>
  <c r="AR895" i="44"/>
  <c r="M897" i="44"/>
  <c r="AK896" i="44"/>
  <c r="H968" i="44"/>
  <c r="AF968" i="44" s="1"/>
  <c r="AF967" i="44"/>
  <c r="AF905" i="44"/>
  <c r="H906" i="44"/>
  <c r="AF906" i="44" s="1"/>
  <c r="H907" i="44"/>
  <c r="AF907" i="44" s="1"/>
  <c r="H908" i="44"/>
  <c r="AF908" i="44" s="1"/>
  <c r="H909" i="44"/>
  <c r="U1078" i="44"/>
  <c r="U1075" i="44"/>
  <c r="U1076" i="44" s="1"/>
  <c r="U1077" i="44" s="1"/>
  <c r="H1141" i="44"/>
  <c r="AQ1144" i="44"/>
  <c r="AM1144" i="44"/>
  <c r="X1138" i="44"/>
  <c r="AX298" i="44"/>
  <c r="BB298" i="44" s="1"/>
  <c r="AN826" i="44"/>
  <c r="AR825" i="44"/>
  <c r="H1003" i="44"/>
  <c r="H1005" i="44"/>
  <c r="H1026" i="44"/>
  <c r="AF1026" i="44" s="1"/>
  <c r="AF1002" i="44"/>
  <c r="P1033" i="44"/>
  <c r="K1036" i="44"/>
  <c r="I968" i="44"/>
  <c r="AG967" i="44"/>
  <c r="F301" i="43"/>
  <c r="D1103" i="44" s="1"/>
  <c r="D1102" i="44"/>
  <c r="AR930" i="44"/>
  <c r="AX310" i="44"/>
  <c r="BB310" i="44" s="1"/>
  <c r="AN931" i="44"/>
  <c r="M978" i="44"/>
  <c r="AK978" i="44" s="1"/>
  <c r="M967" i="44"/>
  <c r="AK966" i="44"/>
  <c r="L978" i="44"/>
  <c r="AJ978" i="44" s="1"/>
  <c r="L969" i="44"/>
  <c r="L967" i="44"/>
  <c r="AJ966" i="44"/>
  <c r="AR790" i="44"/>
  <c r="AX294" i="44"/>
  <c r="BB294" i="44" s="1"/>
  <c r="AF937" i="44"/>
  <c r="H938" i="44"/>
  <c r="AF938" i="44" s="1"/>
  <c r="H939" i="44"/>
  <c r="AF939" i="44" s="1"/>
  <c r="H941" i="44"/>
  <c r="H940" i="44"/>
  <c r="AF940" i="44" s="1"/>
  <c r="O1144" i="44"/>
  <c r="T1142" i="44"/>
  <c r="T1141" i="44"/>
  <c r="H1139" i="44"/>
  <c r="AA1144" i="44"/>
  <c r="AC897" i="44"/>
  <c r="E898" i="44"/>
  <c r="E900" i="44"/>
  <c r="E933" i="44"/>
  <c r="AC932" i="44"/>
  <c r="AB969" i="44"/>
  <c r="D973" i="44"/>
  <c r="D970" i="44"/>
  <c r="AB970" i="44" s="1"/>
  <c r="D972" i="44"/>
  <c r="AB972" i="44" s="1"/>
  <c r="D971" i="44"/>
  <c r="AB971" i="44" s="1"/>
  <c r="L900" i="44"/>
  <c r="AJ900" i="44" s="1"/>
  <c r="AJ899" i="44"/>
  <c r="H877" i="44" l="1"/>
  <c r="H879" i="44" s="1"/>
  <c r="AF879" i="44" s="1"/>
  <c r="H874" i="44"/>
  <c r="AF874" i="44" s="1"/>
  <c r="AF873" i="44"/>
  <c r="H876" i="44"/>
  <c r="AF876" i="44" s="1"/>
  <c r="H807" i="44"/>
  <c r="AF807" i="44" s="1"/>
  <c r="H809" i="44"/>
  <c r="AF809" i="44" s="1"/>
  <c r="AF805" i="44"/>
  <c r="H808" i="44"/>
  <c r="AF808" i="44" s="1"/>
  <c r="H806" i="44"/>
  <c r="AF806" i="44" s="1"/>
  <c r="AK426" i="44"/>
  <c r="M427" i="44"/>
  <c r="M438" i="44"/>
  <c r="AK438" i="44" s="1"/>
  <c r="I518" i="44"/>
  <c r="AG518" i="44" s="1"/>
  <c r="I521" i="44"/>
  <c r="AG517" i="44"/>
  <c r="I519" i="44"/>
  <c r="AG519" i="44" s="1"/>
  <c r="I520" i="44"/>
  <c r="AG520" i="44" s="1"/>
  <c r="M323" i="44"/>
  <c r="AK322" i="44"/>
  <c r="M357" i="44"/>
  <c r="AK356" i="44"/>
  <c r="I774" i="44"/>
  <c r="AG774" i="44" s="1"/>
  <c r="I751" i="44"/>
  <c r="AG750" i="44"/>
  <c r="AG549" i="44"/>
  <c r="I552" i="44"/>
  <c r="AG552" i="44" s="1"/>
  <c r="I553" i="44"/>
  <c r="I550" i="44"/>
  <c r="AG550" i="44" s="1"/>
  <c r="I551" i="44"/>
  <c r="AG551" i="44" s="1"/>
  <c r="I683" i="44"/>
  <c r="AG683" i="44" s="1"/>
  <c r="AG681" i="44"/>
  <c r="I684" i="44"/>
  <c r="AG684" i="44" s="1"/>
  <c r="I685" i="44"/>
  <c r="I682" i="44"/>
  <c r="AG682" i="44" s="1"/>
  <c r="M463" i="44"/>
  <c r="M474" i="44"/>
  <c r="AK474" i="44" s="1"/>
  <c r="AK462" i="44"/>
  <c r="I716" i="44"/>
  <c r="AG715" i="44"/>
  <c r="AK391" i="44"/>
  <c r="M392" i="44"/>
  <c r="I615" i="44"/>
  <c r="AG615" i="44" s="1"/>
  <c r="I617" i="44"/>
  <c r="AG613" i="44"/>
  <c r="I616" i="44"/>
  <c r="AG616" i="44" s="1"/>
  <c r="I614" i="44"/>
  <c r="AG614" i="44" s="1"/>
  <c r="H839" i="44"/>
  <c r="AF839" i="44" s="1"/>
  <c r="H841" i="44"/>
  <c r="H838" i="44"/>
  <c r="AF838" i="44" s="1"/>
  <c r="H840" i="44"/>
  <c r="AF840" i="44" s="1"/>
  <c r="AF837" i="44"/>
  <c r="AG581" i="44"/>
  <c r="I582" i="44"/>
  <c r="AG582" i="44" s="1"/>
  <c r="I585" i="44"/>
  <c r="I584" i="44"/>
  <c r="AG584" i="44" s="1"/>
  <c r="I583" i="44"/>
  <c r="AG583" i="44" s="1"/>
  <c r="I647" i="44"/>
  <c r="AG647" i="44" s="1"/>
  <c r="I649" i="44"/>
  <c r="I646" i="44"/>
  <c r="AG646" i="44" s="1"/>
  <c r="AG645" i="44"/>
  <c r="I648" i="44"/>
  <c r="AG648" i="44" s="1"/>
  <c r="E1004" i="44"/>
  <c r="AC1003" i="44"/>
  <c r="AC761" i="44"/>
  <c r="AI1180" i="44"/>
  <c r="T1174" i="44"/>
  <c r="H1173" i="44"/>
  <c r="T1173" i="44"/>
  <c r="W1180" i="44"/>
  <c r="AM1180" i="44"/>
  <c r="H1177" i="44"/>
  <c r="AQ1180" i="44"/>
  <c r="X1174" i="44"/>
  <c r="AR896" i="44"/>
  <c r="AX307" i="44"/>
  <c r="BB307" i="44" s="1"/>
  <c r="AN897" i="44"/>
  <c r="AF909" i="44"/>
  <c r="H911" i="44"/>
  <c r="AF911" i="44" s="1"/>
  <c r="H912" i="44"/>
  <c r="AF912" i="44" s="1"/>
  <c r="H913" i="44"/>
  <c r="H910" i="44"/>
  <c r="AF910" i="44" s="1"/>
  <c r="D1050" i="44"/>
  <c r="AB1050" i="44" s="1"/>
  <c r="D1041" i="44"/>
  <c r="D1039" i="44"/>
  <c r="AB1038" i="44"/>
  <c r="E797" i="44"/>
  <c r="I786" i="44" s="1"/>
  <c r="AC796" i="44"/>
  <c r="AB1005" i="44"/>
  <c r="D1009" i="44"/>
  <c r="D1006" i="44"/>
  <c r="AB1006" i="44" s="1"/>
  <c r="D1007" i="44"/>
  <c r="AB1007" i="44" s="1"/>
  <c r="D1008" i="44"/>
  <c r="AB1008" i="44" s="1"/>
  <c r="H1039" i="44"/>
  <c r="H1041" i="44"/>
  <c r="H1062" i="44"/>
  <c r="AF1062" i="44" s="1"/>
  <c r="AF1038" i="44"/>
  <c r="AG933" i="44"/>
  <c r="I935" i="44"/>
  <c r="AG935" i="44" s="1"/>
  <c r="I934" i="44"/>
  <c r="AG934" i="44" s="1"/>
  <c r="I937" i="44"/>
  <c r="I936" i="44"/>
  <c r="AG936" i="44" s="1"/>
  <c r="AF973" i="44"/>
  <c r="H976" i="44"/>
  <c r="AF976" i="44" s="1"/>
  <c r="H977" i="44"/>
  <c r="H974" i="44"/>
  <c r="AF974" i="44" s="1"/>
  <c r="H975" i="44"/>
  <c r="AF975" i="44" s="1"/>
  <c r="D1214" i="44"/>
  <c r="X1209" i="44"/>
  <c r="D1213" i="44"/>
  <c r="D1245" i="44"/>
  <c r="D1212" i="44"/>
  <c r="X1211" i="44"/>
  <c r="M1014" i="44"/>
  <c r="AK1014" i="44" s="1"/>
  <c r="M1003" i="44"/>
  <c r="AK1002" i="44"/>
  <c r="E795" i="44"/>
  <c r="AC795" i="44" s="1"/>
  <c r="AC794" i="44"/>
  <c r="U1111" i="44"/>
  <c r="U1112" i="44" s="1"/>
  <c r="U1113" i="44" s="1"/>
  <c r="U1114" i="44"/>
  <c r="I1062" i="44"/>
  <c r="AG1062" i="44" s="1"/>
  <c r="I1039" i="44"/>
  <c r="AG1038" i="44"/>
  <c r="L936" i="44"/>
  <c r="AJ936" i="44" s="1"/>
  <c r="AJ935" i="44"/>
  <c r="U1146" i="44"/>
  <c r="T1146" i="44"/>
  <c r="O1180" i="44"/>
  <c r="T1178" i="44"/>
  <c r="AA1180" i="44"/>
  <c r="T1177" i="44"/>
  <c r="H1175" i="44"/>
  <c r="AK897" i="44"/>
  <c r="M898" i="44"/>
  <c r="AK898" i="44" s="1"/>
  <c r="M900" i="44"/>
  <c r="AK900" i="44" s="1"/>
  <c r="M899" i="44"/>
  <c r="AK899" i="44" s="1"/>
  <c r="M901" i="44"/>
  <c r="AJ969" i="44"/>
  <c r="L971" i="44"/>
  <c r="L975" i="44"/>
  <c r="L970" i="44"/>
  <c r="AJ970" i="44" s="1"/>
  <c r="L973" i="44"/>
  <c r="AG901" i="44"/>
  <c r="I905" i="44"/>
  <c r="I902" i="44"/>
  <c r="AG902" i="44" s="1"/>
  <c r="I904" i="44"/>
  <c r="AG904" i="44" s="1"/>
  <c r="I903" i="44"/>
  <c r="AG903" i="44" s="1"/>
  <c r="AF941" i="44"/>
  <c r="H945" i="44"/>
  <c r="H942" i="44"/>
  <c r="AF942" i="44" s="1"/>
  <c r="H944" i="44"/>
  <c r="AF944" i="44" s="1"/>
  <c r="H943" i="44"/>
  <c r="AF943" i="44" s="1"/>
  <c r="I1004" i="44"/>
  <c r="AG1003" i="44"/>
  <c r="T1111" i="44"/>
  <c r="T1112" i="44" s="1"/>
  <c r="T1114" i="44"/>
  <c r="T1113" i="44"/>
  <c r="P1111" i="44"/>
  <c r="P1112" i="44" s="1"/>
  <c r="P1114" i="44"/>
  <c r="P1113" i="44"/>
  <c r="L940" i="44"/>
  <c r="AJ940" i="44" s="1"/>
  <c r="AJ939" i="44"/>
  <c r="L1014" i="44"/>
  <c r="AJ1014" i="44" s="1"/>
  <c r="L1005" i="44"/>
  <c r="L1003" i="44"/>
  <c r="AJ1002" i="44"/>
  <c r="H1004" i="44"/>
  <c r="AF1004" i="44" s="1"/>
  <c r="AF1003" i="44"/>
  <c r="H1174" i="44"/>
  <c r="AE1180" i="44"/>
  <c r="S1180" i="44"/>
  <c r="T1176" i="44"/>
  <c r="T1175" i="44"/>
  <c r="AR826" i="44"/>
  <c r="AX299" i="44"/>
  <c r="BB299" i="44" s="1"/>
  <c r="X1146" i="44"/>
  <c r="Y1146" i="44"/>
  <c r="Q1114" i="44"/>
  <c r="Q1111" i="44"/>
  <c r="Q1112" i="44" s="1"/>
  <c r="Q1113" i="44" s="1"/>
  <c r="E865" i="44"/>
  <c r="AC864" i="44"/>
  <c r="X1111" i="44"/>
  <c r="X1112" i="44" s="1"/>
  <c r="X1114" i="44"/>
  <c r="X1113" i="44"/>
  <c r="AN1007" i="44"/>
  <c r="L1029" i="44"/>
  <c r="AF1005" i="44"/>
  <c r="H1007" i="44"/>
  <c r="AF1007" i="44" s="1"/>
  <c r="H1009" i="44"/>
  <c r="H1006" i="44"/>
  <c r="AF1006" i="44" s="1"/>
  <c r="H1008" i="44"/>
  <c r="AF1008" i="44" s="1"/>
  <c r="M968" i="44"/>
  <c r="AK967" i="44"/>
  <c r="AN932" i="44"/>
  <c r="AX311" i="44"/>
  <c r="BB311" i="44" s="1"/>
  <c r="AR931" i="44"/>
  <c r="D1004" i="44"/>
  <c r="AB1004" i="44" s="1"/>
  <c r="AB1003" i="44"/>
  <c r="AJ937" i="44"/>
  <c r="L941" i="44"/>
  <c r="AJ941" i="44" s="1"/>
  <c r="L938" i="44"/>
  <c r="AJ938" i="44" s="1"/>
  <c r="F302" i="43"/>
  <c r="D1139" i="44" s="1"/>
  <c r="D1138" i="44"/>
  <c r="L968" i="44"/>
  <c r="AJ968" i="44" s="1"/>
  <c r="AJ967" i="44"/>
  <c r="Y1114" i="44"/>
  <c r="Y1111" i="44"/>
  <c r="Y1112" i="44" s="1"/>
  <c r="Y1113" i="44" s="1"/>
  <c r="AR966" i="44"/>
  <c r="AX315" i="44"/>
  <c r="BB315" i="44" s="1"/>
  <c r="AN967" i="44"/>
  <c r="AC1038" i="44"/>
  <c r="E1050" i="44"/>
  <c r="AC1050" i="44" s="1"/>
  <c r="E1039" i="44"/>
  <c r="D1108" i="44"/>
  <c r="AB1108" i="44" s="1"/>
  <c r="H1108" i="44"/>
  <c r="AF1108" i="44" s="1"/>
  <c r="P1102" i="44"/>
  <c r="P1103" i="44"/>
  <c r="L1104" i="44"/>
  <c r="G1108" i="44" s="1"/>
  <c r="L1108" i="44"/>
  <c r="AJ1108" i="44" s="1"/>
  <c r="P1101" i="44"/>
  <c r="L1103" i="44"/>
  <c r="L1105" i="44"/>
  <c r="C1108" i="44" s="1"/>
  <c r="H1104" i="44"/>
  <c r="H1106" i="44" s="1"/>
  <c r="AC829" i="44"/>
  <c r="E832" i="44"/>
  <c r="E830" i="44"/>
  <c r="E901" i="44"/>
  <c r="AC900" i="44"/>
  <c r="E899" i="44"/>
  <c r="AC899" i="44" s="1"/>
  <c r="AC898" i="44"/>
  <c r="H1074" i="44"/>
  <c r="I1074" i="44"/>
  <c r="B303" i="43"/>
  <c r="AC304" i="43"/>
  <c r="AX303" i="44"/>
  <c r="BB303" i="44" s="1"/>
  <c r="AR861" i="44"/>
  <c r="AN862" i="44"/>
  <c r="D1074" i="44"/>
  <c r="E1074" i="44"/>
  <c r="AN1002" i="44"/>
  <c r="AR971" i="44"/>
  <c r="Q1146" i="44"/>
  <c r="P1146" i="44"/>
  <c r="K1072" i="44"/>
  <c r="P1069" i="44"/>
  <c r="E969" i="44"/>
  <c r="AC968" i="44"/>
  <c r="AB973" i="44"/>
  <c r="D974" i="44"/>
  <c r="AB974" i="44" s="1"/>
  <c r="D977" i="44"/>
  <c r="AB977" i="44" s="1"/>
  <c r="D976" i="44"/>
  <c r="AB976" i="44" s="1"/>
  <c r="D975" i="44"/>
  <c r="AB975" i="44" s="1"/>
  <c r="AC933" i="44"/>
  <c r="E936" i="44"/>
  <c r="E934" i="44"/>
  <c r="I969" i="44"/>
  <c r="AG968" i="44"/>
  <c r="M933" i="44"/>
  <c r="AK932" i="44"/>
  <c r="L1038" i="44"/>
  <c r="M1038" i="44"/>
  <c r="AO1065" i="44"/>
  <c r="H881" i="44" l="1"/>
  <c r="AF881" i="44" s="1"/>
  <c r="H878" i="44"/>
  <c r="AF878" i="44" s="1"/>
  <c r="AF877" i="44"/>
  <c r="H880" i="44"/>
  <c r="AF880" i="44" s="1"/>
  <c r="AK357" i="44"/>
  <c r="M358" i="44"/>
  <c r="AK323" i="44"/>
  <c r="M324" i="44"/>
  <c r="I621" i="44"/>
  <c r="I618" i="44"/>
  <c r="AG618" i="44" s="1"/>
  <c r="I620" i="44"/>
  <c r="AG620" i="44" s="1"/>
  <c r="I619" i="44"/>
  <c r="AG619" i="44" s="1"/>
  <c r="AG617" i="44"/>
  <c r="I554" i="44"/>
  <c r="AG554" i="44" s="1"/>
  <c r="I555" i="44"/>
  <c r="AG555" i="44" s="1"/>
  <c r="I556" i="44"/>
  <c r="AG556" i="44" s="1"/>
  <c r="I557" i="44"/>
  <c r="AG553" i="44"/>
  <c r="M428" i="44"/>
  <c r="AK427" i="44"/>
  <c r="AK463" i="44"/>
  <c r="M464" i="44"/>
  <c r="AG649" i="44"/>
  <c r="I650" i="44"/>
  <c r="AG650" i="44" s="1"/>
  <c r="I653" i="44"/>
  <c r="I652" i="44"/>
  <c r="AG652" i="44" s="1"/>
  <c r="I651" i="44"/>
  <c r="AG651" i="44" s="1"/>
  <c r="AK392" i="44"/>
  <c r="M393" i="44"/>
  <c r="AG685" i="44"/>
  <c r="I688" i="44"/>
  <c r="AG688" i="44" s="1"/>
  <c r="I687" i="44"/>
  <c r="AG687" i="44" s="1"/>
  <c r="I689" i="44"/>
  <c r="I686" i="44"/>
  <c r="AG686" i="44" s="1"/>
  <c r="H844" i="44"/>
  <c r="AF844" i="44" s="1"/>
  <c r="AF841" i="44"/>
  <c r="H845" i="44"/>
  <c r="AF845" i="44" s="1"/>
  <c r="H842" i="44"/>
  <c r="AF842" i="44" s="1"/>
  <c r="H843" i="44"/>
  <c r="AF843" i="44" s="1"/>
  <c r="I752" i="44"/>
  <c r="AG751" i="44"/>
  <c r="I810" i="44"/>
  <c r="AG810" i="44" s="1"/>
  <c r="I787" i="44"/>
  <c r="AG786" i="44"/>
  <c r="I588" i="44"/>
  <c r="AG588" i="44" s="1"/>
  <c r="I589" i="44"/>
  <c r="I586" i="44"/>
  <c r="AG586" i="44" s="1"/>
  <c r="AG585" i="44"/>
  <c r="I587" i="44"/>
  <c r="AG587" i="44" s="1"/>
  <c r="I717" i="44"/>
  <c r="AG716" i="44"/>
  <c r="AG521" i="44"/>
  <c r="M498" i="44"/>
  <c r="AO1101" i="44"/>
  <c r="L972" i="44"/>
  <c r="AJ972" i="44" s="1"/>
  <c r="AJ971" i="44"/>
  <c r="AR932" i="44"/>
  <c r="AX312" i="44"/>
  <c r="BB312" i="44" s="1"/>
  <c r="AN933" i="44"/>
  <c r="AK933" i="44"/>
  <c r="M937" i="44"/>
  <c r="M935" i="44"/>
  <c r="AK935" i="44" s="1"/>
  <c r="M934" i="44"/>
  <c r="AK934" i="44" s="1"/>
  <c r="M936" i="44"/>
  <c r="AK936" i="44" s="1"/>
  <c r="M969" i="44"/>
  <c r="AK968" i="44"/>
  <c r="AF1009" i="44"/>
  <c r="H1010" i="44"/>
  <c r="AF1010" i="44" s="1"/>
  <c r="H1011" i="44"/>
  <c r="AF1011" i="44" s="1"/>
  <c r="H1013" i="44"/>
  <c r="H1012" i="44"/>
  <c r="AF1012" i="44" s="1"/>
  <c r="AF945" i="44"/>
  <c r="H948" i="44"/>
  <c r="AF948" i="44" s="1"/>
  <c r="H946" i="44"/>
  <c r="AF946" i="44" s="1"/>
  <c r="H949" i="44"/>
  <c r="H947" i="44"/>
  <c r="AF947" i="44" s="1"/>
  <c r="AC797" i="44"/>
  <c r="O1216" i="44"/>
  <c r="T1213" i="44"/>
  <c r="AA1216" i="44"/>
  <c r="T1214" i="44"/>
  <c r="H1211" i="44"/>
  <c r="X1149" i="44"/>
  <c r="X1150" i="44"/>
  <c r="X1147" i="44"/>
  <c r="X1148" i="44" s="1"/>
  <c r="M1004" i="44"/>
  <c r="AK1003" i="44"/>
  <c r="AG937" i="44"/>
  <c r="I940" i="44"/>
  <c r="AG940" i="44" s="1"/>
  <c r="I939" i="44"/>
  <c r="AG939" i="44" s="1"/>
  <c r="I938" i="44"/>
  <c r="AG938" i="44" s="1"/>
  <c r="I941" i="44"/>
  <c r="D1040" i="44"/>
  <c r="AB1040" i="44" s="1"/>
  <c r="AB1039" i="44"/>
  <c r="E935" i="44"/>
  <c r="AC935" i="44" s="1"/>
  <c r="AC934" i="44"/>
  <c r="I1098" i="44"/>
  <c r="AG1098" i="44" s="1"/>
  <c r="I1075" i="44"/>
  <c r="AG1074" i="44"/>
  <c r="AN1043" i="44"/>
  <c r="L1065" i="44"/>
  <c r="AB1041" i="44"/>
  <c r="D1044" i="44"/>
  <c r="AB1044" i="44" s="1"/>
  <c r="D1043" i="44"/>
  <c r="AB1043" i="44" s="1"/>
  <c r="D1045" i="44"/>
  <c r="D1042" i="44"/>
  <c r="AB1042" i="44" s="1"/>
  <c r="H1213" i="44"/>
  <c r="AQ1216" i="44"/>
  <c r="AM1216" i="44"/>
  <c r="X1210" i="44"/>
  <c r="K1108" i="44"/>
  <c r="P1105" i="44"/>
  <c r="I1110" i="44"/>
  <c r="H1110" i="44"/>
  <c r="F303" i="43"/>
  <c r="D1175" i="44" s="1"/>
  <c r="D1174" i="44"/>
  <c r="AX308" i="44"/>
  <c r="BB308" i="44" s="1"/>
  <c r="AR897" i="44"/>
  <c r="AN898" i="44"/>
  <c r="Y1147" i="44"/>
  <c r="Y1148" i="44" s="1"/>
  <c r="Y1149" i="44" s="1"/>
  <c r="Y1150" i="44"/>
  <c r="AK901" i="44"/>
  <c r="M903" i="44"/>
  <c r="AK903" i="44" s="1"/>
  <c r="M905" i="44"/>
  <c r="AK905" i="44" s="1"/>
  <c r="M904" i="44"/>
  <c r="AK904" i="44" s="1"/>
  <c r="M902" i="44"/>
  <c r="AK902" i="44" s="1"/>
  <c r="T1182" i="44"/>
  <c r="U1182" i="44"/>
  <c r="Q1147" i="44"/>
  <c r="Q1148" i="44" s="1"/>
  <c r="Q1149" i="44" s="1"/>
  <c r="Q1150" i="44"/>
  <c r="D1077" i="44"/>
  <c r="D1086" i="44"/>
  <c r="AB1086" i="44" s="1"/>
  <c r="D1075" i="44"/>
  <c r="AB1074" i="44"/>
  <c r="AG905" i="44"/>
  <c r="I908" i="44"/>
  <c r="AG908" i="44" s="1"/>
  <c r="I909" i="44"/>
  <c r="I907" i="44"/>
  <c r="AG907" i="44" s="1"/>
  <c r="I906" i="44"/>
  <c r="AG906" i="44" s="1"/>
  <c r="P1182" i="44"/>
  <c r="Q1182" i="44"/>
  <c r="I1040" i="44"/>
  <c r="AG1039" i="44"/>
  <c r="AC969" i="44"/>
  <c r="E972" i="44"/>
  <c r="E970" i="44"/>
  <c r="E1040" i="44"/>
  <c r="AC1039" i="44"/>
  <c r="T1150" i="44"/>
  <c r="T1147" i="44"/>
  <c r="T1148" i="44" s="1"/>
  <c r="T1149" i="44"/>
  <c r="T1210" i="44"/>
  <c r="H1209" i="44"/>
  <c r="W1216" i="44"/>
  <c r="T1209" i="44"/>
  <c r="AI1216" i="44"/>
  <c r="AF913" i="44"/>
  <c r="H917" i="44"/>
  <c r="AF917" i="44" s="1"/>
  <c r="H915" i="44"/>
  <c r="AF915" i="44" s="1"/>
  <c r="H914" i="44"/>
  <c r="AF914" i="44" s="1"/>
  <c r="H916" i="44"/>
  <c r="AF916" i="44" s="1"/>
  <c r="L1144" i="44"/>
  <c r="AJ1144" i="44" s="1"/>
  <c r="H1144" i="44"/>
  <c r="AF1144" i="44" s="1"/>
  <c r="L1139" i="44"/>
  <c r="H1140" i="44"/>
  <c r="H1142" i="44" s="1"/>
  <c r="P1137" i="44"/>
  <c r="D1144" i="44"/>
  <c r="AB1144" i="44" s="1"/>
  <c r="P1139" i="44"/>
  <c r="P1138" i="44"/>
  <c r="L1141" i="44"/>
  <c r="C1144" i="44" s="1"/>
  <c r="L1140" i="44"/>
  <c r="G1144" i="44" s="1"/>
  <c r="E1086" i="44"/>
  <c r="AC1086" i="44" s="1"/>
  <c r="E1075" i="44"/>
  <c r="AC1074" i="44"/>
  <c r="AR1007" i="44"/>
  <c r="AN1038" i="44"/>
  <c r="AJ973" i="44"/>
  <c r="L974" i="44"/>
  <c r="AJ974" i="44" s="1"/>
  <c r="L977" i="44"/>
  <c r="AJ977" i="44" s="1"/>
  <c r="U1147" i="44"/>
  <c r="U1148" i="44" s="1"/>
  <c r="U1149" i="44" s="1"/>
  <c r="U1150" i="44"/>
  <c r="D1281" i="44"/>
  <c r="D1250" i="44"/>
  <c r="D1248" i="44"/>
  <c r="X1247" i="44"/>
  <c r="D1249" i="44"/>
  <c r="X1245" i="44"/>
  <c r="M1050" i="44"/>
  <c r="AK1050" i="44" s="1"/>
  <c r="M1039" i="44"/>
  <c r="AK1038" i="44"/>
  <c r="AF977" i="44"/>
  <c r="H980" i="44"/>
  <c r="AF980" i="44" s="1"/>
  <c r="H978" i="44"/>
  <c r="AF978" i="44" s="1"/>
  <c r="H981" i="44"/>
  <c r="H979" i="44"/>
  <c r="AF979" i="44" s="1"/>
  <c r="E937" i="44"/>
  <c r="AC936" i="44"/>
  <c r="AR862" i="44"/>
  <c r="AX304" i="44"/>
  <c r="BB304" i="44" s="1"/>
  <c r="AX320" i="44"/>
  <c r="BB320" i="44" s="1"/>
  <c r="AR1002" i="44"/>
  <c r="AN1003" i="44"/>
  <c r="AC901" i="44"/>
  <c r="E902" i="44"/>
  <c r="E904" i="44"/>
  <c r="L1004" i="44"/>
  <c r="AJ1004" i="44" s="1"/>
  <c r="AJ1003" i="44"/>
  <c r="AF1041" i="44"/>
  <c r="H1042" i="44"/>
  <c r="AF1042" i="44" s="1"/>
  <c r="H1045" i="44"/>
  <c r="H1044" i="44"/>
  <c r="AF1044" i="44" s="1"/>
  <c r="H1043" i="44"/>
  <c r="AF1043" i="44" s="1"/>
  <c r="E833" i="44"/>
  <c r="I822" i="44" s="1"/>
  <c r="AC832" i="44"/>
  <c r="L1041" i="44"/>
  <c r="L1050" i="44"/>
  <c r="AJ1050" i="44" s="1"/>
  <c r="L1039" i="44"/>
  <c r="AJ1038" i="44"/>
  <c r="E1110" i="44"/>
  <c r="D1110" i="44"/>
  <c r="AB1009" i="44"/>
  <c r="D1010" i="44"/>
  <c r="AB1010" i="44" s="1"/>
  <c r="D1013" i="44"/>
  <c r="AB1013" i="44" s="1"/>
  <c r="D1012" i="44"/>
  <c r="AB1012" i="44" s="1"/>
  <c r="D1011" i="44"/>
  <c r="AB1011" i="44" s="1"/>
  <c r="M1074" i="44"/>
  <c r="L1074" i="44"/>
  <c r="Y1182" i="44"/>
  <c r="X1182" i="44"/>
  <c r="AG969" i="44"/>
  <c r="I973" i="44"/>
  <c r="I971" i="44"/>
  <c r="AG971" i="44" s="1"/>
  <c r="I972" i="44"/>
  <c r="AG972" i="44" s="1"/>
  <c r="I970" i="44"/>
  <c r="AG970" i="44" s="1"/>
  <c r="P1150" i="44"/>
  <c r="P1147" i="44"/>
  <c r="P1148" i="44" s="1"/>
  <c r="P1149" i="44"/>
  <c r="H1077" i="44"/>
  <c r="H1075" i="44"/>
  <c r="H1098" i="44"/>
  <c r="AF1098" i="44" s="1"/>
  <c r="AF1074" i="44"/>
  <c r="AC305" i="43"/>
  <c r="B304" i="43"/>
  <c r="E831" i="44"/>
  <c r="AC831" i="44" s="1"/>
  <c r="AC830" i="44"/>
  <c r="AR967" i="44"/>
  <c r="AN968" i="44"/>
  <c r="AX316" i="44"/>
  <c r="BB316" i="44" s="1"/>
  <c r="AC865" i="44"/>
  <c r="E868" i="44"/>
  <c r="E866" i="44"/>
  <c r="AJ1005" i="44"/>
  <c r="L1006" i="44"/>
  <c r="AJ1006" i="44" s="1"/>
  <c r="L1009" i="44"/>
  <c r="L1011" i="44"/>
  <c r="L1007" i="44"/>
  <c r="I1005" i="44"/>
  <c r="AG1004" i="44"/>
  <c r="L976" i="44"/>
  <c r="AJ976" i="44" s="1"/>
  <c r="AJ975" i="44"/>
  <c r="H1210" i="44"/>
  <c r="T1212" i="44"/>
  <c r="AE1216" i="44"/>
  <c r="S1216" i="44"/>
  <c r="T1211" i="44"/>
  <c r="H1040" i="44"/>
  <c r="AF1040" i="44" s="1"/>
  <c r="AF1039" i="44"/>
  <c r="E1005" i="44"/>
  <c r="AC1004" i="44"/>
  <c r="AG689" i="44" l="1"/>
  <c r="I691" i="44"/>
  <c r="AG691" i="44" s="1"/>
  <c r="I692" i="44"/>
  <c r="AG692" i="44" s="1"/>
  <c r="I693" i="44"/>
  <c r="I690" i="44"/>
  <c r="AG690" i="44" s="1"/>
  <c r="M394" i="44"/>
  <c r="AK393" i="44"/>
  <c r="AG653" i="44"/>
  <c r="I657" i="44"/>
  <c r="I655" i="44"/>
  <c r="AG655" i="44" s="1"/>
  <c r="I656" i="44"/>
  <c r="AG656" i="44" s="1"/>
  <c r="I654" i="44"/>
  <c r="AG654" i="44" s="1"/>
  <c r="I622" i="44"/>
  <c r="AG622" i="44" s="1"/>
  <c r="I624" i="44"/>
  <c r="AG624" i="44" s="1"/>
  <c r="I623" i="44"/>
  <c r="AG623" i="44" s="1"/>
  <c r="I625" i="44"/>
  <c r="AG621" i="44"/>
  <c r="I593" i="44"/>
  <c r="AG589" i="44"/>
  <c r="I592" i="44"/>
  <c r="AG592" i="44" s="1"/>
  <c r="I591" i="44"/>
  <c r="AG591" i="44" s="1"/>
  <c r="I590" i="44"/>
  <c r="AG590" i="44" s="1"/>
  <c r="I753" i="44"/>
  <c r="AG752" i="44"/>
  <c r="AK324" i="44"/>
  <c r="M325" i="44"/>
  <c r="AG557" i="44"/>
  <c r="M534" i="44"/>
  <c r="I846" i="44"/>
  <c r="AG846" i="44" s="1"/>
  <c r="I823" i="44"/>
  <c r="AG822" i="44"/>
  <c r="I719" i="44"/>
  <c r="AG719" i="44" s="1"/>
  <c r="I718" i="44"/>
  <c r="AG718" i="44" s="1"/>
  <c r="I721" i="44"/>
  <c r="AG717" i="44"/>
  <c r="I720" i="44"/>
  <c r="AG720" i="44" s="1"/>
  <c r="AG787" i="44"/>
  <c r="I788" i="44"/>
  <c r="AK464" i="44"/>
  <c r="M465" i="44"/>
  <c r="AK358" i="44"/>
  <c r="M359" i="44"/>
  <c r="AK428" i="44"/>
  <c r="M429" i="44"/>
  <c r="M499" i="44"/>
  <c r="M510" i="44"/>
  <c r="AK510" i="44" s="1"/>
  <c r="AK498" i="44"/>
  <c r="AO1137" i="44"/>
  <c r="D1286" i="44"/>
  <c r="X1281" i="44"/>
  <c r="D1285" i="44"/>
  <c r="X1283" i="44"/>
  <c r="D1317" i="44"/>
  <c r="D1284" i="44"/>
  <c r="D1076" i="44"/>
  <c r="AB1076" i="44" s="1"/>
  <c r="AB1075" i="44"/>
  <c r="M1005" i="44"/>
  <c r="AK1004" i="44"/>
  <c r="Y1183" i="44"/>
  <c r="Y1184" i="44" s="1"/>
  <c r="Y1185" i="44" s="1"/>
  <c r="Y1186" i="44"/>
  <c r="M1086" i="44"/>
  <c r="AK1086" i="44" s="1"/>
  <c r="M1075" i="44"/>
  <c r="AK1074" i="44"/>
  <c r="AB1077" i="44"/>
  <c r="D1081" i="44"/>
  <c r="D1078" i="44"/>
  <c r="AB1078" i="44" s="1"/>
  <c r="D1080" i="44"/>
  <c r="AB1080" i="44" s="1"/>
  <c r="D1079" i="44"/>
  <c r="AB1079" i="44" s="1"/>
  <c r="M1110" i="44"/>
  <c r="L1110" i="44"/>
  <c r="AK969" i="44"/>
  <c r="M971" i="44"/>
  <c r="AK971" i="44" s="1"/>
  <c r="M972" i="44"/>
  <c r="AK972" i="44" s="1"/>
  <c r="M970" i="44"/>
  <c r="AK970" i="44" s="1"/>
  <c r="M973" i="44"/>
  <c r="AN969" i="44"/>
  <c r="AX317" i="44"/>
  <c r="BB317" i="44" s="1"/>
  <c r="AR968" i="44"/>
  <c r="AF949" i="44"/>
  <c r="H953" i="44"/>
  <c r="AF953" i="44" s="1"/>
  <c r="H951" i="44"/>
  <c r="AF951" i="44" s="1"/>
  <c r="H952" i="44"/>
  <c r="AF952" i="44" s="1"/>
  <c r="H950" i="44"/>
  <c r="AF950" i="44" s="1"/>
  <c r="L1175" i="44"/>
  <c r="P1175" i="44"/>
  <c r="H1176" i="44"/>
  <c r="H1178" i="44" s="1"/>
  <c r="L1176" i="44"/>
  <c r="G1180" i="44" s="1"/>
  <c r="L1177" i="44"/>
  <c r="C1180" i="44" s="1"/>
  <c r="D1180" i="44"/>
  <c r="AB1180" i="44" s="1"/>
  <c r="P1174" i="44"/>
  <c r="H1180" i="44"/>
  <c r="AF1180" i="44" s="1"/>
  <c r="P1173" i="44"/>
  <c r="L1180" i="44"/>
  <c r="AJ1180" i="44" s="1"/>
  <c r="M1040" i="44"/>
  <c r="AK1039" i="44"/>
  <c r="U1186" i="44"/>
  <c r="U1183" i="44"/>
  <c r="U1184" i="44" s="1"/>
  <c r="U1185" i="44" s="1"/>
  <c r="O1252" i="44"/>
  <c r="H1247" i="44"/>
  <c r="T1249" i="44"/>
  <c r="T1250" i="44"/>
  <c r="AA1252" i="44"/>
  <c r="U1218" i="44"/>
  <c r="T1218" i="44"/>
  <c r="I1041" i="44"/>
  <c r="AG1040" i="44"/>
  <c r="L1077" i="44"/>
  <c r="L1086" i="44"/>
  <c r="AJ1086" i="44" s="1"/>
  <c r="L1075" i="44"/>
  <c r="AJ1074" i="44"/>
  <c r="E1041" i="44"/>
  <c r="AC1040" i="44"/>
  <c r="T1185" i="44"/>
  <c r="T1183" i="44"/>
  <c r="T1184" i="44" s="1"/>
  <c r="T1186" i="44"/>
  <c r="AK937" i="44"/>
  <c r="M939" i="44"/>
  <c r="AK939" i="44" s="1"/>
  <c r="M938" i="44"/>
  <c r="AK938" i="44" s="1"/>
  <c r="M941" i="44"/>
  <c r="AK941" i="44" s="1"/>
  <c r="M940" i="44"/>
  <c r="AK940" i="44" s="1"/>
  <c r="X1185" i="44"/>
  <c r="X1186" i="44"/>
  <c r="X1183" i="44"/>
  <c r="X1184" i="44" s="1"/>
  <c r="AN1004" i="44"/>
  <c r="AR1003" i="44"/>
  <c r="AX321" i="44"/>
  <c r="BB321" i="44" s="1"/>
  <c r="L1012" i="44"/>
  <c r="AJ1012" i="44" s="1"/>
  <c r="AJ1011" i="44"/>
  <c r="H1076" i="44"/>
  <c r="AF1076" i="44" s="1"/>
  <c r="AF1075" i="44"/>
  <c r="L1040" i="44"/>
  <c r="AJ1040" i="44" s="1"/>
  <c r="AJ1039" i="44"/>
  <c r="E1076" i="44"/>
  <c r="AC1075" i="44"/>
  <c r="P1218" i="44"/>
  <c r="Q1218" i="44"/>
  <c r="H1111" i="44"/>
  <c r="H1113" i="44"/>
  <c r="H1134" i="44"/>
  <c r="AF1134" i="44" s="1"/>
  <c r="AF1110" i="44"/>
  <c r="K1144" i="44"/>
  <c r="P1141" i="44"/>
  <c r="AX309" i="44"/>
  <c r="BB309" i="44" s="1"/>
  <c r="AR898" i="44"/>
  <c r="I1111" i="44"/>
  <c r="I1134" i="44"/>
  <c r="AG1134" i="44" s="1"/>
  <c r="AG1110" i="44"/>
  <c r="D1113" i="44"/>
  <c r="D1122" i="44"/>
  <c r="AB1122" i="44" s="1"/>
  <c r="D1111" i="44"/>
  <c r="AB1110" i="44"/>
  <c r="Q1186" i="44"/>
  <c r="Q1183" i="44"/>
  <c r="Q1184" i="44" s="1"/>
  <c r="Q1185" i="44" s="1"/>
  <c r="AB1045" i="44"/>
  <c r="D1046" i="44"/>
  <c r="AB1046" i="44" s="1"/>
  <c r="D1047" i="44"/>
  <c r="AB1047" i="44" s="1"/>
  <c r="D1049" i="44"/>
  <c r="AB1049" i="44" s="1"/>
  <c r="D1048" i="44"/>
  <c r="AB1048" i="44" s="1"/>
  <c r="AF1013" i="44"/>
  <c r="H1016" i="44"/>
  <c r="AF1016" i="44" s="1"/>
  <c r="H1014" i="44"/>
  <c r="AF1014" i="44" s="1"/>
  <c r="H1017" i="44"/>
  <c r="H1015" i="44"/>
  <c r="AF1015" i="44" s="1"/>
  <c r="AX313" i="44"/>
  <c r="BB313" i="44" s="1"/>
  <c r="AR933" i="44"/>
  <c r="AN934" i="44"/>
  <c r="X1218" i="44"/>
  <c r="Y1218" i="44"/>
  <c r="F304" i="43"/>
  <c r="D1211" i="44" s="1"/>
  <c r="D1210" i="44"/>
  <c r="E903" i="44"/>
  <c r="AC903" i="44" s="1"/>
  <c r="AC902" i="44"/>
  <c r="E1122" i="44"/>
  <c r="AC1122" i="44" s="1"/>
  <c r="E1111" i="44"/>
  <c r="AC1110" i="44"/>
  <c r="P1185" i="44"/>
  <c r="P1183" i="44"/>
  <c r="P1184" i="44" s="1"/>
  <c r="P1186" i="44"/>
  <c r="I1076" i="44"/>
  <c r="AG1075" i="44"/>
  <c r="E905" i="44"/>
  <c r="AC905" i="44" s="1"/>
  <c r="AC904" i="44"/>
  <c r="AN1039" i="44"/>
  <c r="AR1038" i="44"/>
  <c r="AX325" i="44"/>
  <c r="BB325" i="44" s="1"/>
  <c r="L1008" i="44"/>
  <c r="AJ1008" i="44" s="1"/>
  <c r="AJ1007" i="44"/>
  <c r="D1146" i="44"/>
  <c r="E1146" i="44"/>
  <c r="E971" i="44"/>
  <c r="AC971" i="44" s="1"/>
  <c r="AC970" i="44"/>
  <c r="AN1079" i="44"/>
  <c r="L1101" i="44"/>
  <c r="AG941" i="44"/>
  <c r="I943" i="44"/>
  <c r="AG943" i="44" s="1"/>
  <c r="I942" i="44"/>
  <c r="AG942" i="44" s="1"/>
  <c r="I945" i="44"/>
  <c r="I944" i="44"/>
  <c r="AG944" i="44" s="1"/>
  <c r="AF1045" i="44"/>
  <c r="H1046" i="44"/>
  <c r="AF1046" i="44" s="1"/>
  <c r="H1048" i="44"/>
  <c r="AF1048" i="44" s="1"/>
  <c r="H1049" i="44"/>
  <c r="H1047" i="44"/>
  <c r="AF1047" i="44" s="1"/>
  <c r="AC306" i="43"/>
  <c r="B305" i="43"/>
  <c r="AG1005" i="44"/>
  <c r="I1007" i="44"/>
  <c r="AG1007" i="44" s="1"/>
  <c r="I1009" i="44"/>
  <c r="I1006" i="44"/>
  <c r="AG1006" i="44" s="1"/>
  <c r="I1008" i="44"/>
  <c r="AG1008" i="44" s="1"/>
  <c r="AF1077" i="44"/>
  <c r="H1080" i="44"/>
  <c r="AF1080" i="44" s="1"/>
  <c r="H1078" i="44"/>
  <c r="AF1078" i="44" s="1"/>
  <c r="H1079" i="44"/>
  <c r="AF1079" i="44" s="1"/>
  <c r="H1081" i="44"/>
  <c r="I1146" i="44"/>
  <c r="H1146" i="44"/>
  <c r="E1006" i="44"/>
  <c r="AC1005" i="44"/>
  <c r="E1008" i="44"/>
  <c r="AC833" i="44"/>
  <c r="E973" i="44"/>
  <c r="AC972" i="44"/>
  <c r="AR1043" i="44"/>
  <c r="AN1074" i="44"/>
  <c r="AG973" i="44"/>
  <c r="I975" i="44"/>
  <c r="AG975" i="44" s="1"/>
  <c r="I976" i="44"/>
  <c r="AG976" i="44" s="1"/>
  <c r="I974" i="44"/>
  <c r="AG974" i="44" s="1"/>
  <c r="I977" i="44"/>
  <c r="AF981" i="44"/>
  <c r="H984" i="44"/>
  <c r="AF984" i="44" s="1"/>
  <c r="H982" i="44"/>
  <c r="AF982" i="44" s="1"/>
  <c r="H985" i="44"/>
  <c r="H983" i="44"/>
  <c r="AF983" i="44" s="1"/>
  <c r="AJ1009" i="44"/>
  <c r="L1013" i="44"/>
  <c r="AJ1013" i="44" s="1"/>
  <c r="L1010" i="44"/>
  <c r="AJ1010" i="44" s="1"/>
  <c r="AJ1041" i="44"/>
  <c r="L1043" i="44"/>
  <c r="L1042" i="44"/>
  <c r="AJ1042" i="44" s="1"/>
  <c r="L1047" i="44"/>
  <c r="L1045" i="44"/>
  <c r="H1249" i="44"/>
  <c r="X1246" i="44"/>
  <c r="AQ1252" i="44"/>
  <c r="AM1252" i="44"/>
  <c r="T1247" i="44"/>
  <c r="AE1252" i="44"/>
  <c r="S1252" i="44"/>
  <c r="T1248" i="44"/>
  <c r="H1246" i="44"/>
  <c r="E867" i="44"/>
  <c r="AC867" i="44" s="1"/>
  <c r="AC866" i="44"/>
  <c r="E869" i="44"/>
  <c r="I858" i="44" s="1"/>
  <c r="AC868" i="44"/>
  <c r="AC937" i="44"/>
  <c r="E938" i="44"/>
  <c r="E940" i="44"/>
  <c r="W1252" i="44"/>
  <c r="H1245" i="44"/>
  <c r="T1245" i="44"/>
  <c r="T1246" i="44"/>
  <c r="AI1252" i="44"/>
  <c r="AG909" i="44"/>
  <c r="I910" i="44"/>
  <c r="AG910" i="44" s="1"/>
  <c r="I912" i="44"/>
  <c r="AG912" i="44" s="1"/>
  <c r="I911" i="44"/>
  <c r="AG911" i="44" s="1"/>
  <c r="I913" i="44"/>
  <c r="I789" i="44" l="1"/>
  <c r="AG788" i="44"/>
  <c r="M395" i="44"/>
  <c r="AK394" i="44"/>
  <c r="M535" i="44"/>
  <c r="M546" i="44"/>
  <c r="AK546" i="44" s="1"/>
  <c r="AK534" i="44"/>
  <c r="M466" i="44"/>
  <c r="AK465" i="44"/>
  <c r="M326" i="44"/>
  <c r="AK326" i="44" s="1"/>
  <c r="M329" i="44"/>
  <c r="AK329" i="44" s="1"/>
  <c r="M327" i="44"/>
  <c r="AK327" i="44" s="1"/>
  <c r="AK325" i="44"/>
  <c r="M328" i="44"/>
  <c r="AK328" i="44" s="1"/>
  <c r="I697" i="44"/>
  <c r="I696" i="44"/>
  <c r="AG696" i="44" s="1"/>
  <c r="I695" i="44"/>
  <c r="AG695" i="44" s="1"/>
  <c r="I694" i="44"/>
  <c r="AG694" i="44" s="1"/>
  <c r="AG693" i="44"/>
  <c r="M500" i="44"/>
  <c r="AK499" i="44"/>
  <c r="I756" i="44"/>
  <c r="AG756" i="44" s="1"/>
  <c r="I754" i="44"/>
  <c r="AG754" i="44" s="1"/>
  <c r="AG753" i="44"/>
  <c r="I757" i="44"/>
  <c r="I755" i="44"/>
  <c r="AG755" i="44" s="1"/>
  <c r="AG823" i="44"/>
  <c r="I824" i="44"/>
  <c r="AK429" i="44"/>
  <c r="M430" i="44"/>
  <c r="AK359" i="44"/>
  <c r="M360" i="44"/>
  <c r="I882" i="44"/>
  <c r="AG882" i="44" s="1"/>
  <c r="I859" i="44"/>
  <c r="AG858" i="44"/>
  <c r="AG721" i="44"/>
  <c r="I724" i="44"/>
  <c r="AG724" i="44" s="1"/>
  <c r="I723" i="44"/>
  <c r="AG723" i="44" s="1"/>
  <c r="I722" i="44"/>
  <c r="AG722" i="44" s="1"/>
  <c r="I725" i="44"/>
  <c r="AG593" i="44"/>
  <c r="M570" i="44"/>
  <c r="AG625" i="44"/>
  <c r="I627" i="44"/>
  <c r="AG627" i="44" s="1"/>
  <c r="I626" i="44"/>
  <c r="AG626" i="44" s="1"/>
  <c r="I628" i="44"/>
  <c r="AG628" i="44" s="1"/>
  <c r="I629" i="44"/>
  <c r="AG657" i="44"/>
  <c r="I661" i="44"/>
  <c r="I659" i="44"/>
  <c r="AG659" i="44" s="1"/>
  <c r="I660" i="44"/>
  <c r="AG660" i="44" s="1"/>
  <c r="I658" i="44"/>
  <c r="AG658" i="44" s="1"/>
  <c r="AF1049" i="44"/>
  <c r="H1051" i="44"/>
  <c r="AF1051" i="44" s="1"/>
  <c r="H1053" i="44"/>
  <c r="H1052" i="44"/>
  <c r="AF1052" i="44" s="1"/>
  <c r="H1050" i="44"/>
  <c r="AF1050" i="44" s="1"/>
  <c r="AF1113" i="44"/>
  <c r="H1117" i="44"/>
  <c r="H1114" i="44"/>
  <c r="AF1114" i="44" s="1"/>
  <c r="H1116" i="44"/>
  <c r="AF1116" i="44" s="1"/>
  <c r="H1115" i="44"/>
  <c r="AF1115" i="44" s="1"/>
  <c r="AG945" i="44"/>
  <c r="I948" i="44"/>
  <c r="AG948" i="44" s="1"/>
  <c r="I949" i="44"/>
  <c r="I946" i="44"/>
  <c r="AG946" i="44" s="1"/>
  <c r="I947" i="44"/>
  <c r="AG947" i="44" s="1"/>
  <c r="AK973" i="44"/>
  <c r="M975" i="44"/>
  <c r="AK975" i="44" s="1"/>
  <c r="M976" i="44"/>
  <c r="AK976" i="44" s="1"/>
  <c r="M974" i="44"/>
  <c r="AK974" i="44" s="1"/>
  <c r="M977" i="44"/>
  <c r="AK977" i="44" s="1"/>
  <c r="D1112" i="44"/>
  <c r="AB1112" i="44" s="1"/>
  <c r="AB1111" i="44"/>
  <c r="Q1222" i="44"/>
  <c r="Q1219" i="44"/>
  <c r="Q1220" i="44" s="1"/>
  <c r="Q1221" i="44" s="1"/>
  <c r="I1077" i="44"/>
  <c r="AG1076" i="44"/>
  <c r="P1254" i="44"/>
  <c r="Q1254" i="44"/>
  <c r="E1007" i="44"/>
  <c r="AC1007" i="44" s="1"/>
  <c r="AC1006" i="44"/>
  <c r="P1221" i="44"/>
  <c r="P1219" i="44"/>
  <c r="P1220" i="44" s="1"/>
  <c r="P1222" i="44"/>
  <c r="L1122" i="44"/>
  <c r="AJ1122" i="44" s="1"/>
  <c r="L1113" i="44"/>
  <c r="L1111" i="44"/>
  <c r="AJ1110" i="44"/>
  <c r="T1282" i="44"/>
  <c r="H1281" i="44"/>
  <c r="T1281" i="44"/>
  <c r="W1288" i="44"/>
  <c r="AI1288" i="44"/>
  <c r="AN1075" i="44"/>
  <c r="AX330" i="44"/>
  <c r="BB330" i="44" s="1"/>
  <c r="AR1074" i="44"/>
  <c r="E1182" i="44"/>
  <c r="D1182" i="44"/>
  <c r="AF1081" i="44"/>
  <c r="H1082" i="44"/>
  <c r="AF1082" i="44" s="1"/>
  <c r="H1085" i="44"/>
  <c r="H1083" i="44"/>
  <c r="AF1083" i="44" s="1"/>
  <c r="H1084" i="44"/>
  <c r="AF1084" i="44" s="1"/>
  <c r="H1182" i="44"/>
  <c r="I1182" i="44"/>
  <c r="AX314" i="44"/>
  <c r="BB314" i="44" s="1"/>
  <c r="AR934" i="44"/>
  <c r="AN1005" i="44"/>
  <c r="AX322" i="44"/>
  <c r="BB322" i="44" s="1"/>
  <c r="AR1004" i="44"/>
  <c r="L1137" i="44"/>
  <c r="AN1115" i="44"/>
  <c r="E1147" i="44"/>
  <c r="E1158" i="44"/>
  <c r="AC1158" i="44" s="1"/>
  <c r="AC1146" i="44"/>
  <c r="AF1017" i="44"/>
  <c r="H1018" i="44"/>
  <c r="AF1018" i="44" s="1"/>
  <c r="H1020" i="44"/>
  <c r="AF1020" i="44" s="1"/>
  <c r="H1021" i="44"/>
  <c r="H1019" i="44"/>
  <c r="AF1019" i="44" s="1"/>
  <c r="AB1113" i="44"/>
  <c r="D1114" i="44"/>
  <c r="AB1114" i="44" s="1"/>
  <c r="D1117" i="44"/>
  <c r="D1115" i="44"/>
  <c r="AB1115" i="44" s="1"/>
  <c r="D1116" i="44"/>
  <c r="AB1116" i="44" s="1"/>
  <c r="M1122" i="44"/>
  <c r="AK1122" i="44" s="1"/>
  <c r="M1111" i="44"/>
  <c r="AK1110" i="44"/>
  <c r="D1320" i="44"/>
  <c r="D1353" i="44"/>
  <c r="D1322" i="44"/>
  <c r="X1319" i="44"/>
  <c r="D1321" i="44"/>
  <c r="X1317" i="44"/>
  <c r="E941" i="44"/>
  <c r="AC941" i="44" s="1"/>
  <c r="AC940" i="44"/>
  <c r="L1048" i="44"/>
  <c r="AJ1048" i="44" s="1"/>
  <c r="AJ1047" i="44"/>
  <c r="I1147" i="44"/>
  <c r="I1170" i="44"/>
  <c r="AG1170" i="44" s="1"/>
  <c r="AG1146" i="44"/>
  <c r="H1112" i="44"/>
  <c r="AF1112" i="44" s="1"/>
  <c r="AF1111" i="44"/>
  <c r="AK1005" i="44"/>
  <c r="M1006" i="44"/>
  <c r="AK1006" i="44" s="1"/>
  <c r="M1009" i="44"/>
  <c r="M1008" i="44"/>
  <c r="AK1008" i="44" s="1"/>
  <c r="M1007" i="44"/>
  <c r="AK1007" i="44" s="1"/>
  <c r="AG1009" i="44"/>
  <c r="I1013" i="44"/>
  <c r="I1012" i="44"/>
  <c r="AG1012" i="44" s="1"/>
  <c r="I1011" i="44"/>
  <c r="AG1011" i="44" s="1"/>
  <c r="I1010" i="44"/>
  <c r="AG1010" i="44" s="1"/>
  <c r="AR1079" i="44"/>
  <c r="AN1110" i="44"/>
  <c r="H1216" i="44"/>
  <c r="AF1216" i="44" s="1"/>
  <c r="L1211" i="44"/>
  <c r="L1213" i="44"/>
  <c r="C1216" i="44" s="1"/>
  <c r="H1212" i="44"/>
  <c r="H1214" i="44" s="1"/>
  <c r="P1211" i="44"/>
  <c r="P1209" i="44"/>
  <c r="P1210" i="44"/>
  <c r="D1216" i="44"/>
  <c r="AB1216" i="44" s="1"/>
  <c r="L1212" i="44"/>
  <c r="G1216" i="44" s="1"/>
  <c r="L1216" i="44"/>
  <c r="AJ1216" i="44" s="1"/>
  <c r="AO1173" i="44"/>
  <c r="AC973" i="44"/>
  <c r="E974" i="44"/>
  <c r="E976" i="44"/>
  <c r="E1009" i="44"/>
  <c r="AC1008" i="44"/>
  <c r="D1158" i="44"/>
  <c r="AB1158" i="44" s="1"/>
  <c r="D1149" i="44"/>
  <c r="D1147" i="44"/>
  <c r="AB1146" i="44"/>
  <c r="E1112" i="44"/>
  <c r="AC1111" i="44"/>
  <c r="I1112" i="44"/>
  <c r="AG1111" i="44"/>
  <c r="E1077" i="44"/>
  <c r="AC1076" i="44"/>
  <c r="M1041" i="44"/>
  <c r="AK1040" i="44"/>
  <c r="E939" i="44"/>
  <c r="AC939" i="44" s="1"/>
  <c r="AC938" i="44"/>
  <c r="AG977" i="44"/>
  <c r="I979" i="44"/>
  <c r="AG979" i="44" s="1"/>
  <c r="I980" i="44"/>
  <c r="AG980" i="44" s="1"/>
  <c r="I978" i="44"/>
  <c r="AG978" i="44" s="1"/>
  <c r="I981" i="44"/>
  <c r="F305" i="43"/>
  <c r="D1247" i="44" s="1"/>
  <c r="D1246" i="44"/>
  <c r="AG1041" i="44"/>
  <c r="I1044" i="44"/>
  <c r="AG1044" i="44" s="1"/>
  <c r="I1045" i="44"/>
  <c r="I1042" i="44"/>
  <c r="AG1042" i="44" s="1"/>
  <c r="I1043" i="44"/>
  <c r="AG1043" i="44" s="1"/>
  <c r="AB1081" i="44"/>
  <c r="D1084" i="44"/>
  <c r="AB1084" i="44" s="1"/>
  <c r="D1083" i="44"/>
  <c r="AB1083" i="44" s="1"/>
  <c r="D1085" i="44"/>
  <c r="AB1085" i="44" s="1"/>
  <c r="D1082" i="44"/>
  <c r="AB1082" i="44" s="1"/>
  <c r="AE1288" i="44"/>
  <c r="S1288" i="44"/>
  <c r="T1284" i="44"/>
  <c r="H1282" i="44"/>
  <c r="T1283" i="44"/>
  <c r="L1146" i="44"/>
  <c r="M1146" i="44"/>
  <c r="M1076" i="44"/>
  <c r="AK1075" i="44"/>
  <c r="H1147" i="44"/>
  <c r="H1149" i="44"/>
  <c r="H1170" i="44"/>
  <c r="AF1170" i="44" s="1"/>
  <c r="AF1146" i="44"/>
  <c r="L1044" i="44"/>
  <c r="AJ1044" i="44" s="1"/>
  <c r="AJ1043" i="44"/>
  <c r="Y1219" i="44"/>
  <c r="Y1220" i="44" s="1"/>
  <c r="Y1221" i="44" s="1"/>
  <c r="Y1222" i="44"/>
  <c r="K1180" i="44"/>
  <c r="P1177" i="44"/>
  <c r="U1254" i="44"/>
  <c r="T1254" i="44"/>
  <c r="AF985" i="44"/>
  <c r="H987" i="44"/>
  <c r="AF987" i="44" s="1"/>
  <c r="H986" i="44"/>
  <c r="AF986" i="44" s="1"/>
  <c r="H988" i="44"/>
  <c r="AF988" i="44" s="1"/>
  <c r="H989" i="44"/>
  <c r="AF989" i="44" s="1"/>
  <c r="AC307" i="43"/>
  <c r="B306" i="43"/>
  <c r="T1222" i="44"/>
  <c r="T1219" i="44"/>
  <c r="T1220" i="44" s="1"/>
  <c r="T1221" i="44"/>
  <c r="AQ1288" i="44"/>
  <c r="AM1288" i="44"/>
  <c r="X1282" i="44"/>
  <c r="H1285" i="44"/>
  <c r="AJ1045" i="44"/>
  <c r="L1046" i="44"/>
  <c r="AJ1046" i="44" s="1"/>
  <c r="L1049" i="44"/>
  <c r="AJ1049" i="44" s="1"/>
  <c r="AC1041" i="44"/>
  <c r="E1042" i="44"/>
  <c r="E1044" i="44"/>
  <c r="AC869" i="44"/>
  <c r="X1222" i="44"/>
  <c r="X1219" i="44"/>
  <c r="X1220" i="44" s="1"/>
  <c r="X1221" i="44"/>
  <c r="L1076" i="44"/>
  <c r="AJ1076" i="44" s="1"/>
  <c r="AJ1075" i="44"/>
  <c r="AG913" i="44"/>
  <c r="I916" i="44"/>
  <c r="AG916" i="44" s="1"/>
  <c r="I914" i="44"/>
  <c r="AG914" i="44" s="1"/>
  <c r="I915" i="44"/>
  <c r="AG915" i="44" s="1"/>
  <c r="I917" i="44"/>
  <c r="AG917" i="44" s="1"/>
  <c r="AJ1077" i="44"/>
  <c r="L1081" i="44"/>
  <c r="L1079" i="44"/>
  <c r="L1078" i="44"/>
  <c r="AJ1078" i="44" s="1"/>
  <c r="L1083" i="44"/>
  <c r="X1254" i="44"/>
  <c r="Y1254" i="44"/>
  <c r="AR1039" i="44"/>
  <c r="AN1040" i="44"/>
  <c r="AX326" i="44"/>
  <c r="BB326" i="44" s="1"/>
  <c r="U1222" i="44"/>
  <c r="U1219" i="44"/>
  <c r="U1220" i="44" s="1"/>
  <c r="U1221" i="44" s="1"/>
  <c r="AN970" i="44"/>
  <c r="AR969" i="44"/>
  <c r="AX318" i="44"/>
  <c r="BB318" i="44" s="1"/>
  <c r="O1288" i="44"/>
  <c r="T1285" i="44"/>
  <c r="AA1288" i="44"/>
  <c r="T1286" i="44"/>
  <c r="H1283" i="44"/>
  <c r="I825" i="44" l="1"/>
  <c r="AG824" i="44"/>
  <c r="AG757" i="44"/>
  <c r="I760" i="44"/>
  <c r="AG760" i="44" s="1"/>
  <c r="I761" i="44"/>
  <c r="I758" i="44"/>
  <c r="AG758" i="44" s="1"/>
  <c r="I759" i="44"/>
  <c r="AG759" i="44" s="1"/>
  <c r="M536" i="44"/>
  <c r="AK535" i="44"/>
  <c r="M501" i="44"/>
  <c r="AK500" i="44"/>
  <c r="I698" i="44"/>
  <c r="AG698" i="44" s="1"/>
  <c r="AG697" i="44"/>
  <c r="I699" i="44"/>
  <c r="AG699" i="44" s="1"/>
  <c r="I701" i="44"/>
  <c r="I700" i="44"/>
  <c r="AG700" i="44" s="1"/>
  <c r="M396" i="44"/>
  <c r="AK395" i="44"/>
  <c r="AK430" i="44"/>
  <c r="M431" i="44"/>
  <c r="I727" i="44"/>
  <c r="AG727" i="44" s="1"/>
  <c r="I726" i="44"/>
  <c r="AG726" i="44" s="1"/>
  <c r="I729" i="44"/>
  <c r="AG725" i="44"/>
  <c r="I728" i="44"/>
  <c r="AG728" i="44" s="1"/>
  <c r="AG859" i="44"/>
  <c r="I860" i="44"/>
  <c r="M361" i="44"/>
  <c r="AK360" i="44"/>
  <c r="AG629" i="44"/>
  <c r="M606" i="44"/>
  <c r="M571" i="44"/>
  <c r="M582" i="44"/>
  <c r="AK582" i="44" s="1"/>
  <c r="AK570" i="44"/>
  <c r="M467" i="44"/>
  <c r="AK466" i="44"/>
  <c r="I664" i="44"/>
  <c r="AG664" i="44" s="1"/>
  <c r="I665" i="44"/>
  <c r="AG661" i="44"/>
  <c r="I662" i="44"/>
  <c r="AG662" i="44" s="1"/>
  <c r="I663" i="44"/>
  <c r="AG663" i="44" s="1"/>
  <c r="I792" i="44"/>
  <c r="AG792" i="44" s="1"/>
  <c r="I793" i="44"/>
  <c r="I791" i="44"/>
  <c r="AG791" i="44" s="1"/>
  <c r="AG789" i="44"/>
  <c r="I790" i="44"/>
  <c r="AG790" i="44" s="1"/>
  <c r="X1318" i="44"/>
  <c r="AM1324" i="44"/>
  <c r="H1321" i="44"/>
  <c r="AQ1324" i="44"/>
  <c r="AG949" i="44"/>
  <c r="I950" i="44"/>
  <c r="AG950" i="44" s="1"/>
  <c r="I951" i="44"/>
  <c r="AG951" i="44" s="1"/>
  <c r="I953" i="44"/>
  <c r="AG953" i="44" s="1"/>
  <c r="I952" i="44"/>
  <c r="AG952" i="44" s="1"/>
  <c r="Q1258" i="44"/>
  <c r="Q1255" i="44"/>
  <c r="Q1256" i="44" s="1"/>
  <c r="Q1257" i="44" s="1"/>
  <c r="Y1290" i="44"/>
  <c r="X1290" i="44"/>
  <c r="AK1009" i="44"/>
  <c r="M1012" i="44"/>
  <c r="AK1012" i="44" s="1"/>
  <c r="M1011" i="44"/>
  <c r="AK1011" i="44" s="1"/>
  <c r="M1013" i="44"/>
  <c r="AK1013" i="44" s="1"/>
  <c r="M1010" i="44"/>
  <c r="AK1010" i="44" s="1"/>
  <c r="AG1045" i="44"/>
  <c r="I1047" i="44"/>
  <c r="AG1047" i="44" s="1"/>
  <c r="I1048" i="44"/>
  <c r="AG1048" i="44" s="1"/>
  <c r="I1046" i="44"/>
  <c r="AG1046" i="44" s="1"/>
  <c r="I1049" i="44"/>
  <c r="H1148" i="44"/>
  <c r="AF1148" i="44" s="1"/>
  <c r="AF1147" i="44"/>
  <c r="AC1077" i="44"/>
  <c r="E1078" i="44"/>
  <c r="E1080" i="44"/>
  <c r="X1355" i="44"/>
  <c r="D1358" i="44"/>
  <c r="D1356" i="44"/>
  <c r="D1389" i="44"/>
  <c r="X1353" i="44"/>
  <c r="D1357" i="44"/>
  <c r="AF1021" i="44"/>
  <c r="H1022" i="44"/>
  <c r="AF1022" i="44" s="1"/>
  <c r="H1023" i="44"/>
  <c r="AF1023" i="44" s="1"/>
  <c r="H1025" i="44"/>
  <c r="AF1025" i="44" s="1"/>
  <c r="H1024" i="44"/>
  <c r="AF1024" i="44" s="1"/>
  <c r="AO1209" i="44"/>
  <c r="AF1149" i="44"/>
  <c r="H1152" i="44"/>
  <c r="AF1152" i="44" s="1"/>
  <c r="H1151" i="44"/>
  <c r="AF1151" i="44" s="1"/>
  <c r="H1150" i="44"/>
  <c r="AF1150" i="44" s="1"/>
  <c r="H1153" i="44"/>
  <c r="T1321" i="44"/>
  <c r="T1322" i="44"/>
  <c r="AA1324" i="44"/>
  <c r="H1319" i="44"/>
  <c r="O1324" i="44"/>
  <c r="H1317" i="44"/>
  <c r="T1317" i="44"/>
  <c r="W1324" i="44"/>
  <c r="AI1324" i="44"/>
  <c r="T1318" i="44"/>
  <c r="U1255" i="44"/>
  <c r="U1256" i="44" s="1"/>
  <c r="U1257" i="44" s="1"/>
  <c r="U1258" i="44"/>
  <c r="I1113" i="44"/>
  <c r="AG1112" i="44"/>
  <c r="AR1115" i="44"/>
  <c r="AN1146" i="44"/>
  <c r="AJ1113" i="44"/>
  <c r="L1117" i="44"/>
  <c r="L1114" i="44"/>
  <c r="AJ1114" i="44" s="1"/>
  <c r="L1115" i="44"/>
  <c r="L1119" i="44"/>
  <c r="D1252" i="44"/>
  <c r="AB1252" i="44" s="1"/>
  <c r="L1247" i="44"/>
  <c r="P1245" i="44"/>
  <c r="H1252" i="44"/>
  <c r="AF1252" i="44" s="1"/>
  <c r="P1247" i="44"/>
  <c r="P1246" i="44"/>
  <c r="L1252" i="44"/>
  <c r="AJ1252" i="44" s="1"/>
  <c r="H1248" i="44"/>
  <c r="H1250" i="44" s="1"/>
  <c r="L1248" i="44"/>
  <c r="G1252" i="44" s="1"/>
  <c r="L1249" i="44"/>
  <c r="C1252" i="44" s="1"/>
  <c r="M1112" i="44"/>
  <c r="AK1111" i="44"/>
  <c r="AN1151" i="44"/>
  <c r="L1173" i="44"/>
  <c r="I1206" i="44"/>
  <c r="AG1206" i="44" s="1"/>
  <c r="I1183" i="44"/>
  <c r="AG1182" i="44"/>
  <c r="AF1117" i="44"/>
  <c r="H1120" i="44"/>
  <c r="AF1120" i="44" s="1"/>
  <c r="H1118" i="44"/>
  <c r="AF1118" i="44" s="1"/>
  <c r="H1121" i="44"/>
  <c r="H1119" i="44"/>
  <c r="AF1119" i="44" s="1"/>
  <c r="X1257" i="44"/>
  <c r="X1258" i="44"/>
  <c r="X1255" i="44"/>
  <c r="X1256" i="44" s="1"/>
  <c r="AG981" i="44"/>
  <c r="I985" i="44"/>
  <c r="I982" i="44"/>
  <c r="AG982" i="44" s="1"/>
  <c r="I984" i="44"/>
  <c r="AG984" i="44" s="1"/>
  <c r="I983" i="44"/>
  <c r="AG983" i="44" s="1"/>
  <c r="AC1009" i="44"/>
  <c r="E1010" i="44"/>
  <c r="E1012" i="44"/>
  <c r="H1183" i="44"/>
  <c r="H1185" i="44"/>
  <c r="H1206" i="44"/>
  <c r="AF1206" i="44" s="1"/>
  <c r="AF1182" i="44"/>
  <c r="L1084" i="44"/>
  <c r="AJ1084" i="44" s="1"/>
  <c r="AJ1083" i="44"/>
  <c r="E1045" i="44"/>
  <c r="AC1044" i="44"/>
  <c r="L1080" i="44"/>
  <c r="AJ1080" i="44" s="1"/>
  <c r="AJ1079" i="44"/>
  <c r="AK1041" i="44"/>
  <c r="M1045" i="44"/>
  <c r="M1044" i="44"/>
  <c r="AK1044" i="44" s="1"/>
  <c r="M1042" i="44"/>
  <c r="AK1042" i="44" s="1"/>
  <c r="M1043" i="44"/>
  <c r="AK1043" i="44" s="1"/>
  <c r="AX319" i="44"/>
  <c r="BB319" i="44" s="1"/>
  <c r="AR970" i="44"/>
  <c r="L1182" i="44"/>
  <c r="M1182" i="44"/>
  <c r="E977" i="44"/>
  <c r="AC977" i="44" s="1"/>
  <c r="AC976" i="44"/>
  <c r="AN1111" i="44"/>
  <c r="AR1110" i="44"/>
  <c r="AX335" i="44"/>
  <c r="BB335" i="44" s="1"/>
  <c r="I1148" i="44"/>
  <c r="AG1147" i="44"/>
  <c r="F306" i="43"/>
  <c r="D1283" i="44" s="1"/>
  <c r="D1282" i="44"/>
  <c r="P1255" i="44"/>
  <c r="P1256" i="44" s="1"/>
  <c r="P1258" i="44"/>
  <c r="P1257" i="44"/>
  <c r="K1216" i="44"/>
  <c r="P1213" i="44"/>
  <c r="Q1290" i="44"/>
  <c r="P1290" i="44"/>
  <c r="U1290" i="44"/>
  <c r="T1290" i="44"/>
  <c r="E975" i="44"/>
  <c r="AC975" i="44" s="1"/>
  <c r="AC974" i="44"/>
  <c r="AR1005" i="44"/>
  <c r="AN1006" i="44"/>
  <c r="AX323" i="44"/>
  <c r="BB323" i="44" s="1"/>
  <c r="D1194" i="44"/>
  <c r="AB1194" i="44" s="1"/>
  <c r="D1185" i="44"/>
  <c r="D1183" i="44"/>
  <c r="AB1182" i="44"/>
  <c r="Y1258" i="44"/>
  <c r="Y1255" i="44"/>
  <c r="Y1256" i="44" s="1"/>
  <c r="Y1257" i="44" s="1"/>
  <c r="AG1013" i="44"/>
  <c r="I1016" i="44"/>
  <c r="AG1016" i="44" s="1"/>
  <c r="I1017" i="44"/>
  <c r="I1015" i="44"/>
  <c r="AG1015" i="44" s="1"/>
  <c r="I1014" i="44"/>
  <c r="AG1014" i="44" s="1"/>
  <c r="AJ1081" i="44"/>
  <c r="L1082" i="44"/>
  <c r="AJ1082" i="44" s="1"/>
  <c r="L1085" i="44"/>
  <c r="AJ1085" i="44" s="1"/>
  <c r="E1148" i="44"/>
  <c r="AC1147" i="44"/>
  <c r="AB1117" i="44"/>
  <c r="D1118" i="44"/>
  <c r="AB1118" i="44" s="1"/>
  <c r="D1121" i="44"/>
  <c r="AB1121" i="44" s="1"/>
  <c r="D1120" i="44"/>
  <c r="AB1120" i="44" s="1"/>
  <c r="D1119" i="44"/>
  <c r="AB1119" i="44" s="1"/>
  <c r="AF1085" i="44"/>
  <c r="H1087" i="44"/>
  <c r="AF1087" i="44" s="1"/>
  <c r="H1088" i="44"/>
  <c r="AF1088" i="44" s="1"/>
  <c r="H1086" i="44"/>
  <c r="AF1086" i="44" s="1"/>
  <c r="H1089" i="44"/>
  <c r="E1183" i="44"/>
  <c r="E1194" i="44"/>
  <c r="AC1194" i="44" s="1"/>
  <c r="AC1182" i="44"/>
  <c r="AF1053" i="44"/>
  <c r="H1057" i="44"/>
  <c r="H1054" i="44"/>
  <c r="AF1054" i="44" s="1"/>
  <c r="H1056" i="44"/>
  <c r="AF1056" i="44" s="1"/>
  <c r="H1055" i="44"/>
  <c r="AF1055" i="44" s="1"/>
  <c r="AC308" i="43"/>
  <c r="B307" i="43"/>
  <c r="E1218" i="44"/>
  <c r="D1218" i="44"/>
  <c r="AG1077" i="44"/>
  <c r="I1079" i="44"/>
  <c r="AG1079" i="44" s="1"/>
  <c r="I1081" i="44"/>
  <c r="I1080" i="44"/>
  <c r="AG1080" i="44" s="1"/>
  <c r="I1078" i="44"/>
  <c r="AG1078" i="44" s="1"/>
  <c r="M1158" i="44"/>
  <c r="AK1158" i="44" s="1"/>
  <c r="M1147" i="44"/>
  <c r="AK1146" i="44"/>
  <c r="M1077" i="44"/>
  <c r="AK1076" i="44"/>
  <c r="AX327" i="44"/>
  <c r="BB327" i="44" s="1"/>
  <c r="AR1040" i="44"/>
  <c r="AN1041" i="44"/>
  <c r="D1148" i="44"/>
  <c r="AB1148" i="44" s="1"/>
  <c r="AB1147" i="44"/>
  <c r="H1218" i="44"/>
  <c r="I1218" i="44"/>
  <c r="E1113" i="44"/>
  <c r="AC1112" i="44"/>
  <c r="AN1076" i="44"/>
  <c r="AR1075" i="44"/>
  <c r="AX331" i="44"/>
  <c r="BB331" i="44" s="1"/>
  <c r="H1318" i="44"/>
  <c r="S1324" i="44"/>
  <c r="AE1324" i="44"/>
  <c r="T1319" i="44"/>
  <c r="T1320" i="44"/>
  <c r="E1043" i="44"/>
  <c r="AC1043" i="44" s="1"/>
  <c r="AC1042" i="44"/>
  <c r="T1257" i="44"/>
  <c r="T1255" i="44"/>
  <c r="T1256" i="44" s="1"/>
  <c r="T1258" i="44"/>
  <c r="L1112" i="44"/>
  <c r="AJ1112" i="44" s="1"/>
  <c r="AJ1111" i="44"/>
  <c r="L1149" i="44"/>
  <c r="L1158" i="44"/>
  <c r="AJ1158" i="44" s="1"/>
  <c r="L1147" i="44"/>
  <c r="AJ1146" i="44"/>
  <c r="AB1149" i="44"/>
  <c r="D1151" i="44"/>
  <c r="AB1151" i="44" s="1"/>
  <c r="D1153" i="44"/>
  <c r="D1150" i="44"/>
  <c r="AB1150" i="44" s="1"/>
  <c r="D1152" i="44"/>
  <c r="AB1152" i="44" s="1"/>
  <c r="AK571" i="44" l="1"/>
  <c r="M572" i="44"/>
  <c r="M363" i="44"/>
  <c r="AK363" i="44" s="1"/>
  <c r="M364" i="44"/>
  <c r="AK364" i="44" s="1"/>
  <c r="M365" i="44"/>
  <c r="AK365" i="44" s="1"/>
  <c r="M362" i="44"/>
  <c r="AK362" i="44" s="1"/>
  <c r="AK361" i="44"/>
  <c r="I861" i="44"/>
  <c r="AG860" i="44"/>
  <c r="I763" i="44"/>
  <c r="AG763" i="44" s="1"/>
  <c r="I764" i="44"/>
  <c r="AG764" i="44" s="1"/>
  <c r="I762" i="44"/>
  <c r="AG762" i="44" s="1"/>
  <c r="I765" i="44"/>
  <c r="AG761" i="44"/>
  <c r="I733" i="44"/>
  <c r="I732" i="44"/>
  <c r="AG732" i="44" s="1"/>
  <c r="AG729" i="44"/>
  <c r="I730" i="44"/>
  <c r="AG730" i="44" s="1"/>
  <c r="I731" i="44"/>
  <c r="AG731" i="44" s="1"/>
  <c r="M432" i="44"/>
  <c r="AK431" i="44"/>
  <c r="AG701" i="44"/>
  <c r="M678" i="44"/>
  <c r="AK467" i="44"/>
  <c r="M468" i="44"/>
  <c r="AK606" i="44"/>
  <c r="M618" i="44"/>
  <c r="AK618" i="44" s="1"/>
  <c r="M607" i="44"/>
  <c r="AK501" i="44"/>
  <c r="M502" i="44"/>
  <c r="AK536" i="44"/>
  <c r="M537" i="44"/>
  <c r="AG793" i="44"/>
  <c r="I794" i="44"/>
  <c r="AG794" i="44" s="1"/>
  <c r="I795" i="44"/>
  <c r="AG795" i="44" s="1"/>
  <c r="I796" i="44"/>
  <c r="AG796" i="44" s="1"/>
  <c r="I797" i="44"/>
  <c r="AG665" i="44"/>
  <c r="M642" i="44"/>
  <c r="M397" i="44"/>
  <c r="AK396" i="44"/>
  <c r="I827" i="44"/>
  <c r="AG827" i="44" s="1"/>
  <c r="I828" i="44"/>
  <c r="AG828" i="44" s="1"/>
  <c r="I829" i="44"/>
  <c r="AG825" i="44"/>
  <c r="I826" i="44"/>
  <c r="AG826" i="44" s="1"/>
  <c r="AO1245" i="44"/>
  <c r="AA1360" i="44"/>
  <c r="O1360" i="44"/>
  <c r="H1355" i="44"/>
  <c r="T1358" i="44"/>
  <c r="T1357" i="44"/>
  <c r="K1252" i="44"/>
  <c r="P1249" i="44"/>
  <c r="AC1113" i="44"/>
  <c r="E1114" i="44"/>
  <c r="E1116" i="44"/>
  <c r="T1293" i="44"/>
  <c r="T1294" i="44"/>
  <c r="T1291" i="44"/>
  <c r="T1292" i="44" s="1"/>
  <c r="L1120" i="44"/>
  <c r="AJ1120" i="44" s="1"/>
  <c r="AJ1119" i="44"/>
  <c r="M1148" i="44"/>
  <c r="AK1147" i="44"/>
  <c r="AG1017" i="44"/>
  <c r="I1019" i="44"/>
  <c r="AG1019" i="44" s="1"/>
  <c r="I1021" i="44"/>
  <c r="I1020" i="44"/>
  <c r="AG1020" i="44" s="1"/>
  <c r="I1018" i="44"/>
  <c r="AG1018" i="44" s="1"/>
  <c r="P1291" i="44"/>
  <c r="P1292" i="44" s="1"/>
  <c r="P1294" i="44"/>
  <c r="P1293" i="44"/>
  <c r="AK1182" i="44"/>
  <c r="M1183" i="44"/>
  <c r="M1194" i="44"/>
  <c r="AK1194" i="44" s="1"/>
  <c r="AF1185" i="44"/>
  <c r="H1186" i="44"/>
  <c r="AF1186" i="44" s="1"/>
  <c r="H1187" i="44"/>
  <c r="AF1187" i="44" s="1"/>
  <c r="H1189" i="44"/>
  <c r="H1188" i="44"/>
  <c r="AF1188" i="44" s="1"/>
  <c r="Q1326" i="44"/>
  <c r="P1326" i="44"/>
  <c r="AC1045" i="44"/>
  <c r="E1048" i="44"/>
  <c r="E1046" i="44"/>
  <c r="I1184" i="44"/>
  <c r="AG1183" i="44"/>
  <c r="AJ1182" i="44"/>
  <c r="L1185" i="44"/>
  <c r="L1194" i="44"/>
  <c r="AJ1194" i="44" s="1"/>
  <c r="L1183" i="44"/>
  <c r="M1113" i="44"/>
  <c r="AK1112" i="44"/>
  <c r="E1013" i="44"/>
  <c r="AC1013" i="44" s="1"/>
  <c r="AC1012" i="44"/>
  <c r="AF1057" i="44"/>
  <c r="H1059" i="44"/>
  <c r="AF1059" i="44" s="1"/>
  <c r="H1061" i="44"/>
  <c r="AF1061" i="44" s="1"/>
  <c r="H1060" i="44"/>
  <c r="AF1060" i="44" s="1"/>
  <c r="H1058" i="44"/>
  <c r="AF1058" i="44" s="1"/>
  <c r="AB1153" i="44"/>
  <c r="D1154" i="44"/>
  <c r="AB1154" i="44" s="1"/>
  <c r="D1155" i="44"/>
  <c r="AB1155" i="44" s="1"/>
  <c r="D1156" i="44"/>
  <c r="AB1156" i="44" s="1"/>
  <c r="D1157" i="44"/>
  <c r="AB1157" i="44" s="1"/>
  <c r="D1230" i="44"/>
  <c r="AB1230" i="44" s="1"/>
  <c r="D1221" i="44"/>
  <c r="D1219" i="44"/>
  <c r="AB1218" i="44"/>
  <c r="M1218" i="44"/>
  <c r="L1218" i="44"/>
  <c r="E1011" i="44"/>
  <c r="AC1011" i="44" s="1"/>
  <c r="AC1010" i="44"/>
  <c r="AN1147" i="44"/>
  <c r="AR1146" i="44"/>
  <c r="AX340" i="44"/>
  <c r="BB340" i="44" s="1"/>
  <c r="AG1049" i="44"/>
  <c r="I1051" i="44"/>
  <c r="AG1051" i="44" s="1"/>
  <c r="I1052" i="44"/>
  <c r="AG1052" i="44" s="1"/>
  <c r="I1050" i="44"/>
  <c r="AG1050" i="44" s="1"/>
  <c r="I1053" i="44"/>
  <c r="AR1041" i="44"/>
  <c r="AX328" i="44"/>
  <c r="BB328" i="44" s="1"/>
  <c r="AN1042" i="44"/>
  <c r="AR1151" i="44"/>
  <c r="AN1182" i="44"/>
  <c r="D1254" i="44"/>
  <c r="E1254" i="44"/>
  <c r="I1149" i="44"/>
  <c r="AG1148" i="44"/>
  <c r="X1291" i="44"/>
  <c r="X1292" i="44" s="1"/>
  <c r="X1294" i="44"/>
  <c r="X1293" i="44"/>
  <c r="AK1077" i="44"/>
  <c r="M1078" i="44"/>
  <c r="AK1078" i="44" s="1"/>
  <c r="M1080" i="44"/>
  <c r="AK1080" i="44" s="1"/>
  <c r="M1081" i="44"/>
  <c r="M1079" i="44"/>
  <c r="AK1079" i="44" s="1"/>
  <c r="Q1291" i="44"/>
  <c r="Q1292" i="44" s="1"/>
  <c r="Q1293" i="44" s="1"/>
  <c r="Q1294" i="44"/>
  <c r="H1184" i="44"/>
  <c r="AF1184" i="44" s="1"/>
  <c r="AF1183" i="44"/>
  <c r="AJ1117" i="44"/>
  <c r="L1118" i="44"/>
  <c r="AJ1118" i="44" s="1"/>
  <c r="L1121" i="44"/>
  <c r="AJ1121" i="44" s="1"/>
  <c r="AG1081" i="44"/>
  <c r="I1082" i="44"/>
  <c r="AG1082" i="44" s="1"/>
  <c r="I1083" i="44"/>
  <c r="AG1083" i="44" s="1"/>
  <c r="I1085" i="44"/>
  <c r="I1084" i="44"/>
  <c r="AG1084" i="44" s="1"/>
  <c r="E1230" i="44"/>
  <c r="AC1230" i="44" s="1"/>
  <c r="E1219" i="44"/>
  <c r="AC1218" i="44"/>
  <c r="T1326" i="44"/>
  <c r="U1326" i="44"/>
  <c r="F307" i="43"/>
  <c r="D1319" i="44" s="1"/>
  <c r="D1318" i="44"/>
  <c r="H1254" i="44"/>
  <c r="I1254" i="44"/>
  <c r="AF1153" i="44"/>
  <c r="H1156" i="44"/>
  <c r="AF1156" i="44" s="1"/>
  <c r="H1155" i="44"/>
  <c r="AF1155" i="44" s="1"/>
  <c r="H1154" i="44"/>
  <c r="AF1154" i="44" s="1"/>
  <c r="H1157" i="44"/>
  <c r="E1081" i="44"/>
  <c r="AC1080" i="44"/>
  <c r="AN1112" i="44"/>
  <c r="AX336" i="44"/>
  <c r="BB336" i="44" s="1"/>
  <c r="AR1111" i="44"/>
  <c r="Y1291" i="44"/>
  <c r="Y1292" i="44" s="1"/>
  <c r="Y1293" i="44" s="1"/>
  <c r="Y1294" i="44"/>
  <c r="U1291" i="44"/>
  <c r="U1292" i="44" s="1"/>
  <c r="U1293" i="44" s="1"/>
  <c r="U1294" i="44"/>
  <c r="AC309" i="43"/>
  <c r="AC310" i="43" s="1"/>
  <c r="AC311" i="43" s="1"/>
  <c r="B308" i="43"/>
  <c r="T1355" i="44"/>
  <c r="S1360" i="44"/>
  <c r="H1354" i="44"/>
  <c r="AE1360" i="44"/>
  <c r="T1356" i="44"/>
  <c r="E1149" i="44"/>
  <c r="AC1148" i="44"/>
  <c r="E1079" i="44"/>
  <c r="AC1079" i="44" s="1"/>
  <c r="AC1078" i="44"/>
  <c r="E1184" i="44"/>
  <c r="AC1183" i="44"/>
  <c r="L1116" i="44"/>
  <c r="AJ1116" i="44" s="1"/>
  <c r="AJ1115" i="44"/>
  <c r="AB1185" i="44"/>
  <c r="D1186" i="44"/>
  <c r="AB1186" i="44" s="1"/>
  <c r="D1189" i="44"/>
  <c r="D1187" i="44"/>
  <c r="AB1187" i="44" s="1"/>
  <c r="D1188" i="44"/>
  <c r="AB1188" i="44" s="1"/>
  <c r="AK1045" i="44"/>
  <c r="M1046" i="44"/>
  <c r="AK1046" i="44" s="1"/>
  <c r="M1047" i="44"/>
  <c r="AK1047" i="44" s="1"/>
  <c r="M1048" i="44"/>
  <c r="AK1048" i="44" s="1"/>
  <c r="M1049" i="44"/>
  <c r="AK1049" i="44" s="1"/>
  <c r="AF1121" i="44"/>
  <c r="H1125" i="44"/>
  <c r="H1124" i="44"/>
  <c r="AF1124" i="44" s="1"/>
  <c r="H1123" i="44"/>
  <c r="AF1123" i="44" s="1"/>
  <c r="H1122" i="44"/>
  <c r="AF1122" i="44" s="1"/>
  <c r="AQ1360" i="44"/>
  <c r="X1354" i="44"/>
  <c r="AM1360" i="44"/>
  <c r="H1357" i="44"/>
  <c r="AR1006" i="44"/>
  <c r="AX324" i="44"/>
  <c r="BB324" i="44" s="1"/>
  <c r="AF1089" i="44"/>
  <c r="H1091" i="44"/>
  <c r="AF1091" i="44" s="1"/>
  <c r="H1093" i="44"/>
  <c r="H1092" i="44"/>
  <c r="AF1092" i="44" s="1"/>
  <c r="H1090" i="44"/>
  <c r="AF1090" i="44" s="1"/>
  <c r="D1184" i="44"/>
  <c r="AB1184" i="44" s="1"/>
  <c r="AB1183" i="44"/>
  <c r="H1221" i="44"/>
  <c r="H1219" i="44"/>
  <c r="H1242" i="44"/>
  <c r="AF1242" i="44" s="1"/>
  <c r="AF1218" i="44"/>
  <c r="P1283" i="44"/>
  <c r="L1283" i="44"/>
  <c r="H1288" i="44"/>
  <c r="AF1288" i="44" s="1"/>
  <c r="D1288" i="44"/>
  <c r="AB1288" i="44" s="1"/>
  <c r="P1282" i="44"/>
  <c r="L1288" i="44"/>
  <c r="AJ1288" i="44" s="1"/>
  <c r="L1284" i="44"/>
  <c r="G1288" i="44" s="1"/>
  <c r="P1281" i="44"/>
  <c r="H1284" i="44"/>
  <c r="H1286" i="44" s="1"/>
  <c r="L1285" i="44"/>
  <c r="C1288" i="44" s="1"/>
  <c r="AG985" i="44"/>
  <c r="I989" i="44"/>
  <c r="AG989" i="44" s="1"/>
  <c r="I986" i="44"/>
  <c r="AG986" i="44" s="1"/>
  <c r="I988" i="44"/>
  <c r="AG988" i="44" s="1"/>
  <c r="I987" i="44"/>
  <c r="AG987" i="44" s="1"/>
  <c r="AG1113" i="44"/>
  <c r="I1117" i="44"/>
  <c r="I1114" i="44"/>
  <c r="AG1114" i="44" s="1"/>
  <c r="I1116" i="44"/>
  <c r="AG1116" i="44" s="1"/>
  <c r="I1115" i="44"/>
  <c r="AG1115" i="44" s="1"/>
  <c r="D1394" i="44"/>
  <c r="D1392" i="44"/>
  <c r="X1389" i="44"/>
  <c r="D1390" i="44"/>
  <c r="D1391" i="44"/>
  <c r="D1393" i="44"/>
  <c r="X1391" i="44"/>
  <c r="D1425" i="44"/>
  <c r="AR1076" i="44"/>
  <c r="AN1077" i="44"/>
  <c r="AX332" i="44"/>
  <c r="BB332" i="44" s="1"/>
  <c r="X1326" i="44"/>
  <c r="Y1326" i="44"/>
  <c r="L1209" i="44"/>
  <c r="AN1187" i="44"/>
  <c r="L1148" i="44"/>
  <c r="AJ1148" i="44" s="1"/>
  <c r="AJ1147" i="44"/>
  <c r="I1242" i="44"/>
  <c r="AG1242" i="44" s="1"/>
  <c r="I1219" i="44"/>
  <c r="AG1218" i="44"/>
  <c r="AJ1149" i="44"/>
  <c r="L1151" i="44"/>
  <c r="L1155" i="44"/>
  <c r="L1150" i="44"/>
  <c r="AJ1150" i="44" s="1"/>
  <c r="L1153" i="44"/>
  <c r="T1353" i="44"/>
  <c r="H1353" i="44"/>
  <c r="W1360" i="44"/>
  <c r="T1354" i="44"/>
  <c r="AI1360" i="44"/>
  <c r="AK502" i="44" l="1"/>
  <c r="M503" i="44"/>
  <c r="I769" i="44"/>
  <c r="I766" i="44"/>
  <c r="AG766" i="44" s="1"/>
  <c r="I767" i="44"/>
  <c r="AG767" i="44" s="1"/>
  <c r="AG765" i="44"/>
  <c r="I768" i="44"/>
  <c r="AG768" i="44" s="1"/>
  <c r="I735" i="44"/>
  <c r="AG735" i="44" s="1"/>
  <c r="I736" i="44"/>
  <c r="AG736" i="44" s="1"/>
  <c r="AG733" i="44"/>
  <c r="I737" i="44"/>
  <c r="I734" i="44"/>
  <c r="AG734" i="44" s="1"/>
  <c r="AK397" i="44"/>
  <c r="M400" i="44"/>
  <c r="AK400" i="44" s="1"/>
  <c r="M399" i="44"/>
  <c r="AK399" i="44" s="1"/>
  <c r="M401" i="44"/>
  <c r="AK401" i="44" s="1"/>
  <c r="M398" i="44"/>
  <c r="AK398" i="44" s="1"/>
  <c r="M538" i="44"/>
  <c r="AK537" i="44"/>
  <c r="AG861" i="44"/>
  <c r="I863" i="44"/>
  <c r="AG863" i="44" s="1"/>
  <c r="I862" i="44"/>
  <c r="AG862" i="44" s="1"/>
  <c r="I865" i="44"/>
  <c r="I864" i="44"/>
  <c r="AG864" i="44" s="1"/>
  <c r="AK642" i="44"/>
  <c r="M643" i="44"/>
  <c r="M654" i="44"/>
  <c r="AK654" i="44" s="1"/>
  <c r="AK432" i="44"/>
  <c r="M433" i="44"/>
  <c r="AK607" i="44"/>
  <c r="M608" i="44"/>
  <c r="M469" i="44"/>
  <c r="AK468" i="44"/>
  <c r="M690" i="44"/>
  <c r="AK690" i="44" s="1"/>
  <c r="AK678" i="44"/>
  <c r="M679" i="44"/>
  <c r="M573" i="44"/>
  <c r="AK572" i="44"/>
  <c r="I830" i="44"/>
  <c r="AG830" i="44" s="1"/>
  <c r="I831" i="44"/>
  <c r="AG831" i="44" s="1"/>
  <c r="I833" i="44"/>
  <c r="I832" i="44"/>
  <c r="AG832" i="44" s="1"/>
  <c r="AG829" i="44"/>
  <c r="I801" i="44"/>
  <c r="I798" i="44"/>
  <c r="AG798" i="44" s="1"/>
  <c r="AG797" i="44"/>
  <c r="I800" i="44"/>
  <c r="AG800" i="44" s="1"/>
  <c r="I799" i="44"/>
  <c r="AG799" i="44" s="1"/>
  <c r="AO1281" i="44"/>
  <c r="U1362" i="44"/>
  <c r="T1362" i="44"/>
  <c r="AG1053" i="44"/>
  <c r="I1057" i="44"/>
  <c r="I1055" i="44"/>
  <c r="AG1055" i="44" s="1"/>
  <c r="I1056" i="44"/>
  <c r="AG1056" i="44" s="1"/>
  <c r="I1054" i="44"/>
  <c r="AG1054" i="44" s="1"/>
  <c r="AX333" i="44"/>
  <c r="BB333" i="44" s="1"/>
  <c r="AN1078" i="44"/>
  <c r="AR1077" i="44"/>
  <c r="AJ1185" i="44"/>
  <c r="L1191" i="44"/>
  <c r="L1186" i="44"/>
  <c r="AJ1186" i="44" s="1"/>
  <c r="L1189" i="44"/>
  <c r="L1187" i="44"/>
  <c r="L1156" i="44"/>
  <c r="AJ1156" i="44" s="1"/>
  <c r="AJ1155" i="44"/>
  <c r="AF1221" i="44"/>
  <c r="H1225" i="44"/>
  <c r="H1223" i="44"/>
  <c r="AF1223" i="44" s="1"/>
  <c r="H1224" i="44"/>
  <c r="AF1224" i="44" s="1"/>
  <c r="H1222" i="44"/>
  <c r="AF1222" i="44" s="1"/>
  <c r="AG1085" i="44"/>
  <c r="I1089" i="44"/>
  <c r="I1087" i="44"/>
  <c r="AG1087" i="44" s="1"/>
  <c r="I1088" i="44"/>
  <c r="AG1088" i="44" s="1"/>
  <c r="I1086" i="44"/>
  <c r="AG1086" i="44" s="1"/>
  <c r="M1184" i="44"/>
  <c r="AK1183" i="44"/>
  <c r="K1288" i="44"/>
  <c r="P1285" i="44"/>
  <c r="AK1113" i="44"/>
  <c r="M1115" i="44"/>
  <c r="AK1115" i="44" s="1"/>
  <c r="M1117" i="44"/>
  <c r="M1114" i="44"/>
  <c r="AK1114" i="44" s="1"/>
  <c r="M1116" i="44"/>
  <c r="AK1116" i="44" s="1"/>
  <c r="X1329" i="44"/>
  <c r="X1327" i="44"/>
  <c r="X1328" i="44" s="1"/>
  <c r="X1330" i="44"/>
  <c r="D1220" i="44"/>
  <c r="AB1220" i="44" s="1"/>
  <c r="AB1219" i="44"/>
  <c r="H1220" i="44"/>
  <c r="AF1220" i="44" s="1"/>
  <c r="AF1219" i="44"/>
  <c r="L1152" i="44"/>
  <c r="AJ1152" i="44" s="1"/>
  <c r="AJ1151" i="44"/>
  <c r="D1461" i="44"/>
  <c r="D1428" i="44"/>
  <c r="D1426" i="44"/>
  <c r="D1429" i="44"/>
  <c r="D1427" i="44"/>
  <c r="D1430" i="44"/>
  <c r="X1427" i="44"/>
  <c r="X1425" i="44"/>
  <c r="AF1125" i="44"/>
  <c r="H1126" i="44"/>
  <c r="AF1126" i="44" s="1"/>
  <c r="H1129" i="44"/>
  <c r="H1127" i="44"/>
  <c r="AF1127" i="44" s="1"/>
  <c r="H1128" i="44"/>
  <c r="AF1128" i="44" s="1"/>
  <c r="E1117" i="44"/>
  <c r="AC1116" i="44"/>
  <c r="AF1189" i="44"/>
  <c r="H1192" i="44"/>
  <c r="AF1192" i="44" s="1"/>
  <c r="H1193" i="44"/>
  <c r="H1190" i="44"/>
  <c r="AF1190" i="44" s="1"/>
  <c r="H1191" i="44"/>
  <c r="AF1191" i="44" s="1"/>
  <c r="AG1117" i="44"/>
  <c r="I1121" i="44"/>
  <c r="I1119" i="44"/>
  <c r="AG1119" i="44" s="1"/>
  <c r="I1118" i="44"/>
  <c r="AG1118" i="44" s="1"/>
  <c r="I1120" i="44"/>
  <c r="AG1120" i="44" s="1"/>
  <c r="E1115" i="44"/>
  <c r="AC1115" i="44" s="1"/>
  <c r="AC1114" i="44"/>
  <c r="P1389" i="44"/>
  <c r="L1396" i="44"/>
  <c r="L1392" i="44"/>
  <c r="G1396" i="44" s="1"/>
  <c r="L1393" i="44"/>
  <c r="C1396" i="44" s="1"/>
  <c r="H1396" i="44"/>
  <c r="P1391" i="44"/>
  <c r="P1390" i="44"/>
  <c r="D1396" i="44"/>
  <c r="H1392" i="44"/>
  <c r="L1391" i="44"/>
  <c r="E1266" i="44"/>
  <c r="AC1266" i="44" s="1"/>
  <c r="E1255" i="44"/>
  <c r="AC1254" i="44"/>
  <c r="AR1147" i="44"/>
  <c r="AN1148" i="44"/>
  <c r="AX341" i="44"/>
  <c r="BB341" i="44" s="1"/>
  <c r="E1049" i="44"/>
  <c r="AC1049" i="44" s="1"/>
  <c r="AC1048" i="44"/>
  <c r="E1220" i="44"/>
  <c r="AC1219" i="44"/>
  <c r="L1184" i="44"/>
  <c r="AJ1184" i="44" s="1"/>
  <c r="AJ1183" i="44"/>
  <c r="AK1081" i="44"/>
  <c r="M1084" i="44"/>
  <c r="AK1084" i="44" s="1"/>
  <c r="M1082" i="44"/>
  <c r="AK1082" i="44" s="1"/>
  <c r="M1085" i="44"/>
  <c r="AK1085" i="44" s="1"/>
  <c r="M1083" i="44"/>
  <c r="AK1083" i="44" s="1"/>
  <c r="I1185" i="44"/>
  <c r="AG1184" i="44"/>
  <c r="AF1093" i="44"/>
  <c r="H1094" i="44"/>
  <c r="AF1094" i="44" s="1"/>
  <c r="H1097" i="44"/>
  <c r="AF1097" i="44" s="1"/>
  <c r="H1096" i="44"/>
  <c r="AF1096" i="44" s="1"/>
  <c r="H1095" i="44"/>
  <c r="AF1095" i="44" s="1"/>
  <c r="E1185" i="44"/>
  <c r="AC1184" i="44"/>
  <c r="AX337" i="44"/>
  <c r="BB337" i="44" s="1"/>
  <c r="AR1112" i="44"/>
  <c r="AN1113" i="44"/>
  <c r="I1255" i="44"/>
  <c r="I1278" i="44"/>
  <c r="AG1278" i="44" s="1"/>
  <c r="AG1254" i="44"/>
  <c r="D1257" i="44"/>
  <c r="D1266" i="44"/>
  <c r="AB1266" i="44" s="1"/>
  <c r="D1255" i="44"/>
  <c r="AB1254" i="44"/>
  <c r="M1254" i="44"/>
  <c r="L1254" i="44"/>
  <c r="Y1362" i="44"/>
  <c r="X1362" i="44"/>
  <c r="M1219" i="44"/>
  <c r="M1230" i="44"/>
  <c r="AK1230" i="44" s="1"/>
  <c r="AK1218" i="44"/>
  <c r="Y1330" i="44"/>
  <c r="Y1327" i="44"/>
  <c r="Y1328" i="44" s="1"/>
  <c r="Y1329" i="44" s="1"/>
  <c r="AC312" i="43"/>
  <c r="B311" i="43"/>
  <c r="F311" i="43" s="1"/>
  <c r="I1290" i="44"/>
  <c r="H1290" i="44"/>
  <c r="H1278" i="44"/>
  <c r="AF1278" i="44" s="1"/>
  <c r="H1257" i="44"/>
  <c r="H1255" i="44"/>
  <c r="AF1254" i="44"/>
  <c r="AX345" i="44"/>
  <c r="BB345" i="44" s="1"/>
  <c r="AR1182" i="44"/>
  <c r="AN1183" i="44"/>
  <c r="L1245" i="44"/>
  <c r="AN1223" i="44"/>
  <c r="AJ1153" i="44"/>
  <c r="L1154" i="44"/>
  <c r="AJ1154" i="44" s="1"/>
  <c r="L1157" i="44"/>
  <c r="AJ1157" i="44" s="1"/>
  <c r="T1391" i="44"/>
  <c r="H1390" i="44"/>
  <c r="S1396" i="44"/>
  <c r="T1392" i="44"/>
  <c r="AE1396" i="44"/>
  <c r="AC1149" i="44"/>
  <c r="E1150" i="44"/>
  <c r="E1152" i="44"/>
  <c r="AC1081" i="44"/>
  <c r="E1082" i="44"/>
  <c r="E1084" i="44"/>
  <c r="AG1149" i="44"/>
  <c r="I1150" i="44"/>
  <c r="AG1150" i="44" s="1"/>
  <c r="I1152" i="44"/>
  <c r="AG1152" i="44" s="1"/>
  <c r="I1151" i="44"/>
  <c r="AG1151" i="44" s="1"/>
  <c r="I1153" i="44"/>
  <c r="AG1021" i="44"/>
  <c r="I1025" i="44"/>
  <c r="AG1025" i="44" s="1"/>
  <c r="I1022" i="44"/>
  <c r="AG1022" i="44" s="1"/>
  <c r="I1023" i="44"/>
  <c r="AG1023" i="44" s="1"/>
  <c r="I1024" i="44"/>
  <c r="AG1024" i="44" s="1"/>
  <c r="AB1221" i="44"/>
  <c r="D1222" i="44"/>
  <c r="AB1222" i="44" s="1"/>
  <c r="D1224" i="44"/>
  <c r="AB1224" i="44" s="1"/>
  <c r="D1223" i="44"/>
  <c r="AB1223" i="44" s="1"/>
  <c r="D1225" i="44"/>
  <c r="T1393" i="44"/>
  <c r="T1394" i="44"/>
  <c r="O1396" i="44"/>
  <c r="AA1396" i="44"/>
  <c r="H1391" i="44"/>
  <c r="AF1157" i="44"/>
  <c r="H1158" i="44"/>
  <c r="AF1158" i="44" s="1"/>
  <c r="H1161" i="44"/>
  <c r="H1160" i="44"/>
  <c r="AF1160" i="44" s="1"/>
  <c r="H1159" i="44"/>
  <c r="AF1159" i="44" s="1"/>
  <c r="AX329" i="44"/>
  <c r="BB329" i="44" s="1"/>
  <c r="AR1042" i="44"/>
  <c r="P1327" i="44"/>
  <c r="P1328" i="44" s="1"/>
  <c r="P1330" i="44"/>
  <c r="P1329" i="44"/>
  <c r="T1329" i="44"/>
  <c r="T1330" i="44"/>
  <c r="T1327" i="44"/>
  <c r="T1328" i="44" s="1"/>
  <c r="D1290" i="44"/>
  <c r="E1290" i="44"/>
  <c r="I1220" i="44"/>
  <c r="AG1219" i="44"/>
  <c r="P1319" i="44"/>
  <c r="L1319" i="44"/>
  <c r="P1317" i="44"/>
  <c r="L1320" i="44"/>
  <c r="G1324" i="44" s="1"/>
  <c r="D1324" i="44"/>
  <c r="AB1324" i="44" s="1"/>
  <c r="H1324" i="44"/>
  <c r="AF1324" i="44" s="1"/>
  <c r="L1324" i="44"/>
  <c r="AJ1324" i="44" s="1"/>
  <c r="L1321" i="44"/>
  <c r="C1324" i="44" s="1"/>
  <c r="H1320" i="44"/>
  <c r="H1322" i="44" s="1"/>
  <c r="P1318" i="44"/>
  <c r="Q1327" i="44"/>
  <c r="Q1328" i="44" s="1"/>
  <c r="Q1329" i="44" s="1"/>
  <c r="Q1330" i="44"/>
  <c r="P1362" i="44"/>
  <c r="Q1362" i="44"/>
  <c r="M1149" i="44"/>
  <c r="AK1148" i="44"/>
  <c r="F308" i="43"/>
  <c r="D1355" i="44" s="1"/>
  <c r="D1354" i="44"/>
  <c r="E1047" i="44"/>
  <c r="AC1047" i="44" s="1"/>
  <c r="AC1046" i="44"/>
  <c r="AQ1396" i="44"/>
  <c r="AM1396" i="44"/>
  <c r="X1390" i="44"/>
  <c r="W1396" i="44"/>
  <c r="AI1396" i="44"/>
  <c r="H1389" i="44"/>
  <c r="T1390" i="44"/>
  <c r="T1389" i="44"/>
  <c r="AR1187" i="44"/>
  <c r="AN1218" i="44"/>
  <c r="AB1189" i="44"/>
  <c r="D1190" i="44"/>
  <c r="AB1190" i="44" s="1"/>
  <c r="D1192" i="44"/>
  <c r="AB1192" i="44" s="1"/>
  <c r="D1193" i="44"/>
  <c r="AB1193" i="44" s="1"/>
  <c r="D1191" i="44"/>
  <c r="AB1191" i="44" s="1"/>
  <c r="U1327" i="44"/>
  <c r="U1328" i="44" s="1"/>
  <c r="U1329" i="44" s="1"/>
  <c r="U1330" i="44"/>
  <c r="L1230" i="44"/>
  <c r="AJ1230" i="44" s="1"/>
  <c r="L1221" i="44"/>
  <c r="L1219" i="44"/>
  <c r="AJ1218" i="44"/>
  <c r="M435" i="44" l="1"/>
  <c r="AK435" i="44" s="1"/>
  <c r="M434" i="44"/>
  <c r="AK434" i="44" s="1"/>
  <c r="M437" i="44"/>
  <c r="AK437" i="44" s="1"/>
  <c r="AK433" i="44"/>
  <c r="M436" i="44"/>
  <c r="AK436" i="44" s="1"/>
  <c r="AK608" i="44"/>
  <c r="M609" i="44"/>
  <c r="AG737" i="44"/>
  <c r="M714" i="44"/>
  <c r="M644" i="44"/>
  <c r="AK643" i="44"/>
  <c r="I835" i="44"/>
  <c r="AG835" i="44" s="1"/>
  <c r="AG833" i="44"/>
  <c r="I836" i="44"/>
  <c r="AG836" i="44" s="1"/>
  <c r="I837" i="44"/>
  <c r="I834" i="44"/>
  <c r="AG834" i="44" s="1"/>
  <c r="I866" i="44"/>
  <c r="AG866" i="44" s="1"/>
  <c r="I867" i="44"/>
  <c r="AG867" i="44" s="1"/>
  <c r="AG865" i="44"/>
  <c r="I869" i="44"/>
  <c r="I868" i="44"/>
  <c r="AG868" i="44" s="1"/>
  <c r="M470" i="44"/>
  <c r="AK470" i="44" s="1"/>
  <c r="M472" i="44"/>
  <c r="AK472" i="44" s="1"/>
  <c r="M471" i="44"/>
  <c r="AK471" i="44" s="1"/>
  <c r="AK469" i="44"/>
  <c r="M473" i="44"/>
  <c r="AK473" i="44" s="1"/>
  <c r="M574" i="44"/>
  <c r="AK573" i="44"/>
  <c r="M680" i="44"/>
  <c r="AK679" i="44"/>
  <c r="I805" i="44"/>
  <c r="I804" i="44"/>
  <c r="AG804" i="44" s="1"/>
  <c r="I803" i="44"/>
  <c r="AG803" i="44" s="1"/>
  <c r="I802" i="44"/>
  <c r="AG802" i="44" s="1"/>
  <c r="AG801" i="44"/>
  <c r="AG769" i="44"/>
  <c r="I771" i="44"/>
  <c r="AG771" i="44" s="1"/>
  <c r="I770" i="44"/>
  <c r="AG770" i="44" s="1"/>
  <c r="I773" i="44"/>
  <c r="I772" i="44"/>
  <c r="AG772" i="44" s="1"/>
  <c r="AK538" i="44"/>
  <c r="M539" i="44"/>
  <c r="AK503" i="44"/>
  <c r="M504" i="44"/>
  <c r="Q1398" i="44"/>
  <c r="AC1398" i="44" s="1"/>
  <c r="AO1317" i="44"/>
  <c r="H1393" i="44"/>
  <c r="H1394" i="44" s="1"/>
  <c r="AO1389" i="44" s="1"/>
  <c r="E1221" i="44"/>
  <c r="AC1220" i="44"/>
  <c r="AF1161" i="44"/>
  <c r="H1163" i="44"/>
  <c r="AF1163" i="44" s="1"/>
  <c r="H1162" i="44"/>
  <c r="AF1162" i="44" s="1"/>
  <c r="H1165" i="44"/>
  <c r="H1164" i="44"/>
  <c r="AF1164" i="44" s="1"/>
  <c r="M1220" i="44"/>
  <c r="AK1219" i="44"/>
  <c r="AG1153" i="44"/>
  <c r="I1155" i="44"/>
  <c r="AG1155" i="44" s="1"/>
  <c r="I1154" i="44"/>
  <c r="AG1154" i="44" s="1"/>
  <c r="I1157" i="44"/>
  <c r="I1156" i="44"/>
  <c r="AG1156" i="44" s="1"/>
  <c r="X1365" i="44"/>
  <c r="X1366" i="44"/>
  <c r="X1363" i="44"/>
  <c r="X1364" i="44" s="1"/>
  <c r="L1257" i="44"/>
  <c r="L1266" i="44"/>
  <c r="AJ1266" i="44" s="1"/>
  <c r="L1255" i="44"/>
  <c r="AJ1254" i="44"/>
  <c r="M1185" i="44"/>
  <c r="AK1184" i="44"/>
  <c r="L1192" i="44"/>
  <c r="AJ1192" i="44" s="1"/>
  <c r="AJ1191" i="44"/>
  <c r="AJ1189" i="44"/>
  <c r="L1193" i="44"/>
  <c r="AJ1193" i="44" s="1"/>
  <c r="L1190" i="44"/>
  <c r="AJ1190" i="44" s="1"/>
  <c r="D1256" i="44"/>
  <c r="AB1256" i="44" s="1"/>
  <c r="AB1255" i="44"/>
  <c r="AG1185" i="44"/>
  <c r="I1186" i="44"/>
  <c r="AG1186" i="44" s="1"/>
  <c r="I1189" i="44"/>
  <c r="I1188" i="44"/>
  <c r="AG1188" i="44" s="1"/>
  <c r="I1187" i="44"/>
  <c r="AG1187" i="44" s="1"/>
  <c r="E1256" i="44"/>
  <c r="AC1255" i="44"/>
  <c r="AG1089" i="44"/>
  <c r="I1093" i="44"/>
  <c r="I1092" i="44"/>
  <c r="AG1092" i="44" s="1"/>
  <c r="I1090" i="44"/>
  <c r="AG1090" i="44" s="1"/>
  <c r="I1091" i="44"/>
  <c r="AG1091" i="44" s="1"/>
  <c r="D1398" i="44"/>
  <c r="D1399" i="44" s="1"/>
  <c r="D1400" i="44" s="1"/>
  <c r="E1398" i="44"/>
  <c r="Q1363" i="44"/>
  <c r="Q1364" i="44" s="1"/>
  <c r="Q1365" i="44" s="1"/>
  <c r="Q1366" i="44"/>
  <c r="E1085" i="44"/>
  <c r="AC1085" i="44" s="1"/>
  <c r="AC1084" i="44"/>
  <c r="AN1259" i="44"/>
  <c r="L1281" i="44"/>
  <c r="H1291" i="44"/>
  <c r="H1293" i="44"/>
  <c r="H1314" i="44"/>
  <c r="AF1314" i="44" s="1"/>
  <c r="AF1290" i="44"/>
  <c r="AB1257" i="44"/>
  <c r="D1260" i="44"/>
  <c r="AB1260" i="44" s="1"/>
  <c r="D1261" i="44"/>
  <c r="D1258" i="44"/>
  <c r="AB1258" i="44" s="1"/>
  <c r="D1259" i="44"/>
  <c r="AB1259" i="44" s="1"/>
  <c r="AG1121" i="44"/>
  <c r="I1122" i="44"/>
  <c r="AG1122" i="44" s="1"/>
  <c r="I1123" i="44"/>
  <c r="AG1123" i="44" s="1"/>
  <c r="I1124" i="44"/>
  <c r="AG1124" i="44" s="1"/>
  <c r="I1125" i="44"/>
  <c r="X1426" i="44"/>
  <c r="AQ1432" i="44"/>
  <c r="AM1432" i="44"/>
  <c r="H1429" i="44"/>
  <c r="H1398" i="44"/>
  <c r="AF1398" i="44" s="1"/>
  <c r="I1398" i="44"/>
  <c r="AG1398" i="44" s="1"/>
  <c r="AB1396" i="44"/>
  <c r="AR1218" i="44"/>
  <c r="AN1219" i="44"/>
  <c r="AX350" i="44"/>
  <c r="BB350" i="44" s="1"/>
  <c r="AR1223" i="44"/>
  <c r="AN1254" i="44"/>
  <c r="AJ1396" i="44"/>
  <c r="AB1225" i="44"/>
  <c r="D1226" i="44"/>
  <c r="AB1226" i="44" s="1"/>
  <c r="D1229" i="44"/>
  <c r="AB1229" i="44" s="1"/>
  <c r="D1227" i="44"/>
  <c r="AB1227" i="44" s="1"/>
  <c r="D1228" i="44"/>
  <c r="AB1228" i="44" s="1"/>
  <c r="E1083" i="44"/>
  <c r="AC1083" i="44" s="1"/>
  <c r="AC1082" i="44"/>
  <c r="AR1183" i="44"/>
  <c r="AX346" i="44"/>
  <c r="BB346" i="44" s="1"/>
  <c r="AN1184" i="44"/>
  <c r="I1291" i="44"/>
  <c r="I1314" i="44"/>
  <c r="AG1314" i="44" s="1"/>
  <c r="AG1290" i="44"/>
  <c r="P1393" i="44"/>
  <c r="K1396" i="44"/>
  <c r="I1326" i="44"/>
  <c r="H1326" i="44"/>
  <c r="L1188" i="44"/>
  <c r="AJ1188" i="44" s="1"/>
  <c r="AJ1187" i="44"/>
  <c r="L1360" i="44"/>
  <c r="AJ1360" i="44" s="1"/>
  <c r="P1355" i="44"/>
  <c r="D1360" i="44"/>
  <c r="AB1360" i="44" s="1"/>
  <c r="H1356" i="44"/>
  <c r="H1358" i="44" s="1"/>
  <c r="L1356" i="44"/>
  <c r="G1360" i="44" s="1"/>
  <c r="H1360" i="44"/>
  <c r="AF1360" i="44" s="1"/>
  <c r="L1357" i="44"/>
  <c r="C1360" i="44" s="1"/>
  <c r="P1354" i="44"/>
  <c r="L1355" i="44"/>
  <c r="P1353" i="44"/>
  <c r="Y1363" i="44"/>
  <c r="Y1364" i="44" s="1"/>
  <c r="Y1365" i="44" s="1"/>
  <c r="Y1366" i="44"/>
  <c r="M1255" i="44"/>
  <c r="M1266" i="44"/>
  <c r="AK1266" i="44" s="1"/>
  <c r="AK1254" i="44"/>
  <c r="I1221" i="44"/>
  <c r="AG1220" i="44"/>
  <c r="Y1398" i="44"/>
  <c r="E1291" i="44"/>
  <c r="E1302" i="44"/>
  <c r="AC1302" i="44" s="1"/>
  <c r="AC1290" i="44"/>
  <c r="H1427" i="44"/>
  <c r="O1432" i="44"/>
  <c r="T1430" i="44"/>
  <c r="T1429" i="44"/>
  <c r="AA1432" i="44"/>
  <c r="U1398" i="44"/>
  <c r="T1398" i="44"/>
  <c r="AC1185" i="44"/>
  <c r="E1186" i="44"/>
  <c r="E1188" i="44"/>
  <c r="AK1149" i="44"/>
  <c r="M1152" i="44"/>
  <c r="AK1152" i="44" s="1"/>
  <c r="M1153" i="44"/>
  <c r="M1151" i="44"/>
  <c r="AK1151" i="44" s="1"/>
  <c r="M1150" i="44"/>
  <c r="AK1150" i="44" s="1"/>
  <c r="AX334" i="44"/>
  <c r="BB334" i="44" s="1"/>
  <c r="AR1078" i="44"/>
  <c r="D1326" i="44"/>
  <c r="E1326" i="44"/>
  <c r="D1293" i="44"/>
  <c r="D1302" i="44"/>
  <c r="AB1302" i="44" s="1"/>
  <c r="D1291" i="44"/>
  <c r="AB1290" i="44"/>
  <c r="E1153" i="44"/>
  <c r="AC1152" i="44"/>
  <c r="I1256" i="44"/>
  <c r="AG1255" i="44"/>
  <c r="L1427" i="44"/>
  <c r="P1426" i="44"/>
  <c r="H1428" i="44"/>
  <c r="H1432" i="44"/>
  <c r="L1432" i="44"/>
  <c r="D1432" i="44"/>
  <c r="P1427" i="44"/>
  <c r="P1425" i="44"/>
  <c r="L1429" i="44"/>
  <c r="C1432" i="44" s="1"/>
  <c r="L1428" i="44"/>
  <c r="G1432" i="44" s="1"/>
  <c r="AK1117" i="44"/>
  <c r="M1119" i="44"/>
  <c r="AK1119" i="44" s="1"/>
  <c r="M1121" i="44"/>
  <c r="AK1121" i="44" s="1"/>
  <c r="M1118" i="44"/>
  <c r="AK1118" i="44" s="1"/>
  <c r="M1120" i="44"/>
  <c r="AK1120" i="44" s="1"/>
  <c r="AG1057" i="44"/>
  <c r="I1061" i="44"/>
  <c r="AG1061" i="44" s="1"/>
  <c r="I1060" i="44"/>
  <c r="AG1060" i="44" s="1"/>
  <c r="I1058" i="44"/>
  <c r="AG1058" i="44" s="1"/>
  <c r="I1059" i="44"/>
  <c r="AG1059" i="44" s="1"/>
  <c r="D1464" i="44"/>
  <c r="D1497" i="44"/>
  <c r="D1463" i="44"/>
  <c r="D1466" i="44"/>
  <c r="X1463" i="44"/>
  <c r="D1465" i="44"/>
  <c r="X1461" i="44"/>
  <c r="D1462" i="44"/>
  <c r="AC1117" i="44"/>
  <c r="E1120" i="44"/>
  <c r="E1118" i="44"/>
  <c r="P1365" i="44"/>
  <c r="P1366" i="44"/>
  <c r="P1363" i="44"/>
  <c r="P1364" i="44" s="1"/>
  <c r="E1151" i="44"/>
  <c r="AC1151" i="44" s="1"/>
  <c r="AC1150" i="44"/>
  <c r="AN1114" i="44"/>
  <c r="AX338" i="44"/>
  <c r="BB338" i="44" s="1"/>
  <c r="AR1113" i="44"/>
  <c r="AF1193" i="44"/>
  <c r="H1195" i="44"/>
  <c r="AF1195" i="44" s="1"/>
  <c r="H1197" i="44"/>
  <c r="H1196" i="44"/>
  <c r="AF1196" i="44" s="1"/>
  <c r="H1194" i="44"/>
  <c r="AF1194" i="44" s="1"/>
  <c r="H1426" i="44"/>
  <c r="S1432" i="44"/>
  <c r="AE1432" i="44"/>
  <c r="T1427" i="44"/>
  <c r="T1428" i="44"/>
  <c r="AF1225" i="44"/>
  <c r="H1229" i="44"/>
  <c r="H1226" i="44"/>
  <c r="AF1226" i="44" s="1"/>
  <c r="H1228" i="44"/>
  <c r="AF1228" i="44" s="1"/>
  <c r="H1227" i="44"/>
  <c r="AF1227" i="44" s="1"/>
  <c r="K1324" i="44"/>
  <c r="P1321" i="44"/>
  <c r="AR1148" i="44"/>
  <c r="AN1149" i="44"/>
  <c r="AX342" i="44"/>
  <c r="BB342" i="44" s="1"/>
  <c r="L1220" i="44"/>
  <c r="AJ1220" i="44" s="1"/>
  <c r="AJ1219" i="44"/>
  <c r="AC313" i="43"/>
  <c r="B312" i="43"/>
  <c r="F312" i="43" s="1"/>
  <c r="T1365" i="44"/>
  <c r="T1363" i="44"/>
  <c r="T1364" i="44" s="1"/>
  <c r="T1366" i="44"/>
  <c r="M1290" i="44"/>
  <c r="L1290" i="44"/>
  <c r="AF1129" i="44"/>
  <c r="H1132" i="44"/>
  <c r="AF1132" i="44" s="1"/>
  <c r="H1131" i="44"/>
  <c r="AF1131" i="44" s="1"/>
  <c r="H1130" i="44"/>
  <c r="AF1130" i="44" s="1"/>
  <c r="H1133" i="44"/>
  <c r="AF1133" i="44" s="1"/>
  <c r="AJ1221" i="44"/>
  <c r="L1227" i="44"/>
  <c r="L1222" i="44"/>
  <c r="AJ1222" i="44" s="1"/>
  <c r="L1225" i="44"/>
  <c r="L1223" i="44"/>
  <c r="H1256" i="44"/>
  <c r="AF1256" i="44" s="1"/>
  <c r="AF1255" i="44"/>
  <c r="AF1396" i="44"/>
  <c r="H1261" i="44"/>
  <c r="AF1257" i="44"/>
  <c r="H1258" i="44"/>
  <c r="AF1258" i="44" s="1"/>
  <c r="H1260" i="44"/>
  <c r="AF1260" i="44" s="1"/>
  <c r="H1259" i="44"/>
  <c r="AF1259" i="44" s="1"/>
  <c r="AI1432" i="44"/>
  <c r="W1432" i="44"/>
  <c r="T1426" i="44"/>
  <c r="H1425" i="44"/>
  <c r="T1425" i="44"/>
  <c r="U1366" i="44"/>
  <c r="U1363" i="44"/>
  <c r="U1364" i="44" s="1"/>
  <c r="U1365" i="44" s="1"/>
  <c r="AG805" i="44" l="1"/>
  <c r="I807" i="44"/>
  <c r="AG807" i="44" s="1"/>
  <c r="I809" i="44"/>
  <c r="I806" i="44"/>
  <c r="AG806" i="44" s="1"/>
  <c r="I808" i="44"/>
  <c r="AG808" i="44" s="1"/>
  <c r="I839" i="44"/>
  <c r="AG839" i="44" s="1"/>
  <c r="I840" i="44"/>
  <c r="AG840" i="44" s="1"/>
  <c r="AG837" i="44"/>
  <c r="I841" i="44"/>
  <c r="I838" i="44"/>
  <c r="AG838" i="44" s="1"/>
  <c r="AK680" i="44"/>
  <c r="M681" i="44"/>
  <c r="AK574" i="44"/>
  <c r="M575" i="44"/>
  <c r="AK539" i="44"/>
  <c r="M540" i="44"/>
  <c r="M645" i="44"/>
  <c r="AK644" i="44"/>
  <c r="AG773" i="44"/>
  <c r="M750" i="44"/>
  <c r="AK609" i="44"/>
  <c r="M610" i="44"/>
  <c r="M505" i="44"/>
  <c r="AK504" i="44"/>
  <c r="M715" i="44"/>
  <c r="M726" i="44"/>
  <c r="AK726" i="44" s="1"/>
  <c r="AK714" i="44"/>
  <c r="I871" i="44"/>
  <c r="AG871" i="44" s="1"/>
  <c r="I872" i="44"/>
  <c r="AG872" i="44" s="1"/>
  <c r="AG869" i="44"/>
  <c r="I870" i="44"/>
  <c r="AG870" i="44" s="1"/>
  <c r="I873" i="44"/>
  <c r="Q1399" i="44"/>
  <c r="Q1400" i="44" s="1"/>
  <c r="Q1401" i="44" s="1"/>
  <c r="AC1401" i="44" s="1"/>
  <c r="Q1402" i="44"/>
  <c r="AC1402" i="44" s="1"/>
  <c r="AC1404" i="44" s="1"/>
  <c r="AO1353" i="44"/>
  <c r="AJ1432" i="44"/>
  <c r="M1291" i="44"/>
  <c r="M1302" i="44"/>
  <c r="AK1302" i="44" s="1"/>
  <c r="AK1290" i="44"/>
  <c r="AF1261" i="44"/>
  <c r="H1264" i="44"/>
  <c r="AF1264" i="44" s="1"/>
  <c r="H1265" i="44"/>
  <c r="H1262" i="44"/>
  <c r="AF1262" i="44" s="1"/>
  <c r="H1263" i="44"/>
  <c r="AF1263" i="44" s="1"/>
  <c r="AC314" i="43"/>
  <c r="B313" i="43"/>
  <c r="F313" i="43" s="1"/>
  <c r="U1434" i="44"/>
  <c r="E1119" i="44"/>
  <c r="AC1119" i="44" s="1"/>
  <c r="AC1118" i="44"/>
  <c r="I1257" i="44"/>
  <c r="AG1256" i="44"/>
  <c r="U1402" i="44"/>
  <c r="U1399" i="44"/>
  <c r="U1400" i="44" s="1"/>
  <c r="U1401" i="44" s="1"/>
  <c r="AG1221" i="44"/>
  <c r="I1223" i="44"/>
  <c r="AG1223" i="44" s="1"/>
  <c r="I1222" i="44"/>
  <c r="AG1222" i="44" s="1"/>
  <c r="I1224" i="44"/>
  <c r="AG1224" i="44" s="1"/>
  <c r="I1225" i="44"/>
  <c r="E1257" i="44"/>
  <c r="AC1256" i="44"/>
  <c r="AK1185" i="44"/>
  <c r="M1187" i="44"/>
  <c r="AK1187" i="44" s="1"/>
  <c r="M1189" i="44"/>
  <c r="M1186" i="44"/>
  <c r="AK1186" i="44" s="1"/>
  <c r="M1188" i="44"/>
  <c r="AK1188" i="44" s="1"/>
  <c r="T1461" i="44"/>
  <c r="H1461" i="44"/>
  <c r="T1462" i="44"/>
  <c r="AI1468" i="44"/>
  <c r="W1468" i="44"/>
  <c r="AG1093" i="44"/>
  <c r="I1097" i="44"/>
  <c r="AG1097" i="44" s="1"/>
  <c r="I1096" i="44"/>
  <c r="AG1096" i="44" s="1"/>
  <c r="I1095" i="44"/>
  <c r="AG1095" i="44" s="1"/>
  <c r="I1094" i="44"/>
  <c r="AG1094" i="44" s="1"/>
  <c r="I1292" i="44"/>
  <c r="AG1291" i="44"/>
  <c r="AR1184" i="44"/>
  <c r="AX347" i="44"/>
  <c r="BB347" i="44" s="1"/>
  <c r="AN1185" i="44"/>
  <c r="H1399" i="44"/>
  <c r="H1422" i="44"/>
  <c r="AF1422" i="44" s="1"/>
  <c r="H1401" i="44"/>
  <c r="L1256" i="44"/>
  <c r="AJ1256" i="44" s="1"/>
  <c r="AJ1255" i="44"/>
  <c r="M1221" i="44"/>
  <c r="AK1220" i="44"/>
  <c r="AF1432" i="44"/>
  <c r="L1224" i="44"/>
  <c r="AJ1224" i="44" s="1"/>
  <c r="AJ1223" i="44"/>
  <c r="AC1153" i="44"/>
  <c r="E1154" i="44"/>
  <c r="E1156" i="44"/>
  <c r="AJ1225" i="44"/>
  <c r="L1226" i="44"/>
  <c r="AJ1226" i="44" s="1"/>
  <c r="L1229" i="44"/>
  <c r="AJ1229" i="44" s="1"/>
  <c r="E1327" i="44"/>
  <c r="E1338" i="44"/>
  <c r="AC1338" i="44" s="1"/>
  <c r="AC1326" i="44"/>
  <c r="M1256" i="44"/>
  <c r="AK1255" i="44"/>
  <c r="AF1293" i="44"/>
  <c r="H1297" i="44"/>
  <c r="H1296" i="44"/>
  <c r="AF1296" i="44" s="1"/>
  <c r="H1295" i="44"/>
  <c r="AF1295" i="44" s="1"/>
  <c r="H1294" i="44"/>
  <c r="AF1294" i="44" s="1"/>
  <c r="AG1189" i="44"/>
  <c r="I1193" i="44"/>
  <c r="I1192" i="44"/>
  <c r="AG1192" i="44" s="1"/>
  <c r="I1190" i="44"/>
  <c r="AG1190" i="44" s="1"/>
  <c r="I1191" i="44"/>
  <c r="AG1191" i="44" s="1"/>
  <c r="AB1261" i="44"/>
  <c r="D1263" i="44"/>
  <c r="AB1263" i="44" s="1"/>
  <c r="D1265" i="44"/>
  <c r="AB1265" i="44" s="1"/>
  <c r="D1262" i="44"/>
  <c r="AB1262" i="44" s="1"/>
  <c r="D1264" i="44"/>
  <c r="AB1264" i="44" s="1"/>
  <c r="AM1468" i="44"/>
  <c r="AQ1468" i="44"/>
  <c r="H1465" i="44"/>
  <c r="X1462" i="44"/>
  <c r="D1292" i="44"/>
  <c r="AB1292" i="44" s="1"/>
  <c r="AB1291" i="44"/>
  <c r="AB1326" i="44"/>
  <c r="D1338" i="44"/>
  <c r="AB1338" i="44" s="1"/>
  <c r="D1329" i="44"/>
  <c r="D1327" i="44"/>
  <c r="P1434" i="44"/>
  <c r="P1435" i="44" s="1"/>
  <c r="P1436" i="44" s="1"/>
  <c r="Q1434" i="44"/>
  <c r="H1292" i="44"/>
  <c r="AF1292" i="44" s="1"/>
  <c r="AF1291" i="44"/>
  <c r="AJ1257" i="44"/>
  <c r="L1261" i="44"/>
  <c r="L1258" i="44"/>
  <c r="AJ1258" i="44" s="1"/>
  <c r="L1263" i="44"/>
  <c r="L1259" i="44"/>
  <c r="AF1165" i="44"/>
  <c r="H1168" i="44"/>
  <c r="AF1168" i="44" s="1"/>
  <c r="H1166" i="44"/>
  <c r="AF1166" i="44" s="1"/>
  <c r="H1167" i="44"/>
  <c r="AF1167" i="44" s="1"/>
  <c r="H1169" i="44"/>
  <c r="AF1169" i="44" s="1"/>
  <c r="Y1434" i="44"/>
  <c r="X1434" i="44"/>
  <c r="E1189" i="44"/>
  <c r="AC1188" i="44"/>
  <c r="Y1399" i="44"/>
  <c r="Y1402" i="44"/>
  <c r="AK1402" i="44" s="1"/>
  <c r="E1121" i="44"/>
  <c r="AC1121" i="44" s="1"/>
  <c r="AC1120" i="44"/>
  <c r="AX343" i="44"/>
  <c r="BB343" i="44" s="1"/>
  <c r="AR1149" i="44"/>
  <c r="AN1150" i="44"/>
  <c r="AF1197" i="44"/>
  <c r="H1201" i="44"/>
  <c r="H1200" i="44"/>
  <c r="AF1200" i="44" s="1"/>
  <c r="H1199" i="44"/>
  <c r="AF1199" i="44" s="1"/>
  <c r="H1198" i="44"/>
  <c r="AF1198" i="44" s="1"/>
  <c r="L1228" i="44"/>
  <c r="AJ1228" i="44" s="1"/>
  <c r="AJ1227" i="44"/>
  <c r="H1462" i="44"/>
  <c r="T1464" i="44"/>
  <c r="AE1468" i="44"/>
  <c r="S1468" i="44"/>
  <c r="T1463" i="44"/>
  <c r="I1434" i="44"/>
  <c r="H1434" i="44"/>
  <c r="AN1295" i="44"/>
  <c r="L1317" i="44"/>
  <c r="AX339" i="44"/>
  <c r="BB339" i="44" s="1"/>
  <c r="AR1114" i="44"/>
  <c r="D1434" i="44"/>
  <c r="AB1434" i="44" s="1"/>
  <c r="E1434" i="44"/>
  <c r="AC1434" i="44" s="1"/>
  <c r="AB1293" i="44"/>
  <c r="D1297" i="44"/>
  <c r="D1295" i="44"/>
  <c r="AB1295" i="44" s="1"/>
  <c r="D1294" i="44"/>
  <c r="AB1294" i="44" s="1"/>
  <c r="D1296" i="44"/>
  <c r="AB1296" i="44" s="1"/>
  <c r="AR1259" i="44"/>
  <c r="AN1290" i="44"/>
  <c r="H1350" i="44"/>
  <c r="AF1350" i="44" s="1"/>
  <c r="H1327" i="44"/>
  <c r="H1329" i="44"/>
  <c r="AF1326" i="44"/>
  <c r="AN1220" i="44"/>
  <c r="AX351" i="44"/>
  <c r="BB351" i="44" s="1"/>
  <c r="AR1219" i="44"/>
  <c r="H1463" i="44"/>
  <c r="T1466" i="44"/>
  <c r="O1468" i="44"/>
  <c r="T1465" i="44"/>
  <c r="AA1468" i="44"/>
  <c r="K1360" i="44"/>
  <c r="P1357" i="44"/>
  <c r="AG1125" i="44"/>
  <c r="I1127" i="44"/>
  <c r="AG1127" i="44" s="1"/>
  <c r="I1128" i="44"/>
  <c r="AG1128" i="44" s="1"/>
  <c r="I1129" i="44"/>
  <c r="I1126" i="44"/>
  <c r="AG1126" i="44" s="1"/>
  <c r="L1302" i="44"/>
  <c r="AJ1302" i="44" s="1"/>
  <c r="L1293" i="44"/>
  <c r="L1291" i="44"/>
  <c r="AJ1290" i="44"/>
  <c r="AF1229" i="44"/>
  <c r="H1231" i="44"/>
  <c r="AF1231" i="44" s="1"/>
  <c r="H1233" i="44"/>
  <c r="H1230" i="44"/>
  <c r="AF1230" i="44" s="1"/>
  <c r="H1232" i="44"/>
  <c r="AF1232" i="44" s="1"/>
  <c r="I1327" i="44"/>
  <c r="I1350" i="44"/>
  <c r="AG1350" i="44" s="1"/>
  <c r="AG1326" i="44"/>
  <c r="E1187" i="44"/>
  <c r="AC1187" i="44" s="1"/>
  <c r="AC1186" i="44"/>
  <c r="T1402" i="44"/>
  <c r="T1401" i="44"/>
  <c r="T1399" i="44"/>
  <c r="T1400" i="44" s="1"/>
  <c r="I1422" i="44"/>
  <c r="AG1422" i="44" s="1"/>
  <c r="I1399" i="44"/>
  <c r="P1463" i="44"/>
  <c r="P1461" i="44"/>
  <c r="L1465" i="44"/>
  <c r="C1468" i="44" s="1"/>
  <c r="P1462" i="44"/>
  <c r="L1463" i="44"/>
  <c r="L1464" i="44"/>
  <c r="G1468" i="44" s="1"/>
  <c r="D1468" i="44"/>
  <c r="H1464" i="44"/>
  <c r="H1468" i="44"/>
  <c r="L1468" i="44"/>
  <c r="AN1255" i="44"/>
  <c r="AR1254" i="44"/>
  <c r="AX355" i="44"/>
  <c r="BB355" i="44" s="1"/>
  <c r="E1399" i="44"/>
  <c r="E1400" i="44" s="1"/>
  <c r="E1401" i="44" s="1"/>
  <c r="E1410" i="44"/>
  <c r="I1362" i="44"/>
  <c r="H1362" i="44"/>
  <c r="H1363" i="44" s="1"/>
  <c r="E1292" i="44"/>
  <c r="AC1291" i="44"/>
  <c r="M1398" i="44"/>
  <c r="L1398" i="44"/>
  <c r="K1432" i="44"/>
  <c r="P1429" i="44"/>
  <c r="AK1398" i="44"/>
  <c r="L1326" i="44"/>
  <c r="M1326" i="44"/>
  <c r="H1430" i="44"/>
  <c r="AO1425" i="44" s="1"/>
  <c r="X1499" i="44"/>
  <c r="D1500" i="44"/>
  <c r="D1501" i="44"/>
  <c r="X1497" i="44"/>
  <c r="D1499" i="44"/>
  <c r="D1498" i="44"/>
  <c r="D1533" i="44"/>
  <c r="D1502" i="44"/>
  <c r="AB1432" i="44"/>
  <c r="AK1153" i="44"/>
  <c r="M1157" i="44"/>
  <c r="AK1157" i="44" s="1"/>
  <c r="M1156" i="44"/>
  <c r="AK1156" i="44" s="1"/>
  <c r="M1155" i="44"/>
  <c r="AK1155" i="44" s="1"/>
  <c r="M1154" i="44"/>
  <c r="AK1154" i="44" s="1"/>
  <c r="D1362" i="44"/>
  <c r="E1362" i="44"/>
  <c r="D1410" i="44"/>
  <c r="D1401" i="44"/>
  <c r="AG1157" i="44"/>
  <c r="I1160" i="44"/>
  <c r="AG1160" i="44" s="1"/>
  <c r="I1161" i="44"/>
  <c r="I1159" i="44"/>
  <c r="AG1159" i="44" s="1"/>
  <c r="I1158" i="44"/>
  <c r="AG1158" i="44" s="1"/>
  <c r="AC1221" i="44"/>
  <c r="E1222" i="44"/>
  <c r="E1224" i="44"/>
  <c r="AC1410" i="44" l="1"/>
  <c r="AC1405" i="44"/>
  <c r="AC1409" i="44"/>
  <c r="AC1408" i="44"/>
  <c r="AC1399" i="44"/>
  <c r="M576" i="44"/>
  <c r="AK575" i="44"/>
  <c r="AK681" i="44"/>
  <c r="M682" i="44"/>
  <c r="M611" i="44"/>
  <c r="AK610" i="44"/>
  <c r="M751" i="44"/>
  <c r="M762" i="44"/>
  <c r="AK762" i="44" s="1"/>
  <c r="AK750" i="44"/>
  <c r="M541" i="44"/>
  <c r="AK540" i="44"/>
  <c r="M716" i="44"/>
  <c r="AK715" i="44"/>
  <c r="M509" i="44"/>
  <c r="AK509" i="44" s="1"/>
  <c r="M506" i="44"/>
  <c r="AK506" i="44" s="1"/>
  <c r="M508" i="44"/>
  <c r="AK508" i="44" s="1"/>
  <c r="AK505" i="44"/>
  <c r="M507" i="44"/>
  <c r="AK507" i="44" s="1"/>
  <c r="I877" i="44"/>
  <c r="I874" i="44"/>
  <c r="AG874" i="44" s="1"/>
  <c r="AG873" i="44"/>
  <c r="I876" i="44"/>
  <c r="AG876" i="44" s="1"/>
  <c r="I875" i="44"/>
  <c r="AG875" i="44" s="1"/>
  <c r="I842" i="44"/>
  <c r="AG842" i="44" s="1"/>
  <c r="I844" i="44"/>
  <c r="AG844" i="44" s="1"/>
  <c r="I845" i="44"/>
  <c r="AG841" i="44"/>
  <c r="I843" i="44"/>
  <c r="AG843" i="44" s="1"/>
  <c r="AG809" i="44"/>
  <c r="M786" i="44"/>
  <c r="M646" i="44"/>
  <c r="AK645" i="44"/>
  <c r="AC1400" i="44"/>
  <c r="AC1407" i="44"/>
  <c r="AC1403" i="44"/>
  <c r="AC1406" i="44"/>
  <c r="AG1434" i="44"/>
  <c r="AB1468" i="44"/>
  <c r="E1470" i="44"/>
  <c r="AC1470" i="44" s="1"/>
  <c r="D1470" i="44"/>
  <c r="AB1470" i="44" s="1"/>
  <c r="AX352" i="44"/>
  <c r="BB352" i="44" s="1"/>
  <c r="AR1220" i="44"/>
  <c r="AN1221" i="44"/>
  <c r="AC1189" i="44"/>
  <c r="E1192" i="44"/>
  <c r="E1190" i="44"/>
  <c r="AC315" i="43"/>
  <c r="B314" i="43"/>
  <c r="F314" i="43" s="1"/>
  <c r="H1328" i="44"/>
  <c r="AF1328" i="44" s="1"/>
  <c r="AF1327" i="44"/>
  <c r="Y1435" i="44"/>
  <c r="Y1436" i="44" s="1"/>
  <c r="Y1437" i="44" s="1"/>
  <c r="Y1438" i="44"/>
  <c r="D1328" i="44"/>
  <c r="AB1328" i="44" s="1"/>
  <c r="AB1327" i="44"/>
  <c r="AC1257" i="44"/>
  <c r="E1260" i="44"/>
  <c r="E1258" i="44"/>
  <c r="AG1161" i="44"/>
  <c r="I1162" i="44"/>
  <c r="AG1162" i="44" s="1"/>
  <c r="I1165" i="44"/>
  <c r="I1163" i="44"/>
  <c r="AG1163" i="44" s="1"/>
  <c r="I1164" i="44"/>
  <c r="AG1164" i="44" s="1"/>
  <c r="AJ1293" i="44"/>
  <c r="L1294" i="44"/>
  <c r="AJ1294" i="44" s="1"/>
  <c r="L1299" i="44"/>
  <c r="L1295" i="44"/>
  <c r="L1297" i="44"/>
  <c r="I1400" i="44"/>
  <c r="AG1399" i="44"/>
  <c r="AG1129" i="44"/>
  <c r="I1132" i="44"/>
  <c r="AG1132" i="44" s="1"/>
  <c r="I1131" i="44"/>
  <c r="AG1131" i="44" s="1"/>
  <c r="I1130" i="44"/>
  <c r="AG1130" i="44" s="1"/>
  <c r="I1133" i="44"/>
  <c r="AG1133" i="44" s="1"/>
  <c r="I1293" i="44"/>
  <c r="AG1292" i="44"/>
  <c r="E1293" i="44"/>
  <c r="AC1292" i="44"/>
  <c r="AB1329" i="44"/>
  <c r="D1330" i="44"/>
  <c r="AB1330" i="44" s="1"/>
  <c r="D1332" i="44"/>
  <c r="AB1332" i="44" s="1"/>
  <c r="D1331" i="44"/>
  <c r="AB1331" i="44" s="1"/>
  <c r="D1333" i="44"/>
  <c r="E1328" i="44"/>
  <c r="AC1327" i="44"/>
  <c r="AN1331" i="44"/>
  <c r="L1353" i="44"/>
  <c r="AK1404" i="44"/>
  <c r="AK1408" i="44"/>
  <c r="AK1405" i="44"/>
  <c r="AK1406" i="44"/>
  <c r="AK1410" i="44"/>
  <c r="AK1409" i="44"/>
  <c r="AK1407" i="44"/>
  <c r="AK1403" i="44"/>
  <c r="M1410" i="44"/>
  <c r="M1399" i="44"/>
  <c r="M1400" i="44" s="1"/>
  <c r="M1401" i="44" s="1"/>
  <c r="AN1256" i="44"/>
  <c r="AR1255" i="44"/>
  <c r="AX356" i="44"/>
  <c r="BB356" i="44" s="1"/>
  <c r="AF1265" i="44"/>
  <c r="H1269" i="44"/>
  <c r="H1268" i="44"/>
  <c r="AF1268" i="44" s="1"/>
  <c r="H1266" i="44"/>
  <c r="AF1266" i="44" s="1"/>
  <c r="H1267" i="44"/>
  <c r="AF1267" i="44" s="1"/>
  <c r="H1364" i="44"/>
  <c r="AF1364" i="44" s="1"/>
  <c r="AF1363" i="44"/>
  <c r="AA1504" i="44"/>
  <c r="T1502" i="44"/>
  <c r="H1499" i="44"/>
  <c r="T1501" i="44"/>
  <c r="O1504" i="44"/>
  <c r="AF1362" i="44"/>
  <c r="H1365" i="44"/>
  <c r="H1386" i="44"/>
  <c r="AF1386" i="44" s="1"/>
  <c r="I1328" i="44"/>
  <c r="AG1327" i="44"/>
  <c r="L1362" i="44"/>
  <c r="M1362" i="44"/>
  <c r="AF1201" i="44"/>
  <c r="H1202" i="44"/>
  <c r="AF1202" i="44" s="1"/>
  <c r="H1203" i="44"/>
  <c r="AF1203" i="44" s="1"/>
  <c r="H1205" i="44"/>
  <c r="AF1205" i="44" s="1"/>
  <c r="H1204" i="44"/>
  <c r="AF1204" i="44" s="1"/>
  <c r="M1327" i="44"/>
  <c r="M1338" i="44"/>
  <c r="AK1338" i="44" s="1"/>
  <c r="AK1326" i="44"/>
  <c r="AR1295" i="44"/>
  <c r="AN1326" i="44"/>
  <c r="AK1189" i="44"/>
  <c r="M1192" i="44"/>
  <c r="AK1192" i="44" s="1"/>
  <c r="M1193" i="44"/>
  <c r="AK1193" i="44" s="1"/>
  <c r="M1191" i="44"/>
  <c r="AK1191" i="44" s="1"/>
  <c r="M1190" i="44"/>
  <c r="AK1190" i="44" s="1"/>
  <c r="D1538" i="44"/>
  <c r="D1537" i="44"/>
  <c r="D1534" i="44"/>
  <c r="X1533" i="44"/>
  <c r="D1535" i="44"/>
  <c r="X1535" i="44"/>
  <c r="D1536" i="44"/>
  <c r="D1569" i="44"/>
  <c r="I1363" i="44"/>
  <c r="I1386" i="44"/>
  <c r="AG1386" i="44" s="1"/>
  <c r="AG1362" i="44"/>
  <c r="E1435" i="44"/>
  <c r="E1446" i="44"/>
  <c r="AC1446" i="44" s="1"/>
  <c r="AG1193" i="44"/>
  <c r="I1194" i="44"/>
  <c r="AG1194" i="44" s="1"/>
  <c r="I1195" i="44"/>
  <c r="AG1195" i="44" s="1"/>
  <c r="I1197" i="44"/>
  <c r="I1196" i="44"/>
  <c r="AG1196" i="44" s="1"/>
  <c r="E1157" i="44"/>
  <c r="AC1157" i="44" s="1"/>
  <c r="AC1156" i="44"/>
  <c r="Y1470" i="44"/>
  <c r="X1470" i="44"/>
  <c r="M1257" i="44"/>
  <c r="AK1256" i="44"/>
  <c r="E1404" i="44"/>
  <c r="E1405" i="44" s="1"/>
  <c r="E1402" i="44"/>
  <c r="E1403" i="44" s="1"/>
  <c r="D1437" i="44"/>
  <c r="D1446" i="44"/>
  <c r="AB1446" i="44" s="1"/>
  <c r="D1435" i="44"/>
  <c r="H1458" i="44"/>
  <c r="H1435" i="44"/>
  <c r="H1436" i="44" s="1"/>
  <c r="H1437" i="44"/>
  <c r="AR1150" i="44"/>
  <c r="AX344" i="44"/>
  <c r="BB344" i="44" s="1"/>
  <c r="L1260" i="44"/>
  <c r="AJ1260" i="44" s="1"/>
  <c r="AJ1259" i="44"/>
  <c r="E1155" i="44"/>
  <c r="AC1155" i="44" s="1"/>
  <c r="AC1154" i="44"/>
  <c r="H1402" i="44"/>
  <c r="AF1402" i="44" s="1"/>
  <c r="H1404" i="44"/>
  <c r="AF1404" i="44" s="1"/>
  <c r="H1403" i="44"/>
  <c r="AF1403" i="44" s="1"/>
  <c r="AF1401" i="44"/>
  <c r="H1405" i="44"/>
  <c r="AJ1468" i="44"/>
  <c r="L1329" i="44"/>
  <c r="L1338" i="44"/>
  <c r="AJ1338" i="44" s="1"/>
  <c r="L1327" i="44"/>
  <c r="AJ1326" i="44"/>
  <c r="Y1400" i="44"/>
  <c r="AK1399" i="44"/>
  <c r="L1434" i="44"/>
  <c r="M1434" i="44"/>
  <c r="AF1329" i="44"/>
  <c r="H1330" i="44"/>
  <c r="AF1330" i="44" s="1"/>
  <c r="H1332" i="44"/>
  <c r="AF1332" i="44" s="1"/>
  <c r="H1333" i="44"/>
  <c r="H1331" i="44"/>
  <c r="AF1331" i="44" s="1"/>
  <c r="AF1233" i="44"/>
  <c r="H1234" i="44"/>
  <c r="AF1234" i="44" s="1"/>
  <c r="H1237" i="44"/>
  <c r="H1236" i="44"/>
  <c r="AF1236" i="44" s="1"/>
  <c r="H1235" i="44"/>
  <c r="AF1235" i="44" s="1"/>
  <c r="P1470" i="44"/>
  <c r="Q1470" i="44"/>
  <c r="AB1297" i="44"/>
  <c r="D1301" i="44"/>
  <c r="AB1301" i="44" s="1"/>
  <c r="D1300" i="44"/>
  <c r="AB1300" i="44" s="1"/>
  <c r="D1298" i="44"/>
  <c r="AB1298" i="44" s="1"/>
  <c r="D1299" i="44"/>
  <c r="AB1299" i="44" s="1"/>
  <c r="I1458" i="44"/>
  <c r="I1435" i="44"/>
  <c r="I1436" i="44" s="1"/>
  <c r="I1437" i="44" s="1"/>
  <c r="L1264" i="44"/>
  <c r="AJ1264" i="44" s="1"/>
  <c r="AJ1263" i="44"/>
  <c r="L1292" i="44"/>
  <c r="AJ1292" i="44" s="1"/>
  <c r="AJ1291" i="44"/>
  <c r="E1363" i="44"/>
  <c r="E1374" i="44"/>
  <c r="AC1374" i="44" s="1"/>
  <c r="AC1362" i="44"/>
  <c r="D1374" i="44"/>
  <c r="AB1374" i="44" s="1"/>
  <c r="D1365" i="44"/>
  <c r="D1363" i="44"/>
  <c r="AB1362" i="44"/>
  <c r="U1435" i="44"/>
  <c r="U1438" i="44"/>
  <c r="D1403" i="44"/>
  <c r="D1404" i="44"/>
  <c r="D1405" i="44"/>
  <c r="D1402" i="44"/>
  <c r="L1401" i="44"/>
  <c r="L1410" i="44"/>
  <c r="L1399" i="44"/>
  <c r="L1400" i="44" s="1"/>
  <c r="Q1438" i="44"/>
  <c r="Q1435" i="44"/>
  <c r="Q1436" i="44" s="1"/>
  <c r="Q1437" i="44" s="1"/>
  <c r="X1437" i="44"/>
  <c r="X1435" i="44"/>
  <c r="X1436" i="44" s="1"/>
  <c r="X1438" i="44"/>
  <c r="AR1290" i="44"/>
  <c r="AX360" i="44"/>
  <c r="BB360" i="44" s="1"/>
  <c r="AN1291" i="44"/>
  <c r="H1470" i="44"/>
  <c r="I1470" i="44"/>
  <c r="H1400" i="44"/>
  <c r="AF1400" i="44" s="1"/>
  <c r="AF1399" i="44"/>
  <c r="H1466" i="44"/>
  <c r="AO1461" i="44" s="1"/>
  <c r="AG1225" i="44"/>
  <c r="I1229" i="44"/>
  <c r="I1228" i="44"/>
  <c r="AG1228" i="44" s="1"/>
  <c r="I1227" i="44"/>
  <c r="AG1227" i="44" s="1"/>
  <c r="I1226" i="44"/>
  <c r="AG1226" i="44" s="1"/>
  <c r="E1223" i="44"/>
  <c r="AC1223" i="44" s="1"/>
  <c r="AC1222" i="44"/>
  <c r="H1501" i="44"/>
  <c r="AM1504" i="44"/>
  <c r="X1498" i="44"/>
  <c r="AQ1504" i="44"/>
  <c r="P1465" i="44"/>
  <c r="K1468" i="44"/>
  <c r="U1470" i="44"/>
  <c r="T1470" i="44"/>
  <c r="AJ1261" i="44"/>
  <c r="L1262" i="44"/>
  <c r="AJ1262" i="44" s="1"/>
  <c r="L1265" i="44"/>
  <c r="AJ1265" i="44" s="1"/>
  <c r="P1437" i="44"/>
  <c r="P1438" i="44"/>
  <c r="AK1221" i="44"/>
  <c r="M1224" i="44"/>
  <c r="AK1224" i="44" s="1"/>
  <c r="M1223" i="44"/>
  <c r="AK1223" i="44" s="1"/>
  <c r="M1225" i="44"/>
  <c r="M1222" i="44"/>
  <c r="AK1222" i="44" s="1"/>
  <c r="E1225" i="44"/>
  <c r="AC1224" i="44"/>
  <c r="P1498" i="44"/>
  <c r="L1499" i="44"/>
  <c r="K1504" i="44" s="1"/>
  <c r="H1504" i="44"/>
  <c r="H1500" i="44"/>
  <c r="L1501" i="44"/>
  <c r="C1504" i="44" s="1"/>
  <c r="L1500" i="44"/>
  <c r="G1504" i="44" s="1"/>
  <c r="P1497" i="44"/>
  <c r="D1504" i="44"/>
  <c r="L1504" i="44"/>
  <c r="P1499" i="44"/>
  <c r="H1498" i="44"/>
  <c r="S1504" i="44"/>
  <c r="T1500" i="44"/>
  <c r="T1499" i="44"/>
  <c r="AE1504" i="44"/>
  <c r="AI1504" i="44"/>
  <c r="T1497" i="44"/>
  <c r="T1498" i="44"/>
  <c r="W1504" i="44"/>
  <c r="H1497" i="44"/>
  <c r="AF1468" i="44"/>
  <c r="AF1297" i="44"/>
  <c r="H1301" i="44"/>
  <c r="H1299" i="44"/>
  <c r="AF1299" i="44" s="1"/>
  <c r="H1300" i="44"/>
  <c r="AF1300" i="44" s="1"/>
  <c r="H1298" i="44"/>
  <c r="AF1298" i="44" s="1"/>
  <c r="AN1186" i="44"/>
  <c r="AR1185" i="44"/>
  <c r="AX348" i="44"/>
  <c r="BB348" i="44" s="1"/>
  <c r="AG1257" i="44"/>
  <c r="I1261" i="44"/>
  <c r="I1258" i="44"/>
  <c r="AG1258" i="44" s="1"/>
  <c r="I1259" i="44"/>
  <c r="AG1259" i="44" s="1"/>
  <c r="I1260" i="44"/>
  <c r="AG1260" i="44" s="1"/>
  <c r="M1292" i="44"/>
  <c r="AK1291" i="44"/>
  <c r="AK646" i="44" l="1"/>
  <c r="M647" i="44"/>
  <c r="AG845" i="44"/>
  <c r="M822" i="44"/>
  <c r="M544" i="44"/>
  <c r="AK544" i="44" s="1"/>
  <c r="M542" i="44"/>
  <c r="AK542" i="44" s="1"/>
  <c r="AK541" i="44"/>
  <c r="M543" i="44"/>
  <c r="AK543" i="44" s="1"/>
  <c r="M545" i="44"/>
  <c r="AK545" i="44" s="1"/>
  <c r="AK751" i="44"/>
  <c r="M752" i="44"/>
  <c r="AK611" i="44"/>
  <c r="M612" i="44"/>
  <c r="M683" i="44"/>
  <c r="AK682" i="44"/>
  <c r="I879" i="44"/>
  <c r="AG879" i="44" s="1"/>
  <c r="I880" i="44"/>
  <c r="AG880" i="44" s="1"/>
  <c r="AG877" i="44"/>
  <c r="I878" i="44"/>
  <c r="AG878" i="44" s="1"/>
  <c r="I881" i="44"/>
  <c r="M787" i="44"/>
  <c r="AK786" i="44"/>
  <c r="M798" i="44"/>
  <c r="AK798" i="44" s="1"/>
  <c r="M717" i="44"/>
  <c r="AK716" i="44"/>
  <c r="AK576" i="44"/>
  <c r="M577" i="44"/>
  <c r="P1501" i="44"/>
  <c r="AJ1504" i="44"/>
  <c r="AB1504" i="44"/>
  <c r="D1408" i="44"/>
  <c r="D1409" i="44"/>
  <c r="D1406" i="44"/>
  <c r="D1407" i="44"/>
  <c r="E1329" i="44"/>
  <c r="AC1328" i="44"/>
  <c r="D1436" i="44"/>
  <c r="AB1436" i="44" s="1"/>
  <c r="AB1435" i="44"/>
  <c r="H1368" i="44"/>
  <c r="AF1368" i="44" s="1"/>
  <c r="AF1365" i="44"/>
  <c r="H1369" i="44"/>
  <c r="H1367" i="44"/>
  <c r="AF1367" i="44" s="1"/>
  <c r="H1366" i="44"/>
  <c r="AF1366" i="44" s="1"/>
  <c r="M1402" i="44"/>
  <c r="M1404" i="44"/>
  <c r="M1405" i="44"/>
  <c r="M1403" i="44"/>
  <c r="AN1292" i="44"/>
  <c r="AX361" i="44"/>
  <c r="BB361" i="44" s="1"/>
  <c r="AR1291" i="44"/>
  <c r="Q1506" i="44"/>
  <c r="P1506" i="44"/>
  <c r="D1506" i="44"/>
  <c r="AB1506" i="44" s="1"/>
  <c r="E1506" i="44"/>
  <c r="AC1506" i="44" s="1"/>
  <c r="L1328" i="44"/>
  <c r="AJ1328" i="44" s="1"/>
  <c r="AJ1327" i="44"/>
  <c r="E1436" i="44"/>
  <c r="AC1435" i="44"/>
  <c r="I1364" i="44"/>
  <c r="AG1363" i="44"/>
  <c r="AR1186" i="44"/>
  <c r="AX349" i="44"/>
  <c r="BB349" i="44" s="1"/>
  <c r="AX357" i="44"/>
  <c r="BB357" i="44" s="1"/>
  <c r="AN1257" i="44"/>
  <c r="AR1256" i="44"/>
  <c r="AG1458" i="44"/>
  <c r="X1569" i="44"/>
  <c r="D1572" i="44"/>
  <c r="D1573" i="44"/>
  <c r="D1570" i="44"/>
  <c r="D1605" i="44"/>
  <c r="D1574" i="44"/>
  <c r="X1571" i="44"/>
  <c r="D1571" i="44"/>
  <c r="Q1471" i="44"/>
  <c r="Q1472" i="44" s="1"/>
  <c r="Q1473" i="44" s="1"/>
  <c r="Q1474" i="44"/>
  <c r="H1533" i="44"/>
  <c r="AI1540" i="44"/>
  <c r="T1533" i="44"/>
  <c r="T1534" i="44"/>
  <c r="W1540" i="44"/>
  <c r="M1328" i="44"/>
  <c r="AK1327" i="44"/>
  <c r="E1294" i="44"/>
  <c r="AC1293" i="44"/>
  <c r="E1296" i="44"/>
  <c r="L1446" i="44"/>
  <c r="AJ1446" i="44" s="1"/>
  <c r="L1437" i="44"/>
  <c r="L1435" i="44"/>
  <c r="AJ1434" i="44"/>
  <c r="AG1229" i="44"/>
  <c r="I1232" i="44"/>
  <c r="AG1232" i="44" s="1"/>
  <c r="I1230" i="44"/>
  <c r="AG1230" i="44" s="1"/>
  <c r="I1231" i="44"/>
  <c r="AG1231" i="44" s="1"/>
  <c r="I1233" i="44"/>
  <c r="Y1401" i="44"/>
  <c r="AK1401" i="44" s="1"/>
  <c r="AK1400" i="44"/>
  <c r="L1300" i="44"/>
  <c r="AJ1300" i="44" s="1"/>
  <c r="AJ1299" i="44"/>
  <c r="AB1365" i="44"/>
  <c r="D1367" i="44"/>
  <c r="AB1367" i="44" s="1"/>
  <c r="D1368" i="44"/>
  <c r="AB1368" i="44" s="1"/>
  <c r="D1369" i="44"/>
  <c r="D1366" i="44"/>
  <c r="AB1366" i="44" s="1"/>
  <c r="M1506" i="44"/>
  <c r="L1506" i="44"/>
  <c r="M1470" i="44"/>
  <c r="L1470" i="44"/>
  <c r="P1474" i="44"/>
  <c r="P1471" i="44"/>
  <c r="P1472" i="44" s="1"/>
  <c r="P1473" i="44"/>
  <c r="AK1257" i="44"/>
  <c r="M1260" i="44"/>
  <c r="AK1260" i="44" s="1"/>
  <c r="M1258" i="44"/>
  <c r="AK1258" i="44" s="1"/>
  <c r="M1261" i="44"/>
  <c r="M1259" i="44"/>
  <c r="AK1259" i="44" s="1"/>
  <c r="AG1165" i="44"/>
  <c r="I1167" i="44"/>
  <c r="AG1167" i="44" s="1"/>
  <c r="I1168" i="44"/>
  <c r="AG1168" i="44" s="1"/>
  <c r="I1166" i="44"/>
  <c r="AG1166" i="44" s="1"/>
  <c r="I1169" i="44"/>
  <c r="AG1169" i="44" s="1"/>
  <c r="I1471" i="44"/>
  <c r="I1494" i="44"/>
  <c r="AG1494" i="44" s="1"/>
  <c r="H1494" i="44"/>
  <c r="AF1494" i="44" s="1"/>
  <c r="H1471" i="44"/>
  <c r="H1473" i="44"/>
  <c r="U1436" i="44"/>
  <c r="AG1435" i="44"/>
  <c r="D1364" i="44"/>
  <c r="AB1364" i="44" s="1"/>
  <c r="AB1363" i="44"/>
  <c r="L1535" i="44"/>
  <c r="H1540" i="44"/>
  <c r="L1540" i="44"/>
  <c r="H1536" i="44"/>
  <c r="L1537" i="44"/>
  <c r="C1540" i="44" s="1"/>
  <c r="P1533" i="44"/>
  <c r="P1534" i="44"/>
  <c r="L1536" i="44"/>
  <c r="G1540" i="44" s="1"/>
  <c r="D1540" i="44"/>
  <c r="P1535" i="44"/>
  <c r="AG1293" i="44"/>
  <c r="I1296" i="44"/>
  <c r="AG1296" i="44" s="1"/>
  <c r="I1294" i="44"/>
  <c r="AG1294" i="44" s="1"/>
  <c r="I1295" i="44"/>
  <c r="AG1295" i="44" s="1"/>
  <c r="I1297" i="44"/>
  <c r="H1439" i="44"/>
  <c r="H1441" i="44"/>
  <c r="H1438" i="44"/>
  <c r="H1440" i="44"/>
  <c r="AF1301" i="44"/>
  <c r="H1304" i="44"/>
  <c r="AF1304" i="44" s="1"/>
  <c r="H1303" i="44"/>
  <c r="AF1303" i="44" s="1"/>
  <c r="H1302" i="44"/>
  <c r="AF1302" i="44" s="1"/>
  <c r="H1305" i="44"/>
  <c r="AF1405" i="44"/>
  <c r="H1408" i="44"/>
  <c r="AF1408" i="44" s="1"/>
  <c r="H1407" i="44"/>
  <c r="AF1407" i="44" s="1"/>
  <c r="H1409" i="44"/>
  <c r="H1406" i="44"/>
  <c r="AF1406" i="44" s="1"/>
  <c r="X1506" i="44"/>
  <c r="Y1506" i="44"/>
  <c r="AM1540" i="44"/>
  <c r="AQ1540" i="44"/>
  <c r="X1534" i="44"/>
  <c r="H1537" i="44"/>
  <c r="AC316" i="43"/>
  <c r="B315" i="43"/>
  <c r="F315" i="43" s="1"/>
  <c r="I1329" i="44"/>
  <c r="AG1328" i="44"/>
  <c r="AJ1297" i="44"/>
  <c r="L1298" i="44"/>
  <c r="AJ1298" i="44" s="1"/>
  <c r="L1301" i="44"/>
  <c r="AJ1301" i="44" s="1"/>
  <c r="E1408" i="44"/>
  <c r="E1409" i="44" s="1"/>
  <c r="E1406" i="44"/>
  <c r="E1407" i="44" s="1"/>
  <c r="AF1504" i="44"/>
  <c r="E1364" i="44"/>
  <c r="AC1363" i="44"/>
  <c r="AF1237" i="44"/>
  <c r="H1238" i="44"/>
  <c r="AF1238" i="44" s="1"/>
  <c r="H1240" i="44"/>
  <c r="AF1240" i="44" s="1"/>
  <c r="H1239" i="44"/>
  <c r="AF1239" i="44" s="1"/>
  <c r="H1241" i="44"/>
  <c r="AF1241" i="44" s="1"/>
  <c r="M1446" i="44"/>
  <c r="AK1446" i="44" s="1"/>
  <c r="M1435" i="44"/>
  <c r="AK1434" i="44"/>
  <c r="X1471" i="44"/>
  <c r="X1472" i="44" s="1"/>
  <c r="X1473" i="44"/>
  <c r="X1474" i="44"/>
  <c r="E1259" i="44"/>
  <c r="AC1259" i="44" s="1"/>
  <c r="AC1258" i="44"/>
  <c r="E1191" i="44"/>
  <c r="AC1191" i="44" s="1"/>
  <c r="AC1190" i="44"/>
  <c r="AF1333" i="44"/>
  <c r="H1337" i="44"/>
  <c r="H1336" i="44"/>
  <c r="AF1336" i="44" s="1"/>
  <c r="H1335" i="44"/>
  <c r="AF1335" i="44" s="1"/>
  <c r="H1334" i="44"/>
  <c r="AF1334" i="44" s="1"/>
  <c r="I1441" i="44"/>
  <c r="AG1441" i="44" s="1"/>
  <c r="I1440" i="44"/>
  <c r="AG1440" i="44" s="1"/>
  <c r="I1438" i="44"/>
  <c r="AG1438" i="44" s="1"/>
  <c r="I1439" i="44"/>
  <c r="AG1439" i="44" s="1"/>
  <c r="AF1470" i="44"/>
  <c r="H1502" i="44"/>
  <c r="AO1497" i="44" s="1"/>
  <c r="U1474" i="44"/>
  <c r="U1471" i="44"/>
  <c r="U1472" i="44" s="1"/>
  <c r="U1473" i="44" s="1"/>
  <c r="AJ1329" i="44"/>
  <c r="L1335" i="44"/>
  <c r="L1333" i="44"/>
  <c r="L1330" i="44"/>
  <c r="AJ1330" i="44" s="1"/>
  <c r="L1331" i="44"/>
  <c r="Y1471" i="44"/>
  <c r="Y1472" i="44" s="1"/>
  <c r="Y1473" i="44" s="1"/>
  <c r="Y1474" i="44"/>
  <c r="T1536" i="44"/>
  <c r="T1535" i="44"/>
  <c r="S1540" i="44"/>
  <c r="AE1540" i="44"/>
  <c r="H1534" i="44"/>
  <c r="E1261" i="44"/>
  <c r="AC1260" i="44"/>
  <c r="E1193" i="44"/>
  <c r="AC1193" i="44" s="1"/>
  <c r="AC1192" i="44"/>
  <c r="AG1197" i="44"/>
  <c r="I1201" i="44"/>
  <c r="I1198" i="44"/>
  <c r="AG1198" i="44" s="1"/>
  <c r="I1200" i="44"/>
  <c r="AG1200" i="44" s="1"/>
  <c r="I1199" i="44"/>
  <c r="AG1199" i="44" s="1"/>
  <c r="I1401" i="44"/>
  <c r="AG1400" i="44"/>
  <c r="AB1333" i="44"/>
  <c r="D1335" i="44"/>
  <c r="AB1335" i="44" s="1"/>
  <c r="D1336" i="44"/>
  <c r="AB1336" i="44" s="1"/>
  <c r="D1337" i="44"/>
  <c r="AB1337" i="44" s="1"/>
  <c r="D1334" i="44"/>
  <c r="AB1334" i="44" s="1"/>
  <c r="L1296" i="44"/>
  <c r="AJ1296" i="44" s="1"/>
  <c r="AJ1295" i="44"/>
  <c r="T1473" i="44"/>
  <c r="T1474" i="44"/>
  <c r="T1471" i="44"/>
  <c r="T1472" i="44" s="1"/>
  <c r="AG1261" i="44"/>
  <c r="I1265" i="44"/>
  <c r="I1264" i="44"/>
  <c r="AG1264" i="44" s="1"/>
  <c r="I1262" i="44"/>
  <c r="AG1262" i="44" s="1"/>
  <c r="I1263" i="44"/>
  <c r="AG1263" i="44" s="1"/>
  <c r="AK1225" i="44"/>
  <c r="M1229" i="44"/>
  <c r="AK1229" i="44" s="1"/>
  <c r="M1228" i="44"/>
  <c r="AK1228" i="44" s="1"/>
  <c r="M1227" i="44"/>
  <c r="AK1227" i="44" s="1"/>
  <c r="M1226" i="44"/>
  <c r="AK1226" i="44" s="1"/>
  <c r="O1540" i="44"/>
  <c r="T1537" i="44"/>
  <c r="H1535" i="44"/>
  <c r="AA1540" i="44"/>
  <c r="T1538" i="44"/>
  <c r="M1374" i="44"/>
  <c r="AK1374" i="44" s="1"/>
  <c r="M1363" i="44"/>
  <c r="AK1362" i="44"/>
  <c r="L1389" i="44"/>
  <c r="AN1367" i="44"/>
  <c r="D1473" i="44"/>
  <c r="D1482" i="44"/>
  <c r="AB1482" i="44" s="1"/>
  <c r="D1471" i="44"/>
  <c r="AG1470" i="44"/>
  <c r="AN1327" i="44"/>
  <c r="AR1326" i="44"/>
  <c r="AX365" i="44"/>
  <c r="BB365" i="44" s="1"/>
  <c r="I1506" i="44"/>
  <c r="H1506" i="44"/>
  <c r="AF1506" i="44" s="1"/>
  <c r="AB1437" i="44"/>
  <c r="D1440" i="44"/>
  <c r="AB1440" i="44" s="1"/>
  <c r="D1439" i="44"/>
  <c r="AB1439" i="44" s="1"/>
  <c r="D1441" i="44"/>
  <c r="D1438" i="44"/>
  <c r="AB1438" i="44" s="1"/>
  <c r="M1293" i="44"/>
  <c r="AK1292" i="44"/>
  <c r="AC1225" i="44"/>
  <c r="E1228" i="44"/>
  <c r="E1226" i="44"/>
  <c r="T1506" i="44"/>
  <c r="U1506" i="44"/>
  <c r="L1403" i="44"/>
  <c r="L1404" i="44" s="1"/>
  <c r="L1402" i="44"/>
  <c r="L1405" i="44"/>
  <c r="L1407" i="44"/>
  <c r="L1408" i="44" s="1"/>
  <c r="L1365" i="44"/>
  <c r="L1374" i="44"/>
  <c r="AJ1374" i="44" s="1"/>
  <c r="L1363" i="44"/>
  <c r="AJ1362" i="44"/>
  <c r="AF1269" i="44"/>
  <c r="H1273" i="44"/>
  <c r="H1270" i="44"/>
  <c r="AF1270" i="44" s="1"/>
  <c r="H1272" i="44"/>
  <c r="AF1272" i="44" s="1"/>
  <c r="H1271" i="44"/>
  <c r="AF1271" i="44" s="1"/>
  <c r="AR1331" i="44"/>
  <c r="AN1362" i="44"/>
  <c r="AX353" i="44"/>
  <c r="BB353" i="44" s="1"/>
  <c r="AN1222" i="44"/>
  <c r="AR1221" i="44"/>
  <c r="E1482" i="44"/>
  <c r="AC1482" i="44" s="1"/>
  <c r="E1471" i="44"/>
  <c r="M613" i="44" l="1"/>
  <c r="AK612" i="44"/>
  <c r="AK752" i="44"/>
  <c r="M753" i="44"/>
  <c r="M718" i="44"/>
  <c r="AK717" i="44"/>
  <c r="AK787" i="44"/>
  <c r="M788" i="44"/>
  <c r="AG881" i="44"/>
  <c r="M858" i="44"/>
  <c r="AK822" i="44"/>
  <c r="M823" i="44"/>
  <c r="M834" i="44"/>
  <c r="AK834" i="44" s="1"/>
  <c r="M684" i="44"/>
  <c r="AK683" i="44"/>
  <c r="M581" i="44"/>
  <c r="AK581" i="44" s="1"/>
  <c r="M578" i="44"/>
  <c r="AK578" i="44" s="1"/>
  <c r="M579" i="44"/>
  <c r="AK579" i="44" s="1"/>
  <c r="AK577" i="44"/>
  <c r="M580" i="44"/>
  <c r="AK580" i="44" s="1"/>
  <c r="M648" i="44"/>
  <c r="AK647" i="44"/>
  <c r="AJ1540" i="44"/>
  <c r="L1509" i="44"/>
  <c r="L1518" i="44"/>
  <c r="AJ1518" i="44" s="1"/>
  <c r="L1507" i="44"/>
  <c r="T1510" i="44"/>
  <c r="T1507" i="44"/>
  <c r="T1508" i="44" s="1"/>
  <c r="T1509" i="44"/>
  <c r="H1509" i="44"/>
  <c r="H1507" i="44"/>
  <c r="H1530" i="44"/>
  <c r="AF1530" i="44" s="1"/>
  <c r="H1542" i="44"/>
  <c r="AF1542" i="44" s="1"/>
  <c r="I1542" i="44"/>
  <c r="AG1542" i="44" s="1"/>
  <c r="I1530" i="44"/>
  <c r="AG1530" i="44" s="1"/>
  <c r="I1507" i="44"/>
  <c r="AF1369" i="44"/>
  <c r="H1371" i="44"/>
  <c r="AF1371" i="44" s="1"/>
  <c r="H1370" i="44"/>
  <c r="AF1370" i="44" s="1"/>
  <c r="H1372" i="44"/>
  <c r="AF1372" i="44" s="1"/>
  <c r="H1373" i="44"/>
  <c r="Q1542" i="44"/>
  <c r="P1542" i="44"/>
  <c r="I1472" i="44"/>
  <c r="AG1471" i="44"/>
  <c r="E1295" i="44"/>
  <c r="AC1295" i="44" s="1"/>
  <c r="AC1294" i="44"/>
  <c r="W1576" i="44"/>
  <c r="AI1576" i="44"/>
  <c r="T1569" i="44"/>
  <c r="H1569" i="44"/>
  <c r="T1570" i="44"/>
  <c r="AR1222" i="44"/>
  <c r="AX354" i="44"/>
  <c r="BB354" i="44" s="1"/>
  <c r="L1336" i="44"/>
  <c r="AJ1336" i="44" s="1"/>
  <c r="AJ1335" i="44"/>
  <c r="M1408" i="44"/>
  <c r="M1409" i="44"/>
  <c r="M1406" i="44"/>
  <c r="M1407" i="44"/>
  <c r="M1482" i="44"/>
  <c r="AK1482" i="44" s="1"/>
  <c r="M1471" i="44"/>
  <c r="AK1470" i="44"/>
  <c r="AB1540" i="44"/>
  <c r="H1472" i="44"/>
  <c r="AF1472" i="44" s="1"/>
  <c r="AF1471" i="44"/>
  <c r="D1608" i="44"/>
  <c r="D1641" i="44"/>
  <c r="D1607" i="44"/>
  <c r="D1606" i="44"/>
  <c r="D1610" i="44"/>
  <c r="X1607" i="44"/>
  <c r="X1605" i="44"/>
  <c r="D1609" i="44"/>
  <c r="E1437" i="44"/>
  <c r="AC1436" i="44"/>
  <c r="M1329" i="44"/>
  <c r="AK1328" i="44"/>
  <c r="E1507" i="44"/>
  <c r="E1518" i="44"/>
  <c r="AC1518" i="44" s="1"/>
  <c r="L1436" i="44"/>
  <c r="AJ1436" i="44" s="1"/>
  <c r="AJ1435" i="44"/>
  <c r="H1475" i="44"/>
  <c r="AF1475" i="44" s="1"/>
  <c r="AF1473" i="44"/>
  <c r="H1477" i="44"/>
  <c r="H1476" i="44"/>
  <c r="AF1476" i="44" s="1"/>
  <c r="H1474" i="44"/>
  <c r="AF1474" i="44" s="1"/>
  <c r="L1439" i="44"/>
  <c r="AJ1437" i="44"/>
  <c r="L1438" i="44"/>
  <c r="AJ1438" i="44" s="1"/>
  <c r="L1443" i="44"/>
  <c r="L1441" i="44"/>
  <c r="AF1540" i="44"/>
  <c r="H1573" i="44"/>
  <c r="X1570" i="44"/>
  <c r="AQ1576" i="44"/>
  <c r="AM1576" i="44"/>
  <c r="U1542" i="44"/>
  <c r="T1542" i="44"/>
  <c r="D1442" i="44"/>
  <c r="AB1442" i="44" s="1"/>
  <c r="AB1441" i="44"/>
  <c r="D1445" i="44"/>
  <c r="AB1445" i="44" s="1"/>
  <c r="D1443" i="44"/>
  <c r="AB1443" i="44" s="1"/>
  <c r="D1444" i="44"/>
  <c r="AB1444" i="44" s="1"/>
  <c r="I1442" i="44"/>
  <c r="AG1442" i="44" s="1"/>
  <c r="I1443" i="44"/>
  <c r="AG1443" i="44" s="1"/>
  <c r="I1444" i="44"/>
  <c r="AG1444" i="44" s="1"/>
  <c r="I1445" i="44"/>
  <c r="AG1445" i="44" s="1"/>
  <c r="X1542" i="44"/>
  <c r="Y1542" i="44"/>
  <c r="D1518" i="44"/>
  <c r="AB1518" i="44" s="1"/>
  <c r="D1509" i="44"/>
  <c r="D1507" i="44"/>
  <c r="AA1576" i="44"/>
  <c r="H1571" i="44"/>
  <c r="T1573" i="44"/>
  <c r="T1574" i="44"/>
  <c r="O1576" i="44"/>
  <c r="AF1273" i="44"/>
  <c r="H1277" i="44"/>
  <c r="AF1277" i="44" s="1"/>
  <c r="H1276" i="44"/>
  <c r="AF1276" i="44" s="1"/>
  <c r="H1275" i="44"/>
  <c r="AF1275" i="44" s="1"/>
  <c r="H1274" i="44"/>
  <c r="AF1274" i="44" s="1"/>
  <c r="D1542" i="44"/>
  <c r="E1542" i="44"/>
  <c r="AJ1506" i="44"/>
  <c r="P1507" i="44"/>
  <c r="P1508" i="44" s="1"/>
  <c r="P1509" i="44"/>
  <c r="P1510" i="44"/>
  <c r="P1570" i="44"/>
  <c r="H1572" i="44"/>
  <c r="P1569" i="44"/>
  <c r="D1576" i="44"/>
  <c r="L1573" i="44"/>
  <c r="C1576" i="44" s="1"/>
  <c r="L1572" i="44"/>
  <c r="G1576" i="44" s="1"/>
  <c r="P1571" i="44"/>
  <c r="L1571" i="44"/>
  <c r="H1576" i="44"/>
  <c r="L1576" i="44"/>
  <c r="U1437" i="44"/>
  <c r="AG1437" i="44" s="1"/>
  <c r="AG1436" i="44"/>
  <c r="I1365" i="44"/>
  <c r="AG1364" i="44"/>
  <c r="AF1305" i="44"/>
  <c r="H1308" i="44"/>
  <c r="AF1308" i="44" s="1"/>
  <c r="H1309" i="44"/>
  <c r="H1307" i="44"/>
  <c r="AF1307" i="44" s="1"/>
  <c r="H1306" i="44"/>
  <c r="AF1306" i="44" s="1"/>
  <c r="AX366" i="44"/>
  <c r="BB366" i="44" s="1"/>
  <c r="AN1328" i="44"/>
  <c r="AR1327" i="44"/>
  <c r="L1364" i="44"/>
  <c r="AJ1364" i="44" s="1"/>
  <c r="AJ1363" i="44"/>
  <c r="D1472" i="44"/>
  <c r="AB1472" i="44" s="1"/>
  <c r="AB1471" i="44"/>
  <c r="AG1329" i="44"/>
  <c r="I1332" i="44"/>
  <c r="AG1332" i="44" s="1"/>
  <c r="I1333" i="44"/>
  <c r="I1331" i="44"/>
  <c r="AG1331" i="44" s="1"/>
  <c r="I1330" i="44"/>
  <c r="AG1330" i="44" s="1"/>
  <c r="H1444" i="44"/>
  <c r="H1445" i="44"/>
  <c r="H1442" i="44"/>
  <c r="H1443" i="44"/>
  <c r="K1540" i="44"/>
  <c r="P1537" i="44"/>
  <c r="AK1261" i="44"/>
  <c r="M1263" i="44"/>
  <c r="AK1263" i="44" s="1"/>
  <c r="M1265" i="44"/>
  <c r="AK1265" i="44" s="1"/>
  <c r="M1262" i="44"/>
  <c r="AK1262" i="44" s="1"/>
  <c r="M1264" i="44"/>
  <c r="AK1264" i="44" s="1"/>
  <c r="AG1233" i="44"/>
  <c r="I1237" i="44"/>
  <c r="I1235" i="44"/>
  <c r="AG1235" i="44" s="1"/>
  <c r="I1236" i="44"/>
  <c r="AG1236" i="44" s="1"/>
  <c r="I1234" i="44"/>
  <c r="AG1234" i="44" s="1"/>
  <c r="Q1507" i="44"/>
  <c r="Q1508" i="44" s="1"/>
  <c r="Q1509" i="44" s="1"/>
  <c r="Q1510" i="44"/>
  <c r="AC1329" i="44"/>
  <c r="E1332" i="44"/>
  <c r="E1330" i="44"/>
  <c r="M1518" i="44"/>
  <c r="AK1518" i="44" s="1"/>
  <c r="M1507" i="44"/>
  <c r="E1297" i="44"/>
  <c r="AC1296" i="44"/>
  <c r="AC1261" i="44"/>
  <c r="E1262" i="44"/>
  <c r="E1264" i="44"/>
  <c r="AK1506" i="44"/>
  <c r="M1364" i="44"/>
  <c r="AK1363" i="44"/>
  <c r="E1227" i="44"/>
  <c r="AC1227" i="44" s="1"/>
  <c r="AC1226" i="44"/>
  <c r="AB1369" i="44"/>
  <c r="D1371" i="44"/>
  <c r="AB1371" i="44" s="1"/>
  <c r="D1370" i="44"/>
  <c r="AB1370" i="44" s="1"/>
  <c r="D1372" i="44"/>
  <c r="AB1372" i="44" s="1"/>
  <c r="D1373" i="44"/>
  <c r="AB1373" i="44" s="1"/>
  <c r="AC317" i="43"/>
  <c r="B316" i="43"/>
  <c r="F316" i="43" s="1"/>
  <c r="AG1297" i="44"/>
  <c r="I1299" i="44"/>
  <c r="AG1299" i="44" s="1"/>
  <c r="I1301" i="44"/>
  <c r="I1298" i="44"/>
  <c r="AG1298" i="44" s="1"/>
  <c r="I1300" i="44"/>
  <c r="AG1300" i="44" s="1"/>
  <c r="H1538" i="44"/>
  <c r="AO1533" i="44" s="1"/>
  <c r="AR1257" i="44"/>
  <c r="AN1258" i="44"/>
  <c r="AX358" i="44"/>
  <c r="BB358" i="44" s="1"/>
  <c r="AR1362" i="44"/>
  <c r="AN1363" i="44"/>
  <c r="AX370" i="44"/>
  <c r="BB370" i="44" s="1"/>
  <c r="AJ1365" i="44"/>
  <c r="L1369" i="44"/>
  <c r="L1367" i="44"/>
  <c r="L1371" i="44"/>
  <c r="L1366" i="44"/>
  <c r="AJ1366" i="44" s="1"/>
  <c r="AB1473" i="44"/>
  <c r="D1477" i="44"/>
  <c r="D1474" i="44"/>
  <c r="AB1474" i="44" s="1"/>
  <c r="D1475" i="44"/>
  <c r="AB1475" i="44" s="1"/>
  <c r="D1476" i="44"/>
  <c r="AB1476" i="44" s="1"/>
  <c r="AG1401" i="44"/>
  <c r="I1403" i="44"/>
  <c r="AG1403" i="44" s="1"/>
  <c r="I1404" i="44"/>
  <c r="AG1404" i="44" s="1"/>
  <c r="I1402" i="44"/>
  <c r="AG1402" i="44" s="1"/>
  <c r="I1405" i="44"/>
  <c r="E1472" i="44"/>
  <c r="AC1471" i="44"/>
  <c r="AN1403" i="44"/>
  <c r="P1398" i="44"/>
  <c r="L1425" i="44"/>
  <c r="X1398" i="44"/>
  <c r="X1509" i="44"/>
  <c r="X1507" i="44"/>
  <c r="X1508" i="44" s="1"/>
  <c r="X1510" i="44"/>
  <c r="AN1293" i="44"/>
  <c r="AR1292" i="44"/>
  <c r="AX362" i="44"/>
  <c r="BB362" i="44" s="1"/>
  <c r="AG1201" i="44"/>
  <c r="I1205" i="44"/>
  <c r="AG1205" i="44" s="1"/>
  <c r="I1202" i="44"/>
  <c r="AG1202" i="44" s="1"/>
  <c r="I1203" i="44"/>
  <c r="AG1203" i="44" s="1"/>
  <c r="I1204" i="44"/>
  <c r="AG1204" i="44" s="1"/>
  <c r="H1412" i="44"/>
  <c r="AF1412" i="44" s="1"/>
  <c r="AF1409" i="44"/>
  <c r="H1411" i="44"/>
  <c r="AF1411" i="44" s="1"/>
  <c r="H1410" i="44"/>
  <c r="AF1410" i="44" s="1"/>
  <c r="H1413" i="44"/>
  <c r="L1473" i="44"/>
  <c r="L1482" i="44"/>
  <c r="AJ1482" i="44" s="1"/>
  <c r="L1471" i="44"/>
  <c r="AJ1470" i="44"/>
  <c r="U1510" i="44"/>
  <c r="U1507" i="44"/>
  <c r="U1508" i="44" s="1"/>
  <c r="U1509" i="44" s="1"/>
  <c r="E1229" i="44"/>
  <c r="AC1229" i="44" s="1"/>
  <c r="AC1228" i="44"/>
  <c r="T1571" i="44"/>
  <c r="S1576" i="44"/>
  <c r="T1572" i="44"/>
  <c r="AE1576" i="44"/>
  <c r="H1570" i="44"/>
  <c r="AK1293" i="44"/>
  <c r="M1295" i="44"/>
  <c r="AK1295" i="44" s="1"/>
  <c r="M1296" i="44"/>
  <c r="AK1296" i="44" s="1"/>
  <c r="M1297" i="44"/>
  <c r="M1294" i="44"/>
  <c r="AK1294" i="44" s="1"/>
  <c r="AK1435" i="44"/>
  <c r="M1436" i="44"/>
  <c r="AN1398" i="44"/>
  <c r="AR1367" i="44"/>
  <c r="L1332" i="44"/>
  <c r="AJ1332" i="44" s="1"/>
  <c r="AJ1331" i="44"/>
  <c r="AF1337" i="44"/>
  <c r="H1339" i="44"/>
  <c r="AF1339" i="44" s="1"/>
  <c r="H1341" i="44"/>
  <c r="H1340" i="44"/>
  <c r="AF1340" i="44" s="1"/>
  <c r="H1338" i="44"/>
  <c r="AF1338" i="44" s="1"/>
  <c r="Y1510" i="44"/>
  <c r="Y1507" i="44"/>
  <c r="Y1508" i="44" s="1"/>
  <c r="Y1509" i="44" s="1"/>
  <c r="L1406" i="44"/>
  <c r="L1409" i="44"/>
  <c r="AG1265" i="44"/>
  <c r="I1266" i="44"/>
  <c r="AG1266" i="44" s="1"/>
  <c r="I1267" i="44"/>
  <c r="AG1267" i="44" s="1"/>
  <c r="I1269" i="44"/>
  <c r="I1268" i="44"/>
  <c r="AG1268" i="44" s="1"/>
  <c r="AJ1333" i="44"/>
  <c r="L1334" i="44"/>
  <c r="AJ1334" i="44" s="1"/>
  <c r="L1337" i="44"/>
  <c r="AJ1337" i="44" s="1"/>
  <c r="E1365" i="44"/>
  <c r="AC1364" i="44"/>
  <c r="AG1506" i="44"/>
  <c r="AK684" i="44" l="1"/>
  <c r="M685" i="44"/>
  <c r="M859" i="44"/>
  <c r="M870" i="44"/>
  <c r="AK870" i="44" s="1"/>
  <c r="AK858" i="44"/>
  <c r="M789" i="44"/>
  <c r="AK788" i="44"/>
  <c r="AK648" i="44"/>
  <c r="M649" i="44"/>
  <c r="M719" i="44"/>
  <c r="AK718" i="44"/>
  <c r="AK753" i="44"/>
  <c r="M754" i="44"/>
  <c r="AK823" i="44"/>
  <c r="M824" i="44"/>
  <c r="M616" i="44"/>
  <c r="AK616" i="44" s="1"/>
  <c r="M617" i="44"/>
  <c r="AK617" i="44" s="1"/>
  <c r="M614" i="44"/>
  <c r="AK614" i="44" s="1"/>
  <c r="M615" i="44"/>
  <c r="AK615" i="44" s="1"/>
  <c r="AK613" i="44"/>
  <c r="D1578" i="44"/>
  <c r="AB1578" i="44" s="1"/>
  <c r="E1578" i="44"/>
  <c r="AC1578" i="44" s="1"/>
  <c r="AJ1441" i="44"/>
  <c r="L1442" i="44"/>
  <c r="AJ1442" i="44" s="1"/>
  <c r="L1445" i="44"/>
  <c r="AJ1445" i="44" s="1"/>
  <c r="AF1373" i="44"/>
  <c r="H1375" i="44"/>
  <c r="AF1375" i="44" s="1"/>
  <c r="H1376" i="44"/>
  <c r="AF1376" i="44" s="1"/>
  <c r="H1377" i="44"/>
  <c r="H1374" i="44"/>
  <c r="AF1374" i="44" s="1"/>
  <c r="I1566" i="44"/>
  <c r="AG1566" i="44" s="1"/>
  <c r="I1543" i="44"/>
  <c r="D1554" i="44"/>
  <c r="AB1554" i="44" s="1"/>
  <c r="D1545" i="44"/>
  <c r="D1543" i="44"/>
  <c r="I1447" i="44"/>
  <c r="AG1447" i="44" s="1"/>
  <c r="I1448" i="44"/>
  <c r="AG1448" i="44" s="1"/>
  <c r="I1449" i="44"/>
  <c r="AG1449" i="44" s="1"/>
  <c r="I1446" i="44"/>
  <c r="AG1446" i="44" s="1"/>
  <c r="L1444" i="44"/>
  <c r="AJ1444" i="44" s="1"/>
  <c r="AJ1443" i="44"/>
  <c r="E1438" i="44"/>
  <c r="AC1437" i="44"/>
  <c r="E1440" i="44"/>
  <c r="H1566" i="44"/>
  <c r="AF1566" i="44" s="1"/>
  <c r="H1543" i="44"/>
  <c r="H1545" i="44"/>
  <c r="E1473" i="44"/>
  <c r="AC1472" i="44"/>
  <c r="AR1398" i="44"/>
  <c r="AN1399" i="44"/>
  <c r="AX375" i="44"/>
  <c r="BB375" i="44" s="1"/>
  <c r="H1609" i="44"/>
  <c r="AQ1612" i="44"/>
  <c r="AM1612" i="44"/>
  <c r="X1606" i="44"/>
  <c r="H1508" i="44"/>
  <c r="AF1508" i="44" s="1"/>
  <c r="AF1507" i="44"/>
  <c r="AJ1369" i="44"/>
  <c r="L1370" i="44"/>
  <c r="AJ1370" i="44" s="1"/>
  <c r="L1373" i="44"/>
  <c r="AJ1373" i="44" s="1"/>
  <c r="D1508" i="44"/>
  <c r="AB1508" i="44" s="1"/>
  <c r="AB1507" i="44"/>
  <c r="D1512" i="44"/>
  <c r="AB1512" i="44" s="1"/>
  <c r="AB1509" i="44"/>
  <c r="D1513" i="44"/>
  <c r="D1510" i="44"/>
  <c r="AB1510" i="44" s="1"/>
  <c r="D1511" i="44"/>
  <c r="AB1511" i="44" s="1"/>
  <c r="I1473" i="44"/>
  <c r="AG1472" i="44"/>
  <c r="P1543" i="44"/>
  <c r="P1544" i="44" s="1"/>
  <c r="P1546" i="44"/>
  <c r="P1545" i="44"/>
  <c r="AF1309" i="44"/>
  <c r="H1313" i="44"/>
  <c r="AF1313" i="44" s="1"/>
  <c r="H1312" i="44"/>
  <c r="AF1312" i="44" s="1"/>
  <c r="H1311" i="44"/>
  <c r="AF1311" i="44" s="1"/>
  <c r="H1310" i="44"/>
  <c r="AF1310" i="44" s="1"/>
  <c r="M1365" i="44"/>
  <c r="AK1364" i="44"/>
  <c r="AG1237" i="44"/>
  <c r="I1238" i="44"/>
  <c r="AG1238" i="44" s="1"/>
  <c r="I1240" i="44"/>
  <c r="AG1240" i="44" s="1"/>
  <c r="I1241" i="44"/>
  <c r="AG1241" i="44" s="1"/>
  <c r="I1239" i="44"/>
  <c r="AG1239" i="44" s="1"/>
  <c r="L1440" i="44"/>
  <c r="AJ1440" i="44" s="1"/>
  <c r="AJ1439" i="44"/>
  <c r="H1511" i="44"/>
  <c r="AF1511" i="44" s="1"/>
  <c r="AF1509" i="44"/>
  <c r="H1513" i="44"/>
  <c r="H1510" i="44"/>
  <c r="AF1510" i="44" s="1"/>
  <c r="H1512" i="44"/>
  <c r="AF1512" i="44" s="1"/>
  <c r="AF1576" i="44"/>
  <c r="AR1328" i="44"/>
  <c r="AX367" i="44"/>
  <c r="BB367" i="44" s="1"/>
  <c r="AN1329" i="44"/>
  <c r="E1331" i="44"/>
  <c r="AC1331" i="44" s="1"/>
  <c r="AC1330" i="44"/>
  <c r="E1333" i="44"/>
  <c r="AC1332" i="44"/>
  <c r="H1446" i="44"/>
  <c r="H1447" i="44"/>
  <c r="H1449" i="44"/>
  <c r="H1448" i="44"/>
  <c r="H1606" i="44"/>
  <c r="T1608" i="44"/>
  <c r="T1607" i="44"/>
  <c r="AE1612" i="44"/>
  <c r="S1612" i="44"/>
  <c r="E1265" i="44"/>
  <c r="AC1265" i="44" s="1"/>
  <c r="AC1264" i="44"/>
  <c r="O1612" i="44"/>
  <c r="T1609" i="44"/>
  <c r="H1607" i="44"/>
  <c r="T1610" i="44"/>
  <c r="AA1612" i="44"/>
  <c r="L1542" i="44"/>
  <c r="M1542" i="44"/>
  <c r="AR1363" i="44"/>
  <c r="AN1364" i="44"/>
  <c r="AX371" i="44"/>
  <c r="BB371" i="44" s="1"/>
  <c r="AK1329" i="44"/>
  <c r="M1333" i="44"/>
  <c r="M1332" i="44"/>
  <c r="AK1332" i="44" s="1"/>
  <c r="M1331" i="44"/>
  <c r="AK1331" i="44" s="1"/>
  <c r="M1330" i="44"/>
  <c r="AK1330" i="44" s="1"/>
  <c r="E1543" i="44"/>
  <c r="E1554" i="44"/>
  <c r="AC1554" i="44" s="1"/>
  <c r="M1437" i="44"/>
  <c r="AK1436" i="44"/>
  <c r="AR1293" i="44"/>
  <c r="AN1294" i="44"/>
  <c r="AX363" i="44"/>
  <c r="BB363" i="44" s="1"/>
  <c r="AK1297" i="44"/>
  <c r="M1298" i="44"/>
  <c r="AK1298" i="44" s="1"/>
  <c r="M1300" i="44"/>
  <c r="AK1300" i="44" s="1"/>
  <c r="M1299" i="44"/>
  <c r="AK1299" i="44" s="1"/>
  <c r="M1301" i="44"/>
  <c r="AK1301" i="44" s="1"/>
  <c r="L1472" i="44"/>
  <c r="AJ1472" i="44" s="1"/>
  <c r="AJ1471" i="44"/>
  <c r="E1263" i="44"/>
  <c r="AC1263" i="44" s="1"/>
  <c r="AC1262" i="44"/>
  <c r="H1574" i="44"/>
  <c r="AO1569" i="44" s="1"/>
  <c r="I1508" i="44"/>
  <c r="AG1507" i="44"/>
  <c r="AC1365" i="44"/>
  <c r="E1366" i="44"/>
  <c r="E1368" i="44"/>
  <c r="Q1546" i="44"/>
  <c r="Q1543" i="44"/>
  <c r="Q1544" i="44" s="1"/>
  <c r="Q1545" i="44" s="1"/>
  <c r="AG1269" i="44"/>
  <c r="I1272" i="44"/>
  <c r="AG1272" i="44" s="1"/>
  <c r="I1271" i="44"/>
  <c r="AG1271" i="44" s="1"/>
  <c r="I1270" i="44"/>
  <c r="AG1270" i="44" s="1"/>
  <c r="I1273" i="44"/>
  <c r="AB1477" i="44"/>
  <c r="D1479" i="44"/>
  <c r="AB1479" i="44" s="1"/>
  <c r="D1478" i="44"/>
  <c r="AB1478" i="44" s="1"/>
  <c r="D1481" i="44"/>
  <c r="AB1481" i="44" s="1"/>
  <c r="D1480" i="44"/>
  <c r="AB1480" i="44" s="1"/>
  <c r="P1578" i="44"/>
  <c r="Q1578" i="44"/>
  <c r="H1481" i="44"/>
  <c r="H1480" i="44"/>
  <c r="AF1480" i="44" s="1"/>
  <c r="H1479" i="44"/>
  <c r="AF1479" i="44" s="1"/>
  <c r="AF1477" i="44"/>
  <c r="H1478" i="44"/>
  <c r="AF1478" i="44" s="1"/>
  <c r="L1607" i="44"/>
  <c r="L1608" i="44"/>
  <c r="G1612" i="44" s="1"/>
  <c r="D1612" i="44"/>
  <c r="P1607" i="44"/>
  <c r="L1609" i="44"/>
  <c r="C1612" i="44" s="1"/>
  <c r="L1612" i="44"/>
  <c r="H1608" i="44"/>
  <c r="P1606" i="44"/>
  <c r="H1612" i="44"/>
  <c r="P1605" i="44"/>
  <c r="AC1542" i="44"/>
  <c r="L1368" i="44"/>
  <c r="AJ1368" i="44" s="1"/>
  <c r="AJ1367" i="44"/>
  <c r="E1508" i="44"/>
  <c r="AC1507" i="44"/>
  <c r="AX359" i="44"/>
  <c r="BB359" i="44" s="1"/>
  <c r="AR1258" i="44"/>
  <c r="AG1333" i="44"/>
  <c r="I1336" i="44"/>
  <c r="AG1336" i="44" s="1"/>
  <c r="I1337" i="44"/>
  <c r="I1334" i="44"/>
  <c r="AG1334" i="44" s="1"/>
  <c r="I1335" i="44"/>
  <c r="AG1335" i="44" s="1"/>
  <c r="P1573" i="44"/>
  <c r="K1576" i="44"/>
  <c r="D1645" i="44"/>
  <c r="X1641" i="44"/>
  <c r="D1677" i="44"/>
  <c r="X1643" i="44"/>
  <c r="D1642" i="44"/>
  <c r="D1643" i="44"/>
  <c r="D1644" i="44"/>
  <c r="D1646" i="44"/>
  <c r="AB1542" i="44"/>
  <c r="AJ1576" i="44"/>
  <c r="L1508" i="44"/>
  <c r="AJ1508" i="44" s="1"/>
  <c r="AJ1507" i="44"/>
  <c r="B317" i="43"/>
  <c r="F317" i="43" s="1"/>
  <c r="AC318" i="43"/>
  <c r="AB1576" i="44"/>
  <c r="M1472" i="44"/>
  <c r="AK1471" i="44"/>
  <c r="AF1341" i="44"/>
  <c r="H1344" i="44"/>
  <c r="AF1344" i="44" s="1"/>
  <c r="H1343" i="44"/>
  <c r="AF1343" i="44" s="1"/>
  <c r="H1342" i="44"/>
  <c r="AF1342" i="44" s="1"/>
  <c r="H1345" i="44"/>
  <c r="AJ1473" i="44"/>
  <c r="L1477" i="44"/>
  <c r="L1475" i="44"/>
  <c r="L1474" i="44"/>
  <c r="AJ1474" i="44" s="1"/>
  <c r="L1479" i="44"/>
  <c r="H1417" i="44"/>
  <c r="H1416" i="44"/>
  <c r="AF1416" i="44" s="1"/>
  <c r="AF1413" i="44"/>
  <c r="H1415" i="44"/>
  <c r="AF1415" i="44" s="1"/>
  <c r="H1414" i="44"/>
  <c r="AF1414" i="44" s="1"/>
  <c r="AJ1398" i="44"/>
  <c r="X1401" i="44"/>
  <c r="AJ1401" i="44" s="1"/>
  <c r="X1402" i="44"/>
  <c r="AJ1402" i="44" s="1"/>
  <c r="X1399" i="44"/>
  <c r="AC1297" i="44"/>
  <c r="E1298" i="44"/>
  <c r="E1300" i="44"/>
  <c r="AI1612" i="44"/>
  <c r="T1606" i="44"/>
  <c r="T1605" i="44"/>
  <c r="H1605" i="44"/>
  <c r="W1612" i="44"/>
  <c r="X1578" i="44"/>
  <c r="Y1578" i="44"/>
  <c r="AB1398" i="44"/>
  <c r="P1399" i="44"/>
  <c r="P1402" i="44"/>
  <c r="AB1402" i="44" s="1"/>
  <c r="P1401" i="44"/>
  <c r="AB1401" i="44" s="1"/>
  <c r="U1546" i="44"/>
  <c r="U1543" i="44"/>
  <c r="U1544" i="44" s="1"/>
  <c r="U1545" i="44" s="1"/>
  <c r="AR1403" i="44"/>
  <c r="AN1434" i="44"/>
  <c r="U1578" i="44"/>
  <c r="T1578" i="44"/>
  <c r="I1408" i="44"/>
  <c r="AG1408" i="44" s="1"/>
  <c r="AG1405" i="44"/>
  <c r="I1407" i="44"/>
  <c r="AG1407" i="44" s="1"/>
  <c r="I1409" i="44"/>
  <c r="I1406" i="44"/>
  <c r="AG1406" i="44" s="1"/>
  <c r="Y1543" i="44"/>
  <c r="Y1544" i="44" s="1"/>
  <c r="Y1545" i="44" s="1"/>
  <c r="Y1546" i="44"/>
  <c r="X1543" i="44"/>
  <c r="X1544" i="44" s="1"/>
  <c r="X1545" i="44"/>
  <c r="X1546" i="44"/>
  <c r="AG1365" i="44"/>
  <c r="I1369" i="44"/>
  <c r="I1366" i="44"/>
  <c r="AG1366" i="44" s="1"/>
  <c r="I1367" i="44"/>
  <c r="AG1367" i="44" s="1"/>
  <c r="I1368" i="44"/>
  <c r="AG1368" i="44" s="1"/>
  <c r="AG1301" i="44"/>
  <c r="I1305" i="44"/>
  <c r="I1304" i="44"/>
  <c r="AG1304" i="44" s="1"/>
  <c r="I1303" i="44"/>
  <c r="AG1303" i="44" s="1"/>
  <c r="I1302" i="44"/>
  <c r="AG1302" i="44" s="1"/>
  <c r="T1434" i="44"/>
  <c r="AN1439" i="44"/>
  <c r="L1461" i="44"/>
  <c r="L1372" i="44"/>
  <c r="AJ1372" i="44" s="1"/>
  <c r="AJ1371" i="44"/>
  <c r="M1508" i="44"/>
  <c r="AK1507" i="44"/>
  <c r="H1578" i="44"/>
  <c r="AF1578" i="44" s="1"/>
  <c r="I1578" i="44"/>
  <c r="T1546" i="44"/>
  <c r="T1543" i="44"/>
  <c r="T1544" i="44" s="1"/>
  <c r="T1545" i="44"/>
  <c r="L1515" i="44"/>
  <c r="L1513" i="44"/>
  <c r="L1511" i="44"/>
  <c r="L1510" i="44"/>
  <c r="AJ1510" i="44" s="1"/>
  <c r="AJ1509" i="44"/>
  <c r="AK824" i="44" l="1"/>
  <c r="M825" i="44"/>
  <c r="AK754" i="44"/>
  <c r="M755" i="44"/>
  <c r="M720" i="44"/>
  <c r="AK719" i="44"/>
  <c r="M653" i="44"/>
  <c r="AK653" i="44" s="1"/>
  <c r="M651" i="44"/>
  <c r="AK651" i="44" s="1"/>
  <c r="M650" i="44"/>
  <c r="AK650" i="44" s="1"/>
  <c r="M652" i="44"/>
  <c r="AK652" i="44" s="1"/>
  <c r="AK649" i="44"/>
  <c r="AK789" i="44"/>
  <c r="M790" i="44"/>
  <c r="M860" i="44"/>
  <c r="AK859" i="44"/>
  <c r="M688" i="44"/>
  <c r="AK688" i="44" s="1"/>
  <c r="AK685" i="44"/>
  <c r="M689" i="44"/>
  <c r="AK689" i="44" s="1"/>
  <c r="M687" i="44"/>
  <c r="AK687" i="44" s="1"/>
  <c r="M686" i="44"/>
  <c r="AK686" i="44" s="1"/>
  <c r="D1681" i="44"/>
  <c r="X1677" i="44"/>
  <c r="X1679" i="44"/>
  <c r="D1682" i="44"/>
  <c r="D1713" i="44"/>
  <c r="D1680" i="44"/>
  <c r="D1678" i="44"/>
  <c r="D1679" i="44"/>
  <c r="AN1330" i="44"/>
  <c r="AR1329" i="44"/>
  <c r="AX368" i="44"/>
  <c r="BB368" i="44" s="1"/>
  <c r="P1582" i="44"/>
  <c r="P1581" i="44"/>
  <c r="P1579" i="44"/>
  <c r="P1580" i="44" s="1"/>
  <c r="M1578" i="44"/>
  <c r="L1578" i="44"/>
  <c r="E1299" i="44"/>
  <c r="AC1299" i="44" s="1"/>
  <c r="AC1298" i="44"/>
  <c r="AJ1612" i="44"/>
  <c r="AR1399" i="44"/>
  <c r="AN1400" i="44"/>
  <c r="AX376" i="44"/>
  <c r="BB376" i="44" s="1"/>
  <c r="D1544" i="44"/>
  <c r="AB1544" i="44" s="1"/>
  <c r="AB1543" i="44"/>
  <c r="L1476" i="44"/>
  <c r="AJ1476" i="44" s="1"/>
  <c r="AJ1475" i="44"/>
  <c r="E1301" i="44"/>
  <c r="AC1301" i="44" s="1"/>
  <c r="AC1300" i="44"/>
  <c r="AR1434" i="44"/>
  <c r="AX380" i="44"/>
  <c r="BB380" i="44" s="1"/>
  <c r="AN1435" i="44"/>
  <c r="AF1345" i="44"/>
  <c r="H1349" i="44"/>
  <c r="AF1349" i="44" s="1"/>
  <c r="H1348" i="44"/>
  <c r="AF1348" i="44" s="1"/>
  <c r="H1346" i="44"/>
  <c r="AF1346" i="44" s="1"/>
  <c r="H1347" i="44"/>
  <c r="AF1347" i="44" s="1"/>
  <c r="I1602" i="44"/>
  <c r="AG1602" i="44" s="1"/>
  <c r="I1579" i="44"/>
  <c r="E1614" i="44"/>
  <c r="AC1614" i="44" s="1"/>
  <c r="D1614" i="44"/>
  <c r="AB1614" i="44" s="1"/>
  <c r="AB1513" i="44"/>
  <c r="D1514" i="44"/>
  <c r="AB1514" i="44" s="1"/>
  <c r="D1515" i="44"/>
  <c r="AB1515" i="44" s="1"/>
  <c r="D1517" i="44"/>
  <c r="AB1517" i="44" s="1"/>
  <c r="D1516" i="44"/>
  <c r="AB1516" i="44" s="1"/>
  <c r="D1549" i="44"/>
  <c r="AB1545" i="44"/>
  <c r="D1546" i="44"/>
  <c r="AB1546" i="44" s="1"/>
  <c r="D1548" i="44"/>
  <c r="AB1548" i="44" s="1"/>
  <c r="D1547" i="44"/>
  <c r="AB1547" i="44" s="1"/>
  <c r="Q1614" i="44"/>
  <c r="P1614" i="44"/>
  <c r="H1645" i="44"/>
  <c r="AM1648" i="44"/>
  <c r="X1642" i="44"/>
  <c r="AQ1648" i="44"/>
  <c r="AK1437" i="44"/>
  <c r="M1438" i="44"/>
  <c r="AK1438" i="44" s="1"/>
  <c r="M1441" i="44"/>
  <c r="M1439" i="44"/>
  <c r="AK1439" i="44" s="1"/>
  <c r="M1440" i="44"/>
  <c r="AK1440" i="44" s="1"/>
  <c r="U1614" i="44"/>
  <c r="T1614" i="44"/>
  <c r="H1581" i="44"/>
  <c r="H1602" i="44"/>
  <c r="AF1602" i="44" s="1"/>
  <c r="H1579" i="44"/>
  <c r="AK1333" i="44"/>
  <c r="M1336" i="44"/>
  <c r="AK1336" i="44" s="1"/>
  <c r="M1334" i="44"/>
  <c r="AK1334" i="44" s="1"/>
  <c r="M1335" i="44"/>
  <c r="AK1335" i="44" s="1"/>
  <c r="M1337" i="44"/>
  <c r="AK1337" i="44" s="1"/>
  <c r="E1476" i="44"/>
  <c r="AC1473" i="44"/>
  <c r="E1474" i="44"/>
  <c r="AJ1513" i="44"/>
  <c r="L1517" i="44"/>
  <c r="AJ1517" i="44" s="1"/>
  <c r="L1514" i="44"/>
  <c r="AJ1514" i="44" s="1"/>
  <c r="M1509" i="44"/>
  <c r="AK1508" i="44"/>
  <c r="I1614" i="44"/>
  <c r="AG1614" i="44" s="1"/>
  <c r="H1614" i="44"/>
  <c r="AF1614" i="44" s="1"/>
  <c r="H1452" i="44"/>
  <c r="H1453" i="44"/>
  <c r="H1450" i="44"/>
  <c r="H1451" i="44"/>
  <c r="AK1365" i="44"/>
  <c r="M1368" i="44"/>
  <c r="AK1368" i="44" s="1"/>
  <c r="M1367" i="44"/>
  <c r="AK1367" i="44" s="1"/>
  <c r="M1369" i="44"/>
  <c r="M1366" i="44"/>
  <c r="AK1366" i="44" s="1"/>
  <c r="AF1545" i="44"/>
  <c r="H1547" i="44"/>
  <c r="AF1547" i="44" s="1"/>
  <c r="H1548" i="44"/>
  <c r="AF1548" i="44" s="1"/>
  <c r="H1549" i="44"/>
  <c r="H1546" i="44"/>
  <c r="AF1546" i="44" s="1"/>
  <c r="AE1648" i="44"/>
  <c r="H1642" i="44"/>
  <c r="T1643" i="44"/>
  <c r="S1648" i="44"/>
  <c r="T1644" i="44"/>
  <c r="AJ1477" i="44"/>
  <c r="L1478" i="44"/>
  <c r="AJ1478" i="44" s="1"/>
  <c r="L1481" i="44"/>
  <c r="AJ1481" i="44" s="1"/>
  <c r="E1544" i="44"/>
  <c r="AC1543" i="44"/>
  <c r="AF1612" i="44"/>
  <c r="H1610" i="44"/>
  <c r="AO1605" i="44" s="1"/>
  <c r="L1516" i="44"/>
  <c r="AJ1516" i="44" s="1"/>
  <c r="AJ1515" i="44"/>
  <c r="AB1409" i="44"/>
  <c r="AB1404" i="44"/>
  <c r="AB1407" i="44"/>
  <c r="AB1408" i="44"/>
  <c r="AB1410" i="44"/>
  <c r="AB1403" i="44"/>
  <c r="AB1405" i="44"/>
  <c r="AB1406" i="44"/>
  <c r="AC319" i="43"/>
  <c r="B318" i="43"/>
  <c r="F318" i="43" s="1"/>
  <c r="K1612" i="44"/>
  <c r="P1609" i="44"/>
  <c r="AR1364" i="44"/>
  <c r="AX372" i="44"/>
  <c r="BB372" i="44" s="1"/>
  <c r="AN1365" i="44"/>
  <c r="AK1542" i="44"/>
  <c r="M1554" i="44"/>
  <c r="AK1554" i="44" s="1"/>
  <c r="M1543" i="44"/>
  <c r="H1544" i="44"/>
  <c r="AF1544" i="44" s="1"/>
  <c r="AF1543" i="44"/>
  <c r="Q1579" i="44"/>
  <c r="Q1580" i="44" s="1"/>
  <c r="Q1581" i="44" s="1"/>
  <c r="Q1582" i="44"/>
  <c r="AG1473" i="44"/>
  <c r="I1476" i="44"/>
  <c r="AG1476" i="44" s="1"/>
  <c r="I1475" i="44"/>
  <c r="AG1475" i="44" s="1"/>
  <c r="I1474" i="44"/>
  <c r="AG1474" i="44" s="1"/>
  <c r="I1477" i="44"/>
  <c r="AJ1404" i="44"/>
  <c r="AJ1410" i="44"/>
  <c r="AJ1408" i="44"/>
  <c r="AJ1409" i="44"/>
  <c r="AJ1407" i="44"/>
  <c r="AJ1405" i="44"/>
  <c r="AJ1403" i="44"/>
  <c r="AJ1406" i="44"/>
  <c r="H1643" i="44"/>
  <c r="T1645" i="44"/>
  <c r="AA1648" i="44"/>
  <c r="O1648" i="44"/>
  <c r="T1646" i="44"/>
  <c r="L1545" i="44"/>
  <c r="L1554" i="44"/>
  <c r="AJ1554" i="44" s="1"/>
  <c r="AJ1542" i="44"/>
  <c r="L1543" i="44"/>
  <c r="AF1377" i="44"/>
  <c r="H1378" i="44"/>
  <c r="AF1378" i="44" s="1"/>
  <c r="H1379" i="44"/>
  <c r="AF1379" i="44" s="1"/>
  <c r="H1381" i="44"/>
  <c r="H1380" i="44"/>
  <c r="AF1380" i="44" s="1"/>
  <c r="L1480" i="44"/>
  <c r="AJ1480" i="44" s="1"/>
  <c r="AJ1479" i="44"/>
  <c r="H1641" i="44"/>
  <c r="T1641" i="44"/>
  <c r="AI1648" i="44"/>
  <c r="T1642" i="44"/>
  <c r="W1648" i="44"/>
  <c r="AB1612" i="44"/>
  <c r="H1517" i="44"/>
  <c r="H1515" i="44"/>
  <c r="AF1515" i="44" s="1"/>
  <c r="H1514" i="44"/>
  <c r="AF1514" i="44" s="1"/>
  <c r="AF1513" i="44"/>
  <c r="H1516" i="44"/>
  <c r="AF1516" i="44" s="1"/>
  <c r="E1441" i="44"/>
  <c r="AC1440" i="44"/>
  <c r="AG1305" i="44"/>
  <c r="I1309" i="44"/>
  <c r="I1306" i="44"/>
  <c r="AG1306" i="44" s="1"/>
  <c r="I1308" i="44"/>
  <c r="AG1308" i="44" s="1"/>
  <c r="I1307" i="44"/>
  <c r="AG1307" i="44" s="1"/>
  <c r="I1509" i="44"/>
  <c r="AG1508" i="44"/>
  <c r="T1579" i="44"/>
  <c r="T1580" i="44" s="1"/>
  <c r="T1581" i="44"/>
  <c r="T1582" i="44"/>
  <c r="AG1273" i="44"/>
  <c r="I1276" i="44"/>
  <c r="AG1276" i="44" s="1"/>
  <c r="I1275" i="44"/>
  <c r="AG1275" i="44" s="1"/>
  <c r="I1274" i="44"/>
  <c r="AG1274" i="44" s="1"/>
  <c r="I1277" i="44"/>
  <c r="AG1277" i="44" s="1"/>
  <c r="P1643" i="44"/>
  <c r="L1643" i="44"/>
  <c r="L1648" i="44"/>
  <c r="L1645" i="44"/>
  <c r="C1648" i="44" s="1"/>
  <c r="H1648" i="44"/>
  <c r="P1642" i="44"/>
  <c r="L1644" i="44"/>
  <c r="G1648" i="44" s="1"/>
  <c r="H1644" i="44"/>
  <c r="D1648" i="44"/>
  <c r="P1641" i="44"/>
  <c r="AC1333" i="44"/>
  <c r="E1336" i="44"/>
  <c r="E1334" i="44"/>
  <c r="I1450" i="44"/>
  <c r="AG1450" i="44" s="1"/>
  <c r="I1452" i="44"/>
  <c r="AG1452" i="44" s="1"/>
  <c r="I1453" i="44"/>
  <c r="AG1453" i="44" s="1"/>
  <c r="I1451" i="44"/>
  <c r="AG1451" i="44" s="1"/>
  <c r="X1400" i="44"/>
  <c r="AJ1400" i="44" s="1"/>
  <c r="AJ1399" i="44"/>
  <c r="L1512" i="44"/>
  <c r="AJ1512" i="44" s="1"/>
  <c r="AJ1511" i="44"/>
  <c r="P1400" i="44"/>
  <c r="AB1400" i="44" s="1"/>
  <c r="AB1399" i="44"/>
  <c r="M1473" i="44"/>
  <c r="AK1472" i="44"/>
  <c r="AN1475" i="44"/>
  <c r="L1497" i="44"/>
  <c r="AR1439" i="44"/>
  <c r="AN1470" i="44"/>
  <c r="Y1582" i="44"/>
  <c r="Y1579" i="44"/>
  <c r="Y1580" i="44" s="1"/>
  <c r="Y1581" i="44" s="1"/>
  <c r="X1579" i="44"/>
  <c r="X1580" i="44" s="1"/>
  <c r="X1581" i="44"/>
  <c r="X1582" i="44"/>
  <c r="E1369" i="44"/>
  <c r="AC1368" i="44"/>
  <c r="AX364" i="44"/>
  <c r="BB364" i="44" s="1"/>
  <c r="AR1294" i="44"/>
  <c r="E1439" i="44"/>
  <c r="AC1439" i="44" s="1"/>
  <c r="AC1438" i="44"/>
  <c r="E1590" i="44"/>
  <c r="AC1590" i="44" s="1"/>
  <c r="E1579" i="44"/>
  <c r="U1579" i="44"/>
  <c r="U1580" i="44" s="1"/>
  <c r="U1581" i="44" s="1"/>
  <c r="U1582" i="44"/>
  <c r="AG1369" i="44"/>
  <c r="I1372" i="44"/>
  <c r="AG1372" i="44" s="1"/>
  <c r="I1370" i="44"/>
  <c r="AG1370" i="44" s="1"/>
  <c r="I1373" i="44"/>
  <c r="I1371" i="44"/>
  <c r="AG1371" i="44" s="1"/>
  <c r="AG1337" i="44"/>
  <c r="I1338" i="44"/>
  <c r="AG1338" i="44" s="1"/>
  <c r="I1341" i="44"/>
  <c r="I1339" i="44"/>
  <c r="AG1339" i="44" s="1"/>
  <c r="I1340" i="44"/>
  <c r="AG1340" i="44" s="1"/>
  <c r="I1544" i="44"/>
  <c r="AG1543" i="44"/>
  <c r="E1509" i="44"/>
  <c r="AC1508" i="44"/>
  <c r="AF1434" i="44"/>
  <c r="T1438" i="44"/>
  <c r="AF1438" i="44" s="1"/>
  <c r="T1435" i="44"/>
  <c r="T1437" i="44"/>
  <c r="AF1437" i="44" s="1"/>
  <c r="I1413" i="44"/>
  <c r="I1412" i="44"/>
  <c r="AG1412" i="44" s="1"/>
  <c r="I1411" i="44"/>
  <c r="AG1411" i="44" s="1"/>
  <c r="AG1409" i="44"/>
  <c r="I1410" i="44"/>
  <c r="AG1410" i="44" s="1"/>
  <c r="Y1614" i="44"/>
  <c r="X1614" i="44"/>
  <c r="AF1417" i="44"/>
  <c r="H1418" i="44"/>
  <c r="AF1418" i="44" s="1"/>
  <c r="H1419" i="44"/>
  <c r="AF1419" i="44" s="1"/>
  <c r="H1420" i="44"/>
  <c r="AF1420" i="44" s="1"/>
  <c r="H1421" i="44"/>
  <c r="AF1421" i="44" s="1"/>
  <c r="H1485" i="44"/>
  <c r="AF1481" i="44"/>
  <c r="H1482" i="44"/>
  <c r="AF1482" i="44" s="1"/>
  <c r="H1483" i="44"/>
  <c r="AF1483" i="44" s="1"/>
  <c r="H1484" i="44"/>
  <c r="AF1484" i="44" s="1"/>
  <c r="E1367" i="44"/>
  <c r="AC1367" i="44" s="1"/>
  <c r="AC1366" i="44"/>
  <c r="AG1578" i="44"/>
  <c r="D1581" i="44"/>
  <c r="D1590" i="44"/>
  <c r="AB1590" i="44" s="1"/>
  <c r="D1579" i="44"/>
  <c r="M721" i="44" l="1"/>
  <c r="AK720" i="44"/>
  <c r="AK755" i="44"/>
  <c r="M756" i="44"/>
  <c r="M861" i="44"/>
  <c r="AK860" i="44"/>
  <c r="AK790" i="44"/>
  <c r="M791" i="44"/>
  <c r="M826" i="44"/>
  <c r="AK825" i="44"/>
  <c r="H1550" i="44"/>
  <c r="AF1550" i="44" s="1"/>
  <c r="H1553" i="44"/>
  <c r="H1552" i="44"/>
  <c r="AF1552" i="44" s="1"/>
  <c r="AF1549" i="44"/>
  <c r="H1551" i="44"/>
  <c r="AF1551" i="44" s="1"/>
  <c r="AN1366" i="44"/>
  <c r="AX373" i="44"/>
  <c r="BB373" i="44" s="1"/>
  <c r="AR1365" i="44"/>
  <c r="D1580" i="44"/>
  <c r="AB1580" i="44" s="1"/>
  <c r="AB1579" i="44"/>
  <c r="P1618" i="44"/>
  <c r="P1615" i="44"/>
  <c r="P1616" i="44" s="1"/>
  <c r="P1617" i="44"/>
  <c r="X1618" i="44"/>
  <c r="X1615" i="44"/>
  <c r="X1616" i="44" s="1"/>
  <c r="X1617" i="44"/>
  <c r="L1544" i="44"/>
  <c r="AJ1544" i="44" s="1"/>
  <c r="AJ1543" i="44"/>
  <c r="AG1341" i="44"/>
  <c r="I1344" i="44"/>
  <c r="AG1344" i="44" s="1"/>
  <c r="I1343" i="44"/>
  <c r="AG1343" i="44" s="1"/>
  <c r="I1342" i="44"/>
  <c r="AG1342" i="44" s="1"/>
  <c r="I1345" i="44"/>
  <c r="L1614" i="44"/>
  <c r="M1614" i="44"/>
  <c r="H1638" i="44"/>
  <c r="AF1638" i="44" s="1"/>
  <c r="H1617" i="44"/>
  <c r="H1615" i="44"/>
  <c r="AC1369" i="44"/>
  <c r="E1372" i="44"/>
  <c r="E1370" i="44"/>
  <c r="E1545" i="44"/>
  <c r="AC1544" i="44"/>
  <c r="I1615" i="44"/>
  <c r="I1638" i="44"/>
  <c r="AG1638" i="44" s="1"/>
  <c r="H1582" i="44"/>
  <c r="AF1582" i="44" s="1"/>
  <c r="H1584" i="44"/>
  <c r="AF1584" i="44" s="1"/>
  <c r="H1585" i="44"/>
  <c r="AF1581" i="44"/>
  <c r="H1583" i="44"/>
  <c r="AF1583" i="44" s="1"/>
  <c r="E1512" i="44"/>
  <c r="E1510" i="44"/>
  <c r="AC1509" i="44"/>
  <c r="Q1618" i="44"/>
  <c r="Q1615" i="44"/>
  <c r="Q1616" i="44" s="1"/>
  <c r="Q1617" i="44" s="1"/>
  <c r="E1442" i="44"/>
  <c r="E1444" i="44"/>
  <c r="AC1441" i="44"/>
  <c r="AC320" i="43"/>
  <c r="B319" i="43"/>
  <c r="F319" i="43" s="1"/>
  <c r="M1512" i="44"/>
  <c r="AK1512" i="44" s="1"/>
  <c r="M1511" i="44"/>
  <c r="AK1511" i="44" s="1"/>
  <c r="M1510" i="44"/>
  <c r="AK1510" i="44" s="1"/>
  <c r="M1513" i="44"/>
  <c r="AK1509" i="44"/>
  <c r="U1615" i="44"/>
  <c r="U1616" i="44" s="1"/>
  <c r="U1617" i="44" s="1"/>
  <c r="U1618" i="44"/>
  <c r="D1550" i="44"/>
  <c r="AB1550" i="44" s="1"/>
  <c r="D1551" i="44"/>
  <c r="AB1551" i="44" s="1"/>
  <c r="D1553" i="44"/>
  <c r="AB1553" i="44" s="1"/>
  <c r="AB1549" i="44"/>
  <c r="D1552" i="44"/>
  <c r="AB1552" i="44" s="1"/>
  <c r="D1684" i="44"/>
  <c r="P1678" i="44"/>
  <c r="P1679" i="44"/>
  <c r="P1677" i="44"/>
  <c r="L1680" i="44"/>
  <c r="G1684" i="44" s="1"/>
  <c r="H1684" i="44"/>
  <c r="L1679" i="44"/>
  <c r="L1681" i="44"/>
  <c r="C1684" i="44" s="1"/>
  <c r="H1680" i="44"/>
  <c r="L1684" i="44"/>
  <c r="D1583" i="44"/>
  <c r="AB1583" i="44" s="1"/>
  <c r="D1584" i="44"/>
  <c r="AB1584" i="44" s="1"/>
  <c r="D1582" i="44"/>
  <c r="AB1582" i="44" s="1"/>
  <c r="D1585" i="44"/>
  <c r="AB1581" i="44"/>
  <c r="I1455" i="44"/>
  <c r="AG1455" i="44" s="1"/>
  <c r="I1456" i="44"/>
  <c r="AG1456" i="44" s="1"/>
  <c r="I1457" i="44"/>
  <c r="AG1457" i="44" s="1"/>
  <c r="I1454" i="44"/>
  <c r="AG1454" i="44" s="1"/>
  <c r="AJ1545" i="44"/>
  <c r="L1549" i="44"/>
  <c r="L1551" i="44"/>
  <c r="L1546" i="44"/>
  <c r="AJ1546" i="44" s="1"/>
  <c r="L1547" i="44"/>
  <c r="AG1373" i="44"/>
  <c r="I1374" i="44"/>
  <c r="AG1374" i="44" s="1"/>
  <c r="I1377" i="44"/>
  <c r="I1376" i="44"/>
  <c r="AG1376" i="44" s="1"/>
  <c r="I1375" i="44"/>
  <c r="AG1375" i="44" s="1"/>
  <c r="H1519" i="44"/>
  <c r="AF1519" i="44" s="1"/>
  <c r="H1521" i="44"/>
  <c r="AF1517" i="44"/>
  <c r="H1520" i="44"/>
  <c r="AF1520" i="44" s="1"/>
  <c r="H1518" i="44"/>
  <c r="AF1518" i="44" s="1"/>
  <c r="Q1650" i="44"/>
  <c r="P1650" i="44"/>
  <c r="D1650" i="44"/>
  <c r="AB1650" i="44" s="1"/>
  <c r="E1650" i="44"/>
  <c r="AC1650" i="44" s="1"/>
  <c r="E1335" i="44"/>
  <c r="AC1335" i="44" s="1"/>
  <c r="AC1334" i="44"/>
  <c r="T1615" i="44"/>
  <c r="T1616" i="44" s="1"/>
  <c r="T1617" i="44"/>
  <c r="T1618" i="44"/>
  <c r="AB1648" i="44"/>
  <c r="D1626" i="44"/>
  <c r="AB1626" i="44" s="1"/>
  <c r="D1617" i="44"/>
  <c r="D1615" i="44"/>
  <c r="T1677" i="44"/>
  <c r="H1677" i="44"/>
  <c r="AI1684" i="44"/>
  <c r="T1678" i="44"/>
  <c r="W1684" i="44"/>
  <c r="AG1309" i="44"/>
  <c r="I1312" i="44"/>
  <c r="AG1312" i="44" s="1"/>
  <c r="I1310" i="44"/>
  <c r="AG1310" i="44" s="1"/>
  <c r="I1311" i="44"/>
  <c r="AG1311" i="44" s="1"/>
  <c r="I1313" i="44"/>
  <c r="AG1313" i="44" s="1"/>
  <c r="I1545" i="44"/>
  <c r="AG1544" i="44"/>
  <c r="AX381" i="44"/>
  <c r="BB381" i="44" s="1"/>
  <c r="AR1435" i="44"/>
  <c r="AN1436" i="44"/>
  <c r="I1416" i="44"/>
  <c r="AG1416" i="44" s="1"/>
  <c r="I1415" i="44"/>
  <c r="AG1415" i="44" s="1"/>
  <c r="I1417" i="44"/>
  <c r="I1414" i="44"/>
  <c r="AG1414" i="44" s="1"/>
  <c r="AG1413" i="44"/>
  <c r="AJ1648" i="44"/>
  <c r="T1650" i="44"/>
  <c r="U1650" i="44"/>
  <c r="H1456" i="44"/>
  <c r="AF1456" i="44" s="1"/>
  <c r="H1454" i="44"/>
  <c r="AF1454" i="44" s="1"/>
  <c r="H1457" i="44"/>
  <c r="AF1457" i="44" s="1"/>
  <c r="H1455" i="44"/>
  <c r="AF1455" i="44" s="1"/>
  <c r="AK1441" i="44"/>
  <c r="M1445" i="44"/>
  <c r="AK1445" i="44" s="1"/>
  <c r="M1444" i="44"/>
  <c r="AK1444" i="44" s="1"/>
  <c r="M1443" i="44"/>
  <c r="AK1443" i="44" s="1"/>
  <c r="M1442" i="44"/>
  <c r="AK1442" i="44" s="1"/>
  <c r="E1626" i="44"/>
  <c r="AC1626" i="44" s="1"/>
  <c r="E1615" i="44"/>
  <c r="D1749" i="44"/>
  <c r="D1714" i="44"/>
  <c r="D1715" i="44"/>
  <c r="D1716" i="44"/>
  <c r="D1717" i="44"/>
  <c r="D1718" i="44"/>
  <c r="X1713" i="44"/>
  <c r="X1715" i="44"/>
  <c r="AF1381" i="44"/>
  <c r="H1385" i="44"/>
  <c r="AF1385" i="44" s="1"/>
  <c r="H1384" i="44"/>
  <c r="AF1384" i="44" s="1"/>
  <c r="H1383" i="44"/>
  <c r="AF1383" i="44" s="1"/>
  <c r="H1382" i="44"/>
  <c r="AF1382" i="44" s="1"/>
  <c r="K1648" i="44"/>
  <c r="P1645" i="44"/>
  <c r="I1479" i="44"/>
  <c r="AG1479" i="44" s="1"/>
  <c r="AG1477" i="44"/>
  <c r="I1480" i="44"/>
  <c r="AG1480" i="44" s="1"/>
  <c r="I1478" i="44"/>
  <c r="AG1478" i="44" s="1"/>
  <c r="I1481" i="44"/>
  <c r="AX369" i="44"/>
  <c r="BB369" i="44" s="1"/>
  <c r="AR1330" i="44"/>
  <c r="AF1435" i="44"/>
  <c r="T1436" i="44"/>
  <c r="AF1436" i="44" s="1"/>
  <c r="E1475" i="44"/>
  <c r="AC1475" i="44" s="1"/>
  <c r="AC1474" i="44"/>
  <c r="I1580" i="44"/>
  <c r="AG1579" i="44"/>
  <c r="T1681" i="44"/>
  <c r="T1682" i="44"/>
  <c r="O1684" i="44"/>
  <c r="AA1684" i="44"/>
  <c r="H1679" i="44"/>
  <c r="AN1401" i="44"/>
  <c r="AR1400" i="44"/>
  <c r="AX377" i="44"/>
  <c r="BB377" i="44" s="1"/>
  <c r="M1579" i="44"/>
  <c r="M1590" i="44"/>
  <c r="AK1590" i="44" s="1"/>
  <c r="AK1578" i="44"/>
  <c r="H1580" i="44"/>
  <c r="AF1580" i="44" s="1"/>
  <c r="AF1579" i="44"/>
  <c r="Y1615" i="44"/>
  <c r="Y1616" i="44" s="1"/>
  <c r="Y1617" i="44" s="1"/>
  <c r="Y1618" i="44"/>
  <c r="E1337" i="44"/>
  <c r="AC1337" i="44" s="1"/>
  <c r="AC1336" i="44"/>
  <c r="X1650" i="44"/>
  <c r="Y1650" i="44"/>
  <c r="H1646" i="44"/>
  <c r="AO1641" i="44" s="1"/>
  <c r="L1533" i="44"/>
  <c r="AN1511" i="44"/>
  <c r="M1544" i="44"/>
  <c r="AK1543" i="44"/>
  <c r="AF1648" i="44"/>
  <c r="E1477" i="44"/>
  <c r="AC1476" i="44"/>
  <c r="X1678" i="44"/>
  <c r="AM1684" i="44"/>
  <c r="AQ1684" i="44"/>
  <c r="H1681" i="44"/>
  <c r="L1590" i="44"/>
  <c r="AJ1590" i="44" s="1"/>
  <c r="L1581" i="44"/>
  <c r="L1579" i="44"/>
  <c r="AJ1578" i="44"/>
  <c r="AK1473" i="44"/>
  <c r="M1474" i="44"/>
  <c r="AK1474" i="44" s="1"/>
  <c r="M1477" i="44"/>
  <c r="M1475" i="44"/>
  <c r="AK1475" i="44" s="1"/>
  <c r="M1476" i="44"/>
  <c r="AK1476" i="44" s="1"/>
  <c r="AK1369" i="44"/>
  <c r="M1373" i="44"/>
  <c r="AK1373" i="44" s="1"/>
  <c r="M1371" i="44"/>
  <c r="AK1371" i="44" s="1"/>
  <c r="M1372" i="44"/>
  <c r="AK1372" i="44" s="1"/>
  <c r="M1370" i="44"/>
  <c r="AK1370" i="44" s="1"/>
  <c r="H1489" i="44"/>
  <c r="H1488" i="44"/>
  <c r="AF1488" i="44" s="1"/>
  <c r="H1487" i="44"/>
  <c r="AF1487" i="44" s="1"/>
  <c r="H1486" i="44"/>
  <c r="AF1486" i="44" s="1"/>
  <c r="AF1485" i="44"/>
  <c r="AN1471" i="44"/>
  <c r="AX385" i="44"/>
  <c r="BB385" i="44" s="1"/>
  <c r="AR1470" i="44"/>
  <c r="AF1445" i="44"/>
  <c r="AF1449" i="44"/>
  <c r="AF1444" i="44"/>
  <c r="AF1452" i="44"/>
  <c r="AF1453" i="44"/>
  <c r="AF1440" i="44"/>
  <c r="AF1450" i="44"/>
  <c r="AF1458" i="44"/>
  <c r="AF1442" i="44"/>
  <c r="AF1448" i="44"/>
  <c r="AF1443" i="44"/>
  <c r="AF1441" i="44"/>
  <c r="AF1451" i="44"/>
  <c r="AF1439" i="44"/>
  <c r="AF1446" i="44"/>
  <c r="AF1447" i="44"/>
  <c r="I1650" i="44"/>
  <c r="H1650" i="44"/>
  <c r="I1510" i="44"/>
  <c r="AG1510" i="44" s="1"/>
  <c r="I1511" i="44"/>
  <c r="AG1511" i="44" s="1"/>
  <c r="I1512" i="44"/>
  <c r="AG1512" i="44" s="1"/>
  <c r="I1513" i="44"/>
  <c r="AG1509" i="44"/>
  <c r="E1580" i="44"/>
  <c r="AC1579" i="44"/>
  <c r="AN1506" i="44"/>
  <c r="AR1475" i="44"/>
  <c r="S1684" i="44"/>
  <c r="T1680" i="44"/>
  <c r="AE1684" i="44"/>
  <c r="T1679" i="44"/>
  <c r="H1678" i="44"/>
  <c r="M792" i="44" l="1"/>
  <c r="AK791" i="44"/>
  <c r="AK826" i="44"/>
  <c r="M827" i="44"/>
  <c r="AK861" i="44"/>
  <c r="M862" i="44"/>
  <c r="M757" i="44"/>
  <c r="AK756" i="44"/>
  <c r="AK721" i="44"/>
  <c r="M725" i="44"/>
  <c r="AK725" i="44" s="1"/>
  <c r="M723" i="44"/>
  <c r="AK723" i="44" s="1"/>
  <c r="M722" i="44"/>
  <c r="AK722" i="44" s="1"/>
  <c r="M724" i="44"/>
  <c r="AK724" i="44" s="1"/>
  <c r="AB1684" i="44"/>
  <c r="H1682" i="44"/>
  <c r="AO1677" i="44" s="1"/>
  <c r="AQ1720" i="44"/>
  <c r="H1717" i="44"/>
  <c r="AM1720" i="44"/>
  <c r="X1714" i="44"/>
  <c r="B320" i="43"/>
  <c r="F320" i="43" s="1"/>
  <c r="AC321" i="43"/>
  <c r="M1545" i="44"/>
  <c r="AK1544" i="44"/>
  <c r="W1720" i="44"/>
  <c r="H1713" i="44"/>
  <c r="T1713" i="44"/>
  <c r="AI1720" i="44"/>
  <c r="T1714" i="44"/>
  <c r="L1720" i="44"/>
  <c r="H1716" i="44"/>
  <c r="P1713" i="44"/>
  <c r="L1715" i="44"/>
  <c r="P1715" i="44"/>
  <c r="P1714" i="44"/>
  <c r="D1720" i="44"/>
  <c r="H1720" i="44"/>
  <c r="L1716" i="44"/>
  <c r="G1720" i="44" s="1"/>
  <c r="L1717" i="44"/>
  <c r="C1720" i="44" s="1"/>
  <c r="AX382" i="44"/>
  <c r="BB382" i="44" s="1"/>
  <c r="AR1436" i="44"/>
  <c r="AN1437" i="44"/>
  <c r="D1619" i="44"/>
  <c r="AB1619" i="44" s="1"/>
  <c r="D1620" i="44"/>
  <c r="AB1620" i="44" s="1"/>
  <c r="AB1617" i="44"/>
  <c r="D1618" i="44"/>
  <c r="AB1618" i="44" s="1"/>
  <c r="D1621" i="44"/>
  <c r="H1525" i="44"/>
  <c r="H1522" i="44"/>
  <c r="AF1522" i="44" s="1"/>
  <c r="H1523" i="44"/>
  <c r="AF1523" i="44" s="1"/>
  <c r="AF1521" i="44"/>
  <c r="H1524" i="44"/>
  <c r="AF1524" i="44" s="1"/>
  <c r="Y1654" i="44"/>
  <c r="Y1651" i="44"/>
  <c r="Y1652" i="44" s="1"/>
  <c r="Y1653" i="44" s="1"/>
  <c r="D1752" i="44"/>
  <c r="D1754" i="44"/>
  <c r="D1785" i="44"/>
  <c r="D1753" i="44"/>
  <c r="X1751" i="44"/>
  <c r="X1749" i="44"/>
  <c r="D1750" i="44"/>
  <c r="D1751" i="44"/>
  <c r="D1587" i="44"/>
  <c r="AB1587" i="44" s="1"/>
  <c r="AB1585" i="44"/>
  <c r="D1589" i="44"/>
  <c r="AB1589" i="44" s="1"/>
  <c r="D1588" i="44"/>
  <c r="AB1588" i="44" s="1"/>
  <c r="D1586" i="44"/>
  <c r="AB1586" i="44" s="1"/>
  <c r="H1616" i="44"/>
  <c r="AF1616" i="44" s="1"/>
  <c r="AF1615" i="44"/>
  <c r="U1651" i="44"/>
  <c r="U1652" i="44" s="1"/>
  <c r="U1653" i="44" s="1"/>
  <c r="U1654" i="44"/>
  <c r="E1373" i="44"/>
  <c r="AC1373" i="44" s="1"/>
  <c r="AC1372" i="44"/>
  <c r="AR1471" i="44"/>
  <c r="AX386" i="44"/>
  <c r="BB386" i="44" s="1"/>
  <c r="AN1472" i="44"/>
  <c r="E1616" i="44"/>
  <c r="AC1615" i="44"/>
  <c r="P1686" i="44"/>
  <c r="Q1686" i="44"/>
  <c r="E1511" i="44"/>
  <c r="AC1511" i="44" s="1"/>
  <c r="AC1510" i="44"/>
  <c r="L1626" i="44"/>
  <c r="AJ1626" i="44" s="1"/>
  <c r="L1617" i="44"/>
  <c r="L1615" i="44"/>
  <c r="AJ1614" i="44"/>
  <c r="I1674" i="44"/>
  <c r="AG1674" i="44" s="1"/>
  <c r="I1651" i="44"/>
  <c r="P1654" i="44"/>
  <c r="P1653" i="44"/>
  <c r="P1651" i="44"/>
  <c r="P1652" i="44" s="1"/>
  <c r="AA1720" i="44"/>
  <c r="O1720" i="44"/>
  <c r="T1718" i="44"/>
  <c r="T1717" i="44"/>
  <c r="H1715" i="44"/>
  <c r="AX378" i="44"/>
  <c r="BB378" i="44" s="1"/>
  <c r="AR1401" i="44"/>
  <c r="AN1402" i="44"/>
  <c r="AJ1581" i="44"/>
  <c r="L1585" i="44"/>
  <c r="L1582" i="44"/>
  <c r="AJ1582" i="44" s="1"/>
  <c r="L1583" i="44"/>
  <c r="L1587" i="44"/>
  <c r="L1650" i="44"/>
  <c r="M1650" i="44"/>
  <c r="I1546" i="44"/>
  <c r="AG1546" i="44" s="1"/>
  <c r="AG1545" i="44"/>
  <c r="I1549" i="44"/>
  <c r="I1547" i="44"/>
  <c r="AG1547" i="44" s="1"/>
  <c r="I1548" i="44"/>
  <c r="AG1548" i="44" s="1"/>
  <c r="AG1377" i="44"/>
  <c r="I1381" i="44"/>
  <c r="I1380" i="44"/>
  <c r="AG1380" i="44" s="1"/>
  <c r="I1379" i="44"/>
  <c r="AG1379" i="44" s="1"/>
  <c r="I1378" i="44"/>
  <c r="AG1378" i="44" s="1"/>
  <c r="E1513" i="44"/>
  <c r="AC1512" i="44"/>
  <c r="AG1345" i="44"/>
  <c r="I1349" i="44"/>
  <c r="AG1349" i="44" s="1"/>
  <c r="I1346" i="44"/>
  <c r="AG1346" i="44" s="1"/>
  <c r="I1348" i="44"/>
  <c r="AG1348" i="44" s="1"/>
  <c r="I1347" i="44"/>
  <c r="AG1347" i="44" s="1"/>
  <c r="AX374" i="44"/>
  <c r="BB374" i="44" s="1"/>
  <c r="AR1366" i="44"/>
  <c r="E1581" i="44"/>
  <c r="AC1580" i="44"/>
  <c r="I1484" i="44"/>
  <c r="AG1484" i="44" s="1"/>
  <c r="I1483" i="44"/>
  <c r="AG1483" i="44" s="1"/>
  <c r="AG1481" i="44"/>
  <c r="I1485" i="44"/>
  <c r="I1482" i="44"/>
  <c r="AG1482" i="44" s="1"/>
  <c r="H1620" i="44"/>
  <c r="AF1620" i="44" s="1"/>
  <c r="AF1617" i="44"/>
  <c r="H1619" i="44"/>
  <c r="AF1619" i="44" s="1"/>
  <c r="H1621" i="44"/>
  <c r="H1618" i="44"/>
  <c r="AF1618" i="44" s="1"/>
  <c r="M1580" i="44"/>
  <c r="AK1579" i="44"/>
  <c r="I1581" i="44"/>
  <c r="AG1580" i="44"/>
  <c r="L1548" i="44"/>
  <c r="AJ1548" i="44" s="1"/>
  <c r="AJ1547" i="44"/>
  <c r="E1686" i="44"/>
  <c r="D1686" i="44"/>
  <c r="M1517" i="44"/>
  <c r="AK1517" i="44" s="1"/>
  <c r="M1516" i="44"/>
  <c r="AK1516" i="44" s="1"/>
  <c r="M1515" i="44"/>
  <c r="AK1515" i="44" s="1"/>
  <c r="M1514" i="44"/>
  <c r="AK1514" i="44" s="1"/>
  <c r="AK1513" i="44"/>
  <c r="H1588" i="44"/>
  <c r="AF1588" i="44" s="1"/>
  <c r="H1587" i="44"/>
  <c r="AF1587" i="44" s="1"/>
  <c r="H1586" i="44"/>
  <c r="AF1586" i="44" s="1"/>
  <c r="AF1585" i="44"/>
  <c r="H1589" i="44"/>
  <c r="I1616" i="44"/>
  <c r="AG1615" i="44"/>
  <c r="Q1651" i="44"/>
  <c r="Q1652" i="44" s="1"/>
  <c r="Q1653" i="44" s="1"/>
  <c r="Q1654" i="44"/>
  <c r="I1418" i="44"/>
  <c r="AG1418" i="44" s="1"/>
  <c r="I1420" i="44"/>
  <c r="AG1420" i="44" s="1"/>
  <c r="AG1417" i="44"/>
  <c r="I1419" i="44"/>
  <c r="AG1419" i="44" s="1"/>
  <c r="I1421" i="44"/>
  <c r="AG1421" i="44" s="1"/>
  <c r="E1548" i="44"/>
  <c r="E1546" i="44"/>
  <c r="AC1545" i="44"/>
  <c r="T1651" i="44"/>
  <c r="T1652" i="44" s="1"/>
  <c r="T1653" i="44"/>
  <c r="T1654" i="44"/>
  <c r="E1445" i="44"/>
  <c r="AC1445" i="44" s="1"/>
  <c r="AC1444" i="44"/>
  <c r="M1626" i="44"/>
  <c r="AK1626" i="44" s="1"/>
  <c r="M1615" i="44"/>
  <c r="AK1614" i="44"/>
  <c r="P1681" i="44"/>
  <c r="K1684" i="44"/>
  <c r="E1478" i="44"/>
  <c r="AC1477" i="44"/>
  <c r="E1480" i="44"/>
  <c r="AJ1684" i="44"/>
  <c r="I1515" i="44"/>
  <c r="AG1515" i="44" s="1"/>
  <c r="I1514" i="44"/>
  <c r="AG1514" i="44" s="1"/>
  <c r="I1516" i="44"/>
  <c r="AG1516" i="44" s="1"/>
  <c r="I1517" i="44"/>
  <c r="AG1513" i="44"/>
  <c r="AN1547" i="44"/>
  <c r="L1569" i="44"/>
  <c r="D1616" i="44"/>
  <c r="AB1616" i="44" s="1"/>
  <c r="AB1615" i="44"/>
  <c r="E1443" i="44"/>
  <c r="AC1443" i="44" s="1"/>
  <c r="AC1442" i="44"/>
  <c r="H1492" i="44"/>
  <c r="AF1492" i="44" s="1"/>
  <c r="AF1489" i="44"/>
  <c r="H1493" i="44"/>
  <c r="AF1493" i="44" s="1"/>
  <c r="H1491" i="44"/>
  <c r="AF1491" i="44" s="1"/>
  <c r="H1490" i="44"/>
  <c r="AF1490" i="44" s="1"/>
  <c r="AG1650" i="44"/>
  <c r="E1651" i="44"/>
  <c r="E1662" i="44"/>
  <c r="AC1662" i="44" s="1"/>
  <c r="L1552" i="44"/>
  <c r="AJ1552" i="44" s="1"/>
  <c r="AJ1551" i="44"/>
  <c r="AF1684" i="44"/>
  <c r="H1557" i="44"/>
  <c r="AF1553" i="44"/>
  <c r="H1554" i="44"/>
  <c r="AF1554" i="44" s="1"/>
  <c r="H1555" i="44"/>
  <c r="AF1555" i="44" s="1"/>
  <c r="H1556" i="44"/>
  <c r="AF1556" i="44" s="1"/>
  <c r="S1720" i="44"/>
  <c r="T1715" i="44"/>
  <c r="T1716" i="44"/>
  <c r="AE1720" i="44"/>
  <c r="H1714" i="44"/>
  <c r="AN1542" i="44"/>
  <c r="AR1511" i="44"/>
  <c r="E1371" i="44"/>
  <c r="AC1371" i="44" s="1"/>
  <c r="AC1370" i="44"/>
  <c r="AK1477" i="44"/>
  <c r="M1481" i="44"/>
  <c r="AK1481" i="44" s="1"/>
  <c r="M1480" i="44"/>
  <c r="AK1480" i="44" s="1"/>
  <c r="M1479" i="44"/>
  <c r="AK1479" i="44" s="1"/>
  <c r="M1478" i="44"/>
  <c r="AK1478" i="44" s="1"/>
  <c r="X1654" i="44"/>
  <c r="X1651" i="44"/>
  <c r="X1652" i="44" s="1"/>
  <c r="X1653" i="44"/>
  <c r="L1580" i="44"/>
  <c r="AJ1580" i="44" s="1"/>
  <c r="AJ1579" i="44"/>
  <c r="U1686" i="44"/>
  <c r="T1686" i="44"/>
  <c r="AN1507" i="44"/>
  <c r="AR1506" i="44"/>
  <c r="AX390" i="44"/>
  <c r="BB390" i="44" s="1"/>
  <c r="H1674" i="44"/>
  <c r="AF1674" i="44" s="1"/>
  <c r="H1653" i="44"/>
  <c r="H1651" i="44"/>
  <c r="AF1650" i="44"/>
  <c r="X1686" i="44"/>
  <c r="Y1686" i="44"/>
  <c r="D1662" i="44"/>
  <c r="AB1662" i="44" s="1"/>
  <c r="D1653" i="44"/>
  <c r="D1651" i="44"/>
  <c r="AJ1549" i="44"/>
  <c r="L1550" i="44"/>
  <c r="AJ1550" i="44" s="1"/>
  <c r="L1553" i="44"/>
  <c r="AJ1553" i="44" s="1"/>
  <c r="I1686" i="44"/>
  <c r="AG1686" i="44" s="1"/>
  <c r="H1686" i="44"/>
  <c r="AK862" i="44" l="1"/>
  <c r="M863" i="44"/>
  <c r="M828" i="44"/>
  <c r="AK827" i="44"/>
  <c r="M761" i="44"/>
  <c r="AK761" i="44" s="1"/>
  <c r="M760" i="44"/>
  <c r="AK760" i="44" s="1"/>
  <c r="M759" i="44"/>
  <c r="AK759" i="44" s="1"/>
  <c r="AK757" i="44"/>
  <c r="M758" i="44"/>
  <c r="AK758" i="44" s="1"/>
  <c r="AK792" i="44"/>
  <c r="M793" i="44"/>
  <c r="Q1722" i="44"/>
  <c r="P1722" i="44"/>
  <c r="AG1381" i="44"/>
  <c r="I1383" i="44"/>
  <c r="AG1383" i="44" s="1"/>
  <c r="I1384" i="44"/>
  <c r="AG1384" i="44" s="1"/>
  <c r="I1385" i="44"/>
  <c r="AG1385" i="44" s="1"/>
  <c r="I1382" i="44"/>
  <c r="AG1382" i="44" s="1"/>
  <c r="AR1472" i="44"/>
  <c r="AN1473" i="44"/>
  <c r="AX387" i="44"/>
  <c r="BB387" i="44" s="1"/>
  <c r="I1519" i="44"/>
  <c r="AG1519" i="44" s="1"/>
  <c r="I1518" i="44"/>
  <c r="AG1518" i="44" s="1"/>
  <c r="I1520" i="44"/>
  <c r="AG1520" i="44" s="1"/>
  <c r="AG1517" i="44"/>
  <c r="I1521" i="44"/>
  <c r="E1481" i="44"/>
  <c r="AC1481" i="44" s="1"/>
  <c r="AC1480" i="44"/>
  <c r="E1698" i="44"/>
  <c r="AC1698" i="44" s="1"/>
  <c r="E1687" i="44"/>
  <c r="S1756" i="44"/>
  <c r="AE1756" i="44"/>
  <c r="H1750" i="44"/>
  <c r="T1752" i="44"/>
  <c r="T1751" i="44"/>
  <c r="AN1438" i="44"/>
  <c r="AX383" i="44"/>
  <c r="BB383" i="44" s="1"/>
  <c r="AR1437" i="44"/>
  <c r="H1718" i="44"/>
  <c r="AO1713" i="44" s="1"/>
  <c r="D1756" i="44"/>
  <c r="P1749" i="44"/>
  <c r="H1756" i="44"/>
  <c r="H1752" i="44"/>
  <c r="P1750" i="44"/>
  <c r="L1752" i="44"/>
  <c r="G1756" i="44" s="1"/>
  <c r="P1751" i="44"/>
  <c r="L1753" i="44"/>
  <c r="C1756" i="44" s="1"/>
  <c r="L1751" i="44"/>
  <c r="L1756" i="44"/>
  <c r="E1617" i="44"/>
  <c r="AC1616" i="44"/>
  <c r="AN1578" i="44"/>
  <c r="AR1547" i="44"/>
  <c r="H1657" i="44"/>
  <c r="H1654" i="44"/>
  <c r="AF1654" i="44" s="1"/>
  <c r="H1655" i="44"/>
  <c r="AF1655" i="44" s="1"/>
  <c r="AF1653" i="44"/>
  <c r="H1656" i="44"/>
  <c r="AF1656" i="44" s="1"/>
  <c r="AA1756" i="44"/>
  <c r="H1751" i="44"/>
  <c r="T1754" i="44"/>
  <c r="O1756" i="44"/>
  <c r="T1753" i="44"/>
  <c r="P1687" i="44"/>
  <c r="P1688" i="44" s="1"/>
  <c r="P1690" i="44"/>
  <c r="P1689" i="44"/>
  <c r="AJ1720" i="44"/>
  <c r="D1698" i="44"/>
  <c r="AB1698" i="44" s="1"/>
  <c r="D1689" i="44"/>
  <c r="D1687" i="44"/>
  <c r="H1687" i="44"/>
  <c r="H1710" i="44"/>
  <c r="AF1710" i="44" s="1"/>
  <c r="H1689" i="44"/>
  <c r="AC1581" i="44"/>
  <c r="E1582" i="44"/>
  <c r="E1584" i="44"/>
  <c r="I1553" i="44"/>
  <c r="I1551" i="44"/>
  <c r="AG1551" i="44" s="1"/>
  <c r="I1550" i="44"/>
  <c r="AG1550" i="44" s="1"/>
  <c r="AG1549" i="44"/>
  <c r="I1552" i="44"/>
  <c r="AG1552" i="44" s="1"/>
  <c r="AR1507" i="44"/>
  <c r="AX391" i="44"/>
  <c r="BB391" i="44" s="1"/>
  <c r="AN1508" i="44"/>
  <c r="AX395" i="44"/>
  <c r="BB395" i="44" s="1"/>
  <c r="AR1542" i="44"/>
  <c r="AN1543" i="44"/>
  <c r="M1686" i="44"/>
  <c r="L1686" i="44"/>
  <c r="AI1756" i="44"/>
  <c r="W1756" i="44"/>
  <c r="T1749" i="44"/>
  <c r="T1750" i="44"/>
  <c r="H1749" i="44"/>
  <c r="E1722" i="44"/>
  <c r="D1722" i="44"/>
  <c r="AK1545" i="44"/>
  <c r="M1547" i="44"/>
  <c r="AK1547" i="44" s="1"/>
  <c r="M1548" i="44"/>
  <c r="AK1548" i="44" s="1"/>
  <c r="M1546" i="44"/>
  <c r="AK1546" i="44" s="1"/>
  <c r="M1549" i="44"/>
  <c r="H1558" i="44"/>
  <c r="AF1558" i="44" s="1"/>
  <c r="H1559" i="44"/>
  <c r="AF1559" i="44" s="1"/>
  <c r="H1560" i="44"/>
  <c r="AF1560" i="44" s="1"/>
  <c r="AF1557" i="44"/>
  <c r="H1561" i="44"/>
  <c r="M1651" i="44"/>
  <c r="M1662" i="44"/>
  <c r="AK1662" i="44" s="1"/>
  <c r="AK1650" i="44"/>
  <c r="I1582" i="44"/>
  <c r="AG1582" i="44" s="1"/>
  <c r="I1584" i="44"/>
  <c r="AG1584" i="44" s="1"/>
  <c r="AG1581" i="44"/>
  <c r="I1583" i="44"/>
  <c r="AG1583" i="44" s="1"/>
  <c r="I1585" i="44"/>
  <c r="AF1686" i="44"/>
  <c r="L1662" i="44"/>
  <c r="AJ1662" i="44" s="1"/>
  <c r="L1653" i="44"/>
  <c r="L1651" i="44"/>
  <c r="AJ1650" i="44"/>
  <c r="I1722" i="44"/>
  <c r="AG1722" i="44" s="1"/>
  <c r="H1722" i="44"/>
  <c r="AF1722" i="44" s="1"/>
  <c r="AC322" i="43"/>
  <c r="B321" i="43"/>
  <c r="F321" i="43" s="1"/>
  <c r="H1527" i="44"/>
  <c r="AF1527" i="44" s="1"/>
  <c r="H1528" i="44"/>
  <c r="AF1528" i="44" s="1"/>
  <c r="H1526" i="44"/>
  <c r="AF1526" i="44" s="1"/>
  <c r="H1529" i="44"/>
  <c r="AF1529" i="44" s="1"/>
  <c r="AF1525" i="44"/>
  <c r="E1547" i="44"/>
  <c r="AC1547" i="44" s="1"/>
  <c r="AC1546" i="44"/>
  <c r="U1687" i="44"/>
  <c r="U1688" i="44" s="1"/>
  <c r="U1689" i="44" s="1"/>
  <c r="U1690" i="44"/>
  <c r="L1588" i="44"/>
  <c r="AJ1588" i="44" s="1"/>
  <c r="AJ1587" i="44"/>
  <c r="AB1686" i="44"/>
  <c r="L1616" i="44"/>
  <c r="AJ1616" i="44" s="1"/>
  <c r="AJ1615" i="44"/>
  <c r="AF1720" i="44"/>
  <c r="X1689" i="44"/>
  <c r="X1690" i="44"/>
  <c r="X1687" i="44"/>
  <c r="X1688" i="44" s="1"/>
  <c r="Q1690" i="44"/>
  <c r="Q1687" i="44"/>
  <c r="Q1688" i="44" s="1"/>
  <c r="Q1689" i="44" s="1"/>
  <c r="I1486" i="44"/>
  <c r="AG1486" i="44" s="1"/>
  <c r="I1489" i="44"/>
  <c r="I1488" i="44"/>
  <c r="AG1488" i="44" s="1"/>
  <c r="I1487" i="44"/>
  <c r="AG1487" i="44" s="1"/>
  <c r="AG1485" i="44"/>
  <c r="Y1722" i="44"/>
  <c r="X1722" i="44"/>
  <c r="I1710" i="44"/>
  <c r="AG1710" i="44" s="1"/>
  <c r="I1687" i="44"/>
  <c r="L1584" i="44"/>
  <c r="AJ1584" i="44" s="1"/>
  <c r="AJ1583" i="44"/>
  <c r="AC1686" i="44"/>
  <c r="AJ1617" i="44"/>
  <c r="L1621" i="44"/>
  <c r="L1618" i="44"/>
  <c r="AJ1618" i="44" s="1"/>
  <c r="L1619" i="44"/>
  <c r="L1623" i="44"/>
  <c r="D1625" i="44"/>
  <c r="AB1625" i="44" s="1"/>
  <c r="D1623" i="44"/>
  <c r="AB1623" i="44" s="1"/>
  <c r="AB1621" i="44"/>
  <c r="D1624" i="44"/>
  <c r="AB1624" i="44" s="1"/>
  <c r="D1622" i="44"/>
  <c r="AB1622" i="44" s="1"/>
  <c r="AB1720" i="44"/>
  <c r="E1549" i="44"/>
  <c r="AC1548" i="44"/>
  <c r="E1652" i="44"/>
  <c r="AC1651" i="44"/>
  <c r="H1625" i="44"/>
  <c r="H1624" i="44"/>
  <c r="AF1624" i="44" s="1"/>
  <c r="AF1621" i="44"/>
  <c r="H1622" i="44"/>
  <c r="AF1622" i="44" s="1"/>
  <c r="H1623" i="44"/>
  <c r="AF1623" i="44" s="1"/>
  <c r="AR1402" i="44"/>
  <c r="AX379" i="44"/>
  <c r="BB379" i="44" s="1"/>
  <c r="L1605" i="44"/>
  <c r="AN1583" i="44"/>
  <c r="X1750" i="44"/>
  <c r="AQ1756" i="44"/>
  <c r="H1753" i="44"/>
  <c r="AM1756" i="44"/>
  <c r="D1790" i="44"/>
  <c r="X1787" i="44"/>
  <c r="D1789" i="44"/>
  <c r="X1785" i="44"/>
  <c r="D1821" i="44"/>
  <c r="D1788" i="44"/>
  <c r="D1787" i="44"/>
  <c r="D1786" i="44"/>
  <c r="E1479" i="44"/>
  <c r="AC1479" i="44" s="1"/>
  <c r="AC1478" i="44"/>
  <c r="I1652" i="44"/>
  <c r="AG1651" i="44"/>
  <c r="D1652" i="44"/>
  <c r="AB1652" i="44" s="1"/>
  <c r="AB1651" i="44"/>
  <c r="M1616" i="44"/>
  <c r="AK1615" i="44"/>
  <c r="M1581" i="44"/>
  <c r="AK1580" i="44"/>
  <c r="U1722" i="44"/>
  <c r="T1722" i="44"/>
  <c r="I1617" i="44"/>
  <c r="AG1616" i="44"/>
  <c r="AJ1585" i="44"/>
  <c r="L1586" i="44"/>
  <c r="AJ1586" i="44" s="1"/>
  <c r="L1589" i="44"/>
  <c r="AJ1589" i="44" s="1"/>
  <c r="AC1513" i="44"/>
  <c r="E1516" i="44"/>
  <c r="E1514" i="44"/>
  <c r="H1652" i="44"/>
  <c r="AF1652" i="44" s="1"/>
  <c r="AF1651" i="44"/>
  <c r="T1689" i="44"/>
  <c r="T1687" i="44"/>
  <c r="T1688" i="44" s="1"/>
  <c r="T1690" i="44"/>
  <c r="D1657" i="44"/>
  <c r="D1654" i="44"/>
  <c r="AB1654" i="44" s="1"/>
  <c r="AB1653" i="44"/>
  <c r="D1655" i="44"/>
  <c r="AB1655" i="44" s="1"/>
  <c r="D1656" i="44"/>
  <c r="AB1656" i="44" s="1"/>
  <c r="Y1690" i="44"/>
  <c r="Y1687" i="44"/>
  <c r="Y1688" i="44" s="1"/>
  <c r="Y1689" i="44" s="1"/>
  <c r="H1592" i="44"/>
  <c r="AF1592" i="44" s="1"/>
  <c r="H1593" i="44"/>
  <c r="H1591" i="44"/>
  <c r="AF1591" i="44" s="1"/>
  <c r="AF1589" i="44"/>
  <c r="H1590" i="44"/>
  <c r="AF1590" i="44" s="1"/>
  <c r="P1717" i="44"/>
  <c r="K1720" i="44"/>
  <c r="M795" i="44" l="1"/>
  <c r="AK795" i="44" s="1"/>
  <c r="AK793" i="44"/>
  <c r="M794" i="44"/>
  <c r="AK794" i="44" s="1"/>
  <c r="M797" i="44"/>
  <c r="AK797" i="44" s="1"/>
  <c r="M796" i="44"/>
  <c r="AK796" i="44" s="1"/>
  <c r="AK828" i="44"/>
  <c r="M829" i="44"/>
  <c r="AK863" i="44"/>
  <c r="M864" i="44"/>
  <c r="AF1756" i="44"/>
  <c r="L1641" i="44"/>
  <c r="AN1619" i="44"/>
  <c r="AC323" i="43"/>
  <c r="B322" i="43"/>
  <c r="F322" i="43" s="1"/>
  <c r="H1658" i="44"/>
  <c r="AF1658" i="44" s="1"/>
  <c r="H1661" i="44"/>
  <c r="H1659" i="44"/>
  <c r="AF1659" i="44" s="1"/>
  <c r="AF1657" i="44"/>
  <c r="H1660" i="44"/>
  <c r="AF1660" i="44" s="1"/>
  <c r="I1620" i="44"/>
  <c r="AG1620" i="44" s="1"/>
  <c r="I1621" i="44"/>
  <c r="I1618" i="44"/>
  <c r="AG1618" i="44" s="1"/>
  <c r="I1619" i="44"/>
  <c r="AG1619" i="44" s="1"/>
  <c r="AG1617" i="44"/>
  <c r="X1821" i="44"/>
  <c r="D1825" i="44"/>
  <c r="D1857" i="44"/>
  <c r="X1823" i="44"/>
  <c r="D1824" i="44"/>
  <c r="D1826" i="44"/>
  <c r="D1823" i="44"/>
  <c r="D1822" i="44"/>
  <c r="AJ1621" i="44"/>
  <c r="L1622" i="44"/>
  <c r="AJ1622" i="44" s="1"/>
  <c r="L1625" i="44"/>
  <c r="AJ1625" i="44" s="1"/>
  <c r="E1723" i="44"/>
  <c r="E1734" i="44"/>
  <c r="AC1734" i="44" s="1"/>
  <c r="E1583" i="44"/>
  <c r="AC1583" i="44" s="1"/>
  <c r="AC1582" i="44"/>
  <c r="D1660" i="44"/>
  <c r="AB1660" i="44" s="1"/>
  <c r="AB1657" i="44"/>
  <c r="D1659" i="44"/>
  <c r="AB1659" i="44" s="1"/>
  <c r="D1661" i="44"/>
  <c r="AB1661" i="44" s="1"/>
  <c r="D1658" i="44"/>
  <c r="AB1658" i="44" s="1"/>
  <c r="I1688" i="44"/>
  <c r="AG1687" i="44"/>
  <c r="L1698" i="44"/>
  <c r="AJ1698" i="44" s="1"/>
  <c r="L1689" i="44"/>
  <c r="L1687" i="44"/>
  <c r="AJ1686" i="44"/>
  <c r="AK1549" i="44"/>
  <c r="M1552" i="44"/>
  <c r="AK1552" i="44" s="1"/>
  <c r="M1550" i="44"/>
  <c r="AK1550" i="44" s="1"/>
  <c r="M1551" i="44"/>
  <c r="AK1551" i="44" s="1"/>
  <c r="M1553" i="44"/>
  <c r="AK1553" i="44" s="1"/>
  <c r="I1589" i="44"/>
  <c r="I1586" i="44"/>
  <c r="AG1586" i="44" s="1"/>
  <c r="I1588" i="44"/>
  <c r="AG1588" i="44" s="1"/>
  <c r="I1587" i="44"/>
  <c r="AG1587" i="44" s="1"/>
  <c r="AG1585" i="44"/>
  <c r="E1585" i="44"/>
  <c r="AC1584" i="44"/>
  <c r="AX384" i="44"/>
  <c r="BB384" i="44" s="1"/>
  <c r="AR1438" i="44"/>
  <c r="E1653" i="44"/>
  <c r="AC1652" i="44"/>
  <c r="X1726" i="44"/>
  <c r="X1723" i="44"/>
  <c r="X1724" i="44" s="1"/>
  <c r="X1725" i="44"/>
  <c r="AR1543" i="44"/>
  <c r="AN1544" i="44"/>
  <c r="AX396" i="44"/>
  <c r="BB396" i="44" s="1"/>
  <c r="H1688" i="44"/>
  <c r="AF1688" i="44" s="1"/>
  <c r="AF1687" i="44"/>
  <c r="AC1617" i="44"/>
  <c r="E1618" i="44"/>
  <c r="E1620" i="44"/>
  <c r="L1620" i="44"/>
  <c r="AJ1620" i="44" s="1"/>
  <c r="AJ1619" i="44"/>
  <c r="AB1756" i="44"/>
  <c r="AJ1653" i="44"/>
  <c r="L1657" i="44"/>
  <c r="L1655" i="44"/>
  <c r="L1659" i="44"/>
  <c r="L1654" i="44"/>
  <c r="AJ1654" i="44" s="1"/>
  <c r="I1524" i="44"/>
  <c r="AG1524" i="44" s="1"/>
  <c r="AG1521" i="44"/>
  <c r="I1523" i="44"/>
  <c r="AG1523" i="44" s="1"/>
  <c r="I1525" i="44"/>
  <c r="I1522" i="44"/>
  <c r="AG1522" i="44" s="1"/>
  <c r="H1626" i="44"/>
  <c r="AF1626" i="44" s="1"/>
  <c r="H1628" i="44"/>
  <c r="AF1628" i="44" s="1"/>
  <c r="H1627" i="44"/>
  <c r="AF1627" i="44" s="1"/>
  <c r="AF1625" i="44"/>
  <c r="H1629" i="44"/>
  <c r="AK1581" i="44"/>
  <c r="M1584" i="44"/>
  <c r="AK1584" i="44" s="1"/>
  <c r="M1583" i="44"/>
  <c r="AK1583" i="44" s="1"/>
  <c r="M1585" i="44"/>
  <c r="M1582" i="44"/>
  <c r="AK1582" i="44" s="1"/>
  <c r="D1688" i="44"/>
  <c r="AB1688" i="44" s="1"/>
  <c r="AB1687" i="44"/>
  <c r="E1517" i="44"/>
  <c r="AC1517" i="44" s="1"/>
  <c r="AC1516" i="44"/>
  <c r="L1652" i="44"/>
  <c r="AJ1652" i="44" s="1"/>
  <c r="AJ1651" i="44"/>
  <c r="D1725" i="44"/>
  <c r="D1734" i="44"/>
  <c r="AB1734" i="44" s="1"/>
  <c r="D1723" i="44"/>
  <c r="I1557" i="44"/>
  <c r="I1556" i="44"/>
  <c r="AG1556" i="44" s="1"/>
  <c r="I1554" i="44"/>
  <c r="AG1554" i="44" s="1"/>
  <c r="I1555" i="44"/>
  <c r="AG1555" i="44" s="1"/>
  <c r="AG1553" i="44"/>
  <c r="AM1792" i="44"/>
  <c r="AQ1792" i="44"/>
  <c r="H1789" i="44"/>
  <c r="X1786" i="44"/>
  <c r="H1692" i="44"/>
  <c r="AF1692" i="44" s="1"/>
  <c r="AF1689" i="44"/>
  <c r="H1690" i="44"/>
  <c r="AF1690" i="44" s="1"/>
  <c r="H1693" i="44"/>
  <c r="H1691" i="44"/>
  <c r="AF1691" i="44" s="1"/>
  <c r="AC1722" i="44"/>
  <c r="M1698" i="44"/>
  <c r="AK1698" i="44" s="1"/>
  <c r="M1687" i="44"/>
  <c r="AK1686" i="44"/>
  <c r="Y1723" i="44"/>
  <c r="Y1724" i="44" s="1"/>
  <c r="Y1725" i="44" s="1"/>
  <c r="Y1726" i="44"/>
  <c r="E1552" i="44"/>
  <c r="E1550" i="44"/>
  <c r="AC1549" i="44"/>
  <c r="M1652" i="44"/>
  <c r="AK1651" i="44"/>
  <c r="D1690" i="44"/>
  <c r="AB1690" i="44" s="1"/>
  <c r="AB1689" i="44"/>
  <c r="D1693" i="44"/>
  <c r="D1692" i="44"/>
  <c r="AB1692" i="44" s="1"/>
  <c r="D1691" i="44"/>
  <c r="AB1691" i="44" s="1"/>
  <c r="K1756" i="44"/>
  <c r="P1753" i="44"/>
  <c r="T1786" i="44"/>
  <c r="AI1792" i="44"/>
  <c r="T1785" i="44"/>
  <c r="W1792" i="44"/>
  <c r="H1785" i="44"/>
  <c r="T1723" i="44"/>
  <c r="T1724" i="44" s="1"/>
  <c r="T1725" i="44"/>
  <c r="T1726" i="44"/>
  <c r="AN1579" i="44"/>
  <c r="AR1578" i="44"/>
  <c r="AX400" i="44"/>
  <c r="BB400" i="44" s="1"/>
  <c r="H1564" i="44"/>
  <c r="AF1564" i="44" s="1"/>
  <c r="H1565" i="44"/>
  <c r="AF1565" i="44" s="1"/>
  <c r="AF1561" i="44"/>
  <c r="H1562" i="44"/>
  <c r="AF1562" i="44" s="1"/>
  <c r="H1563" i="44"/>
  <c r="AF1563" i="44" s="1"/>
  <c r="AN1509" i="44"/>
  <c r="AX392" i="44"/>
  <c r="BB392" i="44" s="1"/>
  <c r="AR1508" i="44"/>
  <c r="D1758" i="44"/>
  <c r="AB1758" i="44" s="1"/>
  <c r="E1758" i="44"/>
  <c r="AC1758" i="44" s="1"/>
  <c r="U1758" i="44"/>
  <c r="T1758" i="44"/>
  <c r="T1759" i="44" s="1"/>
  <c r="T1760" i="44" s="1"/>
  <c r="AR1473" i="44"/>
  <c r="AN1474" i="44"/>
  <c r="AX388" i="44"/>
  <c r="BB388" i="44" s="1"/>
  <c r="H1746" i="44"/>
  <c r="AF1746" i="44" s="1"/>
  <c r="H1725" i="44"/>
  <c r="H1723" i="44"/>
  <c r="Q1758" i="44"/>
  <c r="P1758" i="44"/>
  <c r="E1688" i="44"/>
  <c r="AC1687" i="44"/>
  <c r="H1792" i="44"/>
  <c r="L1792" i="44"/>
  <c r="L1787" i="44"/>
  <c r="H1788" i="44"/>
  <c r="P1785" i="44"/>
  <c r="P1786" i="44"/>
  <c r="L1789" i="44"/>
  <c r="C1792" i="44" s="1"/>
  <c r="P1787" i="44"/>
  <c r="D1792" i="44"/>
  <c r="L1788" i="44"/>
  <c r="G1792" i="44" s="1"/>
  <c r="X1758" i="44"/>
  <c r="Y1758" i="44"/>
  <c r="U1726" i="44"/>
  <c r="U1723" i="44"/>
  <c r="U1724" i="44" s="1"/>
  <c r="U1725" i="44" s="1"/>
  <c r="AJ1756" i="44"/>
  <c r="L1722" i="44"/>
  <c r="M1722" i="44"/>
  <c r="M1617" i="44"/>
  <c r="AK1616" i="44"/>
  <c r="I1493" i="44"/>
  <c r="AG1493" i="44" s="1"/>
  <c r="I1491" i="44"/>
  <c r="AG1491" i="44" s="1"/>
  <c r="I1490" i="44"/>
  <c r="AG1490" i="44" s="1"/>
  <c r="I1492" i="44"/>
  <c r="AG1492" i="44" s="1"/>
  <c r="AG1489" i="44"/>
  <c r="I1746" i="44"/>
  <c r="AG1746" i="44" s="1"/>
  <c r="I1723" i="44"/>
  <c r="I1758" i="44"/>
  <c r="AG1758" i="44" s="1"/>
  <c r="H1758" i="44"/>
  <c r="AF1758" i="44" s="1"/>
  <c r="P1725" i="44"/>
  <c r="P1726" i="44"/>
  <c r="P1723" i="44"/>
  <c r="P1724" i="44" s="1"/>
  <c r="I1653" i="44"/>
  <c r="AG1652" i="44"/>
  <c r="H1754" i="44"/>
  <c r="AO1749" i="44" s="1"/>
  <c r="AB1722" i="44"/>
  <c r="T1788" i="44"/>
  <c r="S1792" i="44"/>
  <c r="H1786" i="44"/>
  <c r="AE1792" i="44"/>
  <c r="T1787" i="44"/>
  <c r="T1789" i="44"/>
  <c r="AA1792" i="44"/>
  <c r="O1792" i="44"/>
  <c r="T1790" i="44"/>
  <c r="H1787" i="44"/>
  <c r="H1597" i="44"/>
  <c r="AF1593" i="44"/>
  <c r="H1595" i="44"/>
  <c r="AF1595" i="44" s="1"/>
  <c r="H1594" i="44"/>
  <c r="AF1594" i="44" s="1"/>
  <c r="H1596" i="44"/>
  <c r="AF1596" i="44" s="1"/>
  <c r="E1515" i="44"/>
  <c r="AC1515" i="44" s="1"/>
  <c r="AC1514" i="44"/>
  <c r="AN1614" i="44"/>
  <c r="AR1583" i="44"/>
  <c r="L1624" i="44"/>
  <c r="AJ1624" i="44" s="1"/>
  <c r="AJ1623" i="44"/>
  <c r="Q1723" i="44"/>
  <c r="Q1724" i="44" s="1"/>
  <c r="Q1725" i="44" s="1"/>
  <c r="Q1726" i="44"/>
  <c r="AK829" i="44" l="1"/>
  <c r="M831" i="44"/>
  <c r="AK831" i="44" s="1"/>
  <c r="M833" i="44"/>
  <c r="AK833" i="44" s="1"/>
  <c r="M832" i="44"/>
  <c r="AK832" i="44" s="1"/>
  <c r="M830" i="44"/>
  <c r="AK830" i="44" s="1"/>
  <c r="AK864" i="44"/>
  <c r="M865" i="44"/>
  <c r="AF1792" i="44"/>
  <c r="AE1828" i="44"/>
  <c r="H1822" i="44"/>
  <c r="T1824" i="44"/>
  <c r="S1828" i="44"/>
  <c r="T1823" i="44"/>
  <c r="M1723" i="44"/>
  <c r="M1734" i="44"/>
  <c r="AK1734" i="44" s="1"/>
  <c r="AK1722" i="44"/>
  <c r="X1759" i="44"/>
  <c r="X1760" i="44" s="1"/>
  <c r="X1761" i="44"/>
  <c r="X1762" i="44"/>
  <c r="I1794" i="44"/>
  <c r="H1794" i="44"/>
  <c r="E1551" i="44"/>
  <c r="AC1551" i="44" s="1"/>
  <c r="AC1550" i="44"/>
  <c r="AK1585" i="44"/>
  <c r="M1587" i="44"/>
  <c r="AK1587" i="44" s="1"/>
  <c r="M1588" i="44"/>
  <c r="AK1588" i="44" s="1"/>
  <c r="M1586" i="44"/>
  <c r="AK1586" i="44" s="1"/>
  <c r="M1589" i="44"/>
  <c r="AK1589" i="44" s="1"/>
  <c r="L1656" i="44"/>
  <c r="AJ1656" i="44" s="1"/>
  <c r="AJ1655" i="44"/>
  <c r="AB1792" i="44"/>
  <c r="E1553" i="44"/>
  <c r="AC1553" i="44" s="1"/>
  <c r="AC1552" i="44"/>
  <c r="AJ1657" i="44"/>
  <c r="L1661" i="44"/>
  <c r="AJ1661" i="44" s="1"/>
  <c r="L1658" i="44"/>
  <c r="AJ1658" i="44" s="1"/>
  <c r="I1655" i="44"/>
  <c r="AG1655" i="44" s="1"/>
  <c r="I1656" i="44"/>
  <c r="AG1656" i="44" s="1"/>
  <c r="I1657" i="44"/>
  <c r="AG1653" i="44"/>
  <c r="I1654" i="44"/>
  <c r="AG1654" i="44" s="1"/>
  <c r="H1695" i="44"/>
  <c r="AF1695" i="44" s="1"/>
  <c r="H1694" i="44"/>
  <c r="AF1694" i="44" s="1"/>
  <c r="H1696" i="44"/>
  <c r="AF1696" i="44" s="1"/>
  <c r="H1697" i="44"/>
  <c r="AF1693" i="44"/>
  <c r="E1689" i="44"/>
  <c r="AC1688" i="44"/>
  <c r="E1654" i="44"/>
  <c r="E1656" i="44"/>
  <c r="AC1653" i="44"/>
  <c r="AX389" i="44"/>
  <c r="BB389" i="44" s="1"/>
  <c r="AR1474" i="44"/>
  <c r="E1759" i="44"/>
  <c r="E1770" i="44"/>
  <c r="AC1770" i="44" s="1"/>
  <c r="H1790" i="44"/>
  <c r="AO1785" i="44" s="1"/>
  <c r="L1688" i="44"/>
  <c r="AJ1688" i="44" s="1"/>
  <c r="AJ1687" i="44"/>
  <c r="I1591" i="44"/>
  <c r="AG1591" i="44" s="1"/>
  <c r="I1590" i="44"/>
  <c r="AG1590" i="44" s="1"/>
  <c r="I1592" i="44"/>
  <c r="AG1592" i="44" s="1"/>
  <c r="I1593" i="44"/>
  <c r="AG1589" i="44"/>
  <c r="P1762" i="44"/>
  <c r="P1761" i="44"/>
  <c r="P1759" i="44"/>
  <c r="P1760" i="44" s="1"/>
  <c r="P1794" i="44"/>
  <c r="Q1794" i="44"/>
  <c r="AN1580" i="44"/>
  <c r="AR1579" i="44"/>
  <c r="AX401" i="44"/>
  <c r="BB401" i="44" s="1"/>
  <c r="E1724" i="44"/>
  <c r="AC1723" i="44"/>
  <c r="D1770" i="44"/>
  <c r="AB1770" i="44" s="1"/>
  <c r="D1761" i="44"/>
  <c r="D1759" i="44"/>
  <c r="X1794" i="44"/>
  <c r="Y1794" i="44"/>
  <c r="E1621" i="44"/>
  <c r="AC1620" i="44"/>
  <c r="AJ1689" i="44"/>
  <c r="L1695" i="44"/>
  <c r="L1690" i="44"/>
  <c r="AJ1690" i="44" s="1"/>
  <c r="L1691" i="44"/>
  <c r="L1693" i="44"/>
  <c r="H1663" i="44"/>
  <c r="AF1663" i="44" s="1"/>
  <c r="AF1661" i="44"/>
  <c r="H1662" i="44"/>
  <c r="AF1662" i="44" s="1"/>
  <c r="H1664" i="44"/>
  <c r="AF1664" i="44" s="1"/>
  <c r="H1665" i="44"/>
  <c r="H1825" i="44"/>
  <c r="X1822" i="44"/>
  <c r="AQ1828" i="44"/>
  <c r="AM1828" i="44"/>
  <c r="H1724" i="44"/>
  <c r="AF1724" i="44" s="1"/>
  <c r="AF1723" i="44"/>
  <c r="M1653" i="44"/>
  <c r="AK1652" i="44"/>
  <c r="D1794" i="44"/>
  <c r="AB1794" i="44" s="1"/>
  <c r="E1794" i="44"/>
  <c r="AC1794" i="44" s="1"/>
  <c r="AN1615" i="44"/>
  <c r="AR1614" i="44"/>
  <c r="AX405" i="44"/>
  <c r="BB405" i="44" s="1"/>
  <c r="U1794" i="44"/>
  <c r="T1794" i="44"/>
  <c r="T1761" i="44"/>
  <c r="T1762" i="44"/>
  <c r="H1631" i="44"/>
  <c r="AF1631" i="44" s="1"/>
  <c r="H1632" i="44"/>
  <c r="AF1632" i="44" s="1"/>
  <c r="H1630" i="44"/>
  <c r="AF1630" i="44" s="1"/>
  <c r="AF1629" i="44"/>
  <c r="H1633" i="44"/>
  <c r="E1619" i="44"/>
  <c r="AC1619" i="44" s="1"/>
  <c r="AC1618" i="44"/>
  <c r="L1825" i="44"/>
  <c r="C1828" i="44" s="1"/>
  <c r="L1824" i="44"/>
  <c r="G1828" i="44" s="1"/>
  <c r="D1828" i="44"/>
  <c r="L1823" i="44"/>
  <c r="H1824" i="44"/>
  <c r="P1821" i="44"/>
  <c r="H1828" i="44"/>
  <c r="P1822" i="44"/>
  <c r="P1823" i="44"/>
  <c r="L1828" i="44"/>
  <c r="AX397" i="44"/>
  <c r="BB397" i="44" s="1"/>
  <c r="AN1545" i="44"/>
  <c r="AR1544" i="44"/>
  <c r="D1697" i="44"/>
  <c r="AB1697" i="44" s="1"/>
  <c r="AB1693" i="44"/>
  <c r="D1694" i="44"/>
  <c r="AB1694" i="44" s="1"/>
  <c r="D1695" i="44"/>
  <c r="AB1695" i="44" s="1"/>
  <c r="D1696" i="44"/>
  <c r="AB1696" i="44" s="1"/>
  <c r="H1761" i="44"/>
  <c r="H1759" i="44"/>
  <c r="H1782" i="44"/>
  <c r="AF1782" i="44" s="1"/>
  <c r="AJ1792" i="44"/>
  <c r="I1561" i="44"/>
  <c r="I1559" i="44"/>
  <c r="AG1559" i="44" s="1"/>
  <c r="I1558" i="44"/>
  <c r="AG1558" i="44" s="1"/>
  <c r="I1560" i="44"/>
  <c r="AG1560" i="44" s="1"/>
  <c r="AG1557" i="44"/>
  <c r="AC1585" i="44"/>
  <c r="E1586" i="44"/>
  <c r="E1588" i="44"/>
  <c r="O1828" i="44"/>
  <c r="T1826" i="44"/>
  <c r="T1825" i="44"/>
  <c r="AA1828" i="44"/>
  <c r="H1823" i="44"/>
  <c r="I1529" i="44"/>
  <c r="AG1529" i="44" s="1"/>
  <c r="I1526" i="44"/>
  <c r="AG1526" i="44" s="1"/>
  <c r="I1528" i="44"/>
  <c r="AG1528" i="44" s="1"/>
  <c r="AG1525" i="44"/>
  <c r="I1527" i="44"/>
  <c r="AG1527" i="44" s="1"/>
  <c r="I1622" i="44"/>
  <c r="AG1622" i="44" s="1"/>
  <c r="I1623" i="44"/>
  <c r="AG1623" i="44" s="1"/>
  <c r="AG1621" i="44"/>
  <c r="I1624" i="44"/>
  <c r="AG1624" i="44" s="1"/>
  <c r="I1625" i="44"/>
  <c r="H1729" i="44"/>
  <c r="H1727" i="44"/>
  <c r="AF1727" i="44" s="1"/>
  <c r="H1726" i="44"/>
  <c r="AF1726" i="44" s="1"/>
  <c r="H1728" i="44"/>
  <c r="AF1728" i="44" s="1"/>
  <c r="AF1725" i="44"/>
  <c r="AR1509" i="44"/>
  <c r="AN1510" i="44"/>
  <c r="AX393" i="44"/>
  <c r="BB393" i="44" s="1"/>
  <c r="D1724" i="44"/>
  <c r="AB1724" i="44" s="1"/>
  <c r="AB1723" i="44"/>
  <c r="I1689" i="44"/>
  <c r="AG1688" i="44"/>
  <c r="H1821" i="44"/>
  <c r="W1828" i="44"/>
  <c r="AI1828" i="44"/>
  <c r="T1821" i="44"/>
  <c r="T1822" i="44"/>
  <c r="AC324" i="43"/>
  <c r="B323" i="43"/>
  <c r="F323" i="43" s="1"/>
  <c r="H1598" i="44"/>
  <c r="AF1598" i="44" s="1"/>
  <c r="H1600" i="44"/>
  <c r="AF1600" i="44" s="1"/>
  <c r="AF1597" i="44"/>
  <c r="H1601" i="44"/>
  <c r="AF1601" i="44" s="1"/>
  <c r="H1599" i="44"/>
  <c r="AF1599" i="44" s="1"/>
  <c r="Y1759" i="44"/>
  <c r="Y1760" i="44" s="1"/>
  <c r="Y1761" i="44" s="1"/>
  <c r="Y1762" i="44"/>
  <c r="AK1617" i="44"/>
  <c r="M1620" i="44"/>
  <c r="AK1620" i="44" s="1"/>
  <c r="M1621" i="44"/>
  <c r="M1619" i="44"/>
  <c r="AK1619" i="44" s="1"/>
  <c r="M1618" i="44"/>
  <c r="AK1618" i="44" s="1"/>
  <c r="L1660" i="44"/>
  <c r="AJ1660" i="44" s="1"/>
  <c r="AJ1659" i="44"/>
  <c r="M1758" i="44"/>
  <c r="L1758" i="44"/>
  <c r="AN1650" i="44"/>
  <c r="AR1619" i="44"/>
  <c r="Q1759" i="44"/>
  <c r="Q1760" i="44" s="1"/>
  <c r="Q1761" i="44" s="1"/>
  <c r="Q1762" i="44"/>
  <c r="L1734" i="44"/>
  <c r="AJ1734" i="44" s="1"/>
  <c r="L1725" i="44"/>
  <c r="L1723" i="44"/>
  <c r="AJ1722" i="44"/>
  <c r="U1762" i="44"/>
  <c r="U1759" i="44"/>
  <c r="U1760" i="44" s="1"/>
  <c r="U1761" i="44" s="1"/>
  <c r="M1688" i="44"/>
  <c r="AK1687" i="44"/>
  <c r="I1759" i="44"/>
  <c r="I1782" i="44"/>
  <c r="AG1782" i="44" s="1"/>
  <c r="I1724" i="44"/>
  <c r="AG1723" i="44"/>
  <c r="K1792" i="44"/>
  <c r="P1789" i="44"/>
  <c r="D1728" i="44"/>
  <c r="AB1728" i="44" s="1"/>
  <c r="D1729" i="44"/>
  <c r="AB1725" i="44"/>
  <c r="D1727" i="44"/>
  <c r="AB1727" i="44" s="1"/>
  <c r="D1726" i="44"/>
  <c r="AB1726" i="44" s="1"/>
  <c r="X1857" i="44"/>
  <c r="X1859" i="44"/>
  <c r="D1861" i="44"/>
  <c r="D1859" i="44"/>
  <c r="D1858" i="44"/>
  <c r="D1893" i="44"/>
  <c r="D1860" i="44"/>
  <c r="D1862" i="44"/>
  <c r="L1677" i="44"/>
  <c r="AN1655" i="44"/>
  <c r="AF1828" i="44" l="1"/>
  <c r="AB1828" i="44"/>
  <c r="M868" i="44"/>
  <c r="AK868" i="44" s="1"/>
  <c r="M869" i="44"/>
  <c r="AK869" i="44" s="1"/>
  <c r="M866" i="44"/>
  <c r="AK866" i="44" s="1"/>
  <c r="M867" i="44"/>
  <c r="AK867" i="44" s="1"/>
  <c r="AK865" i="44"/>
  <c r="M1689" i="44"/>
  <c r="AK1688" i="44"/>
  <c r="H1858" i="44"/>
  <c r="T1859" i="44"/>
  <c r="T1860" i="44"/>
  <c r="S1864" i="44"/>
  <c r="AE1864" i="44"/>
  <c r="E1657" i="44"/>
  <c r="AC1656" i="44"/>
  <c r="E1655" i="44"/>
  <c r="AC1655" i="44" s="1"/>
  <c r="AC1654" i="44"/>
  <c r="I1563" i="44"/>
  <c r="AG1563" i="44" s="1"/>
  <c r="I1565" i="44"/>
  <c r="AG1565" i="44" s="1"/>
  <c r="I1562" i="44"/>
  <c r="AG1562" i="44" s="1"/>
  <c r="I1564" i="44"/>
  <c r="AG1564" i="44" s="1"/>
  <c r="AG1561" i="44"/>
  <c r="D1830" i="44"/>
  <c r="AB1830" i="44" s="1"/>
  <c r="E1830" i="44"/>
  <c r="AC1830" i="44" s="1"/>
  <c r="E1622" i="44"/>
  <c r="E1624" i="44"/>
  <c r="AC1621" i="44"/>
  <c r="Y1798" i="44"/>
  <c r="Y1795" i="44"/>
  <c r="Y1796" i="44" s="1"/>
  <c r="Y1797" i="44" s="1"/>
  <c r="AG1593" i="44"/>
  <c r="I1596" i="44"/>
  <c r="AG1596" i="44" s="1"/>
  <c r="I1597" i="44"/>
  <c r="I1594" i="44"/>
  <c r="AG1594" i="44" s="1"/>
  <c r="I1595" i="44"/>
  <c r="AG1595" i="44" s="1"/>
  <c r="H1698" i="44"/>
  <c r="AF1698" i="44" s="1"/>
  <c r="H1700" i="44"/>
  <c r="AF1700" i="44" s="1"/>
  <c r="H1699" i="44"/>
  <c r="AF1699" i="44" s="1"/>
  <c r="AF1697" i="44"/>
  <c r="H1701" i="44"/>
  <c r="H1795" i="44"/>
  <c r="H1818" i="44"/>
  <c r="AF1818" i="44" s="1"/>
  <c r="H1797" i="44"/>
  <c r="L1724" i="44"/>
  <c r="AJ1724" i="44" s="1"/>
  <c r="AJ1723" i="44"/>
  <c r="AX394" i="44"/>
  <c r="BB394" i="44" s="1"/>
  <c r="AR1510" i="44"/>
  <c r="D1760" i="44"/>
  <c r="AB1760" i="44" s="1"/>
  <c r="AB1759" i="44"/>
  <c r="P1859" i="44"/>
  <c r="H1860" i="44"/>
  <c r="L1864" i="44"/>
  <c r="P1858" i="44"/>
  <c r="D1864" i="44"/>
  <c r="H1864" i="44"/>
  <c r="P1857" i="44"/>
  <c r="L1859" i="44"/>
  <c r="L1860" i="44"/>
  <c r="G1864" i="44" s="1"/>
  <c r="L1861" i="44"/>
  <c r="C1864" i="44" s="1"/>
  <c r="U1795" i="44"/>
  <c r="U1796" i="44" s="1"/>
  <c r="U1797" i="44" s="1"/>
  <c r="U1798" i="44"/>
  <c r="AK1621" i="44"/>
  <c r="M1622" i="44"/>
  <c r="AK1622" i="44" s="1"/>
  <c r="M1625" i="44"/>
  <c r="AK1625" i="44" s="1"/>
  <c r="M1624" i="44"/>
  <c r="AK1624" i="44" s="1"/>
  <c r="M1623" i="44"/>
  <c r="AK1623" i="44" s="1"/>
  <c r="H1861" i="44"/>
  <c r="X1858" i="44"/>
  <c r="AQ1864" i="44"/>
  <c r="AM1864" i="44"/>
  <c r="AK1653" i="44"/>
  <c r="M1656" i="44"/>
  <c r="AK1656" i="44" s="1"/>
  <c r="M1657" i="44"/>
  <c r="M1655" i="44"/>
  <c r="AK1655" i="44" s="1"/>
  <c r="M1654" i="44"/>
  <c r="AK1654" i="44" s="1"/>
  <c r="E1690" i="44"/>
  <c r="E1692" i="44"/>
  <c r="AC1689" i="44"/>
  <c r="D1764" i="44"/>
  <c r="AB1764" i="44" s="1"/>
  <c r="AB1761" i="44"/>
  <c r="D1762" i="44"/>
  <c r="AB1762" i="44" s="1"/>
  <c r="D1765" i="44"/>
  <c r="D1763" i="44"/>
  <c r="AB1763" i="44" s="1"/>
  <c r="P1797" i="44"/>
  <c r="P1795" i="44"/>
  <c r="P1796" i="44" s="1"/>
  <c r="P1798" i="44"/>
  <c r="I1818" i="44"/>
  <c r="AG1818" i="44" s="1"/>
  <c r="I1795" i="44"/>
  <c r="M1724" i="44"/>
  <c r="AK1723" i="44"/>
  <c r="H1826" i="44"/>
  <c r="AO1821" i="44" s="1"/>
  <c r="Q1798" i="44"/>
  <c r="Q1795" i="44"/>
  <c r="Q1796" i="44" s="1"/>
  <c r="Q1797" i="44" s="1"/>
  <c r="D1797" i="44"/>
  <c r="D1806" i="44"/>
  <c r="AB1806" i="44" s="1"/>
  <c r="D1795" i="44"/>
  <c r="L1696" i="44"/>
  <c r="AJ1696" i="44" s="1"/>
  <c r="AJ1695" i="44"/>
  <c r="I1691" i="44"/>
  <c r="AG1691" i="44" s="1"/>
  <c r="I1692" i="44"/>
  <c r="AG1692" i="44" s="1"/>
  <c r="I1693" i="44"/>
  <c r="I1690" i="44"/>
  <c r="AG1690" i="44" s="1"/>
  <c r="AG1689" i="44"/>
  <c r="H1637" i="44"/>
  <c r="AF1637" i="44" s="1"/>
  <c r="H1634" i="44"/>
  <c r="AF1634" i="44" s="1"/>
  <c r="H1636" i="44"/>
  <c r="AF1636" i="44" s="1"/>
  <c r="H1635" i="44"/>
  <c r="AF1635" i="44" s="1"/>
  <c r="AF1633" i="44"/>
  <c r="AR1655" i="44"/>
  <c r="AN1686" i="44"/>
  <c r="L1761" i="44"/>
  <c r="L1770" i="44"/>
  <c r="AJ1770" i="44" s="1"/>
  <c r="L1759" i="44"/>
  <c r="AJ1758" i="44"/>
  <c r="H1859" i="44"/>
  <c r="T1861" i="44"/>
  <c r="AA1864" i="44"/>
  <c r="O1864" i="44"/>
  <c r="T1862" i="44"/>
  <c r="I1725" i="44"/>
  <c r="AG1724" i="44"/>
  <c r="M1759" i="44"/>
  <c r="M1770" i="44"/>
  <c r="AK1770" i="44" s="1"/>
  <c r="AK1758" i="44"/>
  <c r="AC325" i="43"/>
  <c r="B324" i="43"/>
  <c r="F324" i="43" s="1"/>
  <c r="Q1830" i="44"/>
  <c r="P1830" i="44"/>
  <c r="E1725" i="44"/>
  <c r="AC1724" i="44"/>
  <c r="I1659" i="44"/>
  <c r="AG1659" i="44" s="1"/>
  <c r="I1660" i="44"/>
  <c r="AG1660" i="44" s="1"/>
  <c r="I1661" i="44"/>
  <c r="I1658" i="44"/>
  <c r="AG1658" i="44" s="1"/>
  <c r="AG1657" i="44"/>
  <c r="T1830" i="44"/>
  <c r="U1830" i="44"/>
  <c r="AJ1725" i="44"/>
  <c r="L1729" i="44"/>
  <c r="L1731" i="44"/>
  <c r="L1727" i="44"/>
  <c r="L1726" i="44"/>
  <c r="AJ1726" i="44" s="1"/>
  <c r="D1732" i="44"/>
  <c r="AB1732" i="44" s="1"/>
  <c r="D1730" i="44"/>
  <c r="AB1730" i="44" s="1"/>
  <c r="D1733" i="44"/>
  <c r="AB1733" i="44" s="1"/>
  <c r="D1731" i="44"/>
  <c r="AB1731" i="44" s="1"/>
  <c r="AB1729" i="44"/>
  <c r="X1797" i="44"/>
  <c r="X1795" i="44"/>
  <c r="X1796" i="44" s="1"/>
  <c r="X1798" i="44"/>
  <c r="M1794" i="44"/>
  <c r="L1794" i="44"/>
  <c r="AN1546" i="44"/>
  <c r="AR1545" i="44"/>
  <c r="AX398" i="44"/>
  <c r="BB398" i="44" s="1"/>
  <c r="E1589" i="44"/>
  <c r="AC1589" i="44" s="1"/>
  <c r="AC1588" i="44"/>
  <c r="X1830" i="44"/>
  <c r="Y1830" i="44"/>
  <c r="E1795" i="44"/>
  <c r="E1806" i="44"/>
  <c r="AC1806" i="44" s="1"/>
  <c r="H1760" i="44"/>
  <c r="AF1760" i="44" s="1"/>
  <c r="AF1759" i="44"/>
  <c r="H1764" i="44"/>
  <c r="AF1764" i="44" s="1"/>
  <c r="H1763" i="44"/>
  <c r="AF1763" i="44" s="1"/>
  <c r="H1765" i="44"/>
  <c r="H1762" i="44"/>
  <c r="AF1762" i="44" s="1"/>
  <c r="AF1761" i="44"/>
  <c r="AX410" i="44"/>
  <c r="BB410" i="44" s="1"/>
  <c r="AN1651" i="44"/>
  <c r="AR1650" i="44"/>
  <c r="L1713" i="44"/>
  <c r="AN1691" i="44"/>
  <c r="AI1864" i="44"/>
  <c r="T1857" i="44"/>
  <c r="T1858" i="44"/>
  <c r="W1864" i="44"/>
  <c r="H1857" i="44"/>
  <c r="AF1729" i="44"/>
  <c r="H1732" i="44"/>
  <c r="AF1732" i="44" s="1"/>
  <c r="H1733" i="44"/>
  <c r="H1731" i="44"/>
  <c r="AF1731" i="44" s="1"/>
  <c r="H1730" i="44"/>
  <c r="AF1730" i="44" s="1"/>
  <c r="X1893" i="44"/>
  <c r="D1896" i="44"/>
  <c r="D1898" i="44"/>
  <c r="X1895" i="44"/>
  <c r="D1897" i="44"/>
  <c r="D1894" i="44"/>
  <c r="D1895" i="44"/>
  <c r="D1929" i="44"/>
  <c r="I1760" i="44"/>
  <c r="AG1759" i="44"/>
  <c r="I1626" i="44"/>
  <c r="AG1626" i="44" s="1"/>
  <c r="AG1625" i="44"/>
  <c r="I1627" i="44"/>
  <c r="AG1627" i="44" s="1"/>
  <c r="I1629" i="44"/>
  <c r="I1628" i="44"/>
  <c r="AG1628" i="44" s="1"/>
  <c r="E1587" i="44"/>
  <c r="AC1587" i="44" s="1"/>
  <c r="AC1586" i="44"/>
  <c r="E1760" i="44"/>
  <c r="AC1759" i="44"/>
  <c r="AF1794" i="44"/>
  <c r="L1692" i="44"/>
  <c r="AJ1692" i="44" s="1"/>
  <c r="AJ1691" i="44"/>
  <c r="P1825" i="44"/>
  <c r="K1828" i="44"/>
  <c r="AX406" i="44"/>
  <c r="BB406" i="44" s="1"/>
  <c r="AR1615" i="44"/>
  <c r="AN1616" i="44"/>
  <c r="H1830" i="44"/>
  <c r="AF1830" i="44" s="1"/>
  <c r="I1830" i="44"/>
  <c r="H1669" i="44"/>
  <c r="H1667" i="44"/>
  <c r="AF1667" i="44" s="1"/>
  <c r="H1668" i="44"/>
  <c r="AF1668" i="44" s="1"/>
  <c r="H1666" i="44"/>
  <c r="AF1666" i="44" s="1"/>
  <c r="AF1665" i="44"/>
  <c r="AJ1828" i="44"/>
  <c r="T1795" i="44"/>
  <c r="T1796" i="44" s="1"/>
  <c r="T1797" i="44"/>
  <c r="T1798" i="44"/>
  <c r="AJ1693" i="44"/>
  <c r="L1694" i="44"/>
  <c r="AJ1694" i="44" s="1"/>
  <c r="L1697" i="44"/>
  <c r="AJ1697" i="44" s="1"/>
  <c r="AN1581" i="44"/>
  <c r="AR1580" i="44"/>
  <c r="AX402" i="44"/>
  <c r="BB402" i="44" s="1"/>
  <c r="AG1794" i="44"/>
  <c r="AB1864" i="44" l="1"/>
  <c r="AC326" i="43"/>
  <c r="B325" i="43"/>
  <c r="F325" i="43" s="1"/>
  <c r="H1800" i="44"/>
  <c r="AF1800" i="44" s="1"/>
  <c r="AF1797" i="44"/>
  <c r="H1801" i="44"/>
  <c r="H1799" i="44"/>
  <c r="AF1799" i="44" s="1"/>
  <c r="H1798" i="44"/>
  <c r="AF1798" i="44" s="1"/>
  <c r="AJ1864" i="44"/>
  <c r="H1703" i="44"/>
  <c r="AF1703" i="44" s="1"/>
  <c r="H1705" i="44"/>
  <c r="H1704" i="44"/>
  <c r="AF1704" i="44" s="1"/>
  <c r="AF1701" i="44"/>
  <c r="H1702" i="44"/>
  <c r="AF1702" i="44" s="1"/>
  <c r="U1831" i="44"/>
  <c r="U1832" i="44" s="1"/>
  <c r="U1833" i="44" s="1"/>
  <c r="U1834" i="44"/>
  <c r="M1725" i="44"/>
  <c r="AK1724" i="44"/>
  <c r="AR1691" i="44"/>
  <c r="AN1722" i="44"/>
  <c r="H1796" i="44"/>
  <c r="AF1796" i="44" s="1"/>
  <c r="AF1795" i="44"/>
  <c r="H1673" i="44"/>
  <c r="AF1673" i="44" s="1"/>
  <c r="H1670" i="44"/>
  <c r="AF1670" i="44" s="1"/>
  <c r="H1671" i="44"/>
  <c r="AF1671" i="44" s="1"/>
  <c r="H1672" i="44"/>
  <c r="AF1672" i="44" s="1"/>
  <c r="AF1669" i="44"/>
  <c r="E1761" i="44"/>
  <c r="AC1760" i="44"/>
  <c r="AC1657" i="44"/>
  <c r="E1660" i="44"/>
  <c r="E1658" i="44"/>
  <c r="D1932" i="44"/>
  <c r="D1934" i="44"/>
  <c r="D1965" i="44"/>
  <c r="D1933" i="44"/>
  <c r="D1930" i="44"/>
  <c r="X1929" i="44"/>
  <c r="X1931" i="44"/>
  <c r="D1931" i="44"/>
  <c r="E1625" i="44"/>
  <c r="AC1625" i="44" s="1"/>
  <c r="AC1624" i="44"/>
  <c r="X1833" i="44"/>
  <c r="X1834" i="44"/>
  <c r="X1831" i="44"/>
  <c r="X1832" i="44" s="1"/>
  <c r="AN1727" i="44"/>
  <c r="L1749" i="44"/>
  <c r="AX399" i="44"/>
  <c r="BB399" i="44" s="1"/>
  <c r="AR1546" i="44"/>
  <c r="AF1864" i="44"/>
  <c r="L1897" i="44"/>
  <c r="C1900" i="44" s="1"/>
  <c r="L1900" i="44"/>
  <c r="P1894" i="44"/>
  <c r="D1900" i="44"/>
  <c r="L1895" i="44"/>
  <c r="P1893" i="44"/>
  <c r="P1895" i="44"/>
  <c r="H1896" i="44"/>
  <c r="H1900" i="44"/>
  <c r="L1896" i="44"/>
  <c r="G1900" i="44" s="1"/>
  <c r="S1900" i="44"/>
  <c r="AE1900" i="44"/>
  <c r="T1896" i="44"/>
  <c r="T1895" i="44"/>
  <c r="H1894" i="44"/>
  <c r="M1760" i="44"/>
  <c r="AK1759" i="44"/>
  <c r="AN1652" i="44"/>
  <c r="AX411" i="44"/>
  <c r="BB411" i="44" s="1"/>
  <c r="AR1651" i="44"/>
  <c r="I1796" i="44"/>
  <c r="AG1795" i="44"/>
  <c r="AI1900" i="44"/>
  <c r="T1893" i="44"/>
  <c r="H1893" i="44"/>
  <c r="W1900" i="44"/>
  <c r="T1894" i="44"/>
  <c r="I1630" i="44"/>
  <c r="AG1630" i="44" s="1"/>
  <c r="I1632" i="44"/>
  <c r="AG1632" i="44" s="1"/>
  <c r="I1633" i="44"/>
  <c r="I1631" i="44"/>
  <c r="AG1631" i="44" s="1"/>
  <c r="AG1629" i="44"/>
  <c r="H1734" i="44"/>
  <c r="AF1734" i="44" s="1"/>
  <c r="H1735" i="44"/>
  <c r="AF1735" i="44" s="1"/>
  <c r="AF1733" i="44"/>
  <c r="H1736" i="44"/>
  <c r="AF1736" i="44" s="1"/>
  <c r="H1737" i="44"/>
  <c r="I1600" i="44"/>
  <c r="AG1600" i="44" s="1"/>
  <c r="I1601" i="44"/>
  <c r="AG1601" i="44" s="1"/>
  <c r="AG1597" i="44"/>
  <c r="I1598" i="44"/>
  <c r="AG1598" i="44" s="1"/>
  <c r="I1599" i="44"/>
  <c r="AG1599" i="44" s="1"/>
  <c r="T1866" i="44"/>
  <c r="U1866" i="44"/>
  <c r="K1864" i="44"/>
  <c r="P1861" i="44"/>
  <c r="T1833" i="44"/>
  <c r="T1834" i="44"/>
  <c r="T1831" i="44"/>
  <c r="T1832" i="44" s="1"/>
  <c r="AM1900" i="44"/>
  <c r="AQ1900" i="44"/>
  <c r="X1894" i="44"/>
  <c r="H1897" i="44"/>
  <c r="D1769" i="44"/>
  <c r="AB1769" i="44" s="1"/>
  <c r="D1767" i="44"/>
  <c r="AB1767" i="44" s="1"/>
  <c r="D1768" i="44"/>
  <c r="AB1768" i="44" s="1"/>
  <c r="D1766" i="44"/>
  <c r="AB1766" i="44" s="1"/>
  <c r="AB1765" i="44"/>
  <c r="L1732" i="44"/>
  <c r="AJ1732" i="44" s="1"/>
  <c r="AJ1731" i="44"/>
  <c r="M1806" i="44"/>
  <c r="AK1806" i="44" s="1"/>
  <c r="M1795" i="44"/>
  <c r="AK1794" i="44"/>
  <c r="AR1581" i="44"/>
  <c r="AX403" i="44"/>
  <c r="BB403" i="44" s="1"/>
  <c r="AN1582" i="44"/>
  <c r="H1854" i="44"/>
  <c r="AF1854" i="44" s="1"/>
  <c r="H1833" i="44"/>
  <c r="H1831" i="44"/>
  <c r="E1728" i="44"/>
  <c r="E1726" i="44"/>
  <c r="AC1725" i="44"/>
  <c r="L1760" i="44"/>
  <c r="AJ1760" i="44" s="1"/>
  <c r="AJ1759" i="44"/>
  <c r="E1693" i="44"/>
  <c r="AC1692" i="44"/>
  <c r="I1696" i="44"/>
  <c r="AG1696" i="44" s="1"/>
  <c r="I1695" i="44"/>
  <c r="AG1695" i="44" s="1"/>
  <c r="AG1693" i="44"/>
  <c r="I1694" i="44"/>
  <c r="AG1694" i="44" s="1"/>
  <c r="I1697" i="44"/>
  <c r="AX407" i="44"/>
  <c r="BB407" i="44" s="1"/>
  <c r="AN1617" i="44"/>
  <c r="AR1616" i="44"/>
  <c r="P1834" i="44"/>
  <c r="P1833" i="44"/>
  <c r="P1831" i="44"/>
  <c r="P1832" i="44" s="1"/>
  <c r="D1796" i="44"/>
  <c r="AB1796" i="44" s="1"/>
  <c r="AB1795" i="44"/>
  <c r="E1691" i="44"/>
  <c r="AC1691" i="44" s="1"/>
  <c r="AC1690" i="44"/>
  <c r="E1842" i="44"/>
  <c r="AC1842" i="44" s="1"/>
  <c r="E1831" i="44"/>
  <c r="L1830" i="44"/>
  <c r="M1830" i="44"/>
  <c r="L1728" i="44"/>
  <c r="AJ1728" i="44" s="1"/>
  <c r="AJ1727" i="44"/>
  <c r="AK1657" i="44"/>
  <c r="M1660" i="44"/>
  <c r="AK1660" i="44" s="1"/>
  <c r="M1661" i="44"/>
  <c r="AK1661" i="44" s="1"/>
  <c r="M1659" i="44"/>
  <c r="AK1659" i="44" s="1"/>
  <c r="M1658" i="44"/>
  <c r="AK1658" i="44" s="1"/>
  <c r="E1623" i="44"/>
  <c r="AC1623" i="44" s="1"/>
  <c r="AC1622" i="44"/>
  <c r="AJ1729" i="44"/>
  <c r="L1730" i="44"/>
  <c r="AJ1730" i="44" s="1"/>
  <c r="L1733" i="44"/>
  <c r="AJ1733" i="44" s="1"/>
  <c r="I1729" i="44"/>
  <c r="I1726" i="44"/>
  <c r="AG1726" i="44" s="1"/>
  <c r="AG1725" i="44"/>
  <c r="I1727" i="44"/>
  <c r="AG1727" i="44" s="1"/>
  <c r="I1728" i="44"/>
  <c r="AG1728" i="44" s="1"/>
  <c r="I1663" i="44"/>
  <c r="AG1663" i="44" s="1"/>
  <c r="I1665" i="44"/>
  <c r="I1662" i="44"/>
  <c r="AG1662" i="44" s="1"/>
  <c r="AG1661" i="44"/>
  <c r="I1664" i="44"/>
  <c r="AG1664" i="44" s="1"/>
  <c r="AG1830" i="44"/>
  <c r="I1831" i="44"/>
  <c r="I1854" i="44"/>
  <c r="AG1854" i="44" s="1"/>
  <c r="H1768" i="44"/>
  <c r="AF1768" i="44" s="1"/>
  <c r="H1769" i="44"/>
  <c r="H1766" i="44"/>
  <c r="AF1766" i="44" s="1"/>
  <c r="H1767" i="44"/>
  <c r="AF1767" i="44" s="1"/>
  <c r="AF1765" i="44"/>
  <c r="H1862" i="44"/>
  <c r="AO1857" i="44" s="1"/>
  <c r="Y1866" i="44"/>
  <c r="X1866" i="44"/>
  <c r="Q1834" i="44"/>
  <c r="Q1831" i="44"/>
  <c r="Q1832" i="44" s="1"/>
  <c r="Q1833" i="44" s="1"/>
  <c r="AJ1761" i="44"/>
  <c r="L1765" i="44"/>
  <c r="L1767" i="44"/>
  <c r="L1762" i="44"/>
  <c r="AJ1762" i="44" s="1"/>
  <c r="L1763" i="44"/>
  <c r="D1866" i="44"/>
  <c r="AB1866" i="44" s="1"/>
  <c r="E1866" i="44"/>
  <c r="AC1866" i="44" s="1"/>
  <c r="Y1831" i="44"/>
  <c r="Y1832" i="44" s="1"/>
  <c r="Y1833" i="44" s="1"/>
  <c r="Y1834" i="44"/>
  <c r="H1895" i="44"/>
  <c r="O1900" i="44"/>
  <c r="T1898" i="44"/>
  <c r="T1897" i="44"/>
  <c r="AA1900" i="44"/>
  <c r="L1806" i="44"/>
  <c r="AJ1806" i="44" s="1"/>
  <c r="L1797" i="44"/>
  <c r="L1795" i="44"/>
  <c r="AJ1794" i="44"/>
  <c r="P1866" i="44"/>
  <c r="Q1866" i="44"/>
  <c r="I1761" i="44"/>
  <c r="AG1760" i="44"/>
  <c r="E1796" i="44"/>
  <c r="AC1795" i="44"/>
  <c r="AN1687" i="44"/>
  <c r="AX415" i="44"/>
  <c r="BB415" i="44" s="1"/>
  <c r="AR1686" i="44"/>
  <c r="D1799" i="44"/>
  <c r="AB1799" i="44" s="1"/>
  <c r="D1798" i="44"/>
  <c r="AB1798" i="44" s="1"/>
  <c r="D1800" i="44"/>
  <c r="AB1800" i="44" s="1"/>
  <c r="D1801" i="44"/>
  <c r="AB1797" i="44"/>
  <c r="I1866" i="44"/>
  <c r="AG1866" i="44" s="1"/>
  <c r="H1866" i="44"/>
  <c r="AF1866" i="44" s="1"/>
  <c r="D1842" i="44"/>
  <c r="AB1842" i="44" s="1"/>
  <c r="D1833" i="44"/>
  <c r="D1831" i="44"/>
  <c r="AK1689" i="44"/>
  <c r="M1691" i="44"/>
  <c r="AK1691" i="44" s="1"/>
  <c r="M1693" i="44"/>
  <c r="M1692" i="44"/>
  <c r="AK1692" i="44" s="1"/>
  <c r="M1690" i="44"/>
  <c r="AK1690" i="44" s="1"/>
  <c r="AJ1900" i="44" l="1"/>
  <c r="L1768" i="44"/>
  <c r="AJ1768" i="44" s="1"/>
  <c r="AJ1767" i="44"/>
  <c r="Q1870" i="44"/>
  <c r="Q1867" i="44"/>
  <c r="Q1868" i="44" s="1"/>
  <c r="Q1869" i="44" s="1"/>
  <c r="L1833" i="44"/>
  <c r="L1842" i="44"/>
  <c r="AJ1842" i="44" s="1"/>
  <c r="L1831" i="44"/>
  <c r="AJ1830" i="44"/>
  <c r="L1785" i="44"/>
  <c r="AN1763" i="44"/>
  <c r="U1870" i="44"/>
  <c r="U1867" i="44"/>
  <c r="U1868" i="44" s="1"/>
  <c r="U1869" i="44" s="1"/>
  <c r="AF1900" i="44"/>
  <c r="I1701" i="44"/>
  <c r="I1699" i="44"/>
  <c r="AG1699" i="44" s="1"/>
  <c r="I1700" i="44"/>
  <c r="AG1700" i="44" s="1"/>
  <c r="AG1697" i="44"/>
  <c r="I1698" i="44"/>
  <c r="AG1698" i="44" s="1"/>
  <c r="T1929" i="44"/>
  <c r="T1930" i="44"/>
  <c r="AI1936" i="44"/>
  <c r="W1936" i="44"/>
  <c r="H1929" i="44"/>
  <c r="E1659" i="44"/>
  <c r="AC1659" i="44" s="1"/>
  <c r="AC1658" i="44"/>
  <c r="X1869" i="44"/>
  <c r="X1870" i="44"/>
  <c r="X1867" i="44"/>
  <c r="X1868" i="44" s="1"/>
  <c r="E1661" i="44"/>
  <c r="AC1661" i="44" s="1"/>
  <c r="AC1660" i="44"/>
  <c r="Y1867" i="44"/>
  <c r="Y1868" i="44" s="1"/>
  <c r="Y1869" i="44" s="1"/>
  <c r="Y1870" i="44"/>
  <c r="AR1727" i="44"/>
  <c r="AN1758" i="44"/>
  <c r="AJ1797" i="44"/>
  <c r="L1803" i="44"/>
  <c r="L1799" i="44"/>
  <c r="L1801" i="44"/>
  <c r="L1798" i="44"/>
  <c r="AJ1798" i="44" s="1"/>
  <c r="H1890" i="44"/>
  <c r="AF1890" i="44" s="1"/>
  <c r="H1867" i="44"/>
  <c r="H1869" i="44"/>
  <c r="AC1693" i="44"/>
  <c r="E1696" i="44"/>
  <c r="E1694" i="44"/>
  <c r="T1870" i="44"/>
  <c r="T1869" i="44"/>
  <c r="T1867" i="44"/>
  <c r="T1868" i="44" s="1"/>
  <c r="U1902" i="44"/>
  <c r="T1902" i="44"/>
  <c r="AC1761" i="44"/>
  <c r="E1762" i="44"/>
  <c r="E1764" i="44"/>
  <c r="AK1725" i="44"/>
  <c r="M1728" i="44"/>
  <c r="AK1728" i="44" s="1"/>
  <c r="M1727" i="44"/>
  <c r="AK1727" i="44" s="1"/>
  <c r="M1729" i="44"/>
  <c r="M1726" i="44"/>
  <c r="AK1726" i="44" s="1"/>
  <c r="I1732" i="44"/>
  <c r="AG1732" i="44" s="1"/>
  <c r="I1733" i="44"/>
  <c r="AG1729" i="44"/>
  <c r="I1731" i="44"/>
  <c r="AG1731" i="44" s="1"/>
  <c r="I1730" i="44"/>
  <c r="AG1730" i="44" s="1"/>
  <c r="Y1902" i="44"/>
  <c r="X1902" i="44"/>
  <c r="H1902" i="44"/>
  <c r="I1902" i="44"/>
  <c r="X1965" i="44"/>
  <c r="D1970" i="44"/>
  <c r="X1967" i="44"/>
  <c r="D1968" i="44"/>
  <c r="D2001" i="44"/>
  <c r="D1967" i="44"/>
  <c r="D1969" i="44"/>
  <c r="D1966" i="44"/>
  <c r="M1761" i="44"/>
  <c r="AK1760" i="44"/>
  <c r="M1842" i="44"/>
  <c r="AK1842" i="44" s="1"/>
  <c r="M1831" i="44"/>
  <c r="AK1830" i="44"/>
  <c r="I1762" i="44"/>
  <c r="AG1762" i="44" s="1"/>
  <c r="I1764" i="44"/>
  <c r="AG1764" i="44" s="1"/>
  <c r="I1765" i="44"/>
  <c r="AG1761" i="44"/>
  <c r="I1763" i="44"/>
  <c r="AG1763" i="44" s="1"/>
  <c r="M1796" i="44"/>
  <c r="AK1795" i="44"/>
  <c r="I1637" i="44"/>
  <c r="AG1637" i="44" s="1"/>
  <c r="I1636" i="44"/>
  <c r="AG1636" i="44" s="1"/>
  <c r="I1635" i="44"/>
  <c r="AG1635" i="44" s="1"/>
  <c r="AG1633" i="44"/>
  <c r="I1634" i="44"/>
  <c r="AG1634" i="44" s="1"/>
  <c r="E1902" i="44"/>
  <c r="AC1902" i="44" s="1"/>
  <c r="D1902" i="44"/>
  <c r="AB1902" i="44" s="1"/>
  <c r="L1796" i="44"/>
  <c r="AJ1796" i="44" s="1"/>
  <c r="AJ1795" i="44"/>
  <c r="E1832" i="44"/>
  <c r="AC1831" i="44"/>
  <c r="M1866" i="44"/>
  <c r="L1866" i="44"/>
  <c r="I1867" i="44"/>
  <c r="I1890" i="44"/>
  <c r="AG1890" i="44" s="1"/>
  <c r="AK1693" i="44"/>
  <c r="M1695" i="44"/>
  <c r="AK1695" i="44" s="1"/>
  <c r="M1696" i="44"/>
  <c r="AK1696" i="44" s="1"/>
  <c r="M1694" i="44"/>
  <c r="AK1694" i="44" s="1"/>
  <c r="M1697" i="44"/>
  <c r="AK1697" i="44" s="1"/>
  <c r="D1804" i="44"/>
  <c r="AB1804" i="44" s="1"/>
  <c r="D1805" i="44"/>
  <c r="AB1805" i="44" s="1"/>
  <c r="AB1801" i="44"/>
  <c r="D1803" i="44"/>
  <c r="AB1803" i="44" s="1"/>
  <c r="D1802" i="44"/>
  <c r="AB1802" i="44" s="1"/>
  <c r="H1771" i="44"/>
  <c r="AF1771" i="44" s="1"/>
  <c r="AF1769" i="44"/>
  <c r="H1770" i="44"/>
  <c r="AF1770" i="44" s="1"/>
  <c r="H1772" i="44"/>
  <c r="AF1772" i="44" s="1"/>
  <c r="H1773" i="44"/>
  <c r="AF1705" i="44"/>
  <c r="H1709" i="44"/>
  <c r="AF1709" i="44" s="1"/>
  <c r="H1707" i="44"/>
  <c r="AF1707" i="44" s="1"/>
  <c r="H1706" i="44"/>
  <c r="AF1706" i="44" s="1"/>
  <c r="H1708" i="44"/>
  <c r="AF1708" i="44" s="1"/>
  <c r="H1804" i="44"/>
  <c r="AF1804" i="44" s="1"/>
  <c r="H1805" i="44"/>
  <c r="H1803" i="44"/>
  <c r="AF1803" i="44" s="1"/>
  <c r="AF1801" i="44"/>
  <c r="H1802" i="44"/>
  <c r="AF1802" i="44" s="1"/>
  <c r="AR1582" i="44"/>
  <c r="AX404" i="44"/>
  <c r="BB404" i="44" s="1"/>
  <c r="AN1653" i="44"/>
  <c r="AR1652" i="44"/>
  <c r="AX412" i="44"/>
  <c r="BB412" i="44" s="1"/>
  <c r="Q1902" i="44"/>
  <c r="P1902" i="44"/>
  <c r="P1903" i="44" s="1"/>
  <c r="P1904" i="44" s="1"/>
  <c r="E1867" i="44"/>
  <c r="E1878" i="44"/>
  <c r="AC1878" i="44" s="1"/>
  <c r="E1727" i="44"/>
  <c r="AC1727" i="44" s="1"/>
  <c r="AC1726" i="44"/>
  <c r="D1936" i="44"/>
  <c r="P1931" i="44"/>
  <c r="L1932" i="44"/>
  <c r="G1936" i="44" s="1"/>
  <c r="L1931" i="44"/>
  <c r="L1936" i="44"/>
  <c r="H1932" i="44"/>
  <c r="P1930" i="44"/>
  <c r="P1929" i="44"/>
  <c r="L1933" i="44"/>
  <c r="C1936" i="44" s="1"/>
  <c r="H1936" i="44"/>
  <c r="H1930" i="44"/>
  <c r="T1932" i="44"/>
  <c r="T1931" i="44"/>
  <c r="S1936" i="44"/>
  <c r="AE1936" i="44"/>
  <c r="AJ1765" i="44"/>
  <c r="L1766" i="44"/>
  <c r="AJ1766" i="44" s="1"/>
  <c r="L1769" i="44"/>
  <c r="AJ1769" i="44" s="1"/>
  <c r="H1931" i="44"/>
  <c r="T1933" i="44"/>
  <c r="AA1936" i="44"/>
  <c r="T1934" i="44"/>
  <c r="O1936" i="44"/>
  <c r="I1666" i="44"/>
  <c r="AG1666" i="44" s="1"/>
  <c r="I1668" i="44"/>
  <c r="AG1668" i="44" s="1"/>
  <c r="I1669" i="44"/>
  <c r="I1667" i="44"/>
  <c r="AG1667" i="44" s="1"/>
  <c r="AG1665" i="44"/>
  <c r="P1867" i="44"/>
  <c r="P1868" i="44" s="1"/>
  <c r="P1870" i="44"/>
  <c r="P1869" i="44"/>
  <c r="D1832" i="44"/>
  <c r="AB1832" i="44" s="1"/>
  <c r="AB1831" i="44"/>
  <c r="D1878" i="44"/>
  <c r="AB1878" i="44" s="1"/>
  <c r="D1869" i="44"/>
  <c r="D1867" i="44"/>
  <c r="E1729" i="44"/>
  <c r="AC1728" i="44"/>
  <c r="AX408" i="44"/>
  <c r="BB408" i="44" s="1"/>
  <c r="AR1617" i="44"/>
  <c r="AN1618" i="44"/>
  <c r="AR1722" i="44"/>
  <c r="AN1723" i="44"/>
  <c r="AX420" i="44"/>
  <c r="BB420" i="44" s="1"/>
  <c r="H1898" i="44"/>
  <c r="AO1893" i="44" s="1"/>
  <c r="AR1687" i="44"/>
  <c r="AX416" i="44"/>
  <c r="BB416" i="44" s="1"/>
  <c r="AN1688" i="44"/>
  <c r="E1797" i="44"/>
  <c r="AC1796" i="44"/>
  <c r="AB1833" i="44"/>
  <c r="D1835" i="44"/>
  <c r="AB1835" i="44" s="1"/>
  <c r="D1836" i="44"/>
  <c r="AB1836" i="44" s="1"/>
  <c r="D1837" i="44"/>
  <c r="D1834" i="44"/>
  <c r="AB1834" i="44" s="1"/>
  <c r="L1764" i="44"/>
  <c r="AJ1764" i="44" s="1"/>
  <c r="AJ1763" i="44"/>
  <c r="I1832" i="44"/>
  <c r="AG1831" i="44"/>
  <c r="H1832" i="44"/>
  <c r="AF1832" i="44" s="1"/>
  <c r="AF1831" i="44"/>
  <c r="AF1737" i="44"/>
  <c r="H1741" i="44"/>
  <c r="H1738" i="44"/>
  <c r="AF1738" i="44" s="1"/>
  <c r="H1739" i="44"/>
  <c r="AF1739" i="44" s="1"/>
  <c r="H1740" i="44"/>
  <c r="AF1740" i="44" s="1"/>
  <c r="I1797" i="44"/>
  <c r="AG1796" i="44"/>
  <c r="K1900" i="44"/>
  <c r="P1897" i="44"/>
  <c r="AM1936" i="44"/>
  <c r="H1933" i="44"/>
  <c r="AQ1936" i="44"/>
  <c r="X1930" i="44"/>
  <c r="H1835" i="44"/>
  <c r="AF1835" i="44" s="1"/>
  <c r="H1834" i="44"/>
  <c r="AF1834" i="44" s="1"/>
  <c r="H1836" i="44"/>
  <c r="AF1836" i="44" s="1"/>
  <c r="H1837" i="44"/>
  <c r="AF1833" i="44"/>
  <c r="AB1900" i="44"/>
  <c r="AC327" i="43"/>
  <c r="B326" i="43"/>
  <c r="F326" i="43" s="1"/>
  <c r="AK1761" i="44" l="1"/>
  <c r="M1762" i="44"/>
  <c r="AK1762" i="44" s="1"/>
  <c r="M1764" i="44"/>
  <c r="AK1764" i="44" s="1"/>
  <c r="M1765" i="44"/>
  <c r="M1763" i="44"/>
  <c r="AK1763" i="44" s="1"/>
  <c r="U1906" i="44"/>
  <c r="U1903" i="44"/>
  <c r="U1904" i="44" s="1"/>
  <c r="U1905" i="44" s="1"/>
  <c r="AX409" i="44"/>
  <c r="BB409" i="44" s="1"/>
  <c r="AR1618" i="44"/>
  <c r="I1926" i="44"/>
  <c r="AG1926" i="44" s="1"/>
  <c r="I1903" i="44"/>
  <c r="AG1902" i="44"/>
  <c r="I1670" i="44"/>
  <c r="AG1670" i="44" s="1"/>
  <c r="I1673" i="44"/>
  <c r="AG1673" i="44" s="1"/>
  <c r="I1672" i="44"/>
  <c r="AG1672" i="44" s="1"/>
  <c r="AG1669" i="44"/>
  <c r="I1671" i="44"/>
  <c r="AG1671" i="44" s="1"/>
  <c r="T1967" i="44"/>
  <c r="T1968" i="44"/>
  <c r="AE1972" i="44"/>
  <c r="S1972" i="44"/>
  <c r="H1966" i="44"/>
  <c r="H1905" i="44"/>
  <c r="H1903" i="44"/>
  <c r="H1926" i="44"/>
  <c r="AF1926" i="44" s="1"/>
  <c r="AF1902" i="44"/>
  <c r="X1903" i="44"/>
  <c r="X1904" i="44" s="1"/>
  <c r="X1906" i="44"/>
  <c r="X1905" i="44"/>
  <c r="E1732" i="44"/>
  <c r="AC1729" i="44"/>
  <c r="E1730" i="44"/>
  <c r="AN1799" i="44"/>
  <c r="L1821" i="44"/>
  <c r="E1938" i="44"/>
  <c r="AC1938" i="44" s="1"/>
  <c r="D1938" i="44"/>
  <c r="AB1938" i="44" s="1"/>
  <c r="E1695" i="44"/>
  <c r="AC1695" i="44" s="1"/>
  <c r="AC1694" i="44"/>
  <c r="X1966" i="44"/>
  <c r="H1969" i="44"/>
  <c r="AM1972" i="44"/>
  <c r="AQ1972" i="44"/>
  <c r="I1734" i="44"/>
  <c r="AG1734" i="44" s="1"/>
  <c r="I1736" i="44"/>
  <c r="AG1736" i="44" s="1"/>
  <c r="I1735" i="44"/>
  <c r="AG1735" i="44" s="1"/>
  <c r="AG1733" i="44"/>
  <c r="I1737" i="44"/>
  <c r="AK1729" i="44"/>
  <c r="M1732" i="44"/>
  <c r="AK1732" i="44" s="1"/>
  <c r="M1731" i="44"/>
  <c r="AK1731" i="44" s="1"/>
  <c r="M1730" i="44"/>
  <c r="AK1730" i="44" s="1"/>
  <c r="M1733" i="44"/>
  <c r="AK1733" i="44" s="1"/>
  <c r="H1868" i="44"/>
  <c r="AF1868" i="44" s="1"/>
  <c r="AF1867" i="44"/>
  <c r="AC328" i="43"/>
  <c r="B327" i="43"/>
  <c r="F327" i="43" s="1"/>
  <c r="AC1797" i="44"/>
  <c r="E1800" i="44"/>
  <c r="E1798" i="44"/>
  <c r="AB1869" i="44"/>
  <c r="D1873" i="44"/>
  <c r="D1872" i="44"/>
  <c r="AB1872" i="44" s="1"/>
  <c r="D1871" i="44"/>
  <c r="AB1871" i="44" s="1"/>
  <c r="D1870" i="44"/>
  <c r="AB1870" i="44" s="1"/>
  <c r="H1938" i="44"/>
  <c r="I1938" i="44"/>
  <c r="AG1938" i="44" s="1"/>
  <c r="I1766" i="44"/>
  <c r="AG1766" i="44" s="1"/>
  <c r="I1769" i="44"/>
  <c r="I1767" i="44"/>
  <c r="AG1767" i="44" s="1"/>
  <c r="I1768" i="44"/>
  <c r="AG1768" i="44" s="1"/>
  <c r="AG1765" i="44"/>
  <c r="L1832" i="44"/>
  <c r="AJ1832" i="44" s="1"/>
  <c r="AJ1831" i="44"/>
  <c r="H1972" i="44"/>
  <c r="P1965" i="44"/>
  <c r="P1967" i="44"/>
  <c r="H1968" i="44"/>
  <c r="L1967" i="44"/>
  <c r="D1972" i="44"/>
  <c r="P1966" i="44"/>
  <c r="L1968" i="44"/>
  <c r="G1972" i="44" s="1"/>
  <c r="L1972" i="44"/>
  <c r="L1969" i="44"/>
  <c r="C1972" i="44" s="1"/>
  <c r="AF1869" i="44"/>
  <c r="H1870" i="44"/>
  <c r="AF1870" i="44" s="1"/>
  <c r="H1871" i="44"/>
  <c r="AF1871" i="44" s="1"/>
  <c r="H1873" i="44"/>
  <c r="H1872" i="44"/>
  <c r="AF1872" i="44" s="1"/>
  <c r="H1934" i="44"/>
  <c r="AO1929" i="44" s="1"/>
  <c r="I1833" i="44"/>
  <c r="AG1832" i="44"/>
  <c r="AG1701" i="44"/>
  <c r="I1704" i="44"/>
  <c r="AG1704" i="44" s="1"/>
  <c r="I1702" i="44"/>
  <c r="AG1702" i="44" s="1"/>
  <c r="I1705" i="44"/>
  <c r="I1703" i="44"/>
  <c r="AG1703" i="44" s="1"/>
  <c r="E1697" i="44"/>
  <c r="AC1697" i="44" s="1"/>
  <c r="AC1696" i="44"/>
  <c r="AB1936" i="44"/>
  <c r="K1936" i="44"/>
  <c r="P1933" i="44"/>
  <c r="AR1688" i="44"/>
  <c r="AN1689" i="44"/>
  <c r="AX417" i="44"/>
  <c r="BB417" i="44" s="1"/>
  <c r="E1868" i="44"/>
  <c r="AC1867" i="44"/>
  <c r="AF1741" i="44"/>
  <c r="H1743" i="44"/>
  <c r="AF1743" i="44" s="1"/>
  <c r="H1744" i="44"/>
  <c r="AF1744" i="44" s="1"/>
  <c r="H1745" i="44"/>
  <c r="AF1745" i="44" s="1"/>
  <c r="H1742" i="44"/>
  <c r="AF1742" i="44" s="1"/>
  <c r="P1905" i="44"/>
  <c r="P1906" i="44"/>
  <c r="AJ1801" i="44"/>
  <c r="L1805" i="44"/>
  <c r="AJ1805" i="44" s="1"/>
  <c r="L1802" i="44"/>
  <c r="AJ1802" i="44" s="1"/>
  <c r="X1938" i="44"/>
  <c r="Y1938" i="44"/>
  <c r="AJ1833" i="44"/>
  <c r="L1837" i="44"/>
  <c r="L1834" i="44"/>
  <c r="AJ1834" i="44" s="1"/>
  <c r="L1835" i="44"/>
  <c r="L1839" i="44"/>
  <c r="P1938" i="44"/>
  <c r="Q1938" i="44"/>
  <c r="I1800" i="44"/>
  <c r="AG1800" i="44" s="1"/>
  <c r="I1799" i="44"/>
  <c r="AG1799" i="44" s="1"/>
  <c r="I1801" i="44"/>
  <c r="I1798" i="44"/>
  <c r="AG1798" i="44" s="1"/>
  <c r="AG1797" i="44"/>
  <c r="H1838" i="44"/>
  <c r="AF1838" i="44" s="1"/>
  <c r="H1841" i="44"/>
  <c r="AF1837" i="44"/>
  <c r="H1840" i="44"/>
  <c r="AF1840" i="44" s="1"/>
  <c r="H1839" i="44"/>
  <c r="AF1839" i="44" s="1"/>
  <c r="Q1906" i="44"/>
  <c r="Q1903" i="44"/>
  <c r="Q1904" i="44" s="1"/>
  <c r="Q1905" i="44" s="1"/>
  <c r="H1774" i="44"/>
  <c r="AF1774" i="44" s="1"/>
  <c r="H1777" i="44"/>
  <c r="AF1773" i="44"/>
  <c r="H1775" i="44"/>
  <c r="AF1775" i="44" s="1"/>
  <c r="H1776" i="44"/>
  <c r="AF1776" i="44" s="1"/>
  <c r="L1869" i="44"/>
  <c r="L1878" i="44"/>
  <c r="AJ1878" i="44" s="1"/>
  <c r="L1867" i="44"/>
  <c r="AJ1866" i="44"/>
  <c r="E1765" i="44"/>
  <c r="AC1764" i="44"/>
  <c r="L1800" i="44"/>
  <c r="AJ1800" i="44" s="1"/>
  <c r="AJ1799" i="44"/>
  <c r="AJ1936" i="44"/>
  <c r="E1763" i="44"/>
  <c r="AC1763" i="44" s="1"/>
  <c r="AC1762" i="44"/>
  <c r="D2005" i="44"/>
  <c r="D2006" i="44"/>
  <c r="X2001" i="44"/>
  <c r="D2003" i="44"/>
  <c r="D2004" i="44"/>
  <c r="D2002" i="44"/>
  <c r="D2037" i="44"/>
  <c r="X2003" i="44"/>
  <c r="M1902" i="44"/>
  <c r="L1902" i="44"/>
  <c r="H1806" i="44"/>
  <c r="AF1806" i="44" s="1"/>
  <c r="AF1805" i="44"/>
  <c r="H1807" i="44"/>
  <c r="AF1807" i="44" s="1"/>
  <c r="H1808" i="44"/>
  <c r="AF1808" i="44" s="1"/>
  <c r="H1809" i="44"/>
  <c r="M1797" i="44"/>
  <c r="AK1796" i="44"/>
  <c r="AR1763" i="44"/>
  <c r="AN1794" i="44"/>
  <c r="I1868" i="44"/>
  <c r="AG1867" i="44"/>
  <c r="M1878" i="44"/>
  <c r="AK1878" i="44" s="1"/>
  <c r="M1867" i="44"/>
  <c r="AK1866" i="44"/>
  <c r="M1832" i="44"/>
  <c r="AK1831" i="44"/>
  <c r="U1938" i="44"/>
  <c r="T1938" i="44"/>
  <c r="D1905" i="44"/>
  <c r="D1914" i="44"/>
  <c r="AB1914" i="44" s="1"/>
  <c r="D1903" i="44"/>
  <c r="D1840" i="44"/>
  <c r="AB1840" i="44" s="1"/>
  <c r="D1838" i="44"/>
  <c r="AB1838" i="44" s="1"/>
  <c r="D1841" i="44"/>
  <c r="AB1841" i="44" s="1"/>
  <c r="D1839" i="44"/>
  <c r="AB1839" i="44" s="1"/>
  <c r="AB1837" i="44"/>
  <c r="Y1903" i="44"/>
  <c r="Y1904" i="44" s="1"/>
  <c r="Y1905" i="44" s="1"/>
  <c r="Y1906" i="44"/>
  <c r="W1972" i="44"/>
  <c r="T1966" i="44"/>
  <c r="H1965" i="44"/>
  <c r="T1965" i="44"/>
  <c r="AI1972" i="44"/>
  <c r="T1969" i="44"/>
  <c r="AA1972" i="44"/>
  <c r="O1972" i="44"/>
  <c r="T1970" i="44"/>
  <c r="H1967" i="44"/>
  <c r="D1868" i="44"/>
  <c r="AB1868" i="44" s="1"/>
  <c r="AB1867" i="44"/>
  <c r="AF1936" i="44"/>
  <c r="L1804" i="44"/>
  <c r="AJ1804" i="44" s="1"/>
  <c r="AJ1803" i="44"/>
  <c r="AR1723" i="44"/>
  <c r="AX421" i="44"/>
  <c r="BB421" i="44" s="1"/>
  <c r="AN1724" i="44"/>
  <c r="AR1653" i="44"/>
  <c r="AN1654" i="44"/>
  <c r="AX413" i="44"/>
  <c r="BB413" i="44" s="1"/>
  <c r="E1833" i="44"/>
  <c r="AC1832" i="44"/>
  <c r="E1914" i="44"/>
  <c r="AC1914" i="44" s="1"/>
  <c r="E1903" i="44"/>
  <c r="T1903" i="44"/>
  <c r="T1904" i="44" s="1"/>
  <c r="T1905" i="44"/>
  <c r="T1906" i="44"/>
  <c r="AR1758" i="44"/>
  <c r="AX425" i="44"/>
  <c r="BB425" i="44" s="1"/>
  <c r="AN1759" i="44"/>
  <c r="H1970" i="44" l="1"/>
  <c r="AO1965" i="44" s="1"/>
  <c r="E1834" i="44"/>
  <c r="E1836" i="44"/>
  <c r="AC1833" i="44"/>
  <c r="AJ1972" i="44"/>
  <c r="U1942" i="44"/>
  <c r="U1939" i="44"/>
  <c r="U1940" i="44" s="1"/>
  <c r="U1941" i="44" s="1"/>
  <c r="M1914" i="44"/>
  <c r="AK1914" i="44" s="1"/>
  <c r="M1903" i="44"/>
  <c r="AK1902" i="44"/>
  <c r="Q1939" i="44"/>
  <c r="Q1940" i="44" s="1"/>
  <c r="Q1941" i="44" s="1"/>
  <c r="Q1942" i="44"/>
  <c r="AG1833" i="44"/>
  <c r="I1837" i="44"/>
  <c r="I1835" i="44"/>
  <c r="AG1835" i="44" s="1"/>
  <c r="I1834" i="44"/>
  <c r="AG1834" i="44" s="1"/>
  <c r="I1836" i="44"/>
  <c r="AG1836" i="44" s="1"/>
  <c r="E1731" i="44"/>
  <c r="AC1731" i="44" s="1"/>
  <c r="AC1730" i="44"/>
  <c r="H1780" i="44"/>
  <c r="AF1780" i="44" s="1"/>
  <c r="H1778" i="44"/>
  <c r="AF1778" i="44" s="1"/>
  <c r="H1779" i="44"/>
  <c r="AF1779" i="44" s="1"/>
  <c r="H1781" i="44"/>
  <c r="AF1781" i="44" s="1"/>
  <c r="AF1777" i="44"/>
  <c r="E1733" i="44"/>
  <c r="AC1733" i="44" s="1"/>
  <c r="AC1732" i="44"/>
  <c r="AJ1837" i="44"/>
  <c r="L1838" i="44"/>
  <c r="AJ1838" i="44" s="1"/>
  <c r="L1841" i="44"/>
  <c r="AJ1841" i="44" s="1"/>
  <c r="AQ2008" i="44"/>
  <c r="H2005" i="44"/>
  <c r="X2002" i="44"/>
  <c r="AM2008" i="44"/>
  <c r="AR1689" i="44"/>
  <c r="AX418" i="44"/>
  <c r="BB418" i="44" s="1"/>
  <c r="AN1690" i="44"/>
  <c r="L1840" i="44"/>
  <c r="AJ1840" i="44" s="1"/>
  <c r="AJ1839" i="44"/>
  <c r="L1836" i="44"/>
  <c r="AJ1836" i="44" s="1"/>
  <c r="AJ1835" i="44"/>
  <c r="D2040" i="44"/>
  <c r="X2037" i="44"/>
  <c r="D2073" i="44"/>
  <c r="D2041" i="44"/>
  <c r="X2039" i="44"/>
  <c r="D2042" i="44"/>
  <c r="D2038" i="44"/>
  <c r="D2039" i="44"/>
  <c r="W2008" i="44"/>
  <c r="AI2008" i="44"/>
  <c r="T2002" i="44"/>
  <c r="H2001" i="44"/>
  <c r="T2001" i="44"/>
  <c r="I1738" i="44"/>
  <c r="AG1738" i="44" s="1"/>
  <c r="AG1737" i="44"/>
  <c r="I1739" i="44"/>
  <c r="AG1739" i="44" s="1"/>
  <c r="I1741" i="44"/>
  <c r="I1740" i="44"/>
  <c r="AG1740" i="44" s="1"/>
  <c r="I1772" i="44"/>
  <c r="AG1772" i="44" s="1"/>
  <c r="I1770" i="44"/>
  <c r="AG1770" i="44" s="1"/>
  <c r="I1771" i="44"/>
  <c r="AG1771" i="44" s="1"/>
  <c r="I1773" i="44"/>
  <c r="AG1769" i="44"/>
  <c r="H1904" i="44"/>
  <c r="AF1904" i="44" s="1"/>
  <c r="AF1903" i="44"/>
  <c r="H1876" i="44"/>
  <c r="AF1876" i="44" s="1"/>
  <c r="H1875" i="44"/>
  <c r="AF1875" i="44" s="1"/>
  <c r="H1874" i="44"/>
  <c r="AF1874" i="44" s="1"/>
  <c r="H1877" i="44"/>
  <c r="AF1873" i="44"/>
  <c r="T2004" i="44"/>
  <c r="H2002" i="44"/>
  <c r="AE2008" i="44"/>
  <c r="S2008" i="44"/>
  <c r="T2003" i="44"/>
  <c r="X1941" i="44"/>
  <c r="X1939" i="44"/>
  <c r="X1940" i="44" s="1"/>
  <c r="X1942" i="44"/>
  <c r="H1845" i="44"/>
  <c r="H1844" i="44"/>
  <c r="AF1844" i="44" s="1"/>
  <c r="H1843" i="44"/>
  <c r="AF1843" i="44" s="1"/>
  <c r="AF1841" i="44"/>
  <c r="H1842" i="44"/>
  <c r="AF1842" i="44" s="1"/>
  <c r="L1938" i="44"/>
  <c r="M1938" i="44"/>
  <c r="E1974" i="44"/>
  <c r="D1974" i="44"/>
  <c r="E1799" i="44"/>
  <c r="AC1799" i="44" s="1"/>
  <c r="AC1798" i="44"/>
  <c r="H1908" i="44"/>
  <c r="AF1908" i="44" s="1"/>
  <c r="H1906" i="44"/>
  <c r="AF1906" i="44" s="1"/>
  <c r="AF1905" i="44"/>
  <c r="H1907" i="44"/>
  <c r="AF1907" i="44" s="1"/>
  <c r="H1909" i="44"/>
  <c r="D2008" i="44"/>
  <c r="P2003" i="44"/>
  <c r="L2008" i="44"/>
  <c r="P2002" i="44"/>
  <c r="L2004" i="44"/>
  <c r="G2008" i="44" s="1"/>
  <c r="H2004" i="44"/>
  <c r="L2003" i="44"/>
  <c r="L2005" i="44"/>
  <c r="C2008" i="44" s="1"/>
  <c r="P2001" i="44"/>
  <c r="H2008" i="44"/>
  <c r="E1768" i="44"/>
  <c r="E1766" i="44"/>
  <c r="AC1765" i="44"/>
  <c r="E1801" i="44"/>
  <c r="AC1800" i="44"/>
  <c r="AX422" i="44"/>
  <c r="BB422" i="44" s="1"/>
  <c r="AN1725" i="44"/>
  <c r="AR1724" i="44"/>
  <c r="AA2008" i="44"/>
  <c r="O2008" i="44"/>
  <c r="H2003" i="44"/>
  <c r="T2005" i="44"/>
  <c r="T2006" i="44"/>
  <c r="Y1939" i="44"/>
  <c r="Y1940" i="44" s="1"/>
  <c r="Y1941" i="44" s="1"/>
  <c r="Y1942" i="44"/>
  <c r="AK1797" i="44"/>
  <c r="M1801" i="44"/>
  <c r="M1800" i="44"/>
  <c r="AK1800" i="44" s="1"/>
  <c r="M1799" i="44"/>
  <c r="AK1799" i="44" s="1"/>
  <c r="M1798" i="44"/>
  <c r="AK1798" i="44" s="1"/>
  <c r="I1707" i="44"/>
  <c r="AG1707" i="44" s="1"/>
  <c r="AG1705" i="44"/>
  <c r="I1709" i="44"/>
  <c r="AG1709" i="44" s="1"/>
  <c r="I1706" i="44"/>
  <c r="AG1706" i="44" s="1"/>
  <c r="I1708" i="44"/>
  <c r="AG1708" i="44" s="1"/>
  <c r="I1974" i="44"/>
  <c r="AG1974" i="44" s="1"/>
  <c r="H1974" i="44"/>
  <c r="AF1974" i="44" s="1"/>
  <c r="T1974" i="44"/>
  <c r="U1974" i="44"/>
  <c r="AR1654" i="44"/>
  <c r="AX414" i="44"/>
  <c r="BB414" i="44" s="1"/>
  <c r="H1939" i="44"/>
  <c r="H1941" i="44"/>
  <c r="H1962" i="44"/>
  <c r="AF1962" i="44" s="1"/>
  <c r="Y1974" i="44"/>
  <c r="X1974" i="44"/>
  <c r="X1975" i="44" s="1"/>
  <c r="X1976" i="44" s="1"/>
  <c r="I1904" i="44"/>
  <c r="AG1903" i="44"/>
  <c r="AR1759" i="44"/>
  <c r="AN1760" i="44"/>
  <c r="AX426" i="44"/>
  <c r="BB426" i="44" s="1"/>
  <c r="D1941" i="44"/>
  <c r="D1950" i="44"/>
  <c r="AB1950" i="44" s="1"/>
  <c r="D1939" i="44"/>
  <c r="AF1972" i="44"/>
  <c r="AK1765" i="44"/>
  <c r="M1767" i="44"/>
  <c r="AK1767" i="44" s="1"/>
  <c r="M1768" i="44"/>
  <c r="AK1768" i="44" s="1"/>
  <c r="M1769" i="44"/>
  <c r="AK1769" i="44" s="1"/>
  <c r="M1766" i="44"/>
  <c r="AK1766" i="44" s="1"/>
  <c r="P1939" i="44"/>
  <c r="P1940" i="44" s="1"/>
  <c r="P1942" i="44"/>
  <c r="P1941" i="44"/>
  <c r="M1833" i="44"/>
  <c r="AK1832" i="44"/>
  <c r="I1939" i="44"/>
  <c r="I1962" i="44"/>
  <c r="AG1962" i="44" s="1"/>
  <c r="M1868" i="44"/>
  <c r="AK1867" i="44"/>
  <c r="E1869" i="44"/>
  <c r="AC1868" i="44"/>
  <c r="AF1938" i="44"/>
  <c r="D1874" i="44"/>
  <c r="AB1874" i="44" s="1"/>
  <c r="D1875" i="44"/>
  <c r="AB1875" i="44" s="1"/>
  <c r="AB1873" i="44"/>
  <c r="D1877" i="44"/>
  <c r="AB1877" i="44" s="1"/>
  <c r="D1876" i="44"/>
  <c r="AB1876" i="44" s="1"/>
  <c r="AN1795" i="44"/>
  <c r="AX430" i="44"/>
  <c r="BB430" i="44" s="1"/>
  <c r="AR1794" i="44"/>
  <c r="H1811" i="44"/>
  <c r="AF1811" i="44" s="1"/>
  <c r="AF1809" i="44"/>
  <c r="H1812" i="44"/>
  <c r="AF1812" i="44" s="1"/>
  <c r="H1813" i="44"/>
  <c r="H1810" i="44"/>
  <c r="AF1810" i="44" s="1"/>
  <c r="L1868" i="44"/>
  <c r="AJ1868" i="44" s="1"/>
  <c r="AJ1867" i="44"/>
  <c r="E1904" i="44"/>
  <c r="AC1903" i="44"/>
  <c r="I1804" i="44"/>
  <c r="AG1804" i="44" s="1"/>
  <c r="I1805" i="44"/>
  <c r="I1803" i="44"/>
  <c r="AG1803" i="44" s="1"/>
  <c r="AG1801" i="44"/>
  <c r="I1802" i="44"/>
  <c r="AG1802" i="44" s="1"/>
  <c r="AC329" i="43"/>
  <c r="B328" i="43"/>
  <c r="F328" i="43" s="1"/>
  <c r="E1939" i="44"/>
  <c r="E1950" i="44"/>
  <c r="AC1950" i="44" s="1"/>
  <c r="I1869" i="44"/>
  <c r="AG1868" i="44"/>
  <c r="D1904" i="44"/>
  <c r="AB1904" i="44" s="1"/>
  <c r="AB1903" i="44"/>
  <c r="P1974" i="44"/>
  <c r="Q1974" i="44"/>
  <c r="AB1972" i="44"/>
  <c r="D1909" i="44"/>
  <c r="D1907" i="44"/>
  <c r="AB1907" i="44" s="1"/>
  <c r="D1906" i="44"/>
  <c r="AB1906" i="44" s="1"/>
  <c r="D1908" i="44"/>
  <c r="AB1908" i="44" s="1"/>
  <c r="AB1905" i="44"/>
  <c r="AJ1869" i="44"/>
  <c r="L1873" i="44"/>
  <c r="L1871" i="44"/>
  <c r="L1875" i="44"/>
  <c r="L1870" i="44"/>
  <c r="AJ1870" i="44" s="1"/>
  <c r="P1969" i="44"/>
  <c r="K1972" i="44"/>
  <c r="AN1835" i="44"/>
  <c r="L1857" i="44"/>
  <c r="T1939" i="44"/>
  <c r="T1940" i="44" s="1"/>
  <c r="T1941" i="44"/>
  <c r="T1942" i="44"/>
  <c r="L1905" i="44"/>
  <c r="L1914" i="44"/>
  <c r="AJ1914" i="44" s="1"/>
  <c r="L1903" i="44"/>
  <c r="AJ1902" i="44"/>
  <c r="AR1799" i="44"/>
  <c r="AN1830" i="44"/>
  <c r="AB2008" i="44" l="1"/>
  <c r="H1817" i="44"/>
  <c r="AF1817" i="44" s="1"/>
  <c r="H1816" i="44"/>
  <c r="AF1816" i="44" s="1"/>
  <c r="H1815" i="44"/>
  <c r="AF1815" i="44" s="1"/>
  <c r="AF1813" i="44"/>
  <c r="H1814" i="44"/>
  <c r="AF1814" i="44" s="1"/>
  <c r="M1869" i="44"/>
  <c r="AK1868" i="44"/>
  <c r="AK1801" i="44"/>
  <c r="M1804" i="44"/>
  <c r="AK1804" i="44" s="1"/>
  <c r="M1803" i="44"/>
  <c r="AK1803" i="44" s="1"/>
  <c r="M1805" i="44"/>
  <c r="AK1805" i="44" s="1"/>
  <c r="M1802" i="44"/>
  <c r="AK1802" i="44" s="1"/>
  <c r="E1769" i="44"/>
  <c r="AC1769" i="44" s="1"/>
  <c r="AC1768" i="44"/>
  <c r="H2006" i="44"/>
  <c r="AO2001" i="44" s="1"/>
  <c r="AX419" i="44"/>
  <c r="BB419" i="44" s="1"/>
  <c r="AR1690" i="44"/>
  <c r="I1940" i="44"/>
  <c r="AG1939" i="44"/>
  <c r="I2010" i="44"/>
  <c r="AG2010" i="44" s="1"/>
  <c r="H2010" i="44"/>
  <c r="AG1773" i="44"/>
  <c r="I1776" i="44"/>
  <c r="AG1776" i="44" s="1"/>
  <c r="I1774" i="44"/>
  <c r="AG1774" i="44" s="1"/>
  <c r="I1777" i="44"/>
  <c r="I1775" i="44"/>
  <c r="AG1775" i="44" s="1"/>
  <c r="AA2044" i="44"/>
  <c r="T2042" i="44"/>
  <c r="O2044" i="44"/>
  <c r="H2039" i="44"/>
  <c r="T2041" i="44"/>
  <c r="I1839" i="44"/>
  <c r="AG1839" i="44" s="1"/>
  <c r="I1838" i="44"/>
  <c r="AG1838" i="44" s="1"/>
  <c r="AG1837" i="44"/>
  <c r="I1840" i="44"/>
  <c r="AG1840" i="44" s="1"/>
  <c r="I1841" i="44"/>
  <c r="AJ2008" i="44"/>
  <c r="Y2010" i="44"/>
  <c r="X2010" i="44"/>
  <c r="I1905" i="44"/>
  <c r="AG1904" i="44"/>
  <c r="L1876" i="44"/>
  <c r="AJ1876" i="44" s="1"/>
  <c r="AJ1875" i="44"/>
  <c r="Q2010" i="44"/>
  <c r="P2010" i="44"/>
  <c r="AN1866" i="44"/>
  <c r="AR1835" i="44"/>
  <c r="D2010" i="44"/>
  <c r="AB2010" i="44" s="1"/>
  <c r="E2010" i="44"/>
  <c r="AC2010" i="44" s="1"/>
  <c r="K2008" i="44"/>
  <c r="P2005" i="44"/>
  <c r="Y1975" i="44"/>
  <c r="Y1976" i="44" s="1"/>
  <c r="Y1977" i="44" s="1"/>
  <c r="Y1978" i="44"/>
  <c r="L1872" i="44"/>
  <c r="AJ1872" i="44" s="1"/>
  <c r="AJ1871" i="44"/>
  <c r="H1942" i="44"/>
  <c r="AF1942" i="44" s="1"/>
  <c r="H1943" i="44"/>
  <c r="AF1943" i="44" s="1"/>
  <c r="H1945" i="44"/>
  <c r="H1944" i="44"/>
  <c r="AF1944" i="44" s="1"/>
  <c r="AF1941" i="44"/>
  <c r="H2038" i="44"/>
  <c r="T2039" i="44"/>
  <c r="T2040" i="44"/>
  <c r="AE2044" i="44"/>
  <c r="S2044" i="44"/>
  <c r="AR1795" i="44"/>
  <c r="AX431" i="44"/>
  <c r="BB431" i="44" s="1"/>
  <c r="AN1796" i="44"/>
  <c r="I1807" i="44"/>
  <c r="AG1807" i="44" s="1"/>
  <c r="I1808" i="44"/>
  <c r="AG1808" i="44" s="1"/>
  <c r="I1806" i="44"/>
  <c r="AG1806" i="44" s="1"/>
  <c r="AG1805" i="44"/>
  <c r="I1809" i="44"/>
  <c r="H1940" i="44"/>
  <c r="AF1940" i="44" s="1"/>
  <c r="AF1939" i="44"/>
  <c r="U2010" i="44"/>
  <c r="T2010" i="44"/>
  <c r="D2077" i="44"/>
  <c r="D2078" i="44"/>
  <c r="X2075" i="44"/>
  <c r="X2073" i="44"/>
  <c r="D2076" i="44"/>
  <c r="D2109" i="44"/>
  <c r="D2074" i="44"/>
  <c r="D2075" i="44"/>
  <c r="AF2008" i="44"/>
  <c r="AQ2044" i="44"/>
  <c r="H2041" i="44"/>
  <c r="X2038" i="44"/>
  <c r="AM2044" i="44"/>
  <c r="AK1833" i="44"/>
  <c r="M1836" i="44"/>
  <c r="AK1836" i="44" s="1"/>
  <c r="M1835" i="44"/>
  <c r="AK1835" i="44" s="1"/>
  <c r="M1834" i="44"/>
  <c r="AK1834" i="44" s="1"/>
  <c r="M1837" i="44"/>
  <c r="AX435" i="44"/>
  <c r="BB435" i="44" s="1"/>
  <c r="AN1831" i="44"/>
  <c r="AR1830" i="44"/>
  <c r="AF1909" i="44"/>
  <c r="H1910" i="44"/>
  <c r="AF1910" i="44" s="1"/>
  <c r="H1911" i="44"/>
  <c r="AF1911" i="44" s="1"/>
  <c r="H1912" i="44"/>
  <c r="AF1912" i="44" s="1"/>
  <c r="H1913" i="44"/>
  <c r="I1745" i="44"/>
  <c r="AG1745" i="44" s="1"/>
  <c r="I1743" i="44"/>
  <c r="AG1743" i="44" s="1"/>
  <c r="AG1741" i="44"/>
  <c r="I1742" i="44"/>
  <c r="AG1742" i="44" s="1"/>
  <c r="I1744" i="44"/>
  <c r="AG1744" i="44" s="1"/>
  <c r="W2044" i="44"/>
  <c r="H2037" i="44"/>
  <c r="T2037" i="44"/>
  <c r="T2038" i="44"/>
  <c r="AI2044" i="44"/>
  <c r="M1904" i="44"/>
  <c r="AK1903" i="44"/>
  <c r="AX427" i="44"/>
  <c r="BB427" i="44" s="1"/>
  <c r="AR1760" i="44"/>
  <c r="AN1761" i="44"/>
  <c r="H2044" i="44"/>
  <c r="P2037" i="44"/>
  <c r="P2038" i="44"/>
  <c r="D2044" i="44"/>
  <c r="H2040" i="44"/>
  <c r="L2040" i="44"/>
  <c r="G2044" i="44" s="1"/>
  <c r="L2041" i="44"/>
  <c r="C2044" i="44" s="1"/>
  <c r="L2044" i="44"/>
  <c r="P2039" i="44"/>
  <c r="L2039" i="44"/>
  <c r="L1904" i="44"/>
  <c r="AJ1904" i="44" s="1"/>
  <c r="AJ1903" i="44"/>
  <c r="Q1978" i="44"/>
  <c r="Q1975" i="44"/>
  <c r="Q1976" i="44" s="1"/>
  <c r="Q1977" i="44" s="1"/>
  <c r="U1975" i="44"/>
  <c r="U1976" i="44" s="1"/>
  <c r="U1977" i="44" s="1"/>
  <c r="U1978" i="44"/>
  <c r="E1837" i="44"/>
  <c r="AC1836" i="44"/>
  <c r="I1873" i="44"/>
  <c r="I1871" i="44"/>
  <c r="AG1871" i="44" s="1"/>
  <c r="I1870" i="44"/>
  <c r="AG1870" i="44" s="1"/>
  <c r="AG1869" i="44"/>
  <c r="I1872" i="44"/>
  <c r="AG1872" i="44" s="1"/>
  <c r="AN1871" i="44"/>
  <c r="L1893" i="44"/>
  <c r="AC330" i="43"/>
  <c r="B329" i="43"/>
  <c r="F329" i="43" s="1"/>
  <c r="I1975" i="44"/>
  <c r="I1998" i="44"/>
  <c r="AG1998" i="44" s="1"/>
  <c r="AJ1873" i="44"/>
  <c r="L1874" i="44"/>
  <c r="AJ1874" i="44" s="1"/>
  <c r="L1877" i="44"/>
  <c r="AJ1877" i="44" s="1"/>
  <c r="AN1726" i="44"/>
  <c r="AR1725" i="44"/>
  <c r="AX423" i="44"/>
  <c r="BB423" i="44" s="1"/>
  <c r="E1905" i="44"/>
  <c r="AC1904" i="44"/>
  <c r="AJ1905" i="44"/>
  <c r="L1907" i="44"/>
  <c r="L1911" i="44"/>
  <c r="L1909" i="44"/>
  <c r="L1906" i="44"/>
  <c r="AJ1906" i="44" s="1"/>
  <c r="P1977" i="44"/>
  <c r="P1975" i="44"/>
  <c r="P1976" i="44" s="1"/>
  <c r="P1978" i="44"/>
  <c r="D1940" i="44"/>
  <c r="AB1940" i="44" s="1"/>
  <c r="AB1939" i="44"/>
  <c r="T1978" i="44"/>
  <c r="T1975" i="44"/>
  <c r="T1976" i="44" s="1"/>
  <c r="T1977" i="44"/>
  <c r="AC1801" i="44"/>
  <c r="E1802" i="44"/>
  <c r="E1804" i="44"/>
  <c r="E1835" i="44"/>
  <c r="AC1835" i="44" s="1"/>
  <c r="AC1834" i="44"/>
  <c r="H1849" i="44"/>
  <c r="AF1845" i="44"/>
  <c r="H1847" i="44"/>
  <c r="AF1847" i="44" s="1"/>
  <c r="H1848" i="44"/>
  <c r="AF1848" i="44" s="1"/>
  <c r="H1846" i="44"/>
  <c r="AF1846" i="44" s="1"/>
  <c r="H1998" i="44"/>
  <c r="AF1998" i="44" s="1"/>
  <c r="H1975" i="44"/>
  <c r="H1977" i="44"/>
  <c r="AB1974" i="44"/>
  <c r="D1986" i="44"/>
  <c r="AB1986" i="44" s="1"/>
  <c r="D1977" i="44"/>
  <c r="D1975" i="44"/>
  <c r="M1950" i="44"/>
  <c r="AK1950" i="44" s="1"/>
  <c r="M1939" i="44"/>
  <c r="AK1938" i="44"/>
  <c r="H1881" i="44"/>
  <c r="H1878" i="44"/>
  <c r="AF1878" i="44" s="1"/>
  <c r="H1879" i="44"/>
  <c r="AF1879" i="44" s="1"/>
  <c r="H1880" i="44"/>
  <c r="AF1880" i="44" s="1"/>
  <c r="AF1877" i="44"/>
  <c r="E1940" i="44"/>
  <c r="AC1939" i="44"/>
  <c r="L1974" i="44"/>
  <c r="M1974" i="44"/>
  <c r="X1978" i="44"/>
  <c r="X1977" i="44"/>
  <c r="AC1869" i="44"/>
  <c r="E1872" i="44"/>
  <c r="E1870" i="44"/>
  <c r="D1910" i="44"/>
  <c r="AB1910" i="44" s="1"/>
  <c r="D1911" i="44"/>
  <c r="AB1911" i="44" s="1"/>
  <c r="D1912" i="44"/>
  <c r="AB1912" i="44" s="1"/>
  <c r="D1913" i="44"/>
  <c r="AB1913" i="44" s="1"/>
  <c r="AB1909" i="44"/>
  <c r="AB1941" i="44"/>
  <c r="D1945" i="44"/>
  <c r="D1943" i="44"/>
  <c r="AB1943" i="44" s="1"/>
  <c r="D1944" i="44"/>
  <c r="AB1944" i="44" s="1"/>
  <c r="D1942" i="44"/>
  <c r="AB1942" i="44" s="1"/>
  <c r="E1767" i="44"/>
  <c r="AC1767" i="44" s="1"/>
  <c r="AC1766" i="44"/>
  <c r="AC1974" i="44"/>
  <c r="E1975" i="44"/>
  <c r="E1986" i="44"/>
  <c r="AC1986" i="44" s="1"/>
  <c r="L1950" i="44"/>
  <c r="AJ1950" i="44" s="1"/>
  <c r="L1941" i="44"/>
  <c r="L1939" i="44"/>
  <c r="AJ1938" i="44"/>
  <c r="H2042" i="44" l="1"/>
  <c r="AO2037" i="44" s="1"/>
  <c r="E1941" i="44"/>
  <c r="AC1940" i="44"/>
  <c r="I1976" i="44"/>
  <c r="AG1975" i="44"/>
  <c r="M1905" i="44"/>
  <c r="AK1904" i="44"/>
  <c r="AQ2080" i="44"/>
  <c r="AM2080" i="44"/>
  <c r="H2077" i="44"/>
  <c r="X2074" i="44"/>
  <c r="U2046" i="44"/>
  <c r="T2046" i="44"/>
  <c r="Q2014" i="44"/>
  <c r="Q2011" i="44"/>
  <c r="Q2012" i="44" s="1"/>
  <c r="Q2013" i="44" s="1"/>
  <c r="AJ2044" i="44"/>
  <c r="AR1831" i="44"/>
  <c r="AX436" i="44"/>
  <c r="BB436" i="44" s="1"/>
  <c r="AN1832" i="44"/>
  <c r="AF2044" i="44"/>
  <c r="Y2011" i="44"/>
  <c r="Y2012" i="44" s="1"/>
  <c r="Y2013" i="44" s="1"/>
  <c r="Y2014" i="44"/>
  <c r="B330" i="43"/>
  <c r="F330" i="43" s="1"/>
  <c r="AC331" i="43"/>
  <c r="I1908" i="44"/>
  <c r="AG1908" i="44" s="1"/>
  <c r="I1906" i="44"/>
  <c r="AG1906" i="44" s="1"/>
  <c r="AG1905" i="44"/>
  <c r="I1907" i="44"/>
  <c r="AG1907" i="44" s="1"/>
  <c r="I1909" i="44"/>
  <c r="X2013" i="44"/>
  <c r="X2014" i="44"/>
  <c r="P2041" i="44"/>
  <c r="K2044" i="44"/>
  <c r="L1912" i="44"/>
  <c r="AJ1912" i="44" s="1"/>
  <c r="AJ1911" i="44"/>
  <c r="L1908" i="44"/>
  <c r="AJ1908" i="44" s="1"/>
  <c r="AJ1907" i="44"/>
  <c r="U2011" i="44"/>
  <c r="U2012" i="44" s="1"/>
  <c r="U2013" i="44" s="1"/>
  <c r="U2014" i="44"/>
  <c r="S2080" i="44"/>
  <c r="H2074" i="44"/>
  <c r="AE2080" i="44"/>
  <c r="T2076" i="44"/>
  <c r="T2075" i="44"/>
  <c r="AN1902" i="44"/>
  <c r="AR1871" i="44"/>
  <c r="AF1945" i="44"/>
  <c r="H1947" i="44"/>
  <c r="AF1947" i="44" s="1"/>
  <c r="H1948" i="44"/>
  <c r="AF1948" i="44" s="1"/>
  <c r="H1946" i="44"/>
  <c r="AF1946" i="44" s="1"/>
  <c r="H1949" i="44"/>
  <c r="X2011" i="44"/>
  <c r="X2012" i="44" s="1"/>
  <c r="E1805" i="44"/>
  <c r="AC1805" i="44" s="1"/>
  <c r="AC1804" i="44"/>
  <c r="AC1905" i="44"/>
  <c r="E1906" i="44"/>
  <c r="E1908" i="44"/>
  <c r="AJ1941" i="44"/>
  <c r="L1947" i="44"/>
  <c r="L1945" i="44"/>
  <c r="L1942" i="44"/>
  <c r="AJ1942" i="44" s="1"/>
  <c r="L1943" i="44"/>
  <c r="D1976" i="44"/>
  <c r="AB1976" i="44" s="1"/>
  <c r="AB1975" i="44"/>
  <c r="I1877" i="44"/>
  <c r="I1876" i="44"/>
  <c r="AG1876" i="44" s="1"/>
  <c r="I1875" i="44"/>
  <c r="AG1875" i="44" s="1"/>
  <c r="AG1873" i="44"/>
  <c r="I1874" i="44"/>
  <c r="AG1874" i="44" s="1"/>
  <c r="E2011" i="44"/>
  <c r="E2022" i="44"/>
  <c r="AC2022" i="44" s="1"/>
  <c r="AK1869" i="44"/>
  <c r="M1873" i="44"/>
  <c r="M1870" i="44"/>
  <c r="AK1870" i="44" s="1"/>
  <c r="M1871" i="44"/>
  <c r="AK1871" i="44" s="1"/>
  <c r="M1872" i="44"/>
  <c r="AK1872" i="44" s="1"/>
  <c r="AA2080" i="44"/>
  <c r="T2078" i="44"/>
  <c r="O2080" i="44"/>
  <c r="H2075" i="44"/>
  <c r="T2077" i="44"/>
  <c r="D1946" i="44"/>
  <c r="AB1946" i="44" s="1"/>
  <c r="D1948" i="44"/>
  <c r="AB1948" i="44" s="1"/>
  <c r="D1947" i="44"/>
  <c r="AB1947" i="44" s="1"/>
  <c r="D1949" i="44"/>
  <c r="AB1949" i="44" s="1"/>
  <c r="AB1945" i="44"/>
  <c r="T2011" i="44"/>
  <c r="T2012" i="44" s="1"/>
  <c r="T2013" i="44"/>
  <c r="T2014" i="44"/>
  <c r="D2013" i="44"/>
  <c r="D2022" i="44"/>
  <c r="AB2022" i="44" s="1"/>
  <c r="D2011" i="44"/>
  <c r="Q2046" i="44"/>
  <c r="P2046" i="44"/>
  <c r="H2034" i="44"/>
  <c r="AF2034" i="44" s="1"/>
  <c r="H2011" i="44"/>
  <c r="H2013" i="44"/>
  <c r="P2013" i="44"/>
  <c r="P2011" i="44"/>
  <c r="P2012" i="44" s="1"/>
  <c r="P2014" i="44"/>
  <c r="H1850" i="44"/>
  <c r="AF1850" i="44" s="1"/>
  <c r="H1851" i="44"/>
  <c r="AF1851" i="44" s="1"/>
  <c r="AF1849" i="44"/>
  <c r="H1853" i="44"/>
  <c r="AF1853" i="44" s="1"/>
  <c r="H1852" i="44"/>
  <c r="AF1852" i="44" s="1"/>
  <c r="H1884" i="44"/>
  <c r="AF1884" i="44" s="1"/>
  <c r="H1882" i="44"/>
  <c r="AF1882" i="44" s="1"/>
  <c r="H1885" i="44"/>
  <c r="AF1881" i="44"/>
  <c r="H1883" i="44"/>
  <c r="AF1883" i="44" s="1"/>
  <c r="Y2046" i="44"/>
  <c r="X2046" i="44"/>
  <c r="M1940" i="44"/>
  <c r="AK1939" i="44"/>
  <c r="E1871" i="44"/>
  <c r="AC1871" i="44" s="1"/>
  <c r="AC1870" i="44"/>
  <c r="E1873" i="44"/>
  <c r="AC1872" i="44"/>
  <c r="AX424" i="44"/>
  <c r="BB424" i="44" s="1"/>
  <c r="AR1726" i="44"/>
  <c r="E1840" i="44"/>
  <c r="AC1837" i="44"/>
  <c r="E1838" i="44"/>
  <c r="H1914" i="44"/>
  <c r="AF1914" i="44" s="1"/>
  <c r="AF1913" i="44"/>
  <c r="H1915" i="44"/>
  <c r="AF1915" i="44" s="1"/>
  <c r="H1916" i="44"/>
  <c r="AF1916" i="44" s="1"/>
  <c r="H1917" i="44"/>
  <c r="AF2010" i="44"/>
  <c r="I2034" i="44"/>
  <c r="AG2034" i="44" s="1"/>
  <c r="I2011" i="44"/>
  <c r="W2080" i="44"/>
  <c r="AI2080" i="44"/>
  <c r="H2073" i="44"/>
  <c r="T2073" i="44"/>
  <c r="T2074" i="44"/>
  <c r="AJ1909" i="44"/>
  <c r="L1913" i="44"/>
  <c r="AJ1913" i="44" s="1"/>
  <c r="L1910" i="44"/>
  <c r="AJ1910" i="44" s="1"/>
  <c r="AK1837" i="44"/>
  <c r="M1840" i="44"/>
  <c r="AK1840" i="44" s="1"/>
  <c r="M1838" i="44"/>
  <c r="AK1838" i="44" s="1"/>
  <c r="M1841" i="44"/>
  <c r="AK1841" i="44" s="1"/>
  <c r="M1839" i="44"/>
  <c r="AK1839" i="44" s="1"/>
  <c r="D2046" i="44"/>
  <c r="E2046" i="44"/>
  <c r="I1811" i="44"/>
  <c r="AG1811" i="44" s="1"/>
  <c r="I1812" i="44"/>
  <c r="AG1812" i="44" s="1"/>
  <c r="I1813" i="44"/>
  <c r="AG1809" i="44"/>
  <c r="I1810" i="44"/>
  <c r="AG1810" i="44" s="1"/>
  <c r="AN1762" i="44"/>
  <c r="AR1761" i="44"/>
  <c r="AX428" i="44"/>
  <c r="BB428" i="44" s="1"/>
  <c r="L2076" i="44"/>
  <c r="G2080" i="44" s="1"/>
  <c r="H2080" i="44"/>
  <c r="P2073" i="44"/>
  <c r="P2075" i="44"/>
  <c r="P2074" i="44"/>
  <c r="L2075" i="44"/>
  <c r="L2080" i="44"/>
  <c r="H2076" i="44"/>
  <c r="L2077" i="44"/>
  <c r="C2080" i="44" s="1"/>
  <c r="D2080" i="44"/>
  <c r="L2010" i="44"/>
  <c r="M2010" i="44"/>
  <c r="AX440" i="44"/>
  <c r="BB440" i="44" s="1"/>
  <c r="AR1866" i="44"/>
  <c r="AN1867" i="44"/>
  <c r="AB2044" i="44"/>
  <c r="I1842" i="44"/>
  <c r="AG1842" i="44" s="1"/>
  <c r="I1845" i="44"/>
  <c r="AG1841" i="44"/>
  <c r="I1844" i="44"/>
  <c r="AG1844" i="44" s="1"/>
  <c r="I1843" i="44"/>
  <c r="AG1843" i="44" s="1"/>
  <c r="I2046" i="44"/>
  <c r="H2046" i="44"/>
  <c r="L1940" i="44"/>
  <c r="AJ1940" i="44" s="1"/>
  <c r="AJ1939" i="44"/>
  <c r="E1803" i="44"/>
  <c r="AC1803" i="44" s="1"/>
  <c r="AC1802" i="44"/>
  <c r="D1978" i="44"/>
  <c r="AB1978" i="44" s="1"/>
  <c r="D1981" i="44"/>
  <c r="D1980" i="44"/>
  <c r="AB1980" i="44" s="1"/>
  <c r="AB1977" i="44"/>
  <c r="D1979" i="44"/>
  <c r="AB1979" i="44" s="1"/>
  <c r="E1976" i="44"/>
  <c r="AC1975" i="44"/>
  <c r="M1986" i="44"/>
  <c r="AK1986" i="44" s="1"/>
  <c r="M1975" i="44"/>
  <c r="AK1974" i="44"/>
  <c r="H1981" i="44"/>
  <c r="H1979" i="44"/>
  <c r="AF1979" i="44" s="1"/>
  <c r="H1980" i="44"/>
  <c r="AF1980" i="44" s="1"/>
  <c r="H1978" i="44"/>
  <c r="AF1978" i="44" s="1"/>
  <c r="AF1977" i="44"/>
  <c r="AX432" i="44"/>
  <c r="BB432" i="44" s="1"/>
  <c r="AN1797" i="44"/>
  <c r="AR1796" i="44"/>
  <c r="I1941" i="44"/>
  <c r="AG1940" i="44"/>
  <c r="L1929" i="44"/>
  <c r="AN1907" i="44"/>
  <c r="L1977" i="44"/>
  <c r="L1986" i="44"/>
  <c r="AJ1986" i="44" s="1"/>
  <c r="L1975" i="44"/>
  <c r="AJ1974" i="44"/>
  <c r="H1976" i="44"/>
  <c r="AF1976" i="44" s="1"/>
  <c r="AF1975" i="44"/>
  <c r="D2113" i="44"/>
  <c r="D2114" i="44"/>
  <c r="D2112" i="44"/>
  <c r="X2109" i="44"/>
  <c r="D2145" i="44"/>
  <c r="X2111" i="44"/>
  <c r="D2110" i="44"/>
  <c r="D2111" i="44"/>
  <c r="AG1777" i="44"/>
  <c r="I1778" i="44"/>
  <c r="AG1778" i="44" s="1"/>
  <c r="I1781" i="44"/>
  <c r="AG1781" i="44" s="1"/>
  <c r="I1780" i="44"/>
  <c r="AG1780" i="44" s="1"/>
  <c r="I1779" i="44"/>
  <c r="AG1779" i="44" s="1"/>
  <c r="AJ2080" i="44" l="1"/>
  <c r="AB2080" i="44"/>
  <c r="AX441" i="44"/>
  <c r="BB441" i="44" s="1"/>
  <c r="AR1867" i="44"/>
  <c r="AN1868" i="44"/>
  <c r="E2047" i="44"/>
  <c r="E2058" i="44"/>
  <c r="AC2058" i="44" s="1"/>
  <c r="D2058" i="44"/>
  <c r="AB2058" i="44" s="1"/>
  <c r="D2049" i="44"/>
  <c r="D2047" i="44"/>
  <c r="M2046" i="44"/>
  <c r="L2046" i="44"/>
  <c r="L1944" i="44"/>
  <c r="AJ1944" i="44" s="1"/>
  <c r="AJ1943" i="44"/>
  <c r="AR1902" i="44"/>
  <c r="AX445" i="44"/>
  <c r="BB445" i="44" s="1"/>
  <c r="AN1903" i="44"/>
  <c r="AM2116" i="44"/>
  <c r="AQ2116" i="44"/>
  <c r="X2110" i="44"/>
  <c r="H2113" i="44"/>
  <c r="T2114" i="44"/>
  <c r="H2111" i="44"/>
  <c r="O2116" i="44"/>
  <c r="T2113" i="44"/>
  <c r="AA2116" i="44"/>
  <c r="M1941" i="44"/>
  <c r="AK1940" i="44"/>
  <c r="AN1833" i="44"/>
  <c r="AR1832" i="44"/>
  <c r="AX437" i="44"/>
  <c r="BB437" i="44" s="1"/>
  <c r="X2050" i="44"/>
  <c r="X2047" i="44"/>
  <c r="X2048" i="44" s="1"/>
  <c r="X2049" i="44"/>
  <c r="E2082" i="44"/>
  <c r="AC2082" i="44" s="1"/>
  <c r="D2082" i="44"/>
  <c r="AB2082" i="44" s="1"/>
  <c r="M1976" i="44"/>
  <c r="AK1975" i="44"/>
  <c r="AJ1945" i="44"/>
  <c r="L1949" i="44"/>
  <c r="AJ1949" i="44" s="1"/>
  <c r="L1946" i="44"/>
  <c r="AJ1946" i="44" s="1"/>
  <c r="U2047" i="44"/>
  <c r="U2048" i="44" s="1"/>
  <c r="U2049" i="44" s="1"/>
  <c r="U2050" i="44"/>
  <c r="AX429" i="44"/>
  <c r="BB429" i="44" s="1"/>
  <c r="AR1762" i="44"/>
  <c r="I1880" i="44"/>
  <c r="AG1880" i="44" s="1"/>
  <c r="I1879" i="44"/>
  <c r="AG1879" i="44" s="1"/>
  <c r="I1878" i="44"/>
  <c r="AG1878" i="44" s="1"/>
  <c r="AG1877" i="44"/>
  <c r="I1881" i="44"/>
  <c r="H2012" i="44"/>
  <c r="AF2012" i="44" s="1"/>
  <c r="AF2011" i="44"/>
  <c r="Q2047" i="44"/>
  <c r="Q2048" i="44" s="1"/>
  <c r="Q2049" i="44" s="1"/>
  <c r="Q2050" i="44"/>
  <c r="H1888" i="44"/>
  <c r="AF1888" i="44" s="1"/>
  <c r="H1887" i="44"/>
  <c r="AF1887" i="44" s="1"/>
  <c r="H1886" i="44"/>
  <c r="AF1886" i="44" s="1"/>
  <c r="H1889" i="44"/>
  <c r="AF1889" i="44" s="1"/>
  <c r="AF1885" i="44"/>
  <c r="AF2080" i="44"/>
  <c r="Y2082" i="44"/>
  <c r="X2082" i="44"/>
  <c r="X2083" i="44" s="1"/>
  <c r="X2084" i="44" s="1"/>
  <c r="E1841" i="44"/>
  <c r="AC1841" i="44" s="1"/>
  <c r="AC1840" i="44"/>
  <c r="H2078" i="44"/>
  <c r="AO2073" i="44" s="1"/>
  <c r="AK1905" i="44"/>
  <c r="M1907" i="44"/>
  <c r="AK1907" i="44" s="1"/>
  <c r="M1908" i="44"/>
  <c r="AK1908" i="44" s="1"/>
  <c r="M1906" i="44"/>
  <c r="AK1906" i="44" s="1"/>
  <c r="M1909" i="44"/>
  <c r="AF2013" i="44"/>
  <c r="H2017" i="44"/>
  <c r="H2014" i="44"/>
  <c r="AF2014" i="44" s="1"/>
  <c r="H2016" i="44"/>
  <c r="AF2016" i="44" s="1"/>
  <c r="H2015" i="44"/>
  <c r="AF2015" i="44" s="1"/>
  <c r="D2012" i="44"/>
  <c r="AB2012" i="44" s="1"/>
  <c r="AB2011" i="44"/>
  <c r="L1948" i="44"/>
  <c r="AJ1948" i="44" s="1"/>
  <c r="AJ1947" i="44"/>
  <c r="AB2013" i="44"/>
  <c r="D2016" i="44"/>
  <c r="AB2016" i="44" s="1"/>
  <c r="D2014" i="44"/>
  <c r="AB2014" i="44" s="1"/>
  <c r="D2017" i="44"/>
  <c r="D2015" i="44"/>
  <c r="AB2015" i="44" s="1"/>
  <c r="E1907" i="44"/>
  <c r="AC1907" i="44" s="1"/>
  <c r="AC1906" i="44"/>
  <c r="T2082" i="44"/>
  <c r="U2082" i="44"/>
  <c r="H2110" i="44"/>
  <c r="S2116" i="44"/>
  <c r="T2112" i="44"/>
  <c r="AE2116" i="44"/>
  <c r="T2111" i="44"/>
  <c r="L2013" i="44"/>
  <c r="L2022" i="44"/>
  <c r="AJ2022" i="44" s="1"/>
  <c r="L2011" i="44"/>
  <c r="AJ2010" i="44"/>
  <c r="H1921" i="44"/>
  <c r="H1918" i="44"/>
  <c r="AF1918" i="44" s="1"/>
  <c r="H1920" i="44"/>
  <c r="AF1920" i="44" s="1"/>
  <c r="AF1917" i="44"/>
  <c r="H1919" i="44"/>
  <c r="AF1919" i="44" s="1"/>
  <c r="T2049" i="44"/>
  <c r="T2050" i="44"/>
  <c r="T2047" i="44"/>
  <c r="T2048" i="44" s="1"/>
  <c r="L1976" i="44"/>
  <c r="AJ1976" i="44" s="1"/>
  <c r="AJ1975" i="44"/>
  <c r="K2080" i="44"/>
  <c r="P2077" i="44"/>
  <c r="E1839" i="44"/>
  <c r="AC1839" i="44" s="1"/>
  <c r="AC1838" i="44"/>
  <c r="E1977" i="44"/>
  <c r="AC1976" i="44"/>
  <c r="E1909" i="44"/>
  <c r="AC1908" i="44"/>
  <c r="I1943" i="44"/>
  <c r="AG1943" i="44" s="1"/>
  <c r="AG1941" i="44"/>
  <c r="I1942" i="44"/>
  <c r="AG1942" i="44" s="1"/>
  <c r="I1945" i="44"/>
  <c r="I1944" i="44"/>
  <c r="AG1944" i="44" s="1"/>
  <c r="I2047" i="44"/>
  <c r="I2070" i="44"/>
  <c r="AG2070" i="44" s="1"/>
  <c r="H2082" i="44"/>
  <c r="AF2082" i="44" s="1"/>
  <c r="I2082" i="44"/>
  <c r="AG2082" i="44" s="1"/>
  <c r="AC332" i="43"/>
  <c r="B331" i="43"/>
  <c r="F331" i="43" s="1"/>
  <c r="I1977" i="44"/>
  <c r="AG1976" i="44"/>
  <c r="W2116" i="44"/>
  <c r="T2109" i="44"/>
  <c r="T2110" i="44"/>
  <c r="AI2116" i="44"/>
  <c r="H2109" i="44"/>
  <c r="I1847" i="44"/>
  <c r="AG1847" i="44" s="1"/>
  <c r="I1848" i="44"/>
  <c r="AG1848" i="44" s="1"/>
  <c r="I1849" i="44"/>
  <c r="I1846" i="44"/>
  <c r="AG1846" i="44" s="1"/>
  <c r="AG1845" i="44"/>
  <c r="I2012" i="44"/>
  <c r="AG2011" i="44"/>
  <c r="M2022" i="44"/>
  <c r="AK2022" i="44" s="1"/>
  <c r="M2011" i="44"/>
  <c r="AK2010" i="44"/>
  <c r="Y2050" i="44"/>
  <c r="Y2047" i="44"/>
  <c r="Y2048" i="44" s="1"/>
  <c r="Y2049" i="44" s="1"/>
  <c r="P2047" i="44"/>
  <c r="P2048" i="44" s="1"/>
  <c r="P2050" i="44"/>
  <c r="P2049" i="44"/>
  <c r="I1910" i="44"/>
  <c r="AG1910" i="44" s="1"/>
  <c r="I1913" i="44"/>
  <c r="I1911" i="44"/>
  <c r="AG1911" i="44" s="1"/>
  <c r="AG1909" i="44"/>
  <c r="I1912" i="44"/>
  <c r="AG1912" i="44" s="1"/>
  <c r="AN1943" i="44"/>
  <c r="L1965" i="44"/>
  <c r="P2111" i="44"/>
  <c r="L2116" i="44"/>
  <c r="H2116" i="44"/>
  <c r="P2109" i="44"/>
  <c r="L2111" i="44"/>
  <c r="P2110" i="44"/>
  <c r="D2116" i="44"/>
  <c r="L2113" i="44"/>
  <c r="C2116" i="44" s="1"/>
  <c r="L2112" i="44"/>
  <c r="G2116" i="44" s="1"/>
  <c r="H2112" i="44"/>
  <c r="D1985" i="44"/>
  <c r="AB1985" i="44" s="1"/>
  <c r="D1983" i="44"/>
  <c r="AB1983" i="44" s="1"/>
  <c r="D1984" i="44"/>
  <c r="AB1984" i="44" s="1"/>
  <c r="D1982" i="44"/>
  <c r="AB1982" i="44" s="1"/>
  <c r="AB1981" i="44"/>
  <c r="E2012" i="44"/>
  <c r="AC2011" i="44"/>
  <c r="AG2046" i="44"/>
  <c r="H1953" i="44"/>
  <c r="H1951" i="44"/>
  <c r="AF1951" i="44" s="1"/>
  <c r="AF1949" i="44"/>
  <c r="H1950" i="44"/>
  <c r="AF1950" i="44" s="1"/>
  <c r="H1952" i="44"/>
  <c r="AF1952" i="44" s="1"/>
  <c r="I1815" i="44"/>
  <c r="AG1815" i="44" s="1"/>
  <c r="AG1813" i="44"/>
  <c r="I1814" i="44"/>
  <c r="AG1814" i="44" s="1"/>
  <c r="I1816" i="44"/>
  <c r="AG1816" i="44" s="1"/>
  <c r="I1817" i="44"/>
  <c r="AG1817" i="44" s="1"/>
  <c r="H1982" i="44"/>
  <c r="AF1982" i="44" s="1"/>
  <c r="H1983" i="44"/>
  <c r="AF1983" i="44" s="1"/>
  <c r="H1984" i="44"/>
  <c r="AF1984" i="44" s="1"/>
  <c r="AF1981" i="44"/>
  <c r="H1985" i="44"/>
  <c r="Q2082" i="44"/>
  <c r="P2082" i="44"/>
  <c r="AJ1977" i="44"/>
  <c r="L1983" i="44"/>
  <c r="L1981" i="44"/>
  <c r="L1979" i="44"/>
  <c r="L1978" i="44"/>
  <c r="AJ1978" i="44" s="1"/>
  <c r="AR1907" i="44"/>
  <c r="AN1938" i="44"/>
  <c r="AK1873" i="44"/>
  <c r="M1875" i="44"/>
  <c r="AK1875" i="44" s="1"/>
  <c r="M1876" i="44"/>
  <c r="AK1876" i="44" s="1"/>
  <c r="M1874" i="44"/>
  <c r="AK1874" i="44" s="1"/>
  <c r="M1877" i="44"/>
  <c r="AK1877" i="44" s="1"/>
  <c r="H2049" i="44"/>
  <c r="H2047" i="44"/>
  <c r="H2070" i="44"/>
  <c r="AF2070" i="44" s="1"/>
  <c r="AB2046" i="44"/>
  <c r="X2145" i="44"/>
  <c r="D2150" i="44"/>
  <c r="D2147" i="44"/>
  <c r="D2181" i="44"/>
  <c r="D2146" i="44"/>
  <c r="X2147" i="44"/>
  <c r="D2148" i="44"/>
  <c r="D2149" i="44"/>
  <c r="AN1798" i="44"/>
  <c r="AR1797" i="44"/>
  <c r="AX433" i="44"/>
  <c r="BB433" i="44" s="1"/>
  <c r="AC2046" i="44"/>
  <c r="E1876" i="44"/>
  <c r="AC1873" i="44"/>
  <c r="E1874" i="44"/>
  <c r="AF2046" i="44"/>
  <c r="AC1941" i="44"/>
  <c r="E1944" i="44"/>
  <c r="E1942" i="44"/>
  <c r="L1984" i="44" l="1"/>
  <c r="AJ1984" i="44" s="1"/>
  <c r="AJ1983" i="44"/>
  <c r="AQ2152" i="44"/>
  <c r="AM2152" i="44"/>
  <c r="H2149" i="44"/>
  <c r="X2146" i="44"/>
  <c r="AJ1981" i="44"/>
  <c r="L1982" i="44"/>
  <c r="AJ1982" i="44" s="1"/>
  <c r="L1985" i="44"/>
  <c r="AJ1985" i="44" s="1"/>
  <c r="X2118" i="44"/>
  <c r="Y2118" i="44"/>
  <c r="T2118" i="44"/>
  <c r="U2118" i="44"/>
  <c r="D2085" i="44"/>
  <c r="D2094" i="44"/>
  <c r="AB2094" i="44" s="1"/>
  <c r="D2083" i="44"/>
  <c r="E1943" i="44"/>
  <c r="AC1943" i="44" s="1"/>
  <c r="AC1942" i="44"/>
  <c r="M2012" i="44"/>
  <c r="AK2011" i="44"/>
  <c r="AC333" i="43"/>
  <c r="B332" i="43"/>
  <c r="F332" i="43" s="1"/>
  <c r="AK1909" i="44"/>
  <c r="M1912" i="44"/>
  <c r="AK1912" i="44" s="1"/>
  <c r="M1910" i="44"/>
  <c r="AK1910" i="44" s="1"/>
  <c r="M1911" i="44"/>
  <c r="AK1911" i="44" s="1"/>
  <c r="M1913" i="44"/>
  <c r="AK1913" i="44" s="1"/>
  <c r="H2020" i="44"/>
  <c r="AF2020" i="44" s="1"/>
  <c r="AF2017" i="44"/>
  <c r="H2018" i="44"/>
  <c r="AF2018" i="44" s="1"/>
  <c r="H2021" i="44"/>
  <c r="H2019" i="44"/>
  <c r="AF2019" i="44" s="1"/>
  <c r="T2086" i="44"/>
  <c r="T2083" i="44"/>
  <c r="T2084" i="44" s="1"/>
  <c r="T2085" i="44"/>
  <c r="H2053" i="44"/>
  <c r="H2052" i="44"/>
  <c r="AF2052" i="44" s="1"/>
  <c r="AF2049" i="44"/>
  <c r="H2050" i="44"/>
  <c r="AF2050" i="44" s="1"/>
  <c r="H2051" i="44"/>
  <c r="AF2051" i="44" s="1"/>
  <c r="D2019" i="44"/>
  <c r="AB2019" i="44" s="1"/>
  <c r="AB2017" i="44"/>
  <c r="D2018" i="44"/>
  <c r="AB2018" i="44" s="1"/>
  <c r="D2021" i="44"/>
  <c r="AB2021" i="44" s="1"/>
  <c r="D2020" i="44"/>
  <c r="AB2020" i="44" s="1"/>
  <c r="M2047" i="44"/>
  <c r="M2058" i="44"/>
  <c r="AK2058" i="44" s="1"/>
  <c r="AK2046" i="44"/>
  <c r="I2048" i="44"/>
  <c r="AG2047" i="44"/>
  <c r="P2083" i="44"/>
  <c r="P2084" i="44" s="1"/>
  <c r="P2086" i="44"/>
  <c r="P2085" i="44"/>
  <c r="M1977" i="44"/>
  <c r="AK1976" i="44"/>
  <c r="E1945" i="44"/>
  <c r="AC1944" i="44"/>
  <c r="AF1985" i="44"/>
  <c r="H1989" i="44"/>
  <c r="H1988" i="44"/>
  <c r="AF1988" i="44" s="1"/>
  <c r="H1986" i="44"/>
  <c r="AF1986" i="44" s="1"/>
  <c r="H1987" i="44"/>
  <c r="AF1987" i="44" s="1"/>
  <c r="E1875" i="44"/>
  <c r="AC1875" i="44" s="1"/>
  <c r="AC1874" i="44"/>
  <c r="AC1909" i="44"/>
  <c r="E1912" i="44"/>
  <c r="E1910" i="44"/>
  <c r="H1922" i="44"/>
  <c r="AF1922" i="44" s="1"/>
  <c r="AF1921" i="44"/>
  <c r="H1924" i="44"/>
  <c r="AF1924" i="44" s="1"/>
  <c r="H1923" i="44"/>
  <c r="AF1923" i="44" s="1"/>
  <c r="H1925" i="44"/>
  <c r="AF1925" i="44" s="1"/>
  <c r="D2048" i="44"/>
  <c r="AB2048" i="44" s="1"/>
  <c r="AB2047" i="44"/>
  <c r="I1978" i="44"/>
  <c r="AG1978" i="44" s="1"/>
  <c r="AG1977" i="44"/>
  <c r="I1980" i="44"/>
  <c r="AG1980" i="44" s="1"/>
  <c r="I1979" i="44"/>
  <c r="AG1979" i="44" s="1"/>
  <c r="I1981" i="44"/>
  <c r="U2083" i="44"/>
  <c r="U2084" i="44" s="1"/>
  <c r="U2085" i="44" s="1"/>
  <c r="U2086" i="44"/>
  <c r="AN1834" i="44"/>
  <c r="AX438" i="44"/>
  <c r="BB438" i="44" s="1"/>
  <c r="AR1833" i="44"/>
  <c r="E1877" i="44"/>
  <c r="AC1877" i="44" s="1"/>
  <c r="AC1876" i="44"/>
  <c r="T2148" i="44"/>
  <c r="T2147" i="44"/>
  <c r="H2146" i="44"/>
  <c r="S2152" i="44"/>
  <c r="AE2152" i="44"/>
  <c r="I1853" i="44"/>
  <c r="AG1853" i="44" s="1"/>
  <c r="I1851" i="44"/>
  <c r="AG1851" i="44" s="1"/>
  <c r="I1850" i="44"/>
  <c r="AG1850" i="44" s="1"/>
  <c r="AG1849" i="44"/>
  <c r="I1852" i="44"/>
  <c r="AG1852" i="44" s="1"/>
  <c r="I1885" i="44"/>
  <c r="I1882" i="44"/>
  <c r="AG1882" i="44" s="1"/>
  <c r="I1884" i="44"/>
  <c r="AG1884" i="44" s="1"/>
  <c r="I1883" i="44"/>
  <c r="AG1883" i="44" s="1"/>
  <c r="AG1881" i="44"/>
  <c r="AK1941" i="44"/>
  <c r="M1943" i="44"/>
  <c r="AK1943" i="44" s="1"/>
  <c r="M1944" i="44"/>
  <c r="AK1944" i="44" s="1"/>
  <c r="M1945" i="44"/>
  <c r="M1942" i="44"/>
  <c r="AK1942" i="44" s="1"/>
  <c r="D2053" i="44"/>
  <c r="D2052" i="44"/>
  <c r="AB2052" i="44" s="1"/>
  <c r="AB2049" i="44"/>
  <c r="D2051" i="44"/>
  <c r="AB2051" i="44" s="1"/>
  <c r="D2050" i="44"/>
  <c r="AB2050" i="44" s="1"/>
  <c r="AF1953" i="44"/>
  <c r="H1954" i="44"/>
  <c r="AF1954" i="44" s="1"/>
  <c r="H1955" i="44"/>
  <c r="AF1955" i="44" s="1"/>
  <c r="H1956" i="44"/>
  <c r="AF1956" i="44" s="1"/>
  <c r="H1957" i="44"/>
  <c r="AC1977" i="44"/>
  <c r="E1978" i="44"/>
  <c r="E1980" i="44"/>
  <c r="L2012" i="44"/>
  <c r="AJ2012" i="44" s="1"/>
  <c r="AJ2011" i="44"/>
  <c r="AB2116" i="44"/>
  <c r="K2116" i="44"/>
  <c r="P2113" i="44"/>
  <c r="H2048" i="44"/>
  <c r="AF2048" i="44" s="1"/>
  <c r="AF2047" i="44"/>
  <c r="E2013" i="44"/>
  <c r="AC2012" i="44"/>
  <c r="AX434" i="44"/>
  <c r="BB434" i="44" s="1"/>
  <c r="AR1798" i="44"/>
  <c r="I1915" i="44"/>
  <c r="AG1915" i="44" s="1"/>
  <c r="I1914" i="44"/>
  <c r="AG1914" i="44" s="1"/>
  <c r="I1916" i="44"/>
  <c r="AG1916" i="44" s="1"/>
  <c r="AG1913" i="44"/>
  <c r="I1917" i="44"/>
  <c r="T2146" i="44"/>
  <c r="AI2152" i="44"/>
  <c r="H2145" i="44"/>
  <c r="T2145" i="44"/>
  <c r="W2152" i="44"/>
  <c r="AR1938" i="44"/>
  <c r="AX450" i="44"/>
  <c r="BB450" i="44" s="1"/>
  <c r="AN1939" i="44"/>
  <c r="AJ2013" i="44"/>
  <c r="L2019" i="44"/>
  <c r="L2015" i="44"/>
  <c r="L2017" i="44"/>
  <c r="L2014" i="44"/>
  <c r="AJ2014" i="44" s="1"/>
  <c r="X2085" i="44"/>
  <c r="X2086" i="44"/>
  <c r="Q2118" i="44"/>
  <c r="P2118" i="44"/>
  <c r="E2048" i="44"/>
  <c r="AC2047" i="44"/>
  <c r="H2114" i="44"/>
  <c r="AO2109" i="44" s="1"/>
  <c r="AR1868" i="44"/>
  <c r="AN1869" i="44"/>
  <c r="AX442" i="44"/>
  <c r="BB442" i="44" s="1"/>
  <c r="I2013" i="44"/>
  <c r="AG2012" i="44"/>
  <c r="AN1974" i="44"/>
  <c r="AR1943" i="44"/>
  <c r="I2118" i="44"/>
  <c r="AG2118" i="44" s="1"/>
  <c r="H2118" i="44"/>
  <c r="AF2118" i="44" s="1"/>
  <c r="AJ2116" i="44"/>
  <c r="L2149" i="44"/>
  <c r="C2152" i="44" s="1"/>
  <c r="P2147" i="44"/>
  <c r="L2148" i="44"/>
  <c r="G2152" i="44" s="1"/>
  <c r="H2148" i="44"/>
  <c r="L2147" i="44"/>
  <c r="P2146" i="44"/>
  <c r="H2152" i="44"/>
  <c r="D2152" i="44"/>
  <c r="L2152" i="44"/>
  <c r="P2145" i="44"/>
  <c r="E2118" i="44"/>
  <c r="D2118" i="44"/>
  <c r="I2083" i="44"/>
  <c r="I2106" i="44"/>
  <c r="AG2106" i="44" s="1"/>
  <c r="L2082" i="44"/>
  <c r="M2082" i="44"/>
  <c r="AF2116" i="44"/>
  <c r="E2083" i="44"/>
  <c r="E2094" i="44"/>
  <c r="AC2094" i="44" s="1"/>
  <c r="I1946" i="44"/>
  <c r="AG1946" i="44" s="1"/>
  <c r="I1948" i="44"/>
  <c r="AG1948" i="44" s="1"/>
  <c r="I1947" i="44"/>
  <c r="AG1947" i="44" s="1"/>
  <c r="I1949" i="44"/>
  <c r="AG1945" i="44"/>
  <c r="AN1904" i="44"/>
  <c r="AR1903" i="44"/>
  <c r="AX446" i="44"/>
  <c r="BB446" i="44" s="1"/>
  <c r="Q2086" i="44"/>
  <c r="Q2083" i="44"/>
  <c r="Q2084" i="44" s="1"/>
  <c r="Q2085" i="44" s="1"/>
  <c r="L2001" i="44"/>
  <c r="AN1979" i="44"/>
  <c r="L2058" i="44"/>
  <c r="AJ2058" i="44" s="1"/>
  <c r="L2049" i="44"/>
  <c r="L2047" i="44"/>
  <c r="AJ2046" i="44"/>
  <c r="D2184" i="44"/>
  <c r="D2185" i="44"/>
  <c r="D2186" i="44"/>
  <c r="X2181" i="44"/>
  <c r="X2183" i="44"/>
  <c r="D2182" i="44"/>
  <c r="D2183" i="44"/>
  <c r="D2217" i="44"/>
  <c r="Y2083" i="44"/>
  <c r="Y2084" i="44" s="1"/>
  <c r="Y2085" i="44" s="1"/>
  <c r="Y2086" i="44"/>
  <c r="H2147" i="44"/>
  <c r="T2150" i="44"/>
  <c r="AA2152" i="44"/>
  <c r="O2152" i="44"/>
  <c r="T2149" i="44"/>
  <c r="L1980" i="44"/>
  <c r="AJ1980" i="44" s="1"/>
  <c r="AJ1979" i="44"/>
  <c r="H2083" i="44"/>
  <c r="H2106" i="44"/>
  <c r="AF2106" i="44" s="1"/>
  <c r="H2085" i="44"/>
  <c r="AJ2152" i="44" l="1"/>
  <c r="H2121" i="44"/>
  <c r="H2119" i="44"/>
  <c r="H2142" i="44"/>
  <c r="AF2142" i="44" s="1"/>
  <c r="I1984" i="44"/>
  <c r="AG1984" i="44" s="1"/>
  <c r="AG1981" i="44"/>
  <c r="I1982" i="44"/>
  <c r="AG1982" i="44" s="1"/>
  <c r="I1985" i="44"/>
  <c r="I1983" i="44"/>
  <c r="AG1983" i="44" s="1"/>
  <c r="AF2021" i="44"/>
  <c r="H2022" i="44"/>
  <c r="AF2022" i="44" s="1"/>
  <c r="H2023" i="44"/>
  <c r="AF2023" i="44" s="1"/>
  <c r="H2025" i="44"/>
  <c r="H2024" i="44"/>
  <c r="AF2024" i="44" s="1"/>
  <c r="L2048" i="44"/>
  <c r="AJ2048" i="44" s="1"/>
  <c r="AJ2047" i="44"/>
  <c r="E2084" i="44"/>
  <c r="AC2083" i="44"/>
  <c r="L2094" i="44"/>
  <c r="AJ2094" i="44" s="1"/>
  <c r="L2085" i="44"/>
  <c r="L2083" i="44"/>
  <c r="AJ2082" i="44"/>
  <c r="AC2118" i="44"/>
  <c r="E2119" i="44"/>
  <c r="E2130" i="44"/>
  <c r="AC2130" i="44" s="1"/>
  <c r="I2119" i="44"/>
  <c r="I2142" i="44"/>
  <c r="AG2142" i="44" s="1"/>
  <c r="AJ2017" i="44"/>
  <c r="L2018" i="44"/>
  <c r="AJ2018" i="44" s="1"/>
  <c r="L2021" i="44"/>
  <c r="AJ2021" i="44" s="1"/>
  <c r="M2048" i="44"/>
  <c r="AK2047" i="44"/>
  <c r="D2089" i="44"/>
  <c r="AB2085" i="44"/>
  <c r="D2086" i="44"/>
  <c r="AB2086" i="44" s="1"/>
  <c r="D2088" i="44"/>
  <c r="AB2088" i="44" s="1"/>
  <c r="D2087" i="44"/>
  <c r="AB2087" i="44" s="1"/>
  <c r="L2020" i="44"/>
  <c r="AJ2020" i="44" s="1"/>
  <c r="AJ2019" i="44"/>
  <c r="T2119" i="44"/>
  <c r="T2120" i="44" s="1"/>
  <c r="T2122" i="44"/>
  <c r="T2121" i="44"/>
  <c r="L2037" i="44"/>
  <c r="AN2015" i="44"/>
  <c r="AC2013" i="44"/>
  <c r="E2016" i="44"/>
  <c r="E2014" i="44"/>
  <c r="AK1945" i="44"/>
  <c r="M1947" i="44"/>
  <c r="AK1947" i="44" s="1"/>
  <c r="M1946" i="44"/>
  <c r="AK1946" i="44" s="1"/>
  <c r="M1948" i="44"/>
  <c r="AK1948" i="44" s="1"/>
  <c r="M1949" i="44"/>
  <c r="AK1949" i="44" s="1"/>
  <c r="M2094" i="44"/>
  <c r="AK2094" i="44" s="1"/>
  <c r="M2083" i="44"/>
  <c r="AK2082" i="44"/>
  <c r="AN1975" i="44"/>
  <c r="AR1974" i="44"/>
  <c r="AX455" i="44"/>
  <c r="BB455" i="44" s="1"/>
  <c r="AF2152" i="44"/>
  <c r="X2119" i="44"/>
  <c r="X2120" i="44" s="1"/>
  <c r="X2121" i="44"/>
  <c r="X2122" i="44"/>
  <c r="K2152" i="44"/>
  <c r="P2149" i="44"/>
  <c r="AR1869" i="44"/>
  <c r="AX443" i="44"/>
  <c r="BB443" i="44" s="1"/>
  <c r="AN1870" i="44"/>
  <c r="AC1945" i="44"/>
  <c r="E1948" i="44"/>
  <c r="E1946" i="44"/>
  <c r="P2154" i="44"/>
  <c r="Q2154" i="44"/>
  <c r="U2119" i="44"/>
  <c r="U2120" i="44" s="1"/>
  <c r="U2121" i="44" s="1"/>
  <c r="U2122" i="44"/>
  <c r="I2084" i="44"/>
  <c r="AG2083" i="44"/>
  <c r="X2217" i="44"/>
  <c r="D2221" i="44"/>
  <c r="D2218" i="44"/>
  <c r="D2220" i="44"/>
  <c r="D2222" i="44"/>
  <c r="X2219" i="44"/>
  <c r="D2253" i="44"/>
  <c r="D2219" i="44"/>
  <c r="Y2154" i="44"/>
  <c r="X2154" i="44"/>
  <c r="E1981" i="44"/>
  <c r="AC1980" i="44"/>
  <c r="Y2122" i="44"/>
  <c r="Y2119" i="44"/>
  <c r="Y2120" i="44" s="1"/>
  <c r="Y2121" i="44" s="1"/>
  <c r="AK1977" i="44"/>
  <c r="M1980" i="44"/>
  <c r="AK1980" i="44" s="1"/>
  <c r="M1981" i="44"/>
  <c r="M1978" i="44"/>
  <c r="AK1978" i="44" s="1"/>
  <c r="M1979" i="44"/>
  <c r="AK1979" i="44" s="1"/>
  <c r="D2084" i="44"/>
  <c r="AB2084" i="44" s="1"/>
  <c r="AB2083" i="44"/>
  <c r="D2054" i="44"/>
  <c r="AB2054" i="44" s="1"/>
  <c r="D2055" i="44"/>
  <c r="AB2055" i="44" s="1"/>
  <c r="AB2053" i="44"/>
  <c r="D2056" i="44"/>
  <c r="AB2056" i="44" s="1"/>
  <c r="D2057" i="44"/>
  <c r="AB2057" i="44" s="1"/>
  <c r="T2154" i="44"/>
  <c r="U2154" i="44"/>
  <c r="H2185" i="44"/>
  <c r="AQ2188" i="44"/>
  <c r="AM2188" i="44"/>
  <c r="X2182" i="44"/>
  <c r="H2150" i="44"/>
  <c r="AO2145" i="44" s="1"/>
  <c r="AC334" i="43"/>
  <c r="B333" i="43"/>
  <c r="F333" i="43" s="1"/>
  <c r="AB2118" i="44"/>
  <c r="D2121" i="44"/>
  <c r="D2130" i="44"/>
  <c r="AB2130" i="44" s="1"/>
  <c r="D2119" i="44"/>
  <c r="AJ2049" i="44"/>
  <c r="L2051" i="44"/>
  <c r="L2055" i="44"/>
  <c r="L2053" i="44"/>
  <c r="L2050" i="44"/>
  <c r="AJ2050" i="44" s="1"/>
  <c r="AX451" i="44"/>
  <c r="BB451" i="44" s="1"/>
  <c r="AR1939" i="44"/>
  <c r="AN1940" i="44"/>
  <c r="O2188" i="44"/>
  <c r="AA2188" i="44"/>
  <c r="T2186" i="44"/>
  <c r="H2183" i="44"/>
  <c r="T2185" i="44"/>
  <c r="E2154" i="44"/>
  <c r="AC2154" i="44" s="1"/>
  <c r="D2154" i="44"/>
  <c r="AB2154" i="44" s="1"/>
  <c r="E2049" i="44"/>
  <c r="AC2048" i="44"/>
  <c r="H1959" i="44"/>
  <c r="AF1959" i="44" s="1"/>
  <c r="H1958" i="44"/>
  <c r="AF1958" i="44" s="1"/>
  <c r="H1961" i="44"/>
  <c r="AF1961" i="44" s="1"/>
  <c r="H1960" i="44"/>
  <c r="AF1960" i="44" s="1"/>
  <c r="AF1957" i="44"/>
  <c r="H2056" i="44"/>
  <c r="AF2056" i="44" s="1"/>
  <c r="H2054" i="44"/>
  <c r="AF2054" i="44" s="1"/>
  <c r="AF2053" i="44"/>
  <c r="H2057" i="44"/>
  <c r="H2055" i="44"/>
  <c r="AF2055" i="44" s="1"/>
  <c r="AR1979" i="44"/>
  <c r="AN2010" i="44"/>
  <c r="L2183" i="44"/>
  <c r="P2182" i="44"/>
  <c r="H2184" i="44"/>
  <c r="P2181" i="44"/>
  <c r="P2183" i="44"/>
  <c r="L2184" i="44"/>
  <c r="G2188" i="44" s="1"/>
  <c r="D2188" i="44"/>
  <c r="H2188" i="44"/>
  <c r="L2185" i="44"/>
  <c r="C2188" i="44" s="1"/>
  <c r="L2188" i="44"/>
  <c r="L2118" i="44"/>
  <c r="M2118" i="44"/>
  <c r="AF2085" i="44"/>
  <c r="H2087" i="44"/>
  <c r="AF2087" i="44" s="1"/>
  <c r="H2089" i="44"/>
  <c r="H2088" i="44"/>
  <c r="AF2088" i="44" s="1"/>
  <c r="H2086" i="44"/>
  <c r="AF2086" i="44" s="1"/>
  <c r="P2119" i="44"/>
  <c r="P2120" i="44" s="1"/>
  <c r="P2122" i="44"/>
  <c r="P2121" i="44"/>
  <c r="E1911" i="44"/>
  <c r="AC1911" i="44" s="1"/>
  <c r="AC1910" i="44"/>
  <c r="M2013" i="44"/>
  <c r="AK2012" i="44"/>
  <c r="AB2152" i="44"/>
  <c r="S2188" i="44"/>
  <c r="AE2188" i="44"/>
  <c r="T2184" i="44"/>
  <c r="T2183" i="44"/>
  <c r="H2182" i="44"/>
  <c r="AG1949" i="44"/>
  <c r="I1953" i="44"/>
  <c r="I1950" i="44"/>
  <c r="AG1950" i="44" s="1"/>
  <c r="I1952" i="44"/>
  <c r="AG1952" i="44" s="1"/>
  <c r="I1951" i="44"/>
  <c r="AG1951" i="44" s="1"/>
  <c r="Q2119" i="44"/>
  <c r="Q2120" i="44" s="1"/>
  <c r="Q2121" i="44" s="1"/>
  <c r="Q2122" i="44"/>
  <c r="I1921" i="44"/>
  <c r="I1919" i="44"/>
  <c r="AG1919" i="44" s="1"/>
  <c r="I1918" i="44"/>
  <c r="AG1918" i="44" s="1"/>
  <c r="AG1917" i="44"/>
  <c r="I1920" i="44"/>
  <c r="AG1920" i="44" s="1"/>
  <c r="AR1834" i="44"/>
  <c r="AX439" i="44"/>
  <c r="BB439" i="44" s="1"/>
  <c r="E1913" i="44"/>
  <c r="AC1913" i="44" s="1"/>
  <c r="AC1912" i="44"/>
  <c r="L2016" i="44"/>
  <c r="AJ2016" i="44" s="1"/>
  <c r="AJ2015" i="44"/>
  <c r="H1992" i="44"/>
  <c r="AF1992" i="44" s="1"/>
  <c r="H1991" i="44"/>
  <c r="AF1991" i="44" s="1"/>
  <c r="H1993" i="44"/>
  <c r="H1990" i="44"/>
  <c r="AF1990" i="44" s="1"/>
  <c r="AF1989" i="44"/>
  <c r="AG2013" i="44"/>
  <c r="I2015" i="44"/>
  <c r="AG2015" i="44" s="1"/>
  <c r="I2014" i="44"/>
  <c r="AG2014" i="44" s="1"/>
  <c r="I2017" i="44"/>
  <c r="I2016" i="44"/>
  <c r="AG2016" i="44" s="1"/>
  <c r="I2154" i="44"/>
  <c r="AG2154" i="44" s="1"/>
  <c r="H2154" i="44"/>
  <c r="E1979" i="44"/>
  <c r="AC1979" i="44" s="1"/>
  <c r="AC1978" i="44"/>
  <c r="AR1904" i="44"/>
  <c r="AX447" i="44"/>
  <c r="BB447" i="44" s="1"/>
  <c r="AN1905" i="44"/>
  <c r="H2084" i="44"/>
  <c r="AF2084" i="44" s="1"/>
  <c r="AF2083" i="44"/>
  <c r="H2181" i="44"/>
  <c r="AI2188" i="44"/>
  <c r="W2188" i="44"/>
  <c r="T2182" i="44"/>
  <c r="T2181" i="44"/>
  <c r="I1887" i="44"/>
  <c r="AG1887" i="44" s="1"/>
  <c r="I1889" i="44"/>
  <c r="AG1889" i="44" s="1"/>
  <c r="I1886" i="44"/>
  <c r="AG1886" i="44" s="1"/>
  <c r="I1888" i="44"/>
  <c r="AG1888" i="44" s="1"/>
  <c r="AG1885" i="44"/>
  <c r="I2049" i="44"/>
  <c r="AG2048" i="44"/>
  <c r="AB2188" i="44" l="1"/>
  <c r="Y2155" i="44"/>
  <c r="Y2156" i="44" s="1"/>
  <c r="Y2157" i="44" s="1"/>
  <c r="Y2158" i="44"/>
  <c r="H2093" i="44"/>
  <c r="AF2089" i="44"/>
  <c r="H2091" i="44"/>
  <c r="AF2091" i="44" s="1"/>
  <c r="H2092" i="44"/>
  <c r="AF2092" i="44" s="1"/>
  <c r="H2090" i="44"/>
  <c r="AF2090" i="44" s="1"/>
  <c r="H2186" i="44"/>
  <c r="AO2181" i="44" s="1"/>
  <c r="H2178" i="44"/>
  <c r="AF2178" i="44" s="1"/>
  <c r="H2157" i="44"/>
  <c r="H2155" i="44"/>
  <c r="M2130" i="44"/>
  <c r="AK2130" i="44" s="1"/>
  <c r="M2119" i="44"/>
  <c r="AK2118" i="44"/>
  <c r="D2120" i="44"/>
  <c r="AB2120" i="44" s="1"/>
  <c r="AB2119" i="44"/>
  <c r="X2255" i="44"/>
  <c r="D2256" i="44"/>
  <c r="D2257" i="44"/>
  <c r="D2254" i="44"/>
  <c r="D2289" i="44"/>
  <c r="X2253" i="44"/>
  <c r="D2258" i="44"/>
  <c r="D2255" i="44"/>
  <c r="AR1870" i="44"/>
  <c r="AX444" i="44"/>
  <c r="BB444" i="44" s="1"/>
  <c r="L2154" i="44"/>
  <c r="M2154" i="44"/>
  <c r="E2017" i="44"/>
  <c r="AC2016" i="44"/>
  <c r="AJ2085" i="44"/>
  <c r="L2086" i="44"/>
  <c r="AJ2086" i="44" s="1"/>
  <c r="L2091" i="44"/>
  <c r="L2087" i="44"/>
  <c r="L2089" i="44"/>
  <c r="AJ2188" i="44"/>
  <c r="S2224" i="44"/>
  <c r="H2218" i="44"/>
  <c r="AE2224" i="44"/>
  <c r="T2220" i="44"/>
  <c r="T2219" i="44"/>
  <c r="H2028" i="44"/>
  <c r="AF2028" i="44" s="1"/>
  <c r="H2029" i="44"/>
  <c r="H2027" i="44"/>
  <c r="AF2027" i="44" s="1"/>
  <c r="AF2025" i="44"/>
  <c r="H2026" i="44"/>
  <c r="AF2026" i="44" s="1"/>
  <c r="I2019" i="44"/>
  <c r="AG2019" i="44" s="1"/>
  <c r="I2018" i="44"/>
  <c r="AG2018" i="44" s="1"/>
  <c r="I2021" i="44"/>
  <c r="I2020" i="44"/>
  <c r="AG2020" i="44" s="1"/>
  <c r="AG2017" i="44"/>
  <c r="AG1921" i="44"/>
  <c r="I1924" i="44"/>
  <c r="AG1924" i="44" s="1"/>
  <c r="I1922" i="44"/>
  <c r="AG1922" i="44" s="1"/>
  <c r="I1925" i="44"/>
  <c r="AG1925" i="44" s="1"/>
  <c r="I1923" i="44"/>
  <c r="AG1923" i="44" s="1"/>
  <c r="I2190" i="44"/>
  <c r="AG2190" i="44" s="1"/>
  <c r="H2190" i="44"/>
  <c r="AF2190" i="44" s="1"/>
  <c r="AK1981" i="44"/>
  <c r="M1985" i="44"/>
  <c r="AK1985" i="44" s="1"/>
  <c r="M1983" i="44"/>
  <c r="AK1983" i="44" s="1"/>
  <c r="M1984" i="44"/>
  <c r="AK1984" i="44" s="1"/>
  <c r="M1982" i="44"/>
  <c r="AK1982" i="44" s="1"/>
  <c r="H2221" i="44"/>
  <c r="AM2224" i="44"/>
  <c r="AQ2224" i="44"/>
  <c r="X2218" i="44"/>
  <c r="AF2154" i="44"/>
  <c r="AN2046" i="44"/>
  <c r="AR2015" i="44"/>
  <c r="T2222" i="44"/>
  <c r="O2224" i="44"/>
  <c r="AA2224" i="44"/>
  <c r="T2221" i="44"/>
  <c r="H2219" i="44"/>
  <c r="H2217" i="44"/>
  <c r="T2218" i="44"/>
  <c r="T2217" i="44"/>
  <c r="W2224" i="44"/>
  <c r="AI2224" i="44"/>
  <c r="AF2188" i="44"/>
  <c r="AK2013" i="44"/>
  <c r="M2016" i="44"/>
  <c r="AK2016" i="44" s="1"/>
  <c r="M2014" i="44"/>
  <c r="AK2014" i="44" s="1"/>
  <c r="M2015" i="44"/>
  <c r="AK2015" i="44" s="1"/>
  <c r="M2017" i="44"/>
  <c r="P2190" i="44"/>
  <c r="Q2190" i="44"/>
  <c r="L2073" i="44"/>
  <c r="AN2051" i="44"/>
  <c r="I1986" i="44"/>
  <c r="AG1986" i="44" s="1"/>
  <c r="I1989" i="44"/>
  <c r="I1988" i="44"/>
  <c r="AG1988" i="44" s="1"/>
  <c r="I1987" i="44"/>
  <c r="AG1987" i="44" s="1"/>
  <c r="AG1985" i="44"/>
  <c r="P2218" i="44"/>
  <c r="P2219" i="44"/>
  <c r="L2219" i="44"/>
  <c r="L2220" i="44"/>
  <c r="G2224" i="44" s="1"/>
  <c r="P2217" i="44"/>
  <c r="D2224" i="44"/>
  <c r="L2224" i="44"/>
  <c r="H2224" i="44"/>
  <c r="H2220" i="44"/>
  <c r="L2221" i="44"/>
  <c r="C2224" i="44" s="1"/>
  <c r="AC2049" i="44"/>
  <c r="E2050" i="44"/>
  <c r="E2052" i="44"/>
  <c r="AX452" i="44"/>
  <c r="BB452" i="44" s="1"/>
  <c r="AN1941" i="44"/>
  <c r="AR1940" i="44"/>
  <c r="I2085" i="44"/>
  <c r="AG2084" i="44"/>
  <c r="I2120" i="44"/>
  <c r="AG2119" i="44"/>
  <c r="E1949" i="44"/>
  <c r="AC1949" i="44" s="1"/>
  <c r="AC1948" i="44"/>
  <c r="AB2089" i="44"/>
  <c r="D2090" i="44"/>
  <c r="AB2090" i="44" s="1"/>
  <c r="D2091" i="44"/>
  <c r="AB2091" i="44" s="1"/>
  <c r="D2093" i="44"/>
  <c r="AB2093" i="44" s="1"/>
  <c r="D2092" i="44"/>
  <c r="AB2092" i="44" s="1"/>
  <c r="AN1906" i="44"/>
  <c r="AR1905" i="44"/>
  <c r="AX448" i="44"/>
  <c r="BB448" i="44" s="1"/>
  <c r="AN1976" i="44"/>
  <c r="AX456" i="44"/>
  <c r="BB456" i="44" s="1"/>
  <c r="AR1975" i="44"/>
  <c r="E2120" i="44"/>
  <c r="AC2119" i="44"/>
  <c r="X2190" i="44"/>
  <c r="Y2190" i="44"/>
  <c r="L2052" i="44"/>
  <c r="AJ2052" i="44" s="1"/>
  <c r="AJ2051" i="44"/>
  <c r="I2178" i="44"/>
  <c r="AG2178" i="44" s="1"/>
  <c r="I2155" i="44"/>
  <c r="L2130" i="44"/>
  <c r="AJ2130" i="44" s="1"/>
  <c r="L2121" i="44"/>
  <c r="L2119" i="44"/>
  <c r="AJ2118" i="44"/>
  <c r="D2122" i="44"/>
  <c r="AB2122" i="44" s="1"/>
  <c r="D2124" i="44"/>
  <c r="AB2124" i="44" s="1"/>
  <c r="D2123" i="44"/>
  <c r="AB2123" i="44" s="1"/>
  <c r="D2125" i="44"/>
  <c r="AB2121" i="44"/>
  <c r="D2190" i="44"/>
  <c r="AB2190" i="44" s="1"/>
  <c r="E2190" i="44"/>
  <c r="E2015" i="44"/>
  <c r="AC2015" i="44" s="1"/>
  <c r="AC2014" i="44"/>
  <c r="I2050" i="44"/>
  <c r="AG2050" i="44" s="1"/>
  <c r="AG2049" i="44"/>
  <c r="I2053" i="44"/>
  <c r="I2051" i="44"/>
  <c r="AG2051" i="44" s="1"/>
  <c r="I2052" i="44"/>
  <c r="AG2052" i="44" s="1"/>
  <c r="AF1993" i="44"/>
  <c r="H1994" i="44"/>
  <c r="AF1994" i="44" s="1"/>
  <c r="H1996" i="44"/>
  <c r="AF1996" i="44" s="1"/>
  <c r="H1997" i="44"/>
  <c r="AF1997" i="44" s="1"/>
  <c r="H1995" i="44"/>
  <c r="AF1995" i="44" s="1"/>
  <c r="K2188" i="44"/>
  <c r="P2185" i="44"/>
  <c r="U2158" i="44"/>
  <c r="U2155" i="44"/>
  <c r="U2156" i="44" s="1"/>
  <c r="U2157" i="44" s="1"/>
  <c r="Q2155" i="44"/>
  <c r="Q2156" i="44" s="1"/>
  <c r="Q2157" i="44" s="1"/>
  <c r="Q2158" i="44"/>
  <c r="H2058" i="44"/>
  <c r="AF2058" i="44" s="1"/>
  <c r="H2061" i="44"/>
  <c r="H2060" i="44"/>
  <c r="AF2060" i="44" s="1"/>
  <c r="H2059" i="44"/>
  <c r="AF2059" i="44" s="1"/>
  <c r="AF2057" i="44"/>
  <c r="D2157" i="44"/>
  <c r="D2166" i="44"/>
  <c r="AB2166" i="44" s="1"/>
  <c r="D2155" i="44"/>
  <c r="E2085" i="44"/>
  <c r="AC2084" i="44"/>
  <c r="U2190" i="44"/>
  <c r="T2190" i="44"/>
  <c r="E2166" i="44"/>
  <c r="AC2166" i="44" s="1"/>
  <c r="E2155" i="44"/>
  <c r="AC335" i="43"/>
  <c r="B334" i="43"/>
  <c r="F334" i="43" s="1"/>
  <c r="I1954" i="44"/>
  <c r="AG1954" i="44" s="1"/>
  <c r="I1957" i="44"/>
  <c r="AG1953" i="44"/>
  <c r="I1956" i="44"/>
  <c r="AG1956" i="44" s="1"/>
  <c r="I1955" i="44"/>
  <c r="AG1955" i="44" s="1"/>
  <c r="AR2010" i="44"/>
  <c r="AN2011" i="44"/>
  <c r="AX460" i="44"/>
  <c r="BB460" i="44" s="1"/>
  <c r="AJ2053" i="44"/>
  <c r="L2054" i="44"/>
  <c r="AJ2054" i="44" s="1"/>
  <c r="L2057" i="44"/>
  <c r="AJ2057" i="44" s="1"/>
  <c r="T2158" i="44"/>
  <c r="T2157" i="44"/>
  <c r="T2155" i="44"/>
  <c r="T2156" i="44" s="1"/>
  <c r="E1984" i="44"/>
  <c r="E1982" i="44"/>
  <c r="AC1981" i="44"/>
  <c r="P2155" i="44"/>
  <c r="P2156" i="44" s="1"/>
  <c r="P2158" i="44"/>
  <c r="P2157" i="44"/>
  <c r="M2084" i="44"/>
  <c r="AK2083" i="44"/>
  <c r="H2120" i="44"/>
  <c r="AF2120" i="44" s="1"/>
  <c r="AF2119" i="44"/>
  <c r="M2049" i="44"/>
  <c r="AK2048" i="44"/>
  <c r="L2056" i="44"/>
  <c r="AJ2056" i="44" s="1"/>
  <c r="AJ2055" i="44"/>
  <c r="X2157" i="44"/>
  <c r="X2158" i="44"/>
  <c r="X2155" i="44"/>
  <c r="X2156" i="44" s="1"/>
  <c r="E1947" i="44"/>
  <c r="AC1947" i="44" s="1"/>
  <c r="AC1946" i="44"/>
  <c r="L2084" i="44"/>
  <c r="AJ2084" i="44" s="1"/>
  <c r="AJ2083" i="44"/>
  <c r="H2122" i="44"/>
  <c r="AF2122" i="44" s="1"/>
  <c r="AF2121" i="44"/>
  <c r="H2124" i="44"/>
  <c r="AF2124" i="44" s="1"/>
  <c r="H2125" i="44"/>
  <c r="H2123" i="44"/>
  <c r="AF2123" i="44" s="1"/>
  <c r="AN2087" i="44" l="1"/>
  <c r="L2109" i="44"/>
  <c r="L2092" i="44"/>
  <c r="AJ2092" i="44" s="1"/>
  <c r="AJ2091" i="44"/>
  <c r="I2191" i="44"/>
  <c r="I2214" i="44"/>
  <c r="AG2214" i="44" s="1"/>
  <c r="H2156" i="44"/>
  <c r="AF2156" i="44" s="1"/>
  <c r="AF2155" i="44"/>
  <c r="I2121" i="44"/>
  <c r="AG2120" i="44"/>
  <c r="E2121" i="44"/>
  <c r="AC2120" i="44"/>
  <c r="K2224" i="44"/>
  <c r="P2221" i="44"/>
  <c r="E2202" i="44"/>
  <c r="AC2202" i="44" s="1"/>
  <c r="E2191" i="44"/>
  <c r="E2018" i="44"/>
  <c r="E2020" i="44"/>
  <c r="AC2017" i="44"/>
  <c r="E1985" i="44"/>
  <c r="AC1985" i="44" s="1"/>
  <c r="AC1984" i="44"/>
  <c r="U2226" i="44"/>
  <c r="T2226" i="44"/>
  <c r="T2227" i="44" s="1"/>
  <c r="T2228" i="44" s="1"/>
  <c r="D2260" i="44"/>
  <c r="P2255" i="44"/>
  <c r="L2255" i="44"/>
  <c r="L2256" i="44"/>
  <c r="G2260" i="44" s="1"/>
  <c r="H2256" i="44"/>
  <c r="L2260" i="44"/>
  <c r="L2257" i="44"/>
  <c r="C2260" i="44" s="1"/>
  <c r="P2254" i="44"/>
  <c r="P2253" i="44"/>
  <c r="H2260" i="44"/>
  <c r="AJ2224" i="44"/>
  <c r="T2257" i="44"/>
  <c r="T2258" i="44"/>
  <c r="O2260" i="44"/>
  <c r="H2255" i="44"/>
  <c r="AA2260" i="44"/>
  <c r="AX461" i="44"/>
  <c r="BB461" i="44" s="1"/>
  <c r="AN2012" i="44"/>
  <c r="AR2011" i="44"/>
  <c r="Q2226" i="44"/>
  <c r="P2226" i="44"/>
  <c r="AF2029" i="44"/>
  <c r="H2032" i="44"/>
  <c r="AF2032" i="44" s="1"/>
  <c r="H2030" i="44"/>
  <c r="AF2030" i="44" s="1"/>
  <c r="H2031" i="44"/>
  <c r="AF2031" i="44" s="1"/>
  <c r="H2033" i="44"/>
  <c r="AF2033" i="44" s="1"/>
  <c r="AF2224" i="44"/>
  <c r="AG2085" i="44"/>
  <c r="I2086" i="44"/>
  <c r="AG2086" i="44" s="1"/>
  <c r="I2088" i="44"/>
  <c r="AG2088" i="44" s="1"/>
  <c r="I2089" i="44"/>
  <c r="I2087" i="44"/>
  <c r="AG2087" i="44" s="1"/>
  <c r="AN1977" i="44"/>
  <c r="AR1976" i="44"/>
  <c r="AX457" i="44"/>
  <c r="BB457" i="44" s="1"/>
  <c r="AX453" i="44"/>
  <c r="BB453" i="44" s="1"/>
  <c r="AR1941" i="44"/>
  <c r="AN1942" i="44"/>
  <c r="Y2226" i="44"/>
  <c r="X2226" i="44"/>
  <c r="AC2190" i="44"/>
  <c r="AM2260" i="44"/>
  <c r="X2254" i="44"/>
  <c r="H2257" i="44"/>
  <c r="AQ2260" i="44"/>
  <c r="AB2224" i="44"/>
  <c r="M2085" i="44"/>
  <c r="AK2084" i="44"/>
  <c r="AK2017" i="44"/>
  <c r="M2018" i="44"/>
  <c r="AK2018" i="44" s="1"/>
  <c r="M2019" i="44"/>
  <c r="AK2019" i="44" s="1"/>
  <c r="M2021" i="44"/>
  <c r="AK2021" i="44" s="1"/>
  <c r="M2020" i="44"/>
  <c r="AK2020" i="44" s="1"/>
  <c r="M2120" i="44"/>
  <c r="AK2119" i="44"/>
  <c r="I2054" i="44"/>
  <c r="AG2054" i="44" s="1"/>
  <c r="I2055" i="44"/>
  <c r="AG2055" i="44" s="1"/>
  <c r="AG2053" i="44"/>
  <c r="I2056" i="44"/>
  <c r="AG2056" i="44" s="1"/>
  <c r="I2057" i="44"/>
  <c r="Y2191" i="44"/>
  <c r="Y2192" i="44" s="1"/>
  <c r="Y2193" i="44" s="1"/>
  <c r="Y2194" i="44"/>
  <c r="AN2047" i="44"/>
  <c r="AR2046" i="44"/>
  <c r="AX465" i="44"/>
  <c r="BB465" i="44" s="1"/>
  <c r="H2193" i="44"/>
  <c r="H2214" i="44"/>
  <c r="AF2214" i="44" s="1"/>
  <c r="H2191" i="44"/>
  <c r="X2289" i="44"/>
  <c r="D2290" i="44"/>
  <c r="D2291" i="44"/>
  <c r="D2292" i="44"/>
  <c r="D2294" i="44"/>
  <c r="D2325" i="44"/>
  <c r="D2293" i="44"/>
  <c r="X2291" i="44"/>
  <c r="E2156" i="44"/>
  <c r="AC2155" i="44"/>
  <c r="U2194" i="44"/>
  <c r="U2191" i="44"/>
  <c r="U2192" i="44" s="1"/>
  <c r="U2193" i="44" s="1"/>
  <c r="L2190" i="44"/>
  <c r="M2190" i="44"/>
  <c r="L2088" i="44"/>
  <c r="AJ2088" i="44" s="1"/>
  <c r="AJ2087" i="44"/>
  <c r="H2063" i="44"/>
  <c r="AF2063" i="44" s="1"/>
  <c r="H2065" i="44"/>
  <c r="AF2061" i="44"/>
  <c r="H2064" i="44"/>
  <c r="AF2064" i="44" s="1"/>
  <c r="H2062" i="44"/>
  <c r="AF2062" i="44" s="1"/>
  <c r="H2226" i="44"/>
  <c r="I2226" i="44"/>
  <c r="E1983" i="44"/>
  <c r="AC1983" i="44" s="1"/>
  <c r="AC1982" i="44"/>
  <c r="AR1906" i="44"/>
  <c r="AX449" i="44"/>
  <c r="BB449" i="44" s="1"/>
  <c r="E2053" i="44"/>
  <c r="AC2052" i="44"/>
  <c r="H2222" i="44"/>
  <c r="AO2217" i="44" s="1"/>
  <c r="I2024" i="44"/>
  <c r="AG2024" i="44" s="1"/>
  <c r="I2023" i="44"/>
  <c r="AG2023" i="44" s="1"/>
  <c r="I2022" i="44"/>
  <c r="AG2022" i="44" s="1"/>
  <c r="I2025" i="44"/>
  <c r="AG2021" i="44"/>
  <c r="S2260" i="44"/>
  <c r="T2255" i="44"/>
  <c r="AE2260" i="44"/>
  <c r="H2254" i="44"/>
  <c r="T2256" i="44"/>
  <c r="H2097" i="44"/>
  <c r="H2094" i="44"/>
  <c r="AF2094" i="44" s="1"/>
  <c r="H2096" i="44"/>
  <c r="AF2096" i="44" s="1"/>
  <c r="H2095" i="44"/>
  <c r="AF2095" i="44" s="1"/>
  <c r="AF2093" i="44"/>
  <c r="D2226" i="44"/>
  <c r="E2226" i="44"/>
  <c r="X2193" i="44"/>
  <c r="X2194" i="44"/>
  <c r="X2191" i="44"/>
  <c r="X2192" i="44" s="1"/>
  <c r="AC336" i="43"/>
  <c r="B335" i="43"/>
  <c r="F335" i="43" s="1"/>
  <c r="T2193" i="44"/>
  <c r="T2194" i="44"/>
  <c r="T2191" i="44"/>
  <c r="T2192" i="44" s="1"/>
  <c r="L2120" i="44"/>
  <c r="AJ2120" i="44" s="1"/>
  <c r="AJ2119" i="44"/>
  <c r="AG1989" i="44"/>
  <c r="I1991" i="44"/>
  <c r="AG1991" i="44" s="1"/>
  <c r="I1990" i="44"/>
  <c r="AG1990" i="44" s="1"/>
  <c r="I1992" i="44"/>
  <c r="AG1992" i="44" s="1"/>
  <c r="I1993" i="44"/>
  <c r="AK2049" i="44"/>
  <c r="M2053" i="44"/>
  <c r="M2052" i="44"/>
  <c r="AK2052" i="44" s="1"/>
  <c r="M2051" i="44"/>
  <c r="AK2051" i="44" s="1"/>
  <c r="M2050" i="44"/>
  <c r="AK2050" i="44" s="1"/>
  <c r="E2088" i="44"/>
  <c r="E2086" i="44"/>
  <c r="AC2085" i="44"/>
  <c r="AJ2121" i="44"/>
  <c r="L2122" i="44"/>
  <c r="AJ2122" i="44" s="1"/>
  <c r="L2127" i="44"/>
  <c r="L2125" i="44"/>
  <c r="L2123" i="44"/>
  <c r="E2051" i="44"/>
  <c r="AC2051" i="44" s="1"/>
  <c r="AC2050" i="44"/>
  <c r="W2260" i="44"/>
  <c r="H2253" i="44"/>
  <c r="T2253" i="44"/>
  <c r="T2254" i="44"/>
  <c r="AI2260" i="44"/>
  <c r="H2129" i="44"/>
  <c r="H2127" i="44"/>
  <c r="AF2127" i="44" s="1"/>
  <c r="AF2125" i="44"/>
  <c r="H2128" i="44"/>
  <c r="AF2128" i="44" s="1"/>
  <c r="H2126" i="44"/>
  <c r="AF2126" i="44" s="1"/>
  <c r="I2156" i="44"/>
  <c r="AG2155" i="44"/>
  <c r="D2159" i="44"/>
  <c r="AB2159" i="44" s="1"/>
  <c r="AB2157" i="44"/>
  <c r="D2160" i="44"/>
  <c r="AB2160" i="44" s="1"/>
  <c r="D2161" i="44"/>
  <c r="D2158" i="44"/>
  <c r="AB2158" i="44" s="1"/>
  <c r="Q2194" i="44"/>
  <c r="Q2191" i="44"/>
  <c r="Q2192" i="44" s="1"/>
  <c r="Q2193" i="44" s="1"/>
  <c r="P2193" i="44"/>
  <c r="P2191" i="44"/>
  <c r="P2192" i="44" s="1"/>
  <c r="P2194" i="44"/>
  <c r="M2166" i="44"/>
  <c r="AK2166" i="44" s="1"/>
  <c r="M2155" i="44"/>
  <c r="AK2154" i="44"/>
  <c r="I1958" i="44"/>
  <c r="AG1958" i="44" s="1"/>
  <c r="I1960" i="44"/>
  <c r="AG1960" i="44" s="1"/>
  <c r="AG1957" i="44"/>
  <c r="I1959" i="44"/>
  <c r="AG1959" i="44" s="1"/>
  <c r="I1961" i="44"/>
  <c r="AG1961" i="44" s="1"/>
  <c r="L2157" i="44"/>
  <c r="L2166" i="44"/>
  <c r="AJ2166" i="44" s="1"/>
  <c r="L2155" i="44"/>
  <c r="AJ2154" i="44"/>
  <c r="D2202" i="44"/>
  <c r="AB2202" i="44" s="1"/>
  <c r="D2193" i="44"/>
  <c r="D2191" i="44"/>
  <c r="H2158" i="44"/>
  <c r="AF2158" i="44" s="1"/>
  <c r="H2159" i="44"/>
  <c r="AF2159" i="44" s="1"/>
  <c r="AF2157" i="44"/>
  <c r="H2161" i="44"/>
  <c r="H2160" i="44"/>
  <c r="AF2160" i="44" s="1"/>
  <c r="D2128" i="44"/>
  <c r="AB2128" i="44" s="1"/>
  <c r="D2126" i="44"/>
  <c r="AB2126" i="44" s="1"/>
  <c r="D2129" i="44"/>
  <c r="AB2129" i="44" s="1"/>
  <c r="D2127" i="44"/>
  <c r="AB2127" i="44" s="1"/>
  <c r="AB2125" i="44"/>
  <c r="D2156" i="44"/>
  <c r="AB2156" i="44" s="1"/>
  <c r="AB2155" i="44"/>
  <c r="AN2082" i="44"/>
  <c r="AR2051" i="44"/>
  <c r="AJ2089" i="44"/>
  <c r="L2093" i="44"/>
  <c r="AJ2093" i="44" s="1"/>
  <c r="L2090" i="44"/>
  <c r="AJ2090" i="44" s="1"/>
  <c r="AJ2260" i="44" l="1"/>
  <c r="M2226" i="44"/>
  <c r="L2226" i="44"/>
  <c r="E2089" i="44"/>
  <c r="AC2088" i="44"/>
  <c r="X2327" i="44"/>
  <c r="D2329" i="44"/>
  <c r="D2330" i="44"/>
  <c r="D2328" i="44"/>
  <c r="D2361" i="44"/>
  <c r="D2327" i="44"/>
  <c r="D2326" i="44"/>
  <c r="X2325" i="44"/>
  <c r="Y2227" i="44"/>
  <c r="Y2228" i="44" s="1"/>
  <c r="Y2229" i="44" s="1"/>
  <c r="Y2230" i="44"/>
  <c r="I2262" i="44"/>
  <c r="AG2262" i="44" s="1"/>
  <c r="H2262" i="44"/>
  <c r="AF2262" i="44" s="1"/>
  <c r="D2192" i="44"/>
  <c r="AB2192" i="44" s="1"/>
  <c r="AB2191" i="44"/>
  <c r="D2229" i="44"/>
  <c r="D2238" i="44"/>
  <c r="AB2238" i="44" s="1"/>
  <c r="D2227" i="44"/>
  <c r="H2250" i="44"/>
  <c r="AF2250" i="44" s="1"/>
  <c r="H2229" i="44"/>
  <c r="H2227" i="44"/>
  <c r="AI2296" i="44"/>
  <c r="W2296" i="44"/>
  <c r="H2289" i="44"/>
  <c r="T2289" i="44"/>
  <c r="T2290" i="44"/>
  <c r="Q2230" i="44"/>
  <c r="Q2227" i="44"/>
  <c r="Q2228" i="44" s="1"/>
  <c r="Q2229" i="44" s="1"/>
  <c r="H2131" i="44"/>
  <c r="AF2131" i="44" s="1"/>
  <c r="AF2129" i="44"/>
  <c r="H2130" i="44"/>
  <c r="AF2130" i="44" s="1"/>
  <c r="H2133" i="44"/>
  <c r="H2132" i="44"/>
  <c r="AF2132" i="44" s="1"/>
  <c r="I2250" i="44"/>
  <c r="AG2250" i="44" s="1"/>
  <c r="I2227" i="44"/>
  <c r="K2260" i="44"/>
  <c r="P2257" i="44"/>
  <c r="D2197" i="44"/>
  <c r="D2194" i="44"/>
  <c r="AB2194" i="44" s="1"/>
  <c r="D2195" i="44"/>
  <c r="AB2195" i="44" s="1"/>
  <c r="AB2193" i="44"/>
  <c r="D2196" i="44"/>
  <c r="AB2196" i="44" s="1"/>
  <c r="H2292" i="44"/>
  <c r="L2291" i="44"/>
  <c r="P2290" i="44"/>
  <c r="P2291" i="44"/>
  <c r="L2293" i="44"/>
  <c r="C2296" i="44" s="1"/>
  <c r="H2296" i="44"/>
  <c r="P2289" i="44"/>
  <c r="L2292" i="44"/>
  <c r="G2296" i="44" s="1"/>
  <c r="L2296" i="44"/>
  <c r="D2296" i="44"/>
  <c r="I2122" i="44"/>
  <c r="AG2122" i="44" s="1"/>
  <c r="AG2121" i="44"/>
  <c r="I2123" i="44"/>
  <c r="AG2123" i="44" s="1"/>
  <c r="I2124" i="44"/>
  <c r="AG2124" i="44" s="1"/>
  <c r="I2125" i="44"/>
  <c r="M2156" i="44"/>
  <c r="AK2155" i="44"/>
  <c r="B336" i="43"/>
  <c r="F336" i="43" s="1"/>
  <c r="AC337" i="43"/>
  <c r="AK2053" i="44"/>
  <c r="M2054" i="44"/>
  <c r="AK2054" i="44" s="1"/>
  <c r="M2055" i="44"/>
  <c r="AK2055" i="44" s="1"/>
  <c r="M2057" i="44"/>
  <c r="AK2057" i="44" s="1"/>
  <c r="M2056" i="44"/>
  <c r="AK2056" i="44" s="1"/>
  <c r="AC2053" i="44"/>
  <c r="E2056" i="44"/>
  <c r="E2054" i="44"/>
  <c r="M2121" i="44"/>
  <c r="AK2120" i="44"/>
  <c r="AX462" i="44"/>
  <c r="BB462" i="44" s="1"/>
  <c r="AR2012" i="44"/>
  <c r="AN2013" i="44"/>
  <c r="T2229" i="44"/>
  <c r="T2230" i="44"/>
  <c r="T2262" i="44"/>
  <c r="U2262" i="44"/>
  <c r="E2087" i="44"/>
  <c r="AC2087" i="44" s="1"/>
  <c r="AC2086" i="44"/>
  <c r="X2227" i="44"/>
  <c r="X2228" i="44" s="1"/>
  <c r="X2229" i="44"/>
  <c r="X2230" i="44"/>
  <c r="H2293" i="44"/>
  <c r="X2290" i="44"/>
  <c r="AM2296" i="44"/>
  <c r="AQ2296" i="44"/>
  <c r="L2156" i="44"/>
  <c r="AJ2156" i="44" s="1"/>
  <c r="AJ2155" i="44"/>
  <c r="X2262" i="44"/>
  <c r="Y2262" i="44"/>
  <c r="I1997" i="44"/>
  <c r="AG1997" i="44" s="1"/>
  <c r="I1996" i="44"/>
  <c r="AG1996" i="44" s="1"/>
  <c r="AG1993" i="44"/>
  <c r="I1995" i="44"/>
  <c r="AG1995" i="44" s="1"/>
  <c r="I1994" i="44"/>
  <c r="AG1994" i="44" s="1"/>
  <c r="H2068" i="44"/>
  <c r="AF2068" i="44" s="1"/>
  <c r="H2067" i="44"/>
  <c r="AF2067" i="44" s="1"/>
  <c r="AF2065" i="44"/>
  <c r="H2069" i="44"/>
  <c r="AF2069" i="44" s="1"/>
  <c r="H2066" i="44"/>
  <c r="AF2066" i="44" s="1"/>
  <c r="H2192" i="44"/>
  <c r="AF2192" i="44" s="1"/>
  <c r="AF2191" i="44"/>
  <c r="AR1977" i="44"/>
  <c r="AX458" i="44"/>
  <c r="BB458" i="44" s="1"/>
  <c r="AN1978" i="44"/>
  <c r="AB2260" i="44"/>
  <c r="E2157" i="44"/>
  <c r="AC2156" i="44"/>
  <c r="H2162" i="44"/>
  <c r="AF2162" i="44" s="1"/>
  <c r="H2165" i="44"/>
  <c r="H2164" i="44"/>
  <c r="AF2164" i="44" s="1"/>
  <c r="H2163" i="44"/>
  <c r="AF2163" i="44" s="1"/>
  <c r="AF2161" i="44"/>
  <c r="I2029" i="44"/>
  <c r="AG2025" i="44"/>
  <c r="I2026" i="44"/>
  <c r="AG2026" i="44" s="1"/>
  <c r="I2028" i="44"/>
  <c r="AG2028" i="44" s="1"/>
  <c r="I2027" i="44"/>
  <c r="AG2027" i="44" s="1"/>
  <c r="E2238" i="44"/>
  <c r="AC2238" i="44" s="1"/>
  <c r="E2227" i="44"/>
  <c r="P2229" i="44"/>
  <c r="P2227" i="44"/>
  <c r="P2228" i="44" s="1"/>
  <c r="P2230" i="44"/>
  <c r="M2202" i="44"/>
  <c r="AK2202" i="44" s="1"/>
  <c r="M2191" i="44"/>
  <c r="AK2190" i="44"/>
  <c r="H2099" i="44"/>
  <c r="AF2099" i="44" s="1"/>
  <c r="H2101" i="44"/>
  <c r="H2100" i="44"/>
  <c r="AF2100" i="44" s="1"/>
  <c r="AF2097" i="44"/>
  <c r="H2098" i="44"/>
  <c r="AF2098" i="44" s="1"/>
  <c r="AB2226" i="44"/>
  <c r="AG2191" i="44"/>
  <c r="I2192" i="44"/>
  <c r="Q2262" i="44"/>
  <c r="P2262" i="44"/>
  <c r="E2262" i="44"/>
  <c r="AC2262" i="44" s="1"/>
  <c r="D2262" i="44"/>
  <c r="AB2262" i="44" s="1"/>
  <c r="T2293" i="44"/>
  <c r="O2296" i="44"/>
  <c r="AA2296" i="44"/>
  <c r="H2291" i="44"/>
  <c r="T2294" i="44"/>
  <c r="E2122" i="44"/>
  <c r="E2124" i="44"/>
  <c r="AC2121" i="44"/>
  <c r="H2258" i="44"/>
  <c r="AO2253" i="44" s="1"/>
  <c r="U2227" i="44"/>
  <c r="U2228" i="44" s="1"/>
  <c r="U2229" i="44" s="1"/>
  <c r="U2230" i="44"/>
  <c r="AC2226" i="44"/>
  <c r="L2124" i="44"/>
  <c r="AJ2124" i="44" s="1"/>
  <c r="AJ2123" i="44"/>
  <c r="L2193" i="44"/>
  <c r="L2202" i="44"/>
  <c r="AJ2202" i="44" s="1"/>
  <c r="L2191" i="44"/>
  <c r="AJ2190" i="44"/>
  <c r="AF2226" i="44"/>
  <c r="E2021" i="44"/>
  <c r="AC2021" i="44" s="1"/>
  <c r="AC2020" i="44"/>
  <c r="I2157" i="44"/>
  <c r="AG2156" i="44"/>
  <c r="AX454" i="44"/>
  <c r="BB454" i="44" s="1"/>
  <c r="AR1942" i="44"/>
  <c r="AJ2125" i="44"/>
  <c r="L2126" i="44"/>
  <c r="AJ2126" i="44" s="1"/>
  <c r="L2129" i="44"/>
  <c r="AJ2129" i="44" s="1"/>
  <c r="AG2226" i="44"/>
  <c r="AF2260" i="44"/>
  <c r="E2019" i="44"/>
  <c r="AC2019" i="44" s="1"/>
  <c r="AC2018" i="44"/>
  <c r="L2145" i="44"/>
  <c r="AN2123" i="44"/>
  <c r="I2061" i="44"/>
  <c r="I2058" i="44"/>
  <c r="AG2058" i="44" s="1"/>
  <c r="I2060" i="44"/>
  <c r="AG2060" i="44" s="1"/>
  <c r="I2059" i="44"/>
  <c r="AG2059" i="44" s="1"/>
  <c r="AG2057" i="44"/>
  <c r="H2290" i="44"/>
  <c r="AE2296" i="44"/>
  <c r="S2296" i="44"/>
  <c r="T2291" i="44"/>
  <c r="T2292" i="44"/>
  <c r="AR2082" i="44"/>
  <c r="AN2083" i="44"/>
  <c r="AX470" i="44"/>
  <c r="BB470" i="44" s="1"/>
  <c r="D2162" i="44"/>
  <c r="AB2162" i="44" s="1"/>
  <c r="D2164" i="44"/>
  <c r="AB2164" i="44" s="1"/>
  <c r="AB2161" i="44"/>
  <c r="D2165" i="44"/>
  <c r="AB2165" i="44" s="1"/>
  <c r="D2163" i="44"/>
  <c r="AB2163" i="44" s="1"/>
  <c r="AJ2157" i="44"/>
  <c r="L2159" i="44"/>
  <c r="L2158" i="44"/>
  <c r="AJ2158" i="44" s="1"/>
  <c r="L2161" i="44"/>
  <c r="L2163" i="44"/>
  <c r="H2197" i="44"/>
  <c r="H2195" i="44"/>
  <c r="AF2195" i="44" s="1"/>
  <c r="H2194" i="44"/>
  <c r="AF2194" i="44" s="1"/>
  <c r="H2196" i="44"/>
  <c r="AF2196" i="44" s="1"/>
  <c r="AF2193" i="44"/>
  <c r="I2092" i="44"/>
  <c r="AG2092" i="44" s="1"/>
  <c r="I2091" i="44"/>
  <c r="AG2091" i="44" s="1"/>
  <c r="I2090" i="44"/>
  <c r="AG2090" i="44" s="1"/>
  <c r="AG2089" i="44"/>
  <c r="I2093" i="44"/>
  <c r="L2128" i="44"/>
  <c r="AJ2128" i="44" s="1"/>
  <c r="AJ2127" i="44"/>
  <c r="AX466" i="44"/>
  <c r="BB466" i="44" s="1"/>
  <c r="AR2047" i="44"/>
  <c r="AN2048" i="44"/>
  <c r="AK2085" i="44"/>
  <c r="M2088" i="44"/>
  <c r="AK2088" i="44" s="1"/>
  <c r="M2089" i="44"/>
  <c r="M2087" i="44"/>
  <c r="AK2087" i="44" s="1"/>
  <c r="M2086" i="44"/>
  <c r="AK2086" i="44" s="1"/>
  <c r="E2192" i="44"/>
  <c r="AC2191" i="44"/>
  <c r="AR2087" i="44"/>
  <c r="AN2118" i="44"/>
  <c r="AB2296" i="44" l="1"/>
  <c r="AF2296" i="44"/>
  <c r="E2055" i="44"/>
  <c r="AC2055" i="44" s="1"/>
  <c r="AC2054" i="44"/>
  <c r="E2057" i="44"/>
  <c r="AC2057" i="44" s="1"/>
  <c r="AC2056" i="44"/>
  <c r="AJ2296" i="44"/>
  <c r="AR2083" i="44"/>
  <c r="AN2084" i="44"/>
  <c r="AX471" i="44"/>
  <c r="BB471" i="44" s="1"/>
  <c r="I2298" i="44"/>
  <c r="H2298" i="44"/>
  <c r="H2232" i="44"/>
  <c r="AF2232" i="44" s="1"/>
  <c r="H2233" i="44"/>
  <c r="AF2229" i="44"/>
  <c r="H2231" i="44"/>
  <c r="AF2231" i="44" s="1"/>
  <c r="H2230" i="44"/>
  <c r="AF2230" i="44" s="1"/>
  <c r="T2265" i="44"/>
  <c r="T2263" i="44"/>
  <c r="T2264" i="44" s="1"/>
  <c r="T2266" i="44"/>
  <c r="AC338" i="43"/>
  <c r="B337" i="43"/>
  <c r="F337" i="43" s="1"/>
  <c r="D2365" i="44"/>
  <c r="D2366" i="44"/>
  <c r="X2363" i="44"/>
  <c r="D2364" i="44"/>
  <c r="X2361" i="44"/>
  <c r="D2397" i="44"/>
  <c r="D2362" i="44"/>
  <c r="D2363" i="44"/>
  <c r="AN2159" i="44"/>
  <c r="L2181" i="44"/>
  <c r="X2298" i="44"/>
  <c r="X2299" i="44" s="1"/>
  <c r="X2300" i="44" s="1"/>
  <c r="Y2298" i="44"/>
  <c r="H2329" i="44"/>
  <c r="X2326" i="44"/>
  <c r="AM2332" i="44"/>
  <c r="AQ2332" i="44"/>
  <c r="AK2089" i="44"/>
  <c r="M2090" i="44"/>
  <c r="AK2090" i="44" s="1"/>
  <c r="M2093" i="44"/>
  <c r="AK2093" i="44" s="1"/>
  <c r="M2091" i="44"/>
  <c r="AK2091" i="44" s="1"/>
  <c r="M2092" i="44"/>
  <c r="AK2092" i="44" s="1"/>
  <c r="AF2101" i="44"/>
  <c r="H2104" i="44"/>
  <c r="AF2104" i="44" s="1"/>
  <c r="H2103" i="44"/>
  <c r="AF2103" i="44" s="1"/>
  <c r="H2102" i="44"/>
  <c r="AF2102" i="44" s="1"/>
  <c r="H2105" i="44"/>
  <c r="AF2105" i="44" s="1"/>
  <c r="U2263" i="44"/>
  <c r="U2264" i="44" s="1"/>
  <c r="U2265" i="44" s="1"/>
  <c r="U2266" i="44"/>
  <c r="K2296" i="44"/>
  <c r="P2293" i="44"/>
  <c r="W2332" i="44"/>
  <c r="H2325" i="44"/>
  <c r="T2326" i="44"/>
  <c r="AI2332" i="44"/>
  <c r="T2325" i="44"/>
  <c r="AJ2193" i="44"/>
  <c r="L2194" i="44"/>
  <c r="AJ2194" i="44" s="1"/>
  <c r="L2197" i="44"/>
  <c r="L2195" i="44"/>
  <c r="L2199" i="44"/>
  <c r="H2286" i="44"/>
  <c r="AF2286" i="44" s="1"/>
  <c r="H2263" i="44"/>
  <c r="H2265" i="44"/>
  <c r="I2228" i="44"/>
  <c r="AG2227" i="44"/>
  <c r="H2136" i="44"/>
  <c r="AF2136" i="44" s="1"/>
  <c r="AF2133" i="44"/>
  <c r="H2137" i="44"/>
  <c r="H2135" i="44"/>
  <c r="AF2135" i="44" s="1"/>
  <c r="H2134" i="44"/>
  <c r="AF2134" i="44" s="1"/>
  <c r="H2327" i="44"/>
  <c r="O2332" i="44"/>
  <c r="T2330" i="44"/>
  <c r="T2329" i="44"/>
  <c r="AA2332" i="44"/>
  <c r="I2193" i="44"/>
  <c r="AG2192" i="44"/>
  <c r="E2193" i="44"/>
  <c r="AC2192" i="44"/>
  <c r="AF2165" i="44"/>
  <c r="H2169" i="44"/>
  <c r="H2166" i="44"/>
  <c r="AF2166" i="44" s="1"/>
  <c r="H2168" i="44"/>
  <c r="AF2168" i="44" s="1"/>
  <c r="H2167" i="44"/>
  <c r="AF2167" i="44" s="1"/>
  <c r="I2158" i="44"/>
  <c r="AG2158" i="44" s="1"/>
  <c r="I2159" i="44"/>
  <c r="AG2159" i="44" s="1"/>
  <c r="AG2157" i="44"/>
  <c r="I2161" i="44"/>
  <c r="I2160" i="44"/>
  <c r="AG2160" i="44" s="1"/>
  <c r="L2160" i="44"/>
  <c r="AJ2160" i="44" s="1"/>
  <c r="AJ2159" i="44"/>
  <c r="E2123" i="44"/>
  <c r="AC2123" i="44" s="1"/>
  <c r="AC2122" i="44"/>
  <c r="AR1978" i="44"/>
  <c r="AX459" i="44"/>
  <c r="BB459" i="44" s="1"/>
  <c r="X2266" i="44"/>
  <c r="X2263" i="44"/>
  <c r="X2264" i="44" s="1"/>
  <c r="X2265" i="44"/>
  <c r="AR2013" i="44"/>
  <c r="AN2014" i="44"/>
  <c r="AX463" i="44"/>
  <c r="BB463" i="44" s="1"/>
  <c r="M2157" i="44"/>
  <c r="AK2156" i="44"/>
  <c r="T2328" i="44"/>
  <c r="T2327" i="44"/>
  <c r="H2326" i="44"/>
  <c r="S2332" i="44"/>
  <c r="AE2332" i="44"/>
  <c r="Q2263" i="44"/>
  <c r="Q2264" i="44" s="1"/>
  <c r="Q2265" i="44" s="1"/>
  <c r="Q2266" i="44"/>
  <c r="H2228" i="44"/>
  <c r="AF2228" i="44" s="1"/>
  <c r="AF2227" i="44"/>
  <c r="D2228" i="44"/>
  <c r="AB2228" i="44" s="1"/>
  <c r="AB2227" i="44"/>
  <c r="D2298" i="44"/>
  <c r="AB2298" i="44" s="1"/>
  <c r="E2298" i="44"/>
  <c r="AC2298" i="44" s="1"/>
  <c r="AN2049" i="44"/>
  <c r="AR2048" i="44"/>
  <c r="AX467" i="44"/>
  <c r="BB467" i="44" s="1"/>
  <c r="E2125" i="44"/>
  <c r="AC2124" i="44"/>
  <c r="I2129" i="44"/>
  <c r="AG2125" i="44"/>
  <c r="I2126" i="44"/>
  <c r="AG2126" i="44" s="1"/>
  <c r="I2127" i="44"/>
  <c r="AG2127" i="44" s="1"/>
  <c r="I2128" i="44"/>
  <c r="AG2128" i="44" s="1"/>
  <c r="D2233" i="44"/>
  <c r="D2232" i="44"/>
  <c r="AB2232" i="44" s="1"/>
  <c r="AB2229" i="44"/>
  <c r="D2231" i="44"/>
  <c r="AB2231" i="44" s="1"/>
  <c r="D2230" i="44"/>
  <c r="AB2230" i="44" s="1"/>
  <c r="L2238" i="44"/>
  <c r="AJ2238" i="44" s="1"/>
  <c r="L2229" i="44"/>
  <c r="L2227" i="44"/>
  <c r="AJ2226" i="44"/>
  <c r="AR2118" i="44"/>
  <c r="AX475" i="44"/>
  <c r="BB475" i="44" s="1"/>
  <c r="AN2119" i="44"/>
  <c r="M2262" i="44"/>
  <c r="L2262" i="44"/>
  <c r="I2030" i="44"/>
  <c r="AG2030" i="44" s="1"/>
  <c r="I2033" i="44"/>
  <c r="AG2033" i="44" s="1"/>
  <c r="AG2029" i="44"/>
  <c r="I2032" i="44"/>
  <c r="AG2032" i="44" s="1"/>
  <c r="I2031" i="44"/>
  <c r="AG2031" i="44" s="1"/>
  <c r="T2298" i="44"/>
  <c r="T2299" i="44" s="1"/>
  <c r="T2300" i="44" s="1"/>
  <c r="U2298" i="44"/>
  <c r="L2332" i="44"/>
  <c r="H2332" i="44"/>
  <c r="L2328" i="44"/>
  <c r="G2332" i="44" s="1"/>
  <c r="D2332" i="44"/>
  <c r="P2326" i="44"/>
  <c r="P2327" i="44"/>
  <c r="L2329" i="44"/>
  <c r="C2332" i="44" s="1"/>
  <c r="P2325" i="44"/>
  <c r="L2327" i="44"/>
  <c r="H2328" i="44"/>
  <c r="L2164" i="44"/>
  <c r="AJ2164" i="44" s="1"/>
  <c r="AJ2163" i="44"/>
  <c r="Y2266" i="44"/>
  <c r="Y2263" i="44"/>
  <c r="Y2264" i="44" s="1"/>
  <c r="Y2265" i="44" s="1"/>
  <c r="D2274" i="44"/>
  <c r="AB2274" i="44" s="1"/>
  <c r="D2265" i="44"/>
  <c r="D2263" i="44"/>
  <c r="I2094" i="44"/>
  <c r="AG2094" i="44" s="1"/>
  <c r="AG2093" i="44"/>
  <c r="I2095" i="44"/>
  <c r="AG2095" i="44" s="1"/>
  <c r="I2097" i="44"/>
  <c r="I2096" i="44"/>
  <c r="AG2096" i="44" s="1"/>
  <c r="AG2061" i="44"/>
  <c r="I2064" i="44"/>
  <c r="AG2064" i="44" s="1"/>
  <c r="I2063" i="44"/>
  <c r="AG2063" i="44" s="1"/>
  <c r="I2065" i="44"/>
  <c r="I2062" i="44"/>
  <c r="AG2062" i="44" s="1"/>
  <c r="E2263" i="44"/>
  <c r="E2274" i="44"/>
  <c r="AC2274" i="44" s="1"/>
  <c r="E2090" i="44"/>
  <c r="AC2089" i="44"/>
  <c r="E2092" i="44"/>
  <c r="M2238" i="44"/>
  <c r="AK2238" i="44" s="1"/>
  <c r="M2227" i="44"/>
  <c r="AK2226" i="44"/>
  <c r="I2263" i="44"/>
  <c r="I2286" i="44"/>
  <c r="AG2286" i="44" s="1"/>
  <c r="H2200" i="44"/>
  <c r="AF2200" i="44" s="1"/>
  <c r="H2199" i="44"/>
  <c r="AF2199" i="44" s="1"/>
  <c r="AF2197" i="44"/>
  <c r="H2201" i="44"/>
  <c r="H2198" i="44"/>
  <c r="AF2198" i="44" s="1"/>
  <c r="AJ2161" i="44"/>
  <c r="L2162" i="44"/>
  <c r="AJ2162" i="44" s="1"/>
  <c r="L2165" i="44"/>
  <c r="AJ2165" i="44" s="1"/>
  <c r="M2192" i="44"/>
  <c r="AK2191" i="44"/>
  <c r="AC2157" i="44"/>
  <c r="E2160" i="44"/>
  <c r="E2158" i="44"/>
  <c r="AN2154" i="44"/>
  <c r="AR2123" i="44"/>
  <c r="L2192" i="44"/>
  <c r="AJ2192" i="44" s="1"/>
  <c r="AJ2191" i="44"/>
  <c r="Q2298" i="44"/>
  <c r="P2298" i="44"/>
  <c r="P2265" i="44"/>
  <c r="P2263" i="44"/>
  <c r="P2264" i="44" s="1"/>
  <c r="P2266" i="44"/>
  <c r="E2228" i="44"/>
  <c r="AC2227" i="44"/>
  <c r="AK2121" i="44"/>
  <c r="M2125" i="44"/>
  <c r="M2122" i="44"/>
  <c r="AK2122" i="44" s="1"/>
  <c r="M2124" i="44"/>
  <c r="AK2124" i="44" s="1"/>
  <c r="M2123" i="44"/>
  <c r="AK2123" i="44" s="1"/>
  <c r="D2198" i="44"/>
  <c r="AB2198" i="44" s="1"/>
  <c r="D2200" i="44"/>
  <c r="AB2200" i="44" s="1"/>
  <c r="D2201" i="44"/>
  <c r="AB2201" i="44" s="1"/>
  <c r="D2199" i="44"/>
  <c r="AB2199" i="44" s="1"/>
  <c r="AB2197" i="44"/>
  <c r="H2294" i="44"/>
  <c r="AO2289" i="44" s="1"/>
  <c r="I2196" i="44" l="1"/>
  <c r="AG2196" i="44" s="1"/>
  <c r="AG2193" i="44"/>
  <c r="I2195" i="44"/>
  <c r="AG2195" i="44" s="1"/>
  <c r="I2194" i="44"/>
  <c r="AG2194" i="44" s="1"/>
  <c r="I2197" i="44"/>
  <c r="AI2368" i="44"/>
  <c r="T2361" i="44"/>
  <c r="H2361" i="44"/>
  <c r="T2362" i="44"/>
  <c r="W2368" i="44"/>
  <c r="H2301" i="44"/>
  <c r="H2322" i="44"/>
  <c r="AF2322" i="44" s="1"/>
  <c r="H2299" i="44"/>
  <c r="H2264" i="44"/>
  <c r="AF2264" i="44" s="1"/>
  <c r="AF2263" i="44"/>
  <c r="H2364" i="44"/>
  <c r="L2365" i="44"/>
  <c r="C2368" i="44" s="1"/>
  <c r="P2363" i="44"/>
  <c r="L2364" i="44"/>
  <c r="G2368" i="44" s="1"/>
  <c r="P2361" i="44"/>
  <c r="L2368" i="44"/>
  <c r="D2368" i="44"/>
  <c r="P2362" i="44"/>
  <c r="L2363" i="44"/>
  <c r="H2368" i="44"/>
  <c r="AF2332" i="44"/>
  <c r="K2332" i="44"/>
  <c r="P2329" i="44"/>
  <c r="AJ2197" i="44"/>
  <c r="L2201" i="44"/>
  <c r="AJ2201" i="44" s="1"/>
  <c r="L2198" i="44"/>
  <c r="AJ2198" i="44" s="1"/>
  <c r="I2162" i="44"/>
  <c r="AG2162" i="44" s="1"/>
  <c r="AG2161" i="44"/>
  <c r="I2164" i="44"/>
  <c r="AG2164" i="44" s="1"/>
  <c r="I2163" i="44"/>
  <c r="AG2163" i="44" s="1"/>
  <c r="I2165" i="44"/>
  <c r="P2334" i="44"/>
  <c r="Q2334" i="44"/>
  <c r="I2322" i="44"/>
  <c r="AG2322" i="44" s="1"/>
  <c r="I2299" i="44"/>
  <c r="AC2193" i="44"/>
  <c r="E2196" i="44"/>
  <c r="E2194" i="44"/>
  <c r="H2363" i="44"/>
  <c r="T2365" i="44"/>
  <c r="T2366" i="44"/>
  <c r="AA2368" i="44"/>
  <c r="O2368" i="44"/>
  <c r="AN2190" i="44"/>
  <c r="AR2159" i="44"/>
  <c r="U2334" i="44"/>
  <c r="T2334" i="44"/>
  <c r="T2335" i="44" s="1"/>
  <c r="T2336" i="44" s="1"/>
  <c r="E2264" i="44"/>
  <c r="AC2263" i="44"/>
  <c r="AX476" i="44"/>
  <c r="BB476" i="44" s="1"/>
  <c r="AN2120" i="44"/>
  <c r="AR2119" i="44"/>
  <c r="H2202" i="44"/>
  <c r="AF2202" i="44" s="1"/>
  <c r="AF2201" i="44"/>
  <c r="H2204" i="44"/>
  <c r="AF2204" i="44" s="1"/>
  <c r="H2203" i="44"/>
  <c r="AF2203" i="44" s="1"/>
  <c r="H2205" i="44"/>
  <c r="I2098" i="44"/>
  <c r="AG2098" i="44" s="1"/>
  <c r="I2100" i="44"/>
  <c r="AG2100" i="44" s="1"/>
  <c r="I2099" i="44"/>
  <c r="AG2099" i="44" s="1"/>
  <c r="I2101" i="44"/>
  <c r="AG2097" i="44"/>
  <c r="I2132" i="44"/>
  <c r="AG2132" i="44" s="1"/>
  <c r="AG2129" i="44"/>
  <c r="I2133" i="44"/>
  <c r="I2131" i="44"/>
  <c r="AG2131" i="44" s="1"/>
  <c r="I2130" i="44"/>
  <c r="AG2130" i="44" s="1"/>
  <c r="AK2157" i="44"/>
  <c r="M2159" i="44"/>
  <c r="AK2159" i="44" s="1"/>
  <c r="M2160" i="44"/>
  <c r="AK2160" i="44" s="1"/>
  <c r="M2161" i="44"/>
  <c r="M2158" i="44"/>
  <c r="AK2158" i="44" s="1"/>
  <c r="AJ2332" i="44"/>
  <c r="H2362" i="44"/>
  <c r="AE2368" i="44"/>
  <c r="T2364" i="44"/>
  <c r="S2368" i="44"/>
  <c r="T2363" i="44"/>
  <c r="AX472" i="44"/>
  <c r="BB472" i="44" s="1"/>
  <c r="AN2085" i="44"/>
  <c r="AR2084" i="44"/>
  <c r="E2091" i="44"/>
  <c r="AC2091" i="44" s="1"/>
  <c r="AC2090" i="44"/>
  <c r="AB2332" i="44"/>
  <c r="AQ2368" i="44"/>
  <c r="X2362" i="44"/>
  <c r="H2365" i="44"/>
  <c r="AM2368" i="44"/>
  <c r="E2334" i="44"/>
  <c r="D2334" i="44"/>
  <c r="M2193" i="44"/>
  <c r="AK2192" i="44"/>
  <c r="AX464" i="44"/>
  <c r="BB464" i="44" s="1"/>
  <c r="AR2014" i="44"/>
  <c r="H2330" i="44"/>
  <c r="AO2325" i="44" s="1"/>
  <c r="B338" i="43"/>
  <c r="F338" i="43" s="1"/>
  <c r="AC339" i="43"/>
  <c r="L2217" i="44"/>
  <c r="AN2195" i="44"/>
  <c r="E2229" i="44"/>
  <c r="AC2228" i="44"/>
  <c r="L2196" i="44"/>
  <c r="AJ2196" i="44" s="1"/>
  <c r="AJ2195" i="44"/>
  <c r="D2301" i="44"/>
  <c r="D2310" i="44"/>
  <c r="AB2310" i="44" s="1"/>
  <c r="D2299" i="44"/>
  <c r="X2334" i="44"/>
  <c r="X2335" i="44" s="1"/>
  <c r="X2336" i="44" s="1"/>
  <c r="Y2334" i="44"/>
  <c r="AG2298" i="44"/>
  <c r="H2237" i="44"/>
  <c r="H2236" i="44"/>
  <c r="AF2236" i="44" s="1"/>
  <c r="AF2233" i="44"/>
  <c r="H2234" i="44"/>
  <c r="AF2234" i="44" s="1"/>
  <c r="H2235" i="44"/>
  <c r="AF2235" i="44" s="1"/>
  <c r="AK2125" i="44"/>
  <c r="M2127" i="44"/>
  <c r="AK2127" i="44" s="1"/>
  <c r="M2128" i="44"/>
  <c r="AK2128" i="44" s="1"/>
  <c r="M2126" i="44"/>
  <c r="AK2126" i="44" s="1"/>
  <c r="M2129" i="44"/>
  <c r="AK2129" i="44" s="1"/>
  <c r="L2200" i="44"/>
  <c r="AJ2200" i="44" s="1"/>
  <c r="AJ2199" i="44"/>
  <c r="I2069" i="44"/>
  <c r="AG2069" i="44" s="1"/>
  <c r="AG2065" i="44"/>
  <c r="I2068" i="44"/>
  <c r="AG2068" i="44" s="1"/>
  <c r="I2067" i="44"/>
  <c r="AG2067" i="44" s="1"/>
  <c r="I2066" i="44"/>
  <c r="AG2066" i="44" s="1"/>
  <c r="D2402" i="44"/>
  <c r="D2400" i="44"/>
  <c r="X2399" i="44"/>
  <c r="D2398" i="44"/>
  <c r="D2399" i="44"/>
  <c r="D2433" i="44"/>
  <c r="D2401" i="44"/>
  <c r="X2397" i="44"/>
  <c r="M2263" i="44"/>
  <c r="M2274" i="44"/>
  <c r="AK2274" i="44" s="1"/>
  <c r="AK2262" i="44"/>
  <c r="AC2125" i="44"/>
  <c r="E2126" i="44"/>
  <c r="E2128" i="44"/>
  <c r="AR2154" i="44"/>
  <c r="AX480" i="44"/>
  <c r="BB480" i="44" s="1"/>
  <c r="AN2155" i="44"/>
  <c r="AF2298" i="44"/>
  <c r="E2093" i="44"/>
  <c r="AC2093" i="44" s="1"/>
  <c r="AC2092" i="44"/>
  <c r="D2234" i="44"/>
  <c r="AB2234" i="44" s="1"/>
  <c r="D2235" i="44"/>
  <c r="AB2235" i="44" s="1"/>
  <c r="D2237" i="44"/>
  <c r="AB2237" i="44" s="1"/>
  <c r="AB2233" i="44"/>
  <c r="D2236" i="44"/>
  <c r="AB2236" i="44" s="1"/>
  <c r="L2274" i="44"/>
  <c r="AJ2274" i="44" s="1"/>
  <c r="L2265" i="44"/>
  <c r="L2263" i="44"/>
  <c r="AJ2262" i="44"/>
  <c r="P2302" i="44"/>
  <c r="P2299" i="44"/>
  <c r="P2300" i="44" s="1"/>
  <c r="P2301" i="44"/>
  <c r="Q2302" i="44"/>
  <c r="Q2299" i="44"/>
  <c r="Q2300" i="44" s="1"/>
  <c r="Q2301" i="44" s="1"/>
  <c r="U2302" i="44"/>
  <c r="U2299" i="44"/>
  <c r="U2300" i="44" s="1"/>
  <c r="U2301" i="44" s="1"/>
  <c r="AR2049" i="44"/>
  <c r="AN2050" i="44"/>
  <c r="AX468" i="44"/>
  <c r="BB468" i="44" s="1"/>
  <c r="AF2169" i="44"/>
  <c r="H2171" i="44"/>
  <c r="AF2171" i="44" s="1"/>
  <c r="H2170" i="44"/>
  <c r="AF2170" i="44" s="1"/>
  <c r="H2173" i="44"/>
  <c r="H2172" i="44"/>
  <c r="AF2172" i="44" s="1"/>
  <c r="M2298" i="44"/>
  <c r="L2298" i="44"/>
  <c r="Y2302" i="44"/>
  <c r="Y2299" i="44"/>
  <c r="Y2300" i="44" s="1"/>
  <c r="Y2301" i="44" s="1"/>
  <c r="H2267" i="44"/>
  <c r="AF2267" i="44" s="1"/>
  <c r="H2269" i="44"/>
  <c r="H2266" i="44"/>
  <c r="AF2266" i="44" s="1"/>
  <c r="H2268" i="44"/>
  <c r="AF2268" i="44" s="1"/>
  <c r="AF2265" i="44"/>
  <c r="L2228" i="44"/>
  <c r="AJ2228" i="44" s="1"/>
  <c r="AJ2227" i="44"/>
  <c r="H2334" i="44"/>
  <c r="AF2334" i="44" s="1"/>
  <c r="I2334" i="44"/>
  <c r="AG2334" i="44" s="1"/>
  <c r="AJ2229" i="44"/>
  <c r="L2235" i="44"/>
  <c r="L2233" i="44"/>
  <c r="L2231" i="44"/>
  <c r="L2230" i="44"/>
  <c r="AJ2230" i="44" s="1"/>
  <c r="E2299" i="44"/>
  <c r="E2310" i="44"/>
  <c r="AC2310" i="44" s="1"/>
  <c r="H2138" i="44"/>
  <c r="AF2138" i="44" s="1"/>
  <c r="H2139" i="44"/>
  <c r="AF2139" i="44" s="1"/>
  <c r="AF2137" i="44"/>
  <c r="H2141" i="44"/>
  <c r="AF2141" i="44" s="1"/>
  <c r="H2140" i="44"/>
  <c r="AF2140" i="44" s="1"/>
  <c r="I2264" i="44"/>
  <c r="AG2263" i="44"/>
  <c r="D2264" i="44"/>
  <c r="AB2264" i="44" s="1"/>
  <c r="AB2263" i="44"/>
  <c r="E2159" i="44"/>
  <c r="AC2159" i="44" s="1"/>
  <c r="AC2158" i="44"/>
  <c r="M2228" i="44"/>
  <c r="AK2227" i="44"/>
  <c r="D2269" i="44"/>
  <c r="D2268" i="44"/>
  <c r="AB2268" i="44" s="1"/>
  <c r="D2267" i="44"/>
  <c r="AB2267" i="44" s="1"/>
  <c r="D2266" i="44"/>
  <c r="AB2266" i="44" s="1"/>
  <c r="AB2265" i="44"/>
  <c r="E2161" i="44"/>
  <c r="AC2160" i="44"/>
  <c r="T2302" i="44"/>
  <c r="T2301" i="44"/>
  <c r="I2229" i="44"/>
  <c r="AG2228" i="44"/>
  <c r="X2302" i="44"/>
  <c r="X2301" i="44"/>
  <c r="AB2368" i="44" l="1"/>
  <c r="AR2195" i="44"/>
  <c r="AN2226" i="44"/>
  <c r="AF2368" i="44"/>
  <c r="H2300" i="44"/>
  <c r="AF2300" i="44" s="1"/>
  <c r="AF2299" i="44"/>
  <c r="L2236" i="44"/>
  <c r="AJ2236" i="44" s="1"/>
  <c r="AJ2235" i="44"/>
  <c r="T2397" i="44"/>
  <c r="H2397" i="44"/>
  <c r="T2398" i="44"/>
  <c r="AI2404" i="44"/>
  <c r="W2404" i="44"/>
  <c r="L2334" i="44"/>
  <c r="M2334" i="44"/>
  <c r="E2300" i="44"/>
  <c r="AC2299" i="44"/>
  <c r="T2370" i="44"/>
  <c r="U2370" i="44"/>
  <c r="D2271" i="44"/>
  <c r="AB2271" i="44" s="1"/>
  <c r="D2272" i="44"/>
  <c r="AB2272" i="44" s="1"/>
  <c r="D2273" i="44"/>
  <c r="AB2273" i="44" s="1"/>
  <c r="D2270" i="44"/>
  <c r="AB2270" i="44" s="1"/>
  <c r="AB2269" i="44"/>
  <c r="T2401" i="44"/>
  <c r="H2399" i="44"/>
  <c r="AA2404" i="44"/>
  <c r="O2404" i="44"/>
  <c r="T2402" i="44"/>
  <c r="AR2120" i="44"/>
  <c r="AX477" i="44"/>
  <c r="BB477" i="44" s="1"/>
  <c r="AN2121" i="44"/>
  <c r="I2300" i="44"/>
  <c r="AG2299" i="44"/>
  <c r="H2303" i="44"/>
  <c r="AF2303" i="44" s="1"/>
  <c r="H2302" i="44"/>
  <c r="AF2302" i="44" s="1"/>
  <c r="AF2301" i="44"/>
  <c r="H2305" i="44"/>
  <c r="H2304" i="44"/>
  <c r="AF2304" i="44" s="1"/>
  <c r="AF2269" i="44"/>
  <c r="H2271" i="44"/>
  <c r="AF2271" i="44" s="1"/>
  <c r="H2272" i="44"/>
  <c r="AF2272" i="44" s="1"/>
  <c r="H2273" i="44"/>
  <c r="H2270" i="44"/>
  <c r="AF2270" i="44" s="1"/>
  <c r="H2241" i="44"/>
  <c r="H2240" i="44"/>
  <c r="AF2240" i="44" s="1"/>
  <c r="H2239" i="44"/>
  <c r="AF2239" i="44" s="1"/>
  <c r="H2238" i="44"/>
  <c r="AF2238" i="44" s="1"/>
  <c r="AF2237" i="44"/>
  <c r="X2370" i="44"/>
  <c r="Y2370" i="44"/>
  <c r="E2232" i="44"/>
  <c r="E2230" i="44"/>
  <c r="AC2229" i="44"/>
  <c r="B339" i="43"/>
  <c r="F339" i="43" s="1"/>
  <c r="AC340" i="43"/>
  <c r="B340" i="43" s="1"/>
  <c r="F340" i="43" s="1"/>
  <c r="E2197" i="44"/>
  <c r="AC2196" i="44"/>
  <c r="D2337" i="44"/>
  <c r="D2346" i="44"/>
  <c r="AB2346" i="44" s="1"/>
  <c r="D2335" i="44"/>
  <c r="AB2334" i="44"/>
  <c r="I2134" i="44"/>
  <c r="AG2134" i="44" s="1"/>
  <c r="AG2133" i="44"/>
  <c r="I2135" i="44"/>
  <c r="AG2135" i="44" s="1"/>
  <c r="I2136" i="44"/>
  <c r="AG2136" i="44" s="1"/>
  <c r="I2137" i="44"/>
  <c r="I2230" i="44"/>
  <c r="AG2230" i="44" s="1"/>
  <c r="I2232" i="44"/>
  <c r="AG2232" i="44" s="1"/>
  <c r="I2231" i="44"/>
  <c r="AG2231" i="44" s="1"/>
  <c r="AG2229" i="44"/>
  <c r="I2233" i="44"/>
  <c r="L2301" i="44"/>
  <c r="L2310" i="44"/>
  <c r="AJ2310" i="44" s="1"/>
  <c r="L2299" i="44"/>
  <c r="AJ2298" i="44"/>
  <c r="E2129" i="44"/>
  <c r="AC2129" i="44" s="1"/>
  <c r="AC2128" i="44"/>
  <c r="Y2338" i="44"/>
  <c r="Y2335" i="44"/>
  <c r="Y2336" i="44" s="1"/>
  <c r="Y2337" i="44" s="1"/>
  <c r="E2335" i="44"/>
  <c r="E2346" i="44"/>
  <c r="AC2346" i="44" s="1"/>
  <c r="AC2334" i="44"/>
  <c r="E2265" i="44"/>
  <c r="AC2264" i="44"/>
  <c r="K2368" i="44"/>
  <c r="P2365" i="44"/>
  <c r="H2366" i="44"/>
  <c r="AO2361" i="44" s="1"/>
  <c r="E2195" i="44"/>
  <c r="AC2195" i="44" s="1"/>
  <c r="AC2194" i="44"/>
  <c r="AJ2233" i="44"/>
  <c r="L2234" i="44"/>
  <c r="AJ2234" i="44" s="1"/>
  <c r="L2237" i="44"/>
  <c r="AJ2237" i="44" s="1"/>
  <c r="M2310" i="44"/>
  <c r="AK2310" i="44" s="1"/>
  <c r="M2299" i="44"/>
  <c r="AK2298" i="44"/>
  <c r="X2337" i="44"/>
  <c r="X2338" i="44"/>
  <c r="U2335" i="44"/>
  <c r="U2336" i="44" s="1"/>
  <c r="U2337" i="44" s="1"/>
  <c r="U2338" i="44"/>
  <c r="H2174" i="44"/>
  <c r="AF2174" i="44" s="1"/>
  <c r="AF2173" i="44"/>
  <c r="H2177" i="44"/>
  <c r="AF2177" i="44" s="1"/>
  <c r="H2176" i="44"/>
  <c r="AF2176" i="44" s="1"/>
  <c r="H2175" i="44"/>
  <c r="AF2175" i="44" s="1"/>
  <c r="AJ2265" i="44"/>
  <c r="L2269" i="44"/>
  <c r="L2267" i="44"/>
  <c r="L2266" i="44"/>
  <c r="AJ2266" i="44" s="1"/>
  <c r="L2271" i="44"/>
  <c r="AG2101" i="44"/>
  <c r="I2103" i="44"/>
  <c r="AG2103" i="44" s="1"/>
  <c r="I2102" i="44"/>
  <c r="AG2102" i="44" s="1"/>
  <c r="I2105" i="44"/>
  <c r="AG2105" i="44" s="1"/>
  <c r="I2104" i="44"/>
  <c r="AG2104" i="44" s="1"/>
  <c r="I2167" i="44"/>
  <c r="AG2167" i="44" s="1"/>
  <c r="I2166" i="44"/>
  <c r="AG2166" i="44" s="1"/>
  <c r="AG2165" i="44"/>
  <c r="I2168" i="44"/>
  <c r="AG2168" i="44" s="1"/>
  <c r="I2169" i="44"/>
  <c r="AJ2368" i="44"/>
  <c r="I2198" i="44"/>
  <c r="AG2198" i="44" s="1"/>
  <c r="I2199" i="44"/>
  <c r="AG2199" i="44" s="1"/>
  <c r="I2200" i="44"/>
  <c r="AG2200" i="44" s="1"/>
  <c r="AG2197" i="44"/>
  <c r="I2201" i="44"/>
  <c r="P2398" i="44"/>
  <c r="D2404" i="44"/>
  <c r="L2404" i="44"/>
  <c r="L2400" i="44"/>
  <c r="G2404" i="44" s="1"/>
  <c r="L2401" i="44"/>
  <c r="C2404" i="44" s="1"/>
  <c r="P2399" i="44"/>
  <c r="H2404" i="44"/>
  <c r="P2397" i="44"/>
  <c r="H2400" i="44"/>
  <c r="L2399" i="44"/>
  <c r="L2253" i="44"/>
  <c r="AN2231" i="44"/>
  <c r="AN2156" i="44"/>
  <c r="AR2155" i="44"/>
  <c r="AX481" i="44"/>
  <c r="BB481" i="44" s="1"/>
  <c r="D2300" i="44"/>
  <c r="AB2300" i="44" s="1"/>
  <c r="AB2299" i="44"/>
  <c r="P2335" i="44"/>
  <c r="P2336" i="44" s="1"/>
  <c r="P2337" i="44"/>
  <c r="P2338" i="44"/>
  <c r="AB2301" i="44"/>
  <c r="D2303" i="44"/>
  <c r="AB2303" i="44" s="1"/>
  <c r="D2302" i="44"/>
  <c r="AB2302" i="44" s="1"/>
  <c r="D2304" i="44"/>
  <c r="AB2304" i="44" s="1"/>
  <c r="D2305" i="44"/>
  <c r="AR2190" i="44"/>
  <c r="AN2191" i="44"/>
  <c r="AX485" i="44"/>
  <c r="BB485" i="44" s="1"/>
  <c r="AR2050" i="44"/>
  <c r="AX469" i="44"/>
  <c r="BB469" i="44" s="1"/>
  <c r="L2264" i="44"/>
  <c r="AJ2264" i="44" s="1"/>
  <c r="AJ2263" i="44"/>
  <c r="I2358" i="44"/>
  <c r="AG2358" i="44" s="1"/>
  <c r="I2335" i="44"/>
  <c r="M2264" i="44"/>
  <c r="AK2263" i="44"/>
  <c r="AN2086" i="44"/>
  <c r="AR2085" i="44"/>
  <c r="AX473" i="44"/>
  <c r="BB473" i="44" s="1"/>
  <c r="Q2370" i="44"/>
  <c r="P2370" i="44"/>
  <c r="I2370" i="44"/>
  <c r="AG2370" i="44" s="1"/>
  <c r="H2370" i="44"/>
  <c r="D2438" i="44"/>
  <c r="D2469" i="44"/>
  <c r="D2436" i="44"/>
  <c r="D2434" i="44"/>
  <c r="D2435" i="44"/>
  <c r="X2435" i="44"/>
  <c r="X2433" i="44"/>
  <c r="D2437" i="44"/>
  <c r="L2232" i="44"/>
  <c r="AJ2232" i="44" s="1"/>
  <c r="AJ2231" i="44"/>
  <c r="M2229" i="44"/>
  <c r="AK2228" i="44"/>
  <c r="T2337" i="44"/>
  <c r="T2338" i="44"/>
  <c r="AM2404" i="44"/>
  <c r="X2398" i="44"/>
  <c r="H2401" i="44"/>
  <c r="AQ2404" i="44"/>
  <c r="AK2161" i="44"/>
  <c r="M2165" i="44"/>
  <c r="AK2165" i="44" s="1"/>
  <c r="M2163" i="44"/>
  <c r="AK2163" i="44" s="1"/>
  <c r="M2164" i="44"/>
  <c r="AK2164" i="44" s="1"/>
  <c r="M2162" i="44"/>
  <c r="AK2162" i="44" s="1"/>
  <c r="I2265" i="44"/>
  <c r="AG2264" i="44"/>
  <c r="E2127" i="44"/>
  <c r="AC2127" i="44" s="1"/>
  <c r="AC2126" i="44"/>
  <c r="AK2193" i="44"/>
  <c r="M2195" i="44"/>
  <c r="AK2195" i="44" s="1"/>
  <c r="M2194" i="44"/>
  <c r="AK2194" i="44" s="1"/>
  <c r="M2197" i="44"/>
  <c r="M2196" i="44"/>
  <c r="AK2196" i="44" s="1"/>
  <c r="Q2338" i="44"/>
  <c r="Q2335" i="44"/>
  <c r="Q2336" i="44" s="1"/>
  <c r="Q2337" i="44" s="1"/>
  <c r="E2164" i="44"/>
  <c r="AC2161" i="44"/>
  <c r="E2162" i="44"/>
  <c r="H2337" i="44"/>
  <c r="H2335" i="44"/>
  <c r="H2358" i="44"/>
  <c r="AF2358" i="44" s="1"/>
  <c r="S2404" i="44"/>
  <c r="H2398" i="44"/>
  <c r="AE2404" i="44"/>
  <c r="T2400" i="44"/>
  <c r="T2399" i="44"/>
  <c r="H2207" i="44"/>
  <c r="AF2207" i="44" s="1"/>
  <c r="H2209" i="44"/>
  <c r="AF2205" i="44"/>
  <c r="H2208" i="44"/>
  <c r="AF2208" i="44" s="1"/>
  <c r="H2206" i="44"/>
  <c r="AF2206" i="44" s="1"/>
  <c r="E2370" i="44"/>
  <c r="D2370" i="44"/>
  <c r="AX474" i="44" l="1"/>
  <c r="BB474" i="44" s="1"/>
  <c r="AR2086" i="44"/>
  <c r="T2406" i="44"/>
  <c r="U2406" i="44"/>
  <c r="H2406" i="44"/>
  <c r="AF2406" i="44" s="1"/>
  <c r="I2406" i="44"/>
  <c r="X2374" i="44"/>
  <c r="X2373" i="44"/>
  <c r="X2371" i="44"/>
  <c r="X2372" i="44" s="1"/>
  <c r="T2373" i="44"/>
  <c r="T2374" i="44"/>
  <c r="T2371" i="44"/>
  <c r="T2372" i="44" s="1"/>
  <c r="M2265" i="44"/>
  <c r="AK2264" i="44"/>
  <c r="AC2335" i="44"/>
  <c r="E2336" i="44"/>
  <c r="I2301" i="44"/>
  <c r="AG2300" i="44"/>
  <c r="M2346" i="44"/>
  <c r="AK2346" i="44" s="1"/>
  <c r="M2335" i="44"/>
  <c r="AK2334" i="44"/>
  <c r="I2336" i="44"/>
  <c r="AG2335" i="44"/>
  <c r="AR2121" i="44"/>
  <c r="AX478" i="44"/>
  <c r="BB478" i="44" s="1"/>
  <c r="AN2122" i="44"/>
  <c r="AK2229" i="44"/>
  <c r="M2233" i="44"/>
  <c r="M2230" i="44"/>
  <c r="AK2230" i="44" s="1"/>
  <c r="M2232" i="44"/>
  <c r="AK2232" i="44" s="1"/>
  <c r="M2231" i="44"/>
  <c r="AK2231" i="44" s="1"/>
  <c r="L2268" i="44"/>
  <c r="AJ2268" i="44" s="1"/>
  <c r="AJ2267" i="44"/>
  <c r="Q2406" i="44"/>
  <c r="P2406" i="44"/>
  <c r="H2402" i="44"/>
  <c r="AO2397" i="44" s="1"/>
  <c r="L2337" i="44"/>
  <c r="L2346" i="44"/>
  <c r="AJ2346" i="44" s="1"/>
  <c r="L2335" i="44"/>
  <c r="AJ2334" i="44"/>
  <c r="AK2197" i="44"/>
  <c r="M2198" i="44"/>
  <c r="AK2198" i="44" s="1"/>
  <c r="M2201" i="44"/>
  <c r="AK2201" i="44" s="1"/>
  <c r="M2200" i="44"/>
  <c r="AK2200" i="44" s="1"/>
  <c r="M2199" i="44"/>
  <c r="AK2199" i="44" s="1"/>
  <c r="AX482" i="44"/>
  <c r="BB482" i="44" s="1"/>
  <c r="AR2156" i="44"/>
  <c r="AN2157" i="44"/>
  <c r="AJ2269" i="44"/>
  <c r="L2270" i="44"/>
  <c r="AJ2270" i="44" s="1"/>
  <c r="L2273" i="44"/>
  <c r="AJ2273" i="44" s="1"/>
  <c r="L2300" i="44"/>
  <c r="AJ2300" i="44" s="1"/>
  <c r="AJ2299" i="44"/>
  <c r="D2340" i="44"/>
  <c r="AB2340" i="44" s="1"/>
  <c r="D2341" i="44"/>
  <c r="AB2337" i="44"/>
  <c r="D2338" i="44"/>
  <c r="AB2338" i="44" s="1"/>
  <c r="D2339" i="44"/>
  <c r="AB2339" i="44" s="1"/>
  <c r="H2277" i="44"/>
  <c r="AF2273" i="44"/>
  <c r="H2276" i="44"/>
  <c r="AF2276" i="44" s="1"/>
  <c r="H2274" i="44"/>
  <c r="AF2274" i="44" s="1"/>
  <c r="H2275" i="44"/>
  <c r="AF2275" i="44" s="1"/>
  <c r="AB2404" i="44"/>
  <c r="Y2374" i="44"/>
  <c r="Y2371" i="44"/>
  <c r="Y2372" i="44" s="1"/>
  <c r="Y2373" i="44" s="1"/>
  <c r="AK2299" i="44"/>
  <c r="M2300" i="44"/>
  <c r="D2336" i="44"/>
  <c r="AB2336" i="44" s="1"/>
  <c r="AB2335" i="44"/>
  <c r="AN2262" i="44"/>
  <c r="AR2231" i="44"/>
  <c r="U2371" i="44"/>
  <c r="U2372" i="44" s="1"/>
  <c r="U2373" i="44" s="1"/>
  <c r="U2374" i="44"/>
  <c r="T2435" i="44"/>
  <c r="S2440" i="44"/>
  <c r="H2434" i="44"/>
  <c r="T2436" i="44"/>
  <c r="AE2440" i="44"/>
  <c r="AF2370" i="44"/>
  <c r="H2373" i="44"/>
  <c r="H2394" i="44"/>
  <c r="AF2394" i="44" s="1"/>
  <c r="H2371" i="44"/>
  <c r="AX486" i="44"/>
  <c r="BB486" i="44" s="1"/>
  <c r="AR2191" i="44"/>
  <c r="AN2192" i="44"/>
  <c r="L2289" i="44"/>
  <c r="AN2267" i="44"/>
  <c r="AJ2301" i="44"/>
  <c r="L2303" i="44"/>
  <c r="L2307" i="44"/>
  <c r="L2305" i="44"/>
  <c r="L2302" i="44"/>
  <c r="AJ2302" i="44" s="1"/>
  <c r="E2198" i="44"/>
  <c r="AC2197" i="44"/>
  <c r="E2200" i="44"/>
  <c r="D2373" i="44"/>
  <c r="D2382" i="44"/>
  <c r="AB2382" i="44" s="1"/>
  <c r="D2371" i="44"/>
  <c r="H2213" i="44"/>
  <c r="AF2213" i="44" s="1"/>
  <c r="H2212" i="44"/>
  <c r="AF2212" i="44" s="1"/>
  <c r="H2210" i="44"/>
  <c r="AF2210" i="44" s="1"/>
  <c r="H2211" i="44"/>
  <c r="AF2211" i="44" s="1"/>
  <c r="AF2209" i="44"/>
  <c r="P2401" i="44"/>
  <c r="K2404" i="44"/>
  <c r="I2234" i="44"/>
  <c r="AG2234" i="44" s="1"/>
  <c r="I2237" i="44"/>
  <c r="I2235" i="44"/>
  <c r="AG2235" i="44" s="1"/>
  <c r="AG2233" i="44"/>
  <c r="I2236" i="44"/>
  <c r="AG2236" i="44" s="1"/>
  <c r="E2406" i="44"/>
  <c r="AC2406" i="44" s="1"/>
  <c r="D2406" i="44"/>
  <c r="AB2406" i="44" s="1"/>
  <c r="H2341" i="44"/>
  <c r="H2338" i="44"/>
  <c r="AF2338" i="44" s="1"/>
  <c r="H2339" i="44"/>
  <c r="AF2339" i="44" s="1"/>
  <c r="H2340" i="44"/>
  <c r="AF2340" i="44" s="1"/>
  <c r="AF2337" i="44"/>
  <c r="I2202" i="44"/>
  <c r="AG2202" i="44" s="1"/>
  <c r="I2205" i="44"/>
  <c r="I2203" i="44"/>
  <c r="AG2203" i="44" s="1"/>
  <c r="I2204" i="44"/>
  <c r="AG2204" i="44" s="1"/>
  <c r="AG2201" i="44"/>
  <c r="E2382" i="44"/>
  <c r="AC2382" i="44" s="1"/>
  <c r="E2371" i="44"/>
  <c r="P2371" i="44"/>
  <c r="P2372" i="44" s="1"/>
  <c r="P2374" i="44"/>
  <c r="P2373" i="44"/>
  <c r="AB2305" i="44"/>
  <c r="D2307" i="44"/>
  <c r="AB2307" i="44" s="1"/>
  <c r="D2306" i="44"/>
  <c r="AB2306" i="44" s="1"/>
  <c r="D2308" i="44"/>
  <c r="AB2308" i="44" s="1"/>
  <c r="D2309" i="44"/>
  <c r="AB2309" i="44" s="1"/>
  <c r="E2163" i="44"/>
  <c r="AC2163" i="44" s="1"/>
  <c r="AC2162" i="44"/>
  <c r="H2243" i="44"/>
  <c r="AF2243" i="44" s="1"/>
  <c r="H2245" i="44"/>
  <c r="H2244" i="44"/>
  <c r="AF2244" i="44" s="1"/>
  <c r="AF2241" i="44"/>
  <c r="H2242" i="44"/>
  <c r="AF2242" i="44" s="1"/>
  <c r="E2165" i="44"/>
  <c r="AC2165" i="44" s="1"/>
  <c r="AC2164" i="44"/>
  <c r="AM2440" i="44"/>
  <c r="H2437" i="44"/>
  <c r="AQ2440" i="44"/>
  <c r="X2434" i="44"/>
  <c r="L2437" i="44"/>
  <c r="C2440" i="44" s="1"/>
  <c r="D2440" i="44"/>
  <c r="L2440" i="44"/>
  <c r="L2435" i="44"/>
  <c r="H2440" i="44"/>
  <c r="H2436" i="44"/>
  <c r="P2435" i="44"/>
  <c r="P2433" i="44"/>
  <c r="L2436" i="44"/>
  <c r="G2440" i="44" s="1"/>
  <c r="P2434" i="44"/>
  <c r="Q2371" i="44"/>
  <c r="Q2372" i="44" s="1"/>
  <c r="Q2373" i="44" s="1"/>
  <c r="Q2374" i="44"/>
  <c r="M2370" i="44"/>
  <c r="L2370" i="44"/>
  <c r="H2307" i="44"/>
  <c r="AF2307" i="44" s="1"/>
  <c r="H2308" i="44"/>
  <c r="AF2308" i="44" s="1"/>
  <c r="H2309" i="44"/>
  <c r="H2306" i="44"/>
  <c r="AF2306" i="44" s="1"/>
  <c r="AF2305" i="44"/>
  <c r="D2473" i="44"/>
  <c r="X2469" i="44"/>
  <c r="D2470" i="44"/>
  <c r="D2505" i="44"/>
  <c r="X2471" i="44"/>
  <c r="D2472" i="44"/>
  <c r="D2474" i="44"/>
  <c r="D2471" i="44"/>
  <c r="I2139" i="44"/>
  <c r="AG2139" i="44" s="1"/>
  <c r="I2140" i="44"/>
  <c r="AG2140" i="44" s="1"/>
  <c r="AG2137" i="44"/>
  <c r="I2138" i="44"/>
  <c r="AG2138" i="44" s="1"/>
  <c r="I2141" i="44"/>
  <c r="AG2141" i="44" s="1"/>
  <c r="E2301" i="44"/>
  <c r="AC2300" i="44"/>
  <c r="AJ2404" i="44"/>
  <c r="E2231" i="44"/>
  <c r="AC2231" i="44" s="1"/>
  <c r="AC2230" i="44"/>
  <c r="AR2226" i="44"/>
  <c r="AN2227" i="44"/>
  <c r="AX490" i="44"/>
  <c r="BB490" i="44" s="1"/>
  <c r="T2437" i="44"/>
  <c r="AA2440" i="44"/>
  <c r="H2435" i="44"/>
  <c r="T2438" i="44"/>
  <c r="O2440" i="44"/>
  <c r="H2336" i="44"/>
  <c r="AF2336" i="44" s="1"/>
  <c r="AF2335" i="44"/>
  <c r="Y2406" i="44"/>
  <c r="X2406" i="44"/>
  <c r="L2272" i="44"/>
  <c r="AJ2272" i="44" s="1"/>
  <c r="AJ2271" i="44"/>
  <c r="I2394" i="44"/>
  <c r="AG2394" i="44" s="1"/>
  <c r="I2371" i="44"/>
  <c r="I2170" i="44"/>
  <c r="AG2170" i="44" s="1"/>
  <c r="I2171" i="44"/>
  <c r="AG2171" i="44" s="1"/>
  <c r="I2173" i="44"/>
  <c r="AG2169" i="44"/>
  <c r="I2172" i="44"/>
  <c r="AG2172" i="44" s="1"/>
  <c r="AG2265" i="44"/>
  <c r="I2266" i="44"/>
  <c r="AG2266" i="44" s="1"/>
  <c r="I2269" i="44"/>
  <c r="I2268" i="44"/>
  <c r="AG2268" i="44" s="1"/>
  <c r="I2267" i="44"/>
  <c r="AG2267" i="44" s="1"/>
  <c r="AB2370" i="44"/>
  <c r="AF2404" i="44"/>
  <c r="AC2370" i="44"/>
  <c r="T2433" i="44"/>
  <c r="AI2440" i="44"/>
  <c r="T2434" i="44"/>
  <c r="H2433" i="44"/>
  <c r="W2440" i="44"/>
  <c r="E2266" i="44"/>
  <c r="AC2265" i="44"/>
  <c r="E2268" i="44"/>
  <c r="E2233" i="44"/>
  <c r="AC2232" i="44"/>
  <c r="L2406" i="44" l="1"/>
  <c r="M2406" i="44"/>
  <c r="L2336" i="44"/>
  <c r="AJ2336" i="44" s="1"/>
  <c r="AJ2335" i="44"/>
  <c r="Y2410" i="44"/>
  <c r="Y2407" i="44"/>
  <c r="Y2408" i="44" s="1"/>
  <c r="Y2409" i="44" s="1"/>
  <c r="L2473" i="44"/>
  <c r="C2476" i="44" s="1"/>
  <c r="P2471" i="44"/>
  <c r="H2472" i="44"/>
  <c r="L2471" i="44"/>
  <c r="P2469" i="44"/>
  <c r="L2476" i="44"/>
  <c r="P2470" i="44"/>
  <c r="H2476" i="44"/>
  <c r="L2472" i="44"/>
  <c r="G2476" i="44" s="1"/>
  <c r="D2476" i="44"/>
  <c r="I2442" i="44"/>
  <c r="AG2442" i="44" s="1"/>
  <c r="H2442" i="44"/>
  <c r="E2372" i="44"/>
  <c r="AC2371" i="44"/>
  <c r="I2337" i="44"/>
  <c r="AG2336" i="44"/>
  <c r="AN2193" i="44"/>
  <c r="AX487" i="44"/>
  <c r="BB487" i="44" s="1"/>
  <c r="AR2192" i="44"/>
  <c r="AI2476" i="44"/>
  <c r="T2469" i="44"/>
  <c r="T2470" i="44"/>
  <c r="W2476" i="44"/>
  <c r="H2469" i="44"/>
  <c r="H2249" i="44"/>
  <c r="AF2249" i="44" s="1"/>
  <c r="AF2245" i="44"/>
  <c r="H2248" i="44"/>
  <c r="AF2248" i="44" s="1"/>
  <c r="H2247" i="44"/>
  <c r="AF2247" i="44" s="1"/>
  <c r="H2246" i="44"/>
  <c r="AF2246" i="44" s="1"/>
  <c r="AG2269" i="44"/>
  <c r="I2272" i="44"/>
  <c r="AG2272" i="44" s="1"/>
  <c r="I2273" i="44"/>
  <c r="I2271" i="44"/>
  <c r="AG2271" i="44" s="1"/>
  <c r="I2270" i="44"/>
  <c r="AG2270" i="44" s="1"/>
  <c r="X2505" i="44"/>
  <c r="D2508" i="44"/>
  <c r="X2507" i="44"/>
  <c r="D2509" i="44"/>
  <c r="D2510" i="44"/>
  <c r="D2506" i="44"/>
  <c r="D2507" i="44"/>
  <c r="P2437" i="44"/>
  <c r="K2440" i="44"/>
  <c r="AG2205" i="44"/>
  <c r="I2208" i="44"/>
  <c r="AG2208" i="44" s="1"/>
  <c r="I2209" i="44"/>
  <c r="I2206" i="44"/>
  <c r="AG2206" i="44" s="1"/>
  <c r="I2207" i="44"/>
  <c r="AG2207" i="44" s="1"/>
  <c r="M2301" i="44"/>
  <c r="AK2300" i="44"/>
  <c r="I2303" i="44"/>
  <c r="AG2303" i="44" s="1"/>
  <c r="AG2301" i="44"/>
  <c r="I2305" i="44"/>
  <c r="I2304" i="44"/>
  <c r="AG2304" i="44" s="1"/>
  <c r="I2302" i="44"/>
  <c r="AG2302" i="44" s="1"/>
  <c r="X2407" i="44"/>
  <c r="X2408" i="44" s="1"/>
  <c r="X2410" i="44"/>
  <c r="X2409" i="44"/>
  <c r="L2304" i="44"/>
  <c r="AJ2304" i="44" s="1"/>
  <c r="AJ2303" i="44"/>
  <c r="AN2263" i="44"/>
  <c r="AR2262" i="44"/>
  <c r="AX495" i="44"/>
  <c r="BB495" i="44" s="1"/>
  <c r="P2442" i="44"/>
  <c r="Q2442" i="44"/>
  <c r="X2470" i="44"/>
  <c r="H2473" i="44"/>
  <c r="AQ2476" i="44"/>
  <c r="AM2476" i="44"/>
  <c r="D2372" i="44"/>
  <c r="AB2372" i="44" s="1"/>
  <c r="AB2371" i="44"/>
  <c r="H2372" i="44"/>
  <c r="AF2372" i="44" s="1"/>
  <c r="AF2371" i="44"/>
  <c r="AX483" i="44"/>
  <c r="BB483" i="44" s="1"/>
  <c r="AR2157" i="44"/>
  <c r="AN2158" i="44"/>
  <c r="AC2336" i="44"/>
  <c r="E2337" i="44"/>
  <c r="AA2476" i="44"/>
  <c r="T2474" i="44"/>
  <c r="H2471" i="44"/>
  <c r="O2476" i="44"/>
  <c r="T2473" i="44"/>
  <c r="Q2407" i="44"/>
  <c r="Q2408" i="44" s="1"/>
  <c r="Q2409" i="44" s="1"/>
  <c r="Q2410" i="44"/>
  <c r="AJ2337" i="44"/>
  <c r="L2339" i="44"/>
  <c r="L2341" i="44"/>
  <c r="L2343" i="44"/>
  <c r="L2338" i="44"/>
  <c r="AJ2338" i="44" s="1"/>
  <c r="M2336" i="44"/>
  <c r="AK2335" i="44"/>
  <c r="P2410" i="44"/>
  <c r="P2409" i="44"/>
  <c r="P2407" i="44"/>
  <c r="P2408" i="44" s="1"/>
  <c r="D2409" i="44"/>
  <c r="D2418" i="44"/>
  <c r="AB2418" i="44" s="1"/>
  <c r="D2407" i="44"/>
  <c r="D2374" i="44"/>
  <c r="AB2374" i="44" s="1"/>
  <c r="D2377" i="44"/>
  <c r="AB2373" i="44"/>
  <c r="D2376" i="44"/>
  <c r="AB2376" i="44" s="1"/>
  <c r="D2375" i="44"/>
  <c r="AB2375" i="44" s="1"/>
  <c r="AF2373" i="44"/>
  <c r="H2376" i="44"/>
  <c r="AF2376" i="44" s="1"/>
  <c r="H2375" i="44"/>
  <c r="AF2375" i="44" s="1"/>
  <c r="H2377" i="44"/>
  <c r="H2374" i="44"/>
  <c r="AF2374" i="44" s="1"/>
  <c r="AG2406" i="44"/>
  <c r="I2430" i="44"/>
  <c r="AG2430" i="44" s="1"/>
  <c r="I2407" i="44"/>
  <c r="E2407" i="44"/>
  <c r="E2418" i="44"/>
  <c r="AC2418" i="44" s="1"/>
  <c r="E2201" i="44"/>
  <c r="AC2201" i="44" s="1"/>
  <c r="AC2200" i="44"/>
  <c r="AK2265" i="44"/>
  <c r="M2268" i="44"/>
  <c r="AK2268" i="44" s="1"/>
  <c r="M2269" i="44"/>
  <c r="M2266" i="44"/>
  <c r="AK2266" i="44" s="1"/>
  <c r="M2267" i="44"/>
  <c r="AK2267" i="44" s="1"/>
  <c r="H2407" i="44"/>
  <c r="H2430" i="44"/>
  <c r="AF2430" i="44" s="1"/>
  <c r="H2409" i="44"/>
  <c r="AR2267" i="44"/>
  <c r="AN2298" i="44"/>
  <c r="AB2440" i="44"/>
  <c r="AR2227" i="44"/>
  <c r="AX491" i="44"/>
  <c r="BB491" i="44" s="1"/>
  <c r="AN2228" i="44"/>
  <c r="E2267" i="44"/>
  <c r="AC2267" i="44" s="1"/>
  <c r="AC2266" i="44"/>
  <c r="E2302" i="44"/>
  <c r="AC2301" i="44"/>
  <c r="E2304" i="44"/>
  <c r="H2310" i="44"/>
  <c r="AF2310" i="44" s="1"/>
  <c r="H2313" i="44"/>
  <c r="AF2309" i="44"/>
  <c r="H2311" i="44"/>
  <c r="AF2311" i="44" s="1"/>
  <c r="H2312" i="44"/>
  <c r="AF2312" i="44" s="1"/>
  <c r="AF2440" i="44"/>
  <c r="AK2233" i="44"/>
  <c r="M2236" i="44"/>
  <c r="AK2236" i="44" s="1"/>
  <c r="M2234" i="44"/>
  <c r="AK2234" i="44" s="1"/>
  <c r="M2237" i="44"/>
  <c r="AK2237" i="44" s="1"/>
  <c r="M2235" i="44"/>
  <c r="AK2235" i="44" s="1"/>
  <c r="U2410" i="44"/>
  <c r="U2407" i="44"/>
  <c r="U2408" i="44" s="1"/>
  <c r="U2409" i="44" s="1"/>
  <c r="AJ2440" i="44"/>
  <c r="E2236" i="44"/>
  <c r="AC2233" i="44"/>
  <c r="E2234" i="44"/>
  <c r="I2174" i="44"/>
  <c r="AG2174" i="44" s="1"/>
  <c r="I2177" i="44"/>
  <c r="AG2177" i="44" s="1"/>
  <c r="I2176" i="44"/>
  <c r="AG2176" i="44" s="1"/>
  <c r="AG2173" i="44"/>
  <c r="I2175" i="44"/>
  <c r="AG2175" i="44" s="1"/>
  <c r="I2372" i="44"/>
  <c r="AG2371" i="44"/>
  <c r="L2382" i="44"/>
  <c r="AJ2382" i="44" s="1"/>
  <c r="L2373" i="44"/>
  <c r="L2371" i="44"/>
  <c r="AJ2370" i="44"/>
  <c r="AF2341" i="44"/>
  <c r="H2344" i="44"/>
  <c r="AF2344" i="44" s="1"/>
  <c r="H2342" i="44"/>
  <c r="AF2342" i="44" s="1"/>
  <c r="H2345" i="44"/>
  <c r="H2343" i="44"/>
  <c r="AF2343" i="44" s="1"/>
  <c r="E2199" i="44"/>
  <c r="AC2199" i="44" s="1"/>
  <c r="AC2198" i="44"/>
  <c r="H2279" i="44"/>
  <c r="AF2279" i="44" s="1"/>
  <c r="H2281" i="44"/>
  <c r="H2278" i="44"/>
  <c r="AF2278" i="44" s="1"/>
  <c r="H2280" i="44"/>
  <c r="AF2280" i="44" s="1"/>
  <c r="AF2277" i="44"/>
  <c r="T2410" i="44"/>
  <c r="T2409" i="44"/>
  <c r="T2407" i="44"/>
  <c r="T2408" i="44" s="1"/>
  <c r="E2442" i="44"/>
  <c r="AC2442" i="44" s="1"/>
  <c r="D2442" i="44"/>
  <c r="AB2442" i="44" s="1"/>
  <c r="AR2122" i="44"/>
  <c r="AX479" i="44"/>
  <c r="BB479" i="44" s="1"/>
  <c r="L2308" i="44"/>
  <c r="AJ2308" i="44" s="1"/>
  <c r="AJ2307" i="44"/>
  <c r="D2344" i="44"/>
  <c r="AB2344" i="44" s="1"/>
  <c r="D2342" i="44"/>
  <c r="AB2342" i="44" s="1"/>
  <c r="D2343" i="44"/>
  <c r="AB2343" i="44" s="1"/>
  <c r="D2345" i="44"/>
  <c r="AB2345" i="44" s="1"/>
  <c r="AB2341" i="44"/>
  <c r="AN2303" i="44"/>
  <c r="L2325" i="44"/>
  <c r="S2476" i="44"/>
  <c r="T2472" i="44"/>
  <c r="H2470" i="44"/>
  <c r="T2471" i="44"/>
  <c r="AE2476" i="44"/>
  <c r="E2269" i="44"/>
  <c r="AC2268" i="44"/>
  <c r="X2442" i="44"/>
  <c r="Y2442" i="44"/>
  <c r="H2438" i="44"/>
  <c r="AO2433" i="44" s="1"/>
  <c r="M2371" i="44"/>
  <c r="M2382" i="44"/>
  <c r="AK2382" i="44" s="1"/>
  <c r="AK2370" i="44"/>
  <c r="I2241" i="44"/>
  <c r="I2240" i="44"/>
  <c r="AG2240" i="44" s="1"/>
  <c r="I2239" i="44"/>
  <c r="AG2239" i="44" s="1"/>
  <c r="I2238" i="44"/>
  <c r="AG2238" i="44" s="1"/>
  <c r="AG2237" i="44"/>
  <c r="AJ2305" i="44"/>
  <c r="L2306" i="44"/>
  <c r="AJ2306" i="44" s="1"/>
  <c r="L2309" i="44"/>
  <c r="AJ2309" i="44" s="1"/>
  <c r="U2442" i="44"/>
  <c r="T2442" i="44"/>
  <c r="H2474" i="44" l="1"/>
  <c r="AO2469" i="44" s="1"/>
  <c r="AB2476" i="44"/>
  <c r="H2478" i="44"/>
  <c r="AF2478" i="44" s="1"/>
  <c r="I2478" i="44"/>
  <c r="AG2478" i="44" s="1"/>
  <c r="T2505" i="44"/>
  <c r="T2506" i="44"/>
  <c r="H2505" i="44"/>
  <c r="AI2512" i="44"/>
  <c r="W2512" i="44"/>
  <c r="I2339" i="44"/>
  <c r="AG2339" i="44" s="1"/>
  <c r="I2341" i="44"/>
  <c r="I2340" i="44"/>
  <c r="AG2340" i="44" s="1"/>
  <c r="AG2337" i="44"/>
  <c r="I2338" i="44"/>
  <c r="AG2338" i="44" s="1"/>
  <c r="X2506" i="44"/>
  <c r="H2509" i="44"/>
  <c r="AQ2512" i="44"/>
  <c r="AM2512" i="44"/>
  <c r="AJ2476" i="44"/>
  <c r="L2509" i="44"/>
  <c r="C2512" i="44" s="1"/>
  <c r="L2508" i="44"/>
  <c r="G2512" i="44" s="1"/>
  <c r="P2507" i="44"/>
  <c r="L2507" i="44"/>
  <c r="P2506" i="44"/>
  <c r="H2512" i="44"/>
  <c r="L2512" i="44"/>
  <c r="D2512" i="44"/>
  <c r="P2505" i="44"/>
  <c r="H2508" i="44"/>
  <c r="AN2334" i="44"/>
  <c r="AR2303" i="44"/>
  <c r="E2305" i="44"/>
  <c r="AC2304" i="44"/>
  <c r="I2309" i="44"/>
  <c r="AG2305" i="44"/>
  <c r="I2306" i="44"/>
  <c r="AG2306" i="44" s="1"/>
  <c r="I2308" i="44"/>
  <c r="AG2308" i="44" s="1"/>
  <c r="I2307" i="44"/>
  <c r="AG2307" i="44" s="1"/>
  <c r="M2372" i="44"/>
  <c r="AK2371" i="44"/>
  <c r="D2412" i="44"/>
  <c r="AB2412" i="44" s="1"/>
  <c r="AB2409" i="44"/>
  <c r="D2410" i="44"/>
  <c r="AB2410" i="44" s="1"/>
  <c r="D2411" i="44"/>
  <c r="AB2411" i="44" s="1"/>
  <c r="D2413" i="44"/>
  <c r="AG2273" i="44"/>
  <c r="I2276" i="44"/>
  <c r="AG2276" i="44" s="1"/>
  <c r="I2274" i="44"/>
  <c r="AG2274" i="44" s="1"/>
  <c r="I2277" i="44"/>
  <c r="I2275" i="44"/>
  <c r="AG2275" i="44" s="1"/>
  <c r="H2445" i="44"/>
  <c r="H2466" i="44"/>
  <c r="AF2466" i="44" s="1"/>
  <c r="H2443" i="44"/>
  <c r="T2478" i="44"/>
  <c r="T2479" i="44" s="1"/>
  <c r="T2480" i="44" s="1"/>
  <c r="U2478" i="44"/>
  <c r="H2317" i="44"/>
  <c r="H2315" i="44"/>
  <c r="AF2315" i="44" s="1"/>
  <c r="H2316" i="44"/>
  <c r="AF2316" i="44" s="1"/>
  <c r="H2314" i="44"/>
  <c r="AF2314" i="44" s="1"/>
  <c r="AF2313" i="44"/>
  <c r="L2340" i="44"/>
  <c r="AJ2340" i="44" s="1"/>
  <c r="AJ2339" i="44"/>
  <c r="D2408" i="44"/>
  <c r="AB2408" i="44" s="1"/>
  <c r="AB2407" i="44"/>
  <c r="AN2229" i="44"/>
  <c r="AX492" i="44"/>
  <c r="BB492" i="44" s="1"/>
  <c r="AR2228" i="44"/>
  <c r="AK2301" i="44"/>
  <c r="M2302" i="44"/>
  <c r="AK2302" i="44" s="1"/>
  <c r="M2305" i="44"/>
  <c r="M2304" i="44"/>
  <c r="AK2304" i="44" s="1"/>
  <c r="M2303" i="44"/>
  <c r="AK2303" i="44" s="1"/>
  <c r="D2445" i="44"/>
  <c r="D2454" i="44"/>
  <c r="AB2454" i="44" s="1"/>
  <c r="D2443" i="44"/>
  <c r="E2443" i="44"/>
  <c r="E2454" i="44"/>
  <c r="AC2454" i="44" s="1"/>
  <c r="I2408" i="44"/>
  <c r="AG2407" i="44"/>
  <c r="L2344" i="44"/>
  <c r="AJ2344" i="44" s="1"/>
  <c r="AJ2343" i="44"/>
  <c r="X2478" i="44"/>
  <c r="Y2478" i="44"/>
  <c r="E2237" i="44"/>
  <c r="AC2237" i="44" s="1"/>
  <c r="AC2236" i="44"/>
  <c r="E2303" i="44"/>
  <c r="AC2303" i="44" s="1"/>
  <c r="AC2302" i="44"/>
  <c r="K2476" i="44"/>
  <c r="P2473" i="44"/>
  <c r="Y2443" i="44"/>
  <c r="Y2444" i="44" s="1"/>
  <c r="Y2445" i="44" s="1"/>
  <c r="Y2446" i="44"/>
  <c r="T2445" i="44"/>
  <c r="T2446" i="44"/>
  <c r="T2443" i="44"/>
  <c r="T2444" i="44" s="1"/>
  <c r="AC2337" i="44"/>
  <c r="E2338" i="44"/>
  <c r="E2340" i="44"/>
  <c r="I2211" i="44"/>
  <c r="AG2211" i="44" s="1"/>
  <c r="AG2209" i="44"/>
  <c r="I2210" i="44"/>
  <c r="AG2210" i="44" s="1"/>
  <c r="I2213" i="44"/>
  <c r="AG2213" i="44" s="1"/>
  <c r="I2212" i="44"/>
  <c r="AG2212" i="44" s="1"/>
  <c r="D2478" i="44"/>
  <c r="AB2478" i="44" s="1"/>
  <c r="E2478" i="44"/>
  <c r="AJ2341" i="44"/>
  <c r="L2345" i="44"/>
  <c r="AJ2345" i="44" s="1"/>
  <c r="L2342" i="44"/>
  <c r="AJ2342" i="44" s="1"/>
  <c r="L2372" i="44"/>
  <c r="AJ2372" i="44" s="1"/>
  <c r="AJ2371" i="44"/>
  <c r="P2445" i="44"/>
  <c r="P2446" i="44"/>
  <c r="P2443" i="44"/>
  <c r="P2444" i="44" s="1"/>
  <c r="I2373" i="44"/>
  <c r="AG2372" i="44"/>
  <c r="AF2442" i="44"/>
  <c r="AX500" i="44"/>
  <c r="BB500" i="44" s="1"/>
  <c r="AR2298" i="44"/>
  <c r="AN2299" i="44"/>
  <c r="AX496" i="44"/>
  <c r="BB496" i="44" s="1"/>
  <c r="AR2263" i="44"/>
  <c r="AN2264" i="44"/>
  <c r="H2348" i="44"/>
  <c r="AF2348" i="44" s="1"/>
  <c r="AF2345" i="44"/>
  <c r="H2347" i="44"/>
  <c r="AF2347" i="44" s="1"/>
  <c r="H2349" i="44"/>
  <c r="H2346" i="44"/>
  <c r="AF2346" i="44" s="1"/>
  <c r="AK2269" i="44"/>
  <c r="M2271" i="44"/>
  <c r="AK2271" i="44" s="1"/>
  <c r="M2270" i="44"/>
  <c r="AK2270" i="44" s="1"/>
  <c r="M2272" i="44"/>
  <c r="AK2272" i="44" s="1"/>
  <c r="M2273" i="44"/>
  <c r="AK2273" i="44" s="1"/>
  <c r="Q2478" i="44"/>
  <c r="P2478" i="44"/>
  <c r="E2373" i="44"/>
  <c r="AC2372" i="44"/>
  <c r="AJ2373" i="44"/>
  <c r="L2375" i="44"/>
  <c r="L2377" i="44"/>
  <c r="L2374" i="44"/>
  <c r="AJ2374" i="44" s="1"/>
  <c r="L2379" i="44"/>
  <c r="AR2158" i="44"/>
  <c r="AX484" i="44"/>
  <c r="BB484" i="44" s="1"/>
  <c r="AN2339" i="44"/>
  <c r="L2361" i="44"/>
  <c r="AX488" i="44"/>
  <c r="BB488" i="44" s="1"/>
  <c r="AR2193" i="44"/>
  <c r="AN2194" i="44"/>
  <c r="I2245" i="44"/>
  <c r="AG2241" i="44"/>
  <c r="I2242" i="44"/>
  <c r="AG2242" i="44" s="1"/>
  <c r="I2243" i="44"/>
  <c r="AG2243" i="44" s="1"/>
  <c r="I2244" i="44"/>
  <c r="AG2244" i="44" s="1"/>
  <c r="D2381" i="44"/>
  <c r="AB2381" i="44" s="1"/>
  <c r="AB2377" i="44"/>
  <c r="D2378" i="44"/>
  <c r="AB2378" i="44" s="1"/>
  <c r="D2379" i="44"/>
  <c r="AB2379" i="44" s="1"/>
  <c r="D2380" i="44"/>
  <c r="AB2380" i="44" s="1"/>
  <c r="Q2443" i="44"/>
  <c r="Q2444" i="44" s="1"/>
  <c r="Q2445" i="44" s="1"/>
  <c r="Q2446" i="44"/>
  <c r="X2445" i="44"/>
  <c r="X2446" i="44"/>
  <c r="X2443" i="44"/>
  <c r="X2444" i="44" s="1"/>
  <c r="U2446" i="44"/>
  <c r="U2443" i="44"/>
  <c r="U2444" i="44" s="1"/>
  <c r="U2445" i="44" s="1"/>
  <c r="H2285" i="44"/>
  <c r="AF2285" i="44" s="1"/>
  <c r="H2282" i="44"/>
  <c r="AF2282" i="44" s="1"/>
  <c r="AF2281" i="44"/>
  <c r="H2283" i="44"/>
  <c r="AF2283" i="44" s="1"/>
  <c r="H2284" i="44"/>
  <c r="AF2284" i="44" s="1"/>
  <c r="AF2409" i="44"/>
  <c r="H2411" i="44"/>
  <c r="AF2411" i="44" s="1"/>
  <c r="H2413" i="44"/>
  <c r="H2410" i="44"/>
  <c r="AF2410" i="44" s="1"/>
  <c r="H2412" i="44"/>
  <c r="AF2412" i="44" s="1"/>
  <c r="H2380" i="44"/>
  <c r="AF2380" i="44" s="1"/>
  <c r="H2378" i="44"/>
  <c r="AF2378" i="44" s="1"/>
  <c r="H2381" i="44"/>
  <c r="AF2377" i="44"/>
  <c r="H2379" i="44"/>
  <c r="AF2379" i="44" s="1"/>
  <c r="M2337" i="44"/>
  <c r="AK2336" i="44"/>
  <c r="M2442" i="44"/>
  <c r="L2442" i="44"/>
  <c r="M2407" i="44"/>
  <c r="M2418" i="44"/>
  <c r="AK2418" i="44" s="1"/>
  <c r="AK2406" i="44"/>
  <c r="H2408" i="44"/>
  <c r="AF2408" i="44" s="1"/>
  <c r="AF2407" i="44"/>
  <c r="I2443" i="44"/>
  <c r="I2466" i="44"/>
  <c r="AG2466" i="44" s="1"/>
  <c r="E2235" i="44"/>
  <c r="AC2235" i="44" s="1"/>
  <c r="AC2234" i="44"/>
  <c r="O2512" i="44"/>
  <c r="T2510" i="44"/>
  <c r="AA2512" i="44"/>
  <c r="H2507" i="44"/>
  <c r="T2509" i="44"/>
  <c r="T2508" i="44"/>
  <c r="AE2512" i="44"/>
  <c r="S2512" i="44"/>
  <c r="T2507" i="44"/>
  <c r="H2506" i="44"/>
  <c r="E2408" i="44"/>
  <c r="AC2407" i="44"/>
  <c r="AC2269" i="44"/>
  <c r="E2272" i="44"/>
  <c r="E2270" i="44"/>
  <c r="AF2476" i="44"/>
  <c r="L2409" i="44"/>
  <c r="L2418" i="44"/>
  <c r="AJ2418" i="44" s="1"/>
  <c r="L2407" i="44"/>
  <c r="AJ2406" i="44"/>
  <c r="AF2512" i="44" l="1"/>
  <c r="H2510" i="44"/>
  <c r="AO2505" i="44" s="1"/>
  <c r="AJ2512" i="44"/>
  <c r="U2482" i="44"/>
  <c r="U2479" i="44"/>
  <c r="U2480" i="44" s="1"/>
  <c r="U2481" i="44" s="1"/>
  <c r="I2514" i="44"/>
  <c r="AG2514" i="44" s="1"/>
  <c r="H2514" i="44"/>
  <c r="AF2514" i="44" s="1"/>
  <c r="E2409" i="44"/>
  <c r="AC2408" i="44"/>
  <c r="AJ2377" i="44"/>
  <c r="L2378" i="44"/>
  <c r="AJ2378" i="44" s="1"/>
  <c r="L2381" i="44"/>
  <c r="AJ2381" i="44" s="1"/>
  <c r="D2490" i="44"/>
  <c r="AB2490" i="44" s="1"/>
  <c r="D2481" i="44"/>
  <c r="D2479" i="44"/>
  <c r="E2514" i="44"/>
  <c r="AC2514" i="44" s="1"/>
  <c r="D2514" i="44"/>
  <c r="AB2514" i="44" s="1"/>
  <c r="X2514" i="44"/>
  <c r="Y2514" i="44"/>
  <c r="E2271" i="44"/>
  <c r="AC2271" i="44" s="1"/>
  <c r="AC2270" i="44"/>
  <c r="T2481" i="44"/>
  <c r="T2482" i="44"/>
  <c r="L2376" i="44"/>
  <c r="AJ2376" i="44" s="1"/>
  <c r="AJ2375" i="44"/>
  <c r="AN2265" i="44"/>
  <c r="AR2264" i="44"/>
  <c r="AX497" i="44"/>
  <c r="BB497" i="44" s="1"/>
  <c r="H2447" i="44"/>
  <c r="AF2447" i="44" s="1"/>
  <c r="H2449" i="44"/>
  <c r="H2448" i="44"/>
  <c r="AF2448" i="44" s="1"/>
  <c r="H2446" i="44"/>
  <c r="AF2446" i="44" s="1"/>
  <c r="AF2445" i="44"/>
  <c r="M2373" i="44"/>
  <c r="AK2372" i="44"/>
  <c r="P2514" i="44"/>
  <c r="Q2514" i="44"/>
  <c r="D2449" i="44"/>
  <c r="AB2445" i="44"/>
  <c r="D2448" i="44"/>
  <c r="AB2448" i="44" s="1"/>
  <c r="D2447" i="44"/>
  <c r="AB2447" i="44" s="1"/>
  <c r="D2446" i="44"/>
  <c r="AB2446" i="44" s="1"/>
  <c r="H2414" i="44"/>
  <c r="AF2414" i="44" s="1"/>
  <c r="AF2413" i="44"/>
  <c r="H2416" i="44"/>
  <c r="AF2416" i="44" s="1"/>
  <c r="H2417" i="44"/>
  <c r="H2415" i="44"/>
  <c r="AF2415" i="44" s="1"/>
  <c r="E2479" i="44"/>
  <c r="E2490" i="44"/>
  <c r="AC2490" i="44" s="1"/>
  <c r="M2454" i="44"/>
  <c r="AK2454" i="44" s="1"/>
  <c r="M2443" i="44"/>
  <c r="AK2442" i="44"/>
  <c r="Y2479" i="44"/>
  <c r="Y2480" i="44" s="1"/>
  <c r="Y2481" i="44" s="1"/>
  <c r="Y2482" i="44"/>
  <c r="E2273" i="44"/>
  <c r="AC2273" i="44" s="1"/>
  <c r="AC2272" i="44"/>
  <c r="H2351" i="44"/>
  <c r="AF2351" i="44" s="1"/>
  <c r="H2353" i="44"/>
  <c r="H2352" i="44"/>
  <c r="AF2352" i="44" s="1"/>
  <c r="AF2349" i="44"/>
  <c r="H2350" i="44"/>
  <c r="AF2350" i="44" s="1"/>
  <c r="P2509" i="44"/>
  <c r="K2512" i="44"/>
  <c r="L2380" i="44"/>
  <c r="AJ2380" i="44" s="1"/>
  <c r="AJ2379" i="44"/>
  <c r="M2478" i="44"/>
  <c r="L2478" i="44"/>
  <c r="M2408" i="44"/>
  <c r="AK2407" i="44"/>
  <c r="AC2478" i="44"/>
  <c r="AN2300" i="44"/>
  <c r="AR2299" i="44"/>
  <c r="AX501" i="44"/>
  <c r="BB501" i="44" s="1"/>
  <c r="X2481" i="44"/>
  <c r="X2479" i="44"/>
  <c r="X2480" i="44" s="1"/>
  <c r="X2482" i="44"/>
  <c r="I2279" i="44"/>
  <c r="AG2279" i="44" s="1"/>
  <c r="AG2277" i="44"/>
  <c r="I2280" i="44"/>
  <c r="AG2280" i="44" s="1"/>
  <c r="I2278" i="44"/>
  <c r="AG2278" i="44" s="1"/>
  <c r="I2281" i="44"/>
  <c r="E2308" i="44"/>
  <c r="E2306" i="44"/>
  <c r="AC2305" i="44"/>
  <c r="AK2337" i="44"/>
  <c r="M2339" i="44"/>
  <c r="AK2339" i="44" s="1"/>
  <c r="M2340" i="44"/>
  <c r="AK2340" i="44" s="1"/>
  <c r="M2338" i="44"/>
  <c r="AK2338" i="44" s="1"/>
  <c r="M2341" i="44"/>
  <c r="P2481" i="44"/>
  <c r="P2482" i="44"/>
  <c r="P2479" i="44"/>
  <c r="P2480" i="44" s="1"/>
  <c r="I2247" i="44"/>
  <c r="AG2247" i="44" s="1"/>
  <c r="I2246" i="44"/>
  <c r="AG2246" i="44" s="1"/>
  <c r="I2249" i="44"/>
  <c r="AG2249" i="44" s="1"/>
  <c r="AG2245" i="44"/>
  <c r="I2248" i="44"/>
  <c r="AG2248" i="44" s="1"/>
  <c r="Q2479" i="44"/>
  <c r="Q2480" i="44" s="1"/>
  <c r="Q2481" i="44" s="1"/>
  <c r="Q2482" i="44"/>
  <c r="E2341" i="44"/>
  <c r="AC2340" i="44"/>
  <c r="I2409" i="44"/>
  <c r="AG2408" i="44"/>
  <c r="AR2334" i="44"/>
  <c r="AN2335" i="44"/>
  <c r="AX505" i="44"/>
  <c r="BB505" i="44" s="1"/>
  <c r="L2397" i="44"/>
  <c r="AN2375" i="44"/>
  <c r="AF2317" i="44"/>
  <c r="H2319" i="44"/>
  <c r="AF2319" i="44" s="1"/>
  <c r="H2321" i="44"/>
  <c r="AF2321" i="44" s="1"/>
  <c r="H2318" i="44"/>
  <c r="AF2318" i="44" s="1"/>
  <c r="H2320" i="44"/>
  <c r="AF2320" i="44" s="1"/>
  <c r="E2339" i="44"/>
  <c r="AC2339" i="44" s="1"/>
  <c r="AC2338" i="44"/>
  <c r="D2417" i="44"/>
  <c r="AB2417" i="44" s="1"/>
  <c r="D2415" i="44"/>
  <c r="AB2415" i="44" s="1"/>
  <c r="D2416" i="44"/>
  <c r="AB2416" i="44" s="1"/>
  <c r="AB2413" i="44"/>
  <c r="D2414" i="44"/>
  <c r="AB2414" i="44" s="1"/>
  <c r="I2444" i="44"/>
  <c r="AG2443" i="44"/>
  <c r="H2444" i="44"/>
  <c r="AF2444" i="44" s="1"/>
  <c r="AF2443" i="44"/>
  <c r="L2454" i="44"/>
  <c r="AJ2454" i="44" s="1"/>
  <c r="L2445" i="44"/>
  <c r="L2443" i="44"/>
  <c r="AJ2442" i="44"/>
  <c r="AX493" i="44"/>
  <c r="BB493" i="44" s="1"/>
  <c r="AR2229" i="44"/>
  <c r="AN2230" i="44"/>
  <c r="E2376" i="44"/>
  <c r="AC2373" i="44"/>
  <c r="E2374" i="44"/>
  <c r="AR2194" i="44"/>
  <c r="AX489" i="44"/>
  <c r="BB489" i="44" s="1"/>
  <c r="L2408" i="44"/>
  <c r="AJ2408" i="44" s="1"/>
  <c r="AJ2407" i="44"/>
  <c r="AB2512" i="44"/>
  <c r="H2384" i="44"/>
  <c r="AF2384" i="44" s="1"/>
  <c r="AF2381" i="44"/>
  <c r="H2385" i="44"/>
  <c r="H2382" i="44"/>
  <c r="AF2382" i="44" s="1"/>
  <c r="H2383" i="44"/>
  <c r="AF2383" i="44" s="1"/>
  <c r="E2444" i="44"/>
  <c r="AC2443" i="44"/>
  <c r="I2502" i="44"/>
  <c r="AG2502" i="44" s="1"/>
  <c r="I2479" i="44"/>
  <c r="AJ2409" i="44"/>
  <c r="L2411" i="44"/>
  <c r="L2413" i="44"/>
  <c r="L2410" i="44"/>
  <c r="AJ2410" i="44" s="1"/>
  <c r="L2415" i="44"/>
  <c r="I2344" i="44"/>
  <c r="AG2344" i="44" s="1"/>
  <c r="I2343" i="44"/>
  <c r="AG2343" i="44" s="1"/>
  <c r="AG2341" i="44"/>
  <c r="I2342" i="44"/>
  <c r="AG2342" i="44" s="1"/>
  <c r="I2345" i="44"/>
  <c r="AN2370" i="44"/>
  <c r="AR2339" i="44"/>
  <c r="AK2305" i="44"/>
  <c r="M2306" i="44"/>
  <c r="AK2306" i="44" s="1"/>
  <c r="M2309" i="44"/>
  <c r="AK2309" i="44" s="1"/>
  <c r="M2308" i="44"/>
  <c r="AK2308" i="44" s="1"/>
  <c r="M2307" i="44"/>
  <c r="AK2307" i="44" s="1"/>
  <c r="I2311" i="44"/>
  <c r="AG2311" i="44" s="1"/>
  <c r="I2310" i="44"/>
  <c r="AG2310" i="44" s="1"/>
  <c r="I2313" i="44"/>
  <c r="I2312" i="44"/>
  <c r="AG2312" i="44" s="1"/>
  <c r="AG2309" i="44"/>
  <c r="U2514" i="44"/>
  <c r="T2514" i="44"/>
  <c r="I2376" i="44"/>
  <c r="AG2376" i="44" s="1"/>
  <c r="I2375" i="44"/>
  <c r="AG2375" i="44" s="1"/>
  <c r="I2377" i="44"/>
  <c r="I2374" i="44"/>
  <c r="AG2374" i="44" s="1"/>
  <c r="AG2373" i="44"/>
  <c r="D2444" i="44"/>
  <c r="AB2444" i="44" s="1"/>
  <c r="AB2443" i="44"/>
  <c r="H2481" i="44"/>
  <c r="H2479" i="44"/>
  <c r="H2502" i="44"/>
  <c r="AF2502" i="44" s="1"/>
  <c r="L2412" i="44" l="1"/>
  <c r="AJ2412" i="44" s="1"/>
  <c r="AJ2411" i="44"/>
  <c r="E2307" i="44"/>
  <c r="AC2307" i="44" s="1"/>
  <c r="AC2306" i="44"/>
  <c r="E2480" i="44"/>
  <c r="AC2479" i="44"/>
  <c r="H2452" i="44"/>
  <c r="AF2452" i="44" s="1"/>
  <c r="H2451" i="44"/>
  <c r="AF2451" i="44" s="1"/>
  <c r="H2450" i="44"/>
  <c r="AF2450" i="44" s="1"/>
  <c r="H2453" i="44"/>
  <c r="AF2449" i="44"/>
  <c r="H2480" i="44"/>
  <c r="AF2480" i="44" s="1"/>
  <c r="AF2479" i="44"/>
  <c r="L2514" i="44"/>
  <c r="M2514" i="44"/>
  <c r="AJ2445" i="44"/>
  <c r="L2447" i="44"/>
  <c r="L2451" i="44"/>
  <c r="L2449" i="44"/>
  <c r="L2446" i="44"/>
  <c r="AJ2446" i="44" s="1"/>
  <c r="AR2265" i="44"/>
  <c r="AN2266" i="44"/>
  <c r="AX498" i="44"/>
  <c r="BB498" i="44" s="1"/>
  <c r="AR2375" i="44"/>
  <c r="AN2406" i="44"/>
  <c r="E2344" i="44"/>
  <c r="E2342" i="44"/>
  <c r="AC2341" i="44"/>
  <c r="E2309" i="44"/>
  <c r="AC2309" i="44" s="1"/>
  <c r="AC2308" i="44"/>
  <c r="AJ2413" i="44"/>
  <c r="L2414" i="44"/>
  <c r="AJ2414" i="44" s="1"/>
  <c r="L2417" i="44"/>
  <c r="AJ2417" i="44" s="1"/>
  <c r="L2481" i="44"/>
  <c r="L2490" i="44"/>
  <c r="AJ2490" i="44" s="1"/>
  <c r="AJ2478" i="44"/>
  <c r="L2479" i="44"/>
  <c r="L2444" i="44"/>
  <c r="AJ2444" i="44" s="1"/>
  <c r="AJ2443" i="44"/>
  <c r="E2412" i="44"/>
  <c r="AC2409" i="44"/>
  <c r="E2410" i="44"/>
  <c r="I2348" i="44"/>
  <c r="AG2348" i="44" s="1"/>
  <c r="I2346" i="44"/>
  <c r="AG2346" i="44" s="1"/>
  <c r="I2347" i="44"/>
  <c r="AG2347" i="44" s="1"/>
  <c r="AG2345" i="44"/>
  <c r="I2349" i="44"/>
  <c r="AR2335" i="44"/>
  <c r="AN2336" i="44"/>
  <c r="AX506" i="44"/>
  <c r="BB506" i="44" s="1"/>
  <c r="D2453" i="44"/>
  <c r="AB2453" i="44" s="1"/>
  <c r="AB2449" i="44"/>
  <c r="D2452" i="44"/>
  <c r="AB2452" i="44" s="1"/>
  <c r="D2451" i="44"/>
  <c r="AB2451" i="44" s="1"/>
  <c r="D2450" i="44"/>
  <c r="AB2450" i="44" s="1"/>
  <c r="AX510" i="44"/>
  <c r="BB510" i="44" s="1"/>
  <c r="AR2370" i="44"/>
  <c r="AN2371" i="44"/>
  <c r="T2518" i="44"/>
  <c r="T2515" i="44"/>
  <c r="T2516" i="44" s="1"/>
  <c r="T2517" i="44"/>
  <c r="Q2518" i="44"/>
  <c r="Q2515" i="44"/>
  <c r="Q2516" i="44" s="1"/>
  <c r="Q2517" i="44" s="1"/>
  <c r="D2526" i="44"/>
  <c r="AB2526" i="44" s="1"/>
  <c r="D2517" i="44"/>
  <c r="D2515" i="44"/>
  <c r="AR2230" i="44"/>
  <c r="AX494" i="44"/>
  <c r="BB494" i="44" s="1"/>
  <c r="H2421" i="44"/>
  <c r="H2419" i="44"/>
  <c r="AF2419" i="44" s="1"/>
  <c r="H2420" i="44"/>
  <c r="AF2420" i="44" s="1"/>
  <c r="AF2417" i="44"/>
  <c r="H2418" i="44"/>
  <c r="AF2418" i="44" s="1"/>
  <c r="I2378" i="44"/>
  <c r="AG2378" i="44" s="1"/>
  <c r="I2379" i="44"/>
  <c r="AG2379" i="44" s="1"/>
  <c r="AG2377" i="44"/>
  <c r="I2381" i="44"/>
  <c r="I2380" i="44"/>
  <c r="AG2380" i="44" s="1"/>
  <c r="U2518" i="44"/>
  <c r="U2515" i="44"/>
  <c r="U2516" i="44" s="1"/>
  <c r="U2517" i="44" s="1"/>
  <c r="P2515" i="44"/>
  <c r="P2516" i="44" s="1"/>
  <c r="P2517" i="44"/>
  <c r="P2518" i="44"/>
  <c r="E2515" i="44"/>
  <c r="E2526" i="44"/>
  <c r="AC2526" i="44" s="1"/>
  <c r="M2409" i="44"/>
  <c r="AK2408" i="44"/>
  <c r="AF2481" i="44"/>
  <c r="H2482" i="44"/>
  <c r="AF2482" i="44" s="1"/>
  <c r="H2484" i="44"/>
  <c r="AF2484" i="44" s="1"/>
  <c r="H2485" i="44"/>
  <c r="H2483" i="44"/>
  <c r="AF2483" i="44" s="1"/>
  <c r="I2285" i="44"/>
  <c r="AG2285" i="44" s="1"/>
  <c r="I2283" i="44"/>
  <c r="AG2283" i="44" s="1"/>
  <c r="AG2281" i="44"/>
  <c r="I2284" i="44"/>
  <c r="AG2284" i="44" s="1"/>
  <c r="I2282" i="44"/>
  <c r="AG2282" i="44" s="1"/>
  <c r="E2445" i="44"/>
  <c r="AC2444" i="44"/>
  <c r="H2387" i="44"/>
  <c r="AF2387" i="44" s="1"/>
  <c r="H2386" i="44"/>
  <c r="AF2386" i="44" s="1"/>
  <c r="AF2385" i="44"/>
  <c r="H2388" i="44"/>
  <c r="AF2388" i="44" s="1"/>
  <c r="H2389" i="44"/>
  <c r="L2433" i="44"/>
  <c r="AN2411" i="44"/>
  <c r="I2445" i="44"/>
  <c r="AG2444" i="44"/>
  <c r="AK2341" i="44"/>
  <c r="M2345" i="44"/>
  <c r="AK2345" i="44" s="1"/>
  <c r="M2344" i="44"/>
  <c r="AK2344" i="44" s="1"/>
  <c r="M2342" i="44"/>
  <c r="AK2342" i="44" s="1"/>
  <c r="M2343" i="44"/>
  <c r="AK2343" i="44" s="1"/>
  <c r="L2416" i="44"/>
  <c r="AJ2416" i="44" s="1"/>
  <c r="AJ2415" i="44"/>
  <c r="E2375" i="44"/>
  <c r="AC2375" i="44" s="1"/>
  <c r="AC2374" i="44"/>
  <c r="I2410" i="44"/>
  <c r="AG2410" i="44" s="1"/>
  <c r="AG2409" i="44"/>
  <c r="I2412" i="44"/>
  <c r="AG2412" i="44" s="1"/>
  <c r="I2413" i="44"/>
  <c r="I2411" i="44"/>
  <c r="AG2411" i="44" s="1"/>
  <c r="AN2301" i="44"/>
  <c r="AX502" i="44"/>
  <c r="BB502" i="44" s="1"/>
  <c r="AR2300" i="44"/>
  <c r="M2444" i="44"/>
  <c r="AK2443" i="44"/>
  <c r="Y2518" i="44"/>
  <c r="Y2515" i="44"/>
  <c r="Y2516" i="44" s="1"/>
  <c r="Y2517" i="44" s="1"/>
  <c r="D2480" i="44"/>
  <c r="AB2480" i="44" s="1"/>
  <c r="AB2479" i="44"/>
  <c r="H2515" i="44"/>
  <c r="H2538" i="44"/>
  <c r="AF2538" i="44" s="1"/>
  <c r="H2517" i="44"/>
  <c r="E2377" i="44"/>
  <c r="AC2376" i="44"/>
  <c r="I2480" i="44"/>
  <c r="AG2479" i="44"/>
  <c r="H2355" i="44"/>
  <c r="AF2355" i="44" s="1"/>
  <c r="AF2353" i="44"/>
  <c r="H2354" i="44"/>
  <c r="AF2354" i="44" s="1"/>
  <c r="H2356" i="44"/>
  <c r="AF2356" i="44" s="1"/>
  <c r="H2357" i="44"/>
  <c r="AF2357" i="44" s="1"/>
  <c r="I2315" i="44"/>
  <c r="AG2315" i="44" s="1"/>
  <c r="I2316" i="44"/>
  <c r="AG2316" i="44" s="1"/>
  <c r="I2317" i="44"/>
  <c r="AG2313" i="44"/>
  <c r="I2314" i="44"/>
  <c r="AG2314" i="44" s="1"/>
  <c r="M2479" i="44"/>
  <c r="M2490" i="44"/>
  <c r="AK2490" i="44" s="1"/>
  <c r="AK2478" i="44"/>
  <c r="AK2373" i="44"/>
  <c r="M2376" i="44"/>
  <c r="AK2376" i="44" s="1"/>
  <c r="M2377" i="44"/>
  <c r="M2375" i="44"/>
  <c r="AK2375" i="44" s="1"/>
  <c r="M2374" i="44"/>
  <c r="AK2374" i="44" s="1"/>
  <c r="X2515" i="44"/>
  <c r="X2516" i="44" s="1"/>
  <c r="X2518" i="44"/>
  <c r="X2517" i="44"/>
  <c r="D2482" i="44"/>
  <c r="AB2482" i="44" s="1"/>
  <c r="D2485" i="44"/>
  <c r="D2484" i="44"/>
  <c r="AB2484" i="44" s="1"/>
  <c r="AB2481" i="44"/>
  <c r="D2483" i="44"/>
  <c r="AB2483" i="44" s="1"/>
  <c r="I2515" i="44"/>
  <c r="I2538" i="44"/>
  <c r="AG2538" i="44" s="1"/>
  <c r="D2488" i="44" l="1"/>
  <c r="AB2488" i="44" s="1"/>
  <c r="AB2485" i="44"/>
  <c r="D2486" i="44"/>
  <c r="AB2486" i="44" s="1"/>
  <c r="D2487" i="44"/>
  <c r="AB2487" i="44" s="1"/>
  <c r="D2489" i="44"/>
  <c r="AB2489" i="44" s="1"/>
  <c r="L2515" i="44"/>
  <c r="L2517" i="44"/>
  <c r="L2526" i="44"/>
  <c r="AJ2526" i="44" s="1"/>
  <c r="AJ2514" i="44"/>
  <c r="L2452" i="44"/>
  <c r="AJ2452" i="44" s="1"/>
  <c r="AJ2451" i="44"/>
  <c r="M2526" i="44"/>
  <c r="AK2526" i="44" s="1"/>
  <c r="M2515" i="44"/>
  <c r="AK2514" i="44"/>
  <c r="M2445" i="44"/>
  <c r="AK2444" i="44"/>
  <c r="H2455" i="44"/>
  <c r="AF2455" i="44" s="1"/>
  <c r="H2454" i="44"/>
  <c r="AF2454" i="44" s="1"/>
  <c r="AF2453" i="44"/>
  <c r="H2456" i="44"/>
  <c r="AF2456" i="44" s="1"/>
  <c r="H2457" i="44"/>
  <c r="D2516" i="44"/>
  <c r="AB2516" i="44" s="1"/>
  <c r="AB2515" i="44"/>
  <c r="AK2377" i="44"/>
  <c r="M2380" i="44"/>
  <c r="AK2380" i="44" s="1"/>
  <c r="M2379" i="44"/>
  <c r="AK2379" i="44" s="1"/>
  <c r="M2381" i="44"/>
  <c r="AK2381" i="44" s="1"/>
  <c r="M2378" i="44"/>
  <c r="AK2378" i="44" s="1"/>
  <c r="AN2372" i="44"/>
  <c r="AX511" i="44"/>
  <c r="BB511" i="44" s="1"/>
  <c r="AR2371" i="44"/>
  <c r="E2411" i="44"/>
  <c r="AC2411" i="44" s="1"/>
  <c r="AC2410" i="44"/>
  <c r="E2345" i="44"/>
  <c r="AC2345" i="44" s="1"/>
  <c r="AC2344" i="44"/>
  <c r="AF2485" i="44"/>
  <c r="H2489" i="44"/>
  <c r="H2488" i="44"/>
  <c r="AF2488" i="44" s="1"/>
  <c r="H2486" i="44"/>
  <c r="AF2486" i="44" s="1"/>
  <c r="H2487" i="44"/>
  <c r="AF2487" i="44" s="1"/>
  <c r="E2448" i="44"/>
  <c r="E2446" i="44"/>
  <c r="AC2445" i="44"/>
  <c r="AB2517" i="44"/>
  <c r="D2520" i="44"/>
  <c r="AB2520" i="44" s="1"/>
  <c r="D2521" i="44"/>
  <c r="D2519" i="44"/>
  <c r="AB2519" i="44" s="1"/>
  <c r="D2518" i="44"/>
  <c r="AB2518" i="44" s="1"/>
  <c r="I2481" i="44"/>
  <c r="AG2480" i="44"/>
  <c r="E2481" i="44"/>
  <c r="AC2480" i="44"/>
  <c r="AN2337" i="44"/>
  <c r="AR2336" i="44"/>
  <c r="AX507" i="44"/>
  <c r="BB507" i="44" s="1"/>
  <c r="AR2406" i="44"/>
  <c r="AX515" i="44"/>
  <c r="BB515" i="44" s="1"/>
  <c r="AN2407" i="44"/>
  <c r="AX499" i="44"/>
  <c r="BB499" i="44" s="1"/>
  <c r="AR2266" i="44"/>
  <c r="I2318" i="44"/>
  <c r="AG2318" i="44" s="1"/>
  <c r="AG2317" i="44"/>
  <c r="I2319" i="44"/>
  <c r="AG2319" i="44" s="1"/>
  <c r="I2320" i="44"/>
  <c r="AG2320" i="44" s="1"/>
  <c r="I2321" i="44"/>
  <c r="AG2321" i="44" s="1"/>
  <c r="L2485" i="44"/>
  <c r="AJ2481" i="44"/>
  <c r="L2483" i="44"/>
  <c r="L2487" i="44"/>
  <c r="L2482" i="44"/>
  <c r="AJ2482" i="44" s="1"/>
  <c r="E2343" i="44"/>
  <c r="AC2343" i="44" s="1"/>
  <c r="AC2342" i="44"/>
  <c r="AG2413" i="44"/>
  <c r="I2415" i="44"/>
  <c r="AG2415" i="44" s="1"/>
  <c r="I2417" i="44"/>
  <c r="I2416" i="44"/>
  <c r="AG2416" i="44" s="1"/>
  <c r="I2414" i="44"/>
  <c r="AG2414" i="44" s="1"/>
  <c r="H2391" i="44"/>
  <c r="AF2391" i="44" s="1"/>
  <c r="H2393" i="44"/>
  <c r="AF2393" i="44" s="1"/>
  <c r="H2390" i="44"/>
  <c r="AF2390" i="44" s="1"/>
  <c r="AF2389" i="44"/>
  <c r="H2392" i="44"/>
  <c r="AF2392" i="44" s="1"/>
  <c r="E2413" i="44"/>
  <c r="AC2412" i="44"/>
  <c r="E2378" i="44"/>
  <c r="E2380" i="44"/>
  <c r="AC2377" i="44"/>
  <c r="AF2517" i="44"/>
  <c r="H2521" i="44"/>
  <c r="H2519" i="44"/>
  <c r="AF2519" i="44" s="1"/>
  <c r="H2520" i="44"/>
  <c r="AF2520" i="44" s="1"/>
  <c r="H2518" i="44"/>
  <c r="AF2518" i="44" s="1"/>
  <c r="AK2409" i="44"/>
  <c r="M2413" i="44"/>
  <c r="M2412" i="44"/>
  <c r="AK2412" i="44" s="1"/>
  <c r="M2411" i="44"/>
  <c r="AK2411" i="44" s="1"/>
  <c r="M2410" i="44"/>
  <c r="AK2410" i="44" s="1"/>
  <c r="I2516" i="44"/>
  <c r="AG2515" i="44"/>
  <c r="AK2479" i="44"/>
  <c r="M2480" i="44"/>
  <c r="H2422" i="44"/>
  <c r="AF2422" i="44" s="1"/>
  <c r="H2425" i="44"/>
  <c r="AF2421" i="44"/>
  <c r="H2423" i="44"/>
  <c r="AF2423" i="44" s="1"/>
  <c r="H2424" i="44"/>
  <c r="AF2424" i="44" s="1"/>
  <c r="L2480" i="44"/>
  <c r="AJ2480" i="44" s="1"/>
  <c r="AJ2479" i="44"/>
  <c r="L2448" i="44"/>
  <c r="AJ2448" i="44" s="1"/>
  <c r="AJ2447" i="44"/>
  <c r="AR2301" i="44"/>
  <c r="AX503" i="44"/>
  <c r="BB503" i="44" s="1"/>
  <c r="AN2302" i="44"/>
  <c r="AN2447" i="44"/>
  <c r="L2469" i="44"/>
  <c r="E2516" i="44"/>
  <c r="AC2515" i="44"/>
  <c r="I2353" i="44"/>
  <c r="I2350" i="44"/>
  <c r="AG2350" i="44" s="1"/>
  <c r="I2352" i="44"/>
  <c r="AG2352" i="44" s="1"/>
  <c r="I2351" i="44"/>
  <c r="AG2351" i="44" s="1"/>
  <c r="AG2349" i="44"/>
  <c r="I2384" i="44"/>
  <c r="AG2384" i="44" s="1"/>
  <c r="I2385" i="44"/>
  <c r="I2382" i="44"/>
  <c r="AG2382" i="44" s="1"/>
  <c r="I2383" i="44"/>
  <c r="AG2383" i="44" s="1"/>
  <c r="AG2381" i="44"/>
  <c r="I2448" i="44"/>
  <c r="AG2448" i="44" s="1"/>
  <c r="I2446" i="44"/>
  <c r="AG2446" i="44" s="1"/>
  <c r="AG2445" i="44"/>
  <c r="I2447" i="44"/>
  <c r="AG2447" i="44" s="1"/>
  <c r="I2449" i="44"/>
  <c r="AR2411" i="44"/>
  <c r="AN2442" i="44"/>
  <c r="H2516" i="44"/>
  <c r="AF2516" i="44" s="1"/>
  <c r="AF2515" i="44"/>
  <c r="AJ2449" i="44"/>
  <c r="L2453" i="44"/>
  <c r="AJ2453" i="44" s="1"/>
  <c r="L2450" i="44"/>
  <c r="AJ2450" i="44" s="1"/>
  <c r="I2419" i="44" l="1"/>
  <c r="AG2419" i="44" s="1"/>
  <c r="I2420" i="44"/>
  <c r="AG2420" i="44" s="1"/>
  <c r="AG2417" i="44"/>
  <c r="I2421" i="44"/>
  <c r="I2418" i="44"/>
  <c r="AG2418" i="44" s="1"/>
  <c r="AN2408" i="44"/>
  <c r="AX516" i="44"/>
  <c r="BB516" i="44" s="1"/>
  <c r="AR2407" i="44"/>
  <c r="E2447" i="44"/>
  <c r="AC2447" i="44" s="1"/>
  <c r="AC2446" i="44"/>
  <c r="AK2445" i="44"/>
  <c r="M2449" i="44"/>
  <c r="M2447" i="44"/>
  <c r="AK2447" i="44" s="1"/>
  <c r="M2446" i="44"/>
  <c r="AK2446" i="44" s="1"/>
  <c r="M2448" i="44"/>
  <c r="AK2448" i="44" s="1"/>
  <c r="M2516" i="44"/>
  <c r="AK2515" i="44"/>
  <c r="E2449" i="44"/>
  <c r="AC2448" i="44"/>
  <c r="H2428" i="44"/>
  <c r="AF2428" i="44" s="1"/>
  <c r="H2426" i="44"/>
  <c r="AF2426" i="44" s="1"/>
  <c r="H2429" i="44"/>
  <c r="AF2429" i="44" s="1"/>
  <c r="H2427" i="44"/>
  <c r="AF2427" i="44" s="1"/>
  <c r="AF2425" i="44"/>
  <c r="AJ2517" i="44"/>
  <c r="L2521" i="44"/>
  <c r="L2518" i="44"/>
  <c r="AJ2518" i="44" s="1"/>
  <c r="L2523" i="44"/>
  <c r="L2519" i="44"/>
  <c r="H2525" i="44"/>
  <c r="H2524" i="44"/>
  <c r="AF2524" i="44" s="1"/>
  <c r="H2522" i="44"/>
  <c r="AF2522" i="44" s="1"/>
  <c r="AF2521" i="44"/>
  <c r="H2523" i="44"/>
  <c r="AF2523" i="44" s="1"/>
  <c r="AX520" i="44"/>
  <c r="BB520" i="44" s="1"/>
  <c r="AR2442" i="44"/>
  <c r="AN2443" i="44"/>
  <c r="I2357" i="44"/>
  <c r="AG2357" i="44" s="1"/>
  <c r="I2355" i="44"/>
  <c r="AG2355" i="44" s="1"/>
  <c r="I2356" i="44"/>
  <c r="AG2356" i="44" s="1"/>
  <c r="I2354" i="44"/>
  <c r="AG2354" i="44" s="1"/>
  <c r="AG2353" i="44"/>
  <c r="E2381" i="44"/>
  <c r="AC2381" i="44" s="1"/>
  <c r="AC2380" i="44"/>
  <c r="L2516" i="44"/>
  <c r="AJ2516" i="44" s="1"/>
  <c r="AJ2515" i="44"/>
  <c r="AK2413" i="44"/>
  <c r="M2416" i="44"/>
  <c r="AK2416" i="44" s="1"/>
  <c r="M2417" i="44"/>
  <c r="AK2417" i="44" s="1"/>
  <c r="M2414" i="44"/>
  <c r="AK2414" i="44" s="1"/>
  <c r="M2415" i="44"/>
  <c r="AK2415" i="44" s="1"/>
  <c r="H2461" i="44"/>
  <c r="H2460" i="44"/>
  <c r="AF2460" i="44" s="1"/>
  <c r="H2459" i="44"/>
  <c r="AF2459" i="44" s="1"/>
  <c r="H2458" i="44"/>
  <c r="AF2458" i="44" s="1"/>
  <c r="AF2457" i="44"/>
  <c r="I2451" i="44"/>
  <c r="AG2451" i="44" s="1"/>
  <c r="I2453" i="44"/>
  <c r="I2452" i="44"/>
  <c r="AG2452" i="44" s="1"/>
  <c r="I2450" i="44"/>
  <c r="AG2450" i="44" s="1"/>
  <c r="AG2449" i="44"/>
  <c r="E2517" i="44"/>
  <c r="AC2516" i="44"/>
  <c r="L2484" i="44"/>
  <c r="AJ2484" i="44" s="1"/>
  <c r="AJ2483" i="44"/>
  <c r="AR2372" i="44"/>
  <c r="AX512" i="44"/>
  <c r="BB512" i="44" s="1"/>
  <c r="AN2373" i="44"/>
  <c r="H2491" i="44"/>
  <c r="AF2491" i="44" s="1"/>
  <c r="H2490" i="44"/>
  <c r="AF2490" i="44" s="1"/>
  <c r="AF2489" i="44"/>
  <c r="H2493" i="44"/>
  <c r="H2492" i="44"/>
  <c r="AF2492" i="44" s="1"/>
  <c r="L2505" i="44"/>
  <c r="AN2483" i="44"/>
  <c r="E2414" i="44"/>
  <c r="E2416" i="44"/>
  <c r="AC2413" i="44"/>
  <c r="E2484" i="44"/>
  <c r="E2482" i="44"/>
  <c r="AC2481" i="44"/>
  <c r="M2481" i="44"/>
  <c r="AK2480" i="44"/>
  <c r="E2379" i="44"/>
  <c r="AC2379" i="44" s="1"/>
  <c r="AC2378" i="44"/>
  <c r="L2488" i="44"/>
  <c r="AJ2488" i="44" s="1"/>
  <c r="AJ2487" i="44"/>
  <c r="AR2447" i="44"/>
  <c r="AN2478" i="44"/>
  <c r="I2517" i="44"/>
  <c r="AG2516" i="44"/>
  <c r="AJ2485" i="44"/>
  <c r="L2486" i="44"/>
  <c r="AJ2486" i="44" s="1"/>
  <c r="L2489" i="44"/>
  <c r="AJ2489" i="44" s="1"/>
  <c r="D2525" i="44"/>
  <c r="AB2525" i="44" s="1"/>
  <c r="D2524" i="44"/>
  <c r="AB2524" i="44" s="1"/>
  <c r="D2523" i="44"/>
  <c r="AB2523" i="44" s="1"/>
  <c r="D2522" i="44"/>
  <c r="AB2522" i="44" s="1"/>
  <c r="AB2521" i="44"/>
  <c r="I2388" i="44"/>
  <c r="AG2388" i="44" s="1"/>
  <c r="I2389" i="44"/>
  <c r="AG2385" i="44"/>
  <c r="I2386" i="44"/>
  <c r="AG2386" i="44" s="1"/>
  <c r="I2387" i="44"/>
  <c r="AG2387" i="44" s="1"/>
  <c r="AN2338" i="44"/>
  <c r="AO2337" i="44"/>
  <c r="AR2337" i="44"/>
  <c r="AX508" i="44"/>
  <c r="BB508" i="44" s="1"/>
  <c r="AR2302" i="44"/>
  <c r="AX504" i="44"/>
  <c r="BB504" i="44" s="1"/>
  <c r="AG2481" i="44"/>
  <c r="I2485" i="44"/>
  <c r="I2484" i="44"/>
  <c r="AG2484" i="44" s="1"/>
  <c r="I2483" i="44"/>
  <c r="AG2483" i="44" s="1"/>
  <c r="I2482" i="44"/>
  <c r="AG2482" i="44" s="1"/>
  <c r="AO210" i="44" l="1"/>
  <c r="AO213" i="44"/>
  <c r="AO212" i="44"/>
  <c r="AO211" i="44"/>
  <c r="AO214" i="44"/>
  <c r="AO2447" i="44"/>
  <c r="AS2447" i="44" s="1"/>
  <c r="AO247" i="44"/>
  <c r="AO248" i="44"/>
  <c r="AO282" i="44"/>
  <c r="AO215" i="44"/>
  <c r="AS215" i="44" s="1"/>
  <c r="AO249" i="44"/>
  <c r="AO250" i="44"/>
  <c r="AO246" i="44"/>
  <c r="AO251" i="44"/>
  <c r="AS251" i="44" s="1"/>
  <c r="AO2372" i="44"/>
  <c r="AS2372" i="44" s="1"/>
  <c r="AO283" i="44"/>
  <c r="AO284" i="44"/>
  <c r="AO285" i="44"/>
  <c r="AO286" i="44"/>
  <c r="AK2449" i="44"/>
  <c r="M2452" i="44"/>
  <c r="AK2452" i="44" s="1"/>
  <c r="M2451" i="44"/>
  <c r="AK2451" i="44" s="1"/>
  <c r="M2450" i="44"/>
  <c r="AK2450" i="44" s="1"/>
  <c r="M2453" i="44"/>
  <c r="AK2453" i="44" s="1"/>
  <c r="AX509" i="44"/>
  <c r="BB509" i="44" s="1"/>
  <c r="AR2338" i="44"/>
  <c r="AO2338" i="44"/>
  <c r="AN2479" i="44"/>
  <c r="AX525" i="44"/>
  <c r="BB525" i="44" s="1"/>
  <c r="AO2478" i="44"/>
  <c r="AR2478" i="44"/>
  <c r="AG2453" i="44"/>
  <c r="I2457" i="44"/>
  <c r="I2454" i="44"/>
  <c r="AG2454" i="44" s="1"/>
  <c r="I2455" i="44"/>
  <c r="AG2455" i="44" s="1"/>
  <c r="I2456" i="44"/>
  <c r="AG2456" i="44" s="1"/>
  <c r="AJ2521" i="44"/>
  <c r="L2522" i="44"/>
  <c r="AJ2522" i="44" s="1"/>
  <c r="L2525" i="44"/>
  <c r="AJ2525" i="44" s="1"/>
  <c r="H2496" i="44"/>
  <c r="AF2496" i="44" s="1"/>
  <c r="H2495" i="44"/>
  <c r="AF2495" i="44" s="1"/>
  <c r="H2497" i="44"/>
  <c r="AF2493" i="44"/>
  <c r="H2494" i="44"/>
  <c r="AF2494" i="44" s="1"/>
  <c r="L2524" i="44"/>
  <c r="AJ2524" i="44" s="1"/>
  <c r="AJ2523" i="44"/>
  <c r="AG2389" i="44"/>
  <c r="I2391" i="44"/>
  <c r="AG2391" i="44" s="1"/>
  <c r="I2392" i="44"/>
  <c r="AG2392" i="44" s="1"/>
  <c r="I2393" i="44"/>
  <c r="AG2393" i="44" s="1"/>
  <c r="I2390" i="44"/>
  <c r="AG2390" i="44" s="1"/>
  <c r="I2520" i="44"/>
  <c r="AG2520" i="44" s="1"/>
  <c r="AG2517" i="44"/>
  <c r="I2518" i="44"/>
  <c r="AG2518" i="44" s="1"/>
  <c r="I2521" i="44"/>
  <c r="I2519" i="44"/>
  <c r="AG2519" i="44" s="1"/>
  <c r="AN2374" i="44"/>
  <c r="AO2373" i="44"/>
  <c r="AR2373" i="44"/>
  <c r="AX513" i="44"/>
  <c r="BB513" i="44" s="1"/>
  <c r="AO2443" i="44"/>
  <c r="AR2443" i="44"/>
  <c r="AX521" i="44"/>
  <c r="BB521" i="44" s="1"/>
  <c r="AN2444" i="44"/>
  <c r="AO2408" i="44"/>
  <c r="AR2408" i="44"/>
  <c r="AX517" i="44"/>
  <c r="BB517" i="44" s="1"/>
  <c r="AN2409" i="44"/>
  <c r="H2529" i="44"/>
  <c r="H2528" i="44"/>
  <c r="AF2528" i="44" s="1"/>
  <c r="H2527" i="44"/>
  <c r="AF2527" i="44" s="1"/>
  <c r="AF2525" i="44"/>
  <c r="H2526" i="44"/>
  <c r="AF2526" i="44" s="1"/>
  <c r="E2415" i="44"/>
  <c r="AC2415" i="44" s="1"/>
  <c r="AC2414" i="44"/>
  <c r="AN2514" i="44"/>
  <c r="AO2483" i="44"/>
  <c r="AS2483" i="44" s="1"/>
  <c r="AR2483" i="44"/>
  <c r="AO2407" i="44"/>
  <c r="H2465" i="44"/>
  <c r="AF2465" i="44" s="1"/>
  <c r="H2464" i="44"/>
  <c r="AF2464" i="44" s="1"/>
  <c r="H2463" i="44"/>
  <c r="AF2463" i="44" s="1"/>
  <c r="H2462" i="44"/>
  <c r="AF2462" i="44" s="1"/>
  <c r="AF2461" i="44"/>
  <c r="E2417" i="44"/>
  <c r="AC2417" i="44" s="1"/>
  <c r="AC2416" i="44"/>
  <c r="AK2481" i="44"/>
  <c r="M2484" i="44"/>
  <c r="AK2484" i="44" s="1"/>
  <c r="M2483" i="44"/>
  <c r="AK2483" i="44" s="1"/>
  <c r="M2482" i="44"/>
  <c r="AK2482" i="44" s="1"/>
  <c r="M2485" i="44"/>
  <c r="I2425" i="44"/>
  <c r="I2423" i="44"/>
  <c r="AG2423" i="44" s="1"/>
  <c r="AG2421" i="44"/>
  <c r="I2422" i="44"/>
  <c r="AG2422" i="44" s="1"/>
  <c r="I2424" i="44"/>
  <c r="AG2424" i="44" s="1"/>
  <c r="E2518" i="44"/>
  <c r="AC2517" i="44"/>
  <c r="E2520" i="44"/>
  <c r="L2520" i="44"/>
  <c r="AJ2520" i="44" s="1"/>
  <c r="AJ2519" i="44"/>
  <c r="AO2442" i="44"/>
  <c r="X2543" i="44"/>
  <c r="AO356" i="44"/>
  <c r="AO393" i="44"/>
  <c r="AO571" i="44"/>
  <c r="AO719" i="44"/>
  <c r="AS719" i="44" s="1"/>
  <c r="AO646" i="44"/>
  <c r="AO789" i="44"/>
  <c r="AO897" i="44"/>
  <c r="AO1004" i="44"/>
  <c r="AO1187" i="44"/>
  <c r="AS1187" i="44" s="1"/>
  <c r="AO1295" i="44"/>
  <c r="AS1295" i="44" s="1"/>
  <c r="AO1222" i="44"/>
  <c r="AO1365" i="44"/>
  <c r="AO1583" i="44"/>
  <c r="AS1583" i="44" s="1"/>
  <c r="AO1580" i="44"/>
  <c r="AO1688" i="44"/>
  <c r="AO1761" i="44"/>
  <c r="AO1868" i="44"/>
  <c r="AO1941" i="44"/>
  <c r="AO2119" i="44"/>
  <c r="AO2086" i="44"/>
  <c r="AO2264" i="44"/>
  <c r="AO321" i="44"/>
  <c r="AO717" i="44"/>
  <c r="AO1110" i="44"/>
  <c r="AO1436" i="44"/>
  <c r="AO1759" i="44"/>
  <c r="AO2014" i="44"/>
  <c r="AO1043" i="44"/>
  <c r="AS1043" i="44" s="1"/>
  <c r="AO1474" i="44"/>
  <c r="AO2195" i="44"/>
  <c r="AS2195" i="44" s="1"/>
  <c r="AO323" i="44"/>
  <c r="AS323" i="44" s="1"/>
  <c r="AO1151" i="44"/>
  <c r="AS1151" i="44" s="1"/>
  <c r="AO1619" i="44"/>
  <c r="AS1619" i="44" s="1"/>
  <c r="AO2190" i="44"/>
  <c r="AO678" i="44"/>
  <c r="AO1402" i="44"/>
  <c r="AO2015" i="44"/>
  <c r="AS2015" i="44" s="1"/>
  <c r="AO570" i="44"/>
  <c r="AO1076" i="44"/>
  <c r="AO1725" i="44"/>
  <c r="AO643" i="44"/>
  <c r="AO1257" i="44"/>
  <c r="AO2010" i="44"/>
  <c r="AO786" i="44"/>
  <c r="AO1435" i="44"/>
  <c r="AO2339" i="44"/>
  <c r="AS2339" i="44" s="1"/>
  <c r="AO428" i="44"/>
  <c r="AO934" i="44"/>
  <c r="AO1690" i="44"/>
  <c r="AO501" i="44"/>
  <c r="AO1042" i="44"/>
  <c r="AO1866" i="44"/>
  <c r="P2552" i="44"/>
  <c r="AO391" i="44"/>
  <c r="AO534" i="44"/>
  <c r="AO466" i="44"/>
  <c r="AO679" i="44"/>
  <c r="AO827" i="44"/>
  <c r="AS827" i="44" s="1"/>
  <c r="AO859" i="44"/>
  <c r="AO932" i="44"/>
  <c r="AO1040" i="44"/>
  <c r="AO1147" i="44"/>
  <c r="AO1290" i="44"/>
  <c r="AO1398" i="44"/>
  <c r="AO1475" i="44"/>
  <c r="AS1475" i="44" s="1"/>
  <c r="AO1508" i="44"/>
  <c r="AO1691" i="44"/>
  <c r="AS1691" i="44" s="1"/>
  <c r="AO1758" i="44"/>
  <c r="AO1831" i="44"/>
  <c r="AO1834" i="44"/>
  <c r="AO1906" i="44"/>
  <c r="AO2049" i="44"/>
  <c r="AO2267" i="44"/>
  <c r="AS2267" i="44" s="1"/>
  <c r="AO2194" i="44"/>
  <c r="AO539" i="44"/>
  <c r="AS539" i="44" s="1"/>
  <c r="AO935" i="44"/>
  <c r="AS935" i="44" s="1"/>
  <c r="AO1078" i="44"/>
  <c r="AO1578" i="44"/>
  <c r="AO1869" i="44"/>
  <c r="AO2375" i="44"/>
  <c r="AS2375" i="44" s="1"/>
  <c r="AO1183" i="44"/>
  <c r="AO1870" i="44"/>
  <c r="AO537" i="44"/>
  <c r="AO1113" i="44"/>
  <c r="AO1799" i="44"/>
  <c r="AS1799" i="44" s="1"/>
  <c r="AO2263" i="44"/>
  <c r="AO430" i="44"/>
  <c r="AO1221" i="44"/>
  <c r="AO2228" i="44"/>
  <c r="AO683" i="44"/>
  <c r="AS683" i="44" s="1"/>
  <c r="AO1254" i="44"/>
  <c r="AO1938" i="44"/>
  <c r="D2548" i="44"/>
  <c r="E2548" i="44" s="1"/>
  <c r="AO826" i="44"/>
  <c r="AO1542" i="44"/>
  <c r="AO2123" i="44"/>
  <c r="AS2123" i="44" s="1"/>
  <c r="AO503" i="44"/>
  <c r="AS503" i="44" s="1"/>
  <c r="AO1259" i="44"/>
  <c r="AS1259" i="44" s="1"/>
  <c r="AO2011" i="44"/>
  <c r="P2544" i="44"/>
  <c r="AO931" i="44"/>
  <c r="AO1655" i="44"/>
  <c r="AS1655" i="44" s="1"/>
  <c r="AO2229" i="44"/>
  <c r="AO791" i="44"/>
  <c r="AS791" i="44" s="1"/>
  <c r="AO1292" i="44"/>
  <c r="AO1798" i="44"/>
  <c r="P2558" i="44"/>
  <c r="AO431" i="44"/>
  <c r="AS431" i="44" s="1"/>
  <c r="AO464" i="44"/>
  <c r="AO611" i="44"/>
  <c r="AS611" i="44" s="1"/>
  <c r="AO644" i="44"/>
  <c r="AO822" i="44"/>
  <c r="AO899" i="44"/>
  <c r="AS899" i="44" s="1"/>
  <c r="AO862" i="44"/>
  <c r="AO1075" i="44"/>
  <c r="AO1112" i="44"/>
  <c r="AO1150" i="44"/>
  <c r="AO1363" i="44"/>
  <c r="AO1400" i="44"/>
  <c r="AO1473" i="44"/>
  <c r="AO1616" i="44"/>
  <c r="AO1618" i="44"/>
  <c r="AO1796" i="44"/>
  <c r="AO1974" i="44"/>
  <c r="AO2051" i="44"/>
  <c r="AS2051" i="44" s="1"/>
  <c r="AO2159" i="44"/>
  <c r="AS2159" i="44" s="1"/>
  <c r="AO2157" i="44"/>
  <c r="AO2299" i="44"/>
  <c r="AO2302" i="44"/>
  <c r="P2560" i="44"/>
  <c r="AO502" i="44"/>
  <c r="AO967" i="44"/>
  <c r="AO1255" i="44"/>
  <c r="AO1546" i="44"/>
  <c r="AO1977" i="44"/>
  <c r="AO860" i="44"/>
  <c r="AO1687" i="44"/>
  <c r="AO2193" i="44"/>
  <c r="AO535" i="44"/>
  <c r="AO1038" i="44"/>
  <c r="AO1364" i="44"/>
  <c r="AO1867" i="44"/>
  <c r="AO467" i="44"/>
  <c r="AS467" i="44" s="1"/>
  <c r="AO1149" i="44"/>
  <c r="AO1978" i="44"/>
  <c r="AO823" i="44"/>
  <c r="AO1507" i="44"/>
  <c r="AO2231" i="44"/>
  <c r="AS2231" i="44" s="1"/>
  <c r="AO395" i="44"/>
  <c r="AS395" i="44" s="1"/>
  <c r="AO1039" i="44"/>
  <c r="AO1650" i="44"/>
  <c r="AO2336" i="44"/>
  <c r="AO390" i="44"/>
  <c r="AO1077" i="44"/>
  <c r="AO1835" i="44"/>
  <c r="AS1835" i="44" s="1"/>
  <c r="AO2406" i="44"/>
  <c r="AO716" i="44"/>
  <c r="AO1472" i="44"/>
  <c r="AO2156" i="44"/>
  <c r="AO320" i="44"/>
  <c r="AO1002" i="44"/>
  <c r="AO1763" i="44"/>
  <c r="AS1763" i="44" s="1"/>
  <c r="D2544" i="44"/>
  <c r="AO426" i="44"/>
  <c r="AO429" i="44"/>
  <c r="AO572" i="44"/>
  <c r="AO714" i="44"/>
  <c r="AO787" i="44"/>
  <c r="AO895" i="44"/>
  <c r="AO1007" i="44"/>
  <c r="AS1007" i="44" s="1"/>
  <c r="AO1115" i="44"/>
  <c r="AS1115" i="44" s="1"/>
  <c r="AO1218" i="44"/>
  <c r="AO1185" i="44"/>
  <c r="AO1403" i="44"/>
  <c r="AS1403" i="44" s="1"/>
  <c r="AO1506" i="44"/>
  <c r="AO1438" i="44"/>
  <c r="AO1686" i="44"/>
  <c r="AO1794" i="44"/>
  <c r="AO1871" i="44"/>
  <c r="AS1871" i="44" s="1"/>
  <c r="AO1979" i="44"/>
  <c r="AS1979" i="44" s="1"/>
  <c r="AO2047" i="44"/>
  <c r="AO2154" i="44"/>
  <c r="AO2122" i="44"/>
  <c r="AO2370" i="44"/>
  <c r="AO574" i="44"/>
  <c r="AO1258" i="44"/>
  <c r="AO1726" i="44"/>
  <c r="AO2192" i="44"/>
  <c r="AO1294" i="44"/>
  <c r="AO1797" i="44"/>
  <c r="AO2265" i="44"/>
  <c r="AO858" i="44"/>
  <c r="AO1652" i="44"/>
  <c r="AO645" i="44"/>
  <c r="AO1041" i="44"/>
  <c r="AO1830" i="44"/>
  <c r="P2548" i="44"/>
  <c r="AO1367" i="44"/>
  <c r="AS1367" i="44" s="1"/>
  <c r="AO2303" i="44"/>
  <c r="AS2303" i="44" s="1"/>
  <c r="AO465" i="44"/>
  <c r="AO1184" i="44"/>
  <c r="AO1833" i="44"/>
  <c r="AO824" i="44"/>
  <c r="AO1723" i="44"/>
  <c r="AO355" i="44"/>
  <c r="AO1182" i="44"/>
  <c r="AO2046" i="44"/>
  <c r="AO609" i="44"/>
  <c r="AO1330" i="44"/>
  <c r="AO2226" i="44"/>
  <c r="AO1219" i="44"/>
  <c r="AO1615" i="44"/>
  <c r="P2556" i="44"/>
  <c r="AO392" i="44"/>
  <c r="AO394" i="44"/>
  <c r="AO647" i="44"/>
  <c r="AS647" i="44" s="1"/>
  <c r="AO610" i="44"/>
  <c r="AO752" i="44"/>
  <c r="AO790" i="44"/>
  <c r="AO968" i="44"/>
  <c r="AO970" i="44"/>
  <c r="AO1148" i="44"/>
  <c r="AO1331" i="44"/>
  <c r="AS1331" i="44" s="1"/>
  <c r="AO1328" i="44"/>
  <c r="AO1511" i="44"/>
  <c r="AS1511" i="44" s="1"/>
  <c r="AO1614" i="44"/>
  <c r="AO1581" i="44"/>
  <c r="AO1724" i="44"/>
  <c r="AO1762" i="44"/>
  <c r="AO1904" i="44"/>
  <c r="AO2082" i="44"/>
  <c r="AO2155" i="44"/>
  <c r="AO2227" i="44"/>
  <c r="AO2230" i="44"/>
  <c r="AO575" i="44"/>
  <c r="AS575" i="44" s="1"/>
  <c r="AO753" i="44"/>
  <c r="AO1326" i="44"/>
  <c r="AO1654" i="44"/>
  <c r="P2554" i="44"/>
  <c r="AO680" i="44"/>
  <c r="AO1256" i="44"/>
  <c r="AO1905" i="44"/>
  <c r="AO2300" i="44"/>
  <c r="AO718" i="44"/>
  <c r="AO1509" i="44"/>
  <c r="AO2120" i="44"/>
  <c r="AO751" i="44"/>
  <c r="AO1617" i="44"/>
  <c r="AO2411" i="44"/>
  <c r="AS2411" i="44" s="1"/>
  <c r="AO463" i="44"/>
  <c r="AO1146" i="44"/>
  <c r="AO1582" i="44"/>
  <c r="AO2158" i="44"/>
  <c r="P2550" i="44"/>
  <c r="AO971" i="44"/>
  <c r="AS971" i="44" s="1"/>
  <c r="AO1547" i="44"/>
  <c r="AS1547" i="44" s="1"/>
  <c r="AO2013" i="44"/>
  <c r="AO754" i="44"/>
  <c r="AO1653" i="44"/>
  <c r="AO894" i="44"/>
  <c r="AO1543" i="44"/>
  <c r="AO2334" i="44"/>
  <c r="AN2519" i="44"/>
  <c r="AO287" i="44"/>
  <c r="AS287" i="44" s="1"/>
  <c r="AO357" i="44"/>
  <c r="AO499" i="44"/>
  <c r="AO607" i="44"/>
  <c r="AO715" i="44"/>
  <c r="AO682" i="44"/>
  <c r="AO825" i="44"/>
  <c r="AO1003" i="44"/>
  <c r="AO1005" i="44"/>
  <c r="AO1223" i="44"/>
  <c r="AS1223" i="44" s="1"/>
  <c r="AO1291" i="44"/>
  <c r="AO1293" i="44"/>
  <c r="AO1471" i="44"/>
  <c r="AO1579" i="44"/>
  <c r="AO1651" i="44"/>
  <c r="AO1689" i="44"/>
  <c r="AO1907" i="44"/>
  <c r="AS1907" i="44" s="1"/>
  <c r="AO1939" i="44"/>
  <c r="AO1942" i="44"/>
  <c r="AO2085" i="44"/>
  <c r="AO2262" i="44"/>
  <c r="AO2335" i="44"/>
  <c r="D2545" i="44"/>
  <c r="E2545" i="44" s="1"/>
  <c r="AO318" i="44"/>
  <c r="AO462" i="44"/>
  <c r="AO642" i="44"/>
  <c r="AO750" i="44"/>
  <c r="AO1006" i="44"/>
  <c r="AO1366" i="44"/>
  <c r="AO2087" i="44"/>
  <c r="AS2087" i="44" s="1"/>
  <c r="AO322" i="44"/>
  <c r="AO930" i="44"/>
  <c r="AO1401" i="44"/>
  <c r="AO2012" i="44"/>
  <c r="AO966" i="44"/>
  <c r="AO1434" i="44"/>
  <c r="AO1832" i="44"/>
  <c r="AO2301" i="44"/>
  <c r="AO498" i="44"/>
  <c r="AO1079" i="44"/>
  <c r="AS1079" i="44" s="1"/>
  <c r="AO1510" i="44"/>
  <c r="AO1940" i="44"/>
  <c r="AO863" i="44"/>
  <c r="AS863" i="44" s="1"/>
  <c r="AO1329" i="44"/>
  <c r="AO2191" i="44"/>
  <c r="AO573" i="44"/>
  <c r="AO1362" i="44"/>
  <c r="AO1943" i="44"/>
  <c r="AS1943" i="44" s="1"/>
  <c r="AO538" i="44"/>
  <c r="AO1470" i="44"/>
  <c r="AO2118" i="44"/>
  <c r="P2562" i="44"/>
  <c r="AO1074" i="44"/>
  <c r="AO1976" i="44"/>
  <c r="P2546" i="44"/>
  <c r="AO354" i="44"/>
  <c r="AO427" i="44"/>
  <c r="AO500" i="44"/>
  <c r="AO608" i="44"/>
  <c r="AO755" i="44"/>
  <c r="AS755" i="44" s="1"/>
  <c r="AO788" i="44"/>
  <c r="AO896" i="44"/>
  <c r="AO898" i="44"/>
  <c r="AO1111" i="44"/>
  <c r="AO1114" i="44"/>
  <c r="AO1186" i="44"/>
  <c r="AO1439" i="44"/>
  <c r="AS1439" i="44" s="1"/>
  <c r="AO1437" i="44"/>
  <c r="AO1544" i="44"/>
  <c r="AO1727" i="44"/>
  <c r="AS1727" i="44" s="1"/>
  <c r="AO1760" i="44"/>
  <c r="AO1902" i="44"/>
  <c r="AO1975" i="44"/>
  <c r="AO2083" i="44"/>
  <c r="AO2050" i="44"/>
  <c r="AO2298" i="44"/>
  <c r="AO2371" i="44"/>
  <c r="D372" i="43"/>
  <c r="AO359" i="44"/>
  <c r="AS359" i="44" s="1"/>
  <c r="AO933" i="44"/>
  <c r="AO1722" i="44"/>
  <c r="AO319" i="44"/>
  <c r="AO861" i="44"/>
  <c r="AO1399" i="44"/>
  <c r="AO2048" i="44"/>
  <c r="AO681" i="44"/>
  <c r="AO1795" i="44"/>
  <c r="AO606" i="44"/>
  <c r="AO969" i="44"/>
  <c r="AO1545" i="44"/>
  <c r="AO2121" i="44"/>
  <c r="AO536" i="44"/>
  <c r="AO1327" i="44"/>
  <c r="AO1903" i="44"/>
  <c r="AO2266" i="44"/>
  <c r="AO358" i="44"/>
  <c r="AO1220" i="44"/>
  <c r="AO2084" i="44"/>
  <c r="I2486" i="44"/>
  <c r="AG2486" i="44" s="1"/>
  <c r="I2488" i="44"/>
  <c r="AG2488" i="44" s="1"/>
  <c r="I2489" i="44"/>
  <c r="I2487" i="44"/>
  <c r="AG2487" i="44" s="1"/>
  <c r="AG2485" i="44"/>
  <c r="E2450" i="44"/>
  <c r="E2452" i="44"/>
  <c r="AC2449" i="44"/>
  <c r="AS2337" i="44"/>
  <c r="AY508" i="44"/>
  <c r="BC508" i="44" s="1"/>
  <c r="E2483" i="44"/>
  <c r="AC2483" i="44" s="1"/>
  <c r="AC2482" i="44"/>
  <c r="E2485" i="44"/>
  <c r="AC2484" i="44"/>
  <c r="M2517" i="44"/>
  <c r="AK2516" i="44"/>
  <c r="AS214" i="44" l="1"/>
  <c r="AY214" i="44"/>
  <c r="BC214" i="44" s="1"/>
  <c r="AS211" i="44"/>
  <c r="AY211" i="44"/>
  <c r="BC211" i="44" s="1"/>
  <c r="AS212" i="44"/>
  <c r="AY212" i="44"/>
  <c r="BC212" i="44" s="1"/>
  <c r="AY213" i="44"/>
  <c r="BC213" i="44" s="1"/>
  <c r="AS213" i="44"/>
  <c r="AY210" i="44"/>
  <c r="BC210" i="44" s="1"/>
  <c r="AS210" i="44"/>
  <c r="AS246" i="44"/>
  <c r="AY215" i="44"/>
  <c r="BC215" i="44" s="1"/>
  <c r="AY219" i="44"/>
  <c r="BC219" i="44" s="1"/>
  <c r="AS250" i="44"/>
  <c r="AY218" i="44"/>
  <c r="BC218" i="44" s="1"/>
  <c r="AS249" i="44"/>
  <c r="AS282" i="44"/>
  <c r="AY220" i="44"/>
  <c r="BC220" i="44" s="1"/>
  <c r="AY217" i="44"/>
  <c r="BC217" i="44" s="1"/>
  <c r="AS248" i="44"/>
  <c r="AY216" i="44"/>
  <c r="BC216" i="44" s="1"/>
  <c r="AS247" i="44"/>
  <c r="AY512" i="44"/>
  <c r="BC512" i="44" s="1"/>
  <c r="AS284" i="44"/>
  <c r="AY222" i="44"/>
  <c r="BC222" i="44" s="1"/>
  <c r="AS283" i="44"/>
  <c r="AY221" i="44"/>
  <c r="BC221" i="44" s="1"/>
  <c r="AY224" i="44"/>
  <c r="BC224" i="44" s="1"/>
  <c r="AS286" i="44"/>
  <c r="AS285" i="44"/>
  <c r="AY223" i="44"/>
  <c r="BC223" i="44" s="1"/>
  <c r="AS966" i="44"/>
  <c r="AY315" i="44"/>
  <c r="BC315" i="44" s="1"/>
  <c r="AS1077" i="44"/>
  <c r="AY333" i="44"/>
  <c r="BC333" i="44" s="1"/>
  <c r="E2519" i="44"/>
  <c r="AC2519" i="44" s="1"/>
  <c r="AC2518" i="44"/>
  <c r="AY451" i="44"/>
  <c r="BC451" i="44" s="1"/>
  <c r="AS1939" i="44"/>
  <c r="AS1687" i="44"/>
  <c r="AY416" i="44"/>
  <c r="BC416" i="44" s="1"/>
  <c r="AS1722" i="44"/>
  <c r="AY420" i="44"/>
  <c r="BC420" i="44" s="1"/>
  <c r="AY468" i="44"/>
  <c r="BC468" i="44" s="1"/>
  <c r="AS2049" i="44"/>
  <c r="AS751" i="44"/>
  <c r="AY286" i="44"/>
  <c r="BC286" i="44" s="1"/>
  <c r="AY499" i="44"/>
  <c r="BC499" i="44" s="1"/>
  <c r="AS2266" i="44"/>
  <c r="AS392" i="44"/>
  <c r="AY237" i="44"/>
  <c r="BC237" i="44" s="1"/>
  <c r="AY236" i="44"/>
  <c r="BC236" i="44" s="1"/>
  <c r="AS391" i="44"/>
  <c r="AY446" i="44"/>
  <c r="BC446" i="44" s="1"/>
  <c r="AS1903" i="44"/>
  <c r="AY344" i="44"/>
  <c r="BC344" i="44" s="1"/>
  <c r="AS1150" i="44"/>
  <c r="AY511" i="44"/>
  <c r="BC511" i="44" s="1"/>
  <c r="AS2371" i="44"/>
  <c r="AS1724" i="44"/>
  <c r="AY422" i="44"/>
  <c r="BC422" i="44" s="1"/>
  <c r="AS1615" i="44"/>
  <c r="AY406" i="44"/>
  <c r="BC406" i="44" s="1"/>
  <c r="AY435" i="44"/>
  <c r="BC435" i="44" s="1"/>
  <c r="AS1830" i="44"/>
  <c r="AS426" i="44"/>
  <c r="AY240" i="44"/>
  <c r="BC240" i="44" s="1"/>
  <c r="AY316" i="44"/>
  <c r="BC316" i="44" s="1"/>
  <c r="AS967" i="44"/>
  <c r="AY337" i="44"/>
  <c r="BC337" i="44" s="1"/>
  <c r="AS1112" i="44"/>
  <c r="AY338" i="44"/>
  <c r="BC338" i="44" s="1"/>
  <c r="AS1113" i="44"/>
  <c r="AS1758" i="44"/>
  <c r="AY425" i="44"/>
  <c r="BC425" i="44" s="1"/>
  <c r="AY440" i="44"/>
  <c r="BC440" i="44" s="1"/>
  <c r="AS1866" i="44"/>
  <c r="AS1402" i="44"/>
  <c r="AY379" i="44"/>
  <c r="BC379" i="44" s="1"/>
  <c r="AS2086" i="44"/>
  <c r="AY474" i="44"/>
  <c r="BC474" i="44" s="1"/>
  <c r="AK2485" i="44"/>
  <c r="M2489" i="44"/>
  <c r="AK2489" i="44" s="1"/>
  <c r="M2487" i="44"/>
  <c r="AK2487" i="44" s="1"/>
  <c r="M2486" i="44"/>
  <c r="AK2486" i="44" s="1"/>
  <c r="M2488" i="44"/>
  <c r="AK2488" i="44" s="1"/>
  <c r="AY509" i="44"/>
  <c r="BC509" i="44" s="1"/>
  <c r="AS2338" i="44"/>
  <c r="AS2118" i="44"/>
  <c r="AY475" i="44"/>
  <c r="BC475" i="44" s="1"/>
  <c r="AY488" i="44"/>
  <c r="BC488" i="44" s="1"/>
  <c r="AS2193" i="44"/>
  <c r="AY491" i="44"/>
  <c r="BC491" i="44" s="1"/>
  <c r="AS2227" i="44"/>
  <c r="AY352" i="44"/>
  <c r="BC352" i="44" s="1"/>
  <c r="AS1220" i="44"/>
  <c r="AY510" i="44"/>
  <c r="BC510" i="44" s="1"/>
  <c r="AS2370" i="44"/>
  <c r="AY322" i="44"/>
  <c r="BC322" i="44" s="1"/>
  <c r="AS1004" i="44"/>
  <c r="AS897" i="44"/>
  <c r="AY308" i="44"/>
  <c r="BC308" i="44" s="1"/>
  <c r="AS2120" i="44"/>
  <c r="AY477" i="44"/>
  <c r="BC477" i="44" s="1"/>
  <c r="AY496" i="44"/>
  <c r="BC496" i="44" s="1"/>
  <c r="AS2263" i="44"/>
  <c r="AS1762" i="44"/>
  <c r="AY429" i="44"/>
  <c r="BC429" i="44" s="1"/>
  <c r="AY497" i="44"/>
  <c r="BC497" i="44" s="1"/>
  <c r="AS2264" i="44"/>
  <c r="AS1327" i="44"/>
  <c r="AY366" i="44"/>
  <c r="BC366" i="44" s="1"/>
  <c r="AS1329" i="44"/>
  <c r="AY368" i="44"/>
  <c r="BC368" i="44" s="1"/>
  <c r="AY363" i="44"/>
  <c r="BC363" i="44" s="1"/>
  <c r="AS1293" i="44"/>
  <c r="AS1653" i="44"/>
  <c r="AY413" i="44"/>
  <c r="BC413" i="44" s="1"/>
  <c r="AS2300" i="44"/>
  <c r="AY502" i="44"/>
  <c r="BC502" i="44" s="1"/>
  <c r="AS1581" i="44"/>
  <c r="AY403" i="44"/>
  <c r="BC403" i="44" s="1"/>
  <c r="AS1219" i="44"/>
  <c r="AY351" i="44"/>
  <c r="BC351" i="44" s="1"/>
  <c r="AS1041" i="44"/>
  <c r="AY328" i="44"/>
  <c r="BC328" i="44" s="1"/>
  <c r="D2546" i="44"/>
  <c r="D2547" i="44" s="1"/>
  <c r="D2549" i="44"/>
  <c r="AS1507" i="44"/>
  <c r="AY391" i="44"/>
  <c r="BC391" i="44" s="1"/>
  <c r="AS502" i="44"/>
  <c r="AY254" i="44"/>
  <c r="BC254" i="44" s="1"/>
  <c r="AY331" i="44"/>
  <c r="BC331" i="44" s="1"/>
  <c r="AS1075" i="44"/>
  <c r="AY461" i="44"/>
  <c r="BC461" i="44" s="1"/>
  <c r="AS2011" i="44"/>
  <c r="AY258" i="44"/>
  <c r="BC258" i="44" s="1"/>
  <c r="AS537" i="44"/>
  <c r="AY329" i="44"/>
  <c r="BC329" i="44" s="1"/>
  <c r="AS1042" i="44"/>
  <c r="AS678" i="44"/>
  <c r="AY275" i="44"/>
  <c r="BC275" i="44" s="1"/>
  <c r="AY476" i="44"/>
  <c r="BC476" i="44" s="1"/>
  <c r="AS2119" i="44"/>
  <c r="AY261" i="44"/>
  <c r="BC261" i="44" s="1"/>
  <c r="AS571" i="44"/>
  <c r="AS2373" i="44"/>
  <c r="AY513" i="44"/>
  <c r="BC513" i="44" s="1"/>
  <c r="H2499" i="44"/>
  <c r="AF2499" i="44" s="1"/>
  <c r="H2501" i="44"/>
  <c r="AF2501" i="44" s="1"/>
  <c r="H2500" i="44"/>
  <c r="AF2500" i="44" s="1"/>
  <c r="AF2497" i="44"/>
  <c r="H2498" i="44"/>
  <c r="AF2498" i="44" s="1"/>
  <c r="AY303" i="44"/>
  <c r="BC303" i="44" s="1"/>
  <c r="AS861" i="44"/>
  <c r="AY246" i="44"/>
  <c r="BC246" i="44" s="1"/>
  <c r="AS463" i="44"/>
  <c r="AY489" i="44"/>
  <c r="BC489" i="44" s="1"/>
  <c r="AS2194" i="44"/>
  <c r="AY472" i="44"/>
  <c r="BC472" i="44" s="1"/>
  <c r="AS2084" i="44"/>
  <c r="AS610" i="44"/>
  <c r="AY269" i="44"/>
  <c r="BC269" i="44" s="1"/>
  <c r="AY339" i="44"/>
  <c r="BC339" i="44" s="1"/>
  <c r="AS1114" i="44"/>
  <c r="AS465" i="44"/>
  <c r="AY248" i="44"/>
  <c r="BC248" i="44" s="1"/>
  <c r="AY335" i="44"/>
  <c r="BC335" i="44" s="1"/>
  <c r="AS1110" i="44"/>
  <c r="AS1650" i="44"/>
  <c r="AY410" i="44"/>
  <c r="BC410" i="44" s="1"/>
  <c r="AS2478" i="44"/>
  <c r="AY525" i="44"/>
  <c r="BC525" i="44" s="1"/>
  <c r="E2486" i="44"/>
  <c r="E2488" i="44"/>
  <c r="AC2485" i="44"/>
  <c r="AS1904" i="44"/>
  <c r="AY447" i="44"/>
  <c r="BC447" i="44" s="1"/>
  <c r="AS572" i="44"/>
  <c r="AY262" i="44"/>
  <c r="BC262" i="44" s="1"/>
  <c r="AS570" i="44"/>
  <c r="AY260" i="44"/>
  <c r="BC260" i="44" s="1"/>
  <c r="AS1543" i="44"/>
  <c r="AY396" i="44"/>
  <c r="BC396" i="44" s="1"/>
  <c r="AY292" i="44"/>
  <c r="BC292" i="44" s="1"/>
  <c r="AS788" i="44"/>
  <c r="AS2298" i="44"/>
  <c r="AY500" i="44"/>
  <c r="BC500" i="44" s="1"/>
  <c r="AY267" i="44"/>
  <c r="BC267" i="44" s="1"/>
  <c r="AS608" i="44"/>
  <c r="AY361" i="44"/>
  <c r="BC361" i="44" s="1"/>
  <c r="AS1291" i="44"/>
  <c r="AS754" i="44"/>
  <c r="AY289" i="44"/>
  <c r="BC289" i="44" s="1"/>
  <c r="AY448" i="44"/>
  <c r="BC448" i="44" s="1"/>
  <c r="AS1905" i="44"/>
  <c r="AY405" i="44"/>
  <c r="BC405" i="44" s="1"/>
  <c r="AS1614" i="44"/>
  <c r="AS2226" i="44"/>
  <c r="AY490" i="44"/>
  <c r="BC490" i="44" s="1"/>
  <c r="AY273" i="44"/>
  <c r="BC273" i="44" s="1"/>
  <c r="AS645" i="44"/>
  <c r="AS1794" i="44"/>
  <c r="AY430" i="44"/>
  <c r="BC430" i="44" s="1"/>
  <c r="AS823" i="44"/>
  <c r="AY296" i="44"/>
  <c r="BC296" i="44" s="1"/>
  <c r="AS862" i="44"/>
  <c r="AY304" i="44"/>
  <c r="BC304" i="44" s="1"/>
  <c r="AS1870" i="44"/>
  <c r="AY444" i="44"/>
  <c r="BC444" i="44" s="1"/>
  <c r="AS1508" i="44"/>
  <c r="AY392" i="44"/>
  <c r="BC392" i="44" s="1"/>
  <c r="AY253" i="44"/>
  <c r="BC253" i="44" s="1"/>
  <c r="AS501" i="44"/>
  <c r="AY485" i="44"/>
  <c r="BC485" i="44" s="1"/>
  <c r="AS2190" i="44"/>
  <c r="AS1941" i="44"/>
  <c r="AY453" i="44"/>
  <c r="BC453" i="44" s="1"/>
  <c r="AS393" i="44"/>
  <c r="AY238" i="44"/>
  <c r="BC238" i="44" s="1"/>
  <c r="AO2374" i="44"/>
  <c r="AX514" i="44"/>
  <c r="BB514" i="44" s="1"/>
  <c r="AR2374" i="44"/>
  <c r="AS2230" i="44"/>
  <c r="AY494" i="44"/>
  <c r="BC494" i="44" s="1"/>
  <c r="AS2408" i="44"/>
  <c r="AY517" i="44"/>
  <c r="BC517" i="44" s="1"/>
  <c r="AY233" i="44"/>
  <c r="BC233" i="44" s="1"/>
  <c r="AS357" i="44"/>
  <c r="AY407" i="44"/>
  <c r="BC407" i="44" s="1"/>
  <c r="AS1616" i="44"/>
  <c r="AY271" i="44"/>
  <c r="BC271" i="44" s="1"/>
  <c r="AS643" i="44"/>
  <c r="AK2517" i="44"/>
  <c r="M2519" i="44"/>
  <c r="AK2519" i="44" s="1"/>
  <c r="M2520" i="44"/>
  <c r="AK2520" i="44" s="1"/>
  <c r="M2518" i="44"/>
  <c r="AK2518" i="44" s="1"/>
  <c r="M2521" i="44"/>
  <c r="AS860" i="44"/>
  <c r="AY302" i="44"/>
  <c r="BC302" i="44" s="1"/>
  <c r="AS358" i="44"/>
  <c r="AY234" i="44"/>
  <c r="BC234" i="44" s="1"/>
  <c r="AS2122" i="44"/>
  <c r="AY479" i="44"/>
  <c r="BC479" i="44" s="1"/>
  <c r="AY449" i="44"/>
  <c r="BC449" i="44" s="1"/>
  <c r="AS1906" i="44"/>
  <c r="AY229" i="44"/>
  <c r="BC229" i="44" s="1"/>
  <c r="AS322" i="44"/>
  <c r="AY439" i="44"/>
  <c r="BC439" i="44" s="1"/>
  <c r="AS1834" i="44"/>
  <c r="K396" i="43"/>
  <c r="K409" i="43" s="1"/>
  <c r="K372" i="43"/>
  <c r="K435" i="43"/>
  <c r="D437" i="43" s="1"/>
  <c r="C439" i="43" s="1"/>
  <c r="AY466" i="44"/>
  <c r="BC466" i="44" s="1"/>
  <c r="AS2047" i="44"/>
  <c r="AY463" i="44"/>
  <c r="BC463" i="44" s="1"/>
  <c r="AS2013" i="44"/>
  <c r="AS1330" i="44"/>
  <c r="AY369" i="44"/>
  <c r="BC369" i="44" s="1"/>
  <c r="AY412" i="44"/>
  <c r="BC412" i="44" s="1"/>
  <c r="AS1652" i="44"/>
  <c r="AS1686" i="44"/>
  <c r="AY415" i="44"/>
  <c r="BC415" i="44" s="1"/>
  <c r="AS1002" i="44"/>
  <c r="AY320" i="44"/>
  <c r="BC320" i="44" s="1"/>
  <c r="AY459" i="44"/>
  <c r="BC459" i="44" s="1"/>
  <c r="AS1978" i="44"/>
  <c r="AS2302" i="44"/>
  <c r="AY504" i="44"/>
  <c r="BC504" i="44" s="1"/>
  <c r="AS1183" i="44"/>
  <c r="AY346" i="44"/>
  <c r="BC346" i="44" s="1"/>
  <c r="AS1690" i="44"/>
  <c r="AY419" i="44"/>
  <c r="BC419" i="44" s="1"/>
  <c r="AY442" i="44"/>
  <c r="BC442" i="44" s="1"/>
  <c r="AS1868" i="44"/>
  <c r="AS356" i="44"/>
  <c r="AY232" i="44"/>
  <c r="BC232" i="44" s="1"/>
  <c r="AS752" i="44"/>
  <c r="AY287" i="44"/>
  <c r="BC287" i="44" s="1"/>
  <c r="AS2228" i="44"/>
  <c r="AY492" i="44"/>
  <c r="BC492" i="44" s="1"/>
  <c r="AO2444" i="44"/>
  <c r="AR2444" i="44"/>
  <c r="AN2445" i="44"/>
  <c r="AX522" i="44"/>
  <c r="BB522" i="44" s="1"/>
  <c r="AY408" i="44"/>
  <c r="BC408" i="44" s="1"/>
  <c r="AS1617" i="44"/>
  <c r="AY310" i="44"/>
  <c r="BC310" i="44" s="1"/>
  <c r="AS930" i="44"/>
  <c r="AO2519" i="44"/>
  <c r="AR2519" i="44"/>
  <c r="AX535" i="44"/>
  <c r="BB535" i="44" s="1"/>
  <c r="AS714" i="44"/>
  <c r="AY280" i="44"/>
  <c r="BC280" i="44" s="1"/>
  <c r="AY283" i="44"/>
  <c r="BC283" i="44" s="1"/>
  <c r="AS717" i="44"/>
  <c r="AY436" i="44"/>
  <c r="BC436" i="44" s="1"/>
  <c r="AS1831" i="44"/>
  <c r="AN2480" i="44"/>
  <c r="AO2479" i="44"/>
  <c r="AR2479" i="44"/>
  <c r="AX526" i="44"/>
  <c r="BB526" i="44" s="1"/>
  <c r="AY456" i="44"/>
  <c r="BC456" i="44" s="1"/>
  <c r="AS1975" i="44"/>
  <c r="AY367" i="44"/>
  <c r="BC367" i="44" s="1"/>
  <c r="AS1328" i="44"/>
  <c r="AS609" i="44"/>
  <c r="AY268" i="44"/>
  <c r="BC268" i="44" s="1"/>
  <c r="AY300" i="44"/>
  <c r="BC300" i="44" s="1"/>
  <c r="AS858" i="44"/>
  <c r="AY384" i="44"/>
  <c r="BC384" i="44" s="1"/>
  <c r="AS1438" i="44"/>
  <c r="AY227" i="44"/>
  <c r="BC227" i="44" s="1"/>
  <c r="AS320" i="44"/>
  <c r="AY343" i="44"/>
  <c r="BC343" i="44" s="1"/>
  <c r="AS1149" i="44"/>
  <c r="AY501" i="44"/>
  <c r="BC501" i="44" s="1"/>
  <c r="AS2299" i="44"/>
  <c r="AY295" i="44"/>
  <c r="BC295" i="44" s="1"/>
  <c r="AS822" i="44"/>
  <c r="AS1398" i="44"/>
  <c r="AY375" i="44"/>
  <c r="BC375" i="44" s="1"/>
  <c r="AS934" i="44"/>
  <c r="AY314" i="44"/>
  <c r="BC314" i="44" s="1"/>
  <c r="AS1761" i="44"/>
  <c r="AY428" i="44"/>
  <c r="BC428" i="44" s="1"/>
  <c r="Y2543" i="44"/>
  <c r="Y2545" i="44" s="1"/>
  <c r="X2545" i="44"/>
  <c r="X2544" i="44"/>
  <c r="I2523" i="44"/>
  <c r="AG2523" i="44" s="1"/>
  <c r="I2522" i="44"/>
  <c r="AG2522" i="44" s="1"/>
  <c r="I2525" i="44"/>
  <c r="AG2521" i="44"/>
  <c r="I2524" i="44"/>
  <c r="AG2524" i="44" s="1"/>
  <c r="AS499" i="44"/>
  <c r="AY251" i="44"/>
  <c r="BC251" i="44" s="1"/>
  <c r="AS1798" i="44"/>
  <c r="AY434" i="44"/>
  <c r="BC434" i="44" s="1"/>
  <c r="I2461" i="44"/>
  <c r="AG2457" i="44"/>
  <c r="I2460" i="44"/>
  <c r="AG2460" i="44" s="1"/>
  <c r="I2458" i="44"/>
  <c r="AG2458" i="44" s="1"/>
  <c r="I2459" i="44"/>
  <c r="AG2459" i="44" s="1"/>
  <c r="AY226" i="44"/>
  <c r="BC226" i="44" s="1"/>
  <c r="AS319" i="44"/>
  <c r="AY264" i="44"/>
  <c r="BC264" i="44" s="1"/>
  <c r="AS574" i="44"/>
  <c r="AS2155" i="44"/>
  <c r="AY481" i="44"/>
  <c r="BC481" i="44" s="1"/>
  <c r="AY423" i="44"/>
  <c r="BC423" i="44" s="1"/>
  <c r="AS1725" i="44"/>
  <c r="AY313" i="44"/>
  <c r="BC313" i="44" s="1"/>
  <c r="AS933" i="44"/>
  <c r="AS1400" i="44"/>
  <c r="AY377" i="44"/>
  <c r="BC377" i="44" s="1"/>
  <c r="AY309" i="44"/>
  <c r="BC309" i="44" s="1"/>
  <c r="AS898" i="44"/>
  <c r="AY480" i="44"/>
  <c r="BC480" i="44" s="1"/>
  <c r="AS2154" i="44"/>
  <c r="AY228" i="44"/>
  <c r="BC228" i="44" s="1"/>
  <c r="AS321" i="44"/>
  <c r="AS896" i="44"/>
  <c r="AY307" i="44"/>
  <c r="BC307" i="44" s="1"/>
  <c r="AY374" i="44"/>
  <c r="BC374" i="44" s="1"/>
  <c r="AS1366" i="44"/>
  <c r="AY241" i="44"/>
  <c r="BC241" i="44" s="1"/>
  <c r="AS427" i="44"/>
  <c r="AS1005" i="44"/>
  <c r="AY323" i="44"/>
  <c r="BC323" i="44" s="1"/>
  <c r="E2451" i="44"/>
  <c r="AC2451" i="44" s="1"/>
  <c r="AC2450" i="44"/>
  <c r="AY445" i="44"/>
  <c r="BC445" i="44" s="1"/>
  <c r="AS1902" i="44"/>
  <c r="AS354" i="44"/>
  <c r="AY230" i="44"/>
  <c r="BC230" i="44" s="1"/>
  <c r="AY225" i="44"/>
  <c r="BC225" i="44" s="1"/>
  <c r="AS318" i="44"/>
  <c r="AS1003" i="44"/>
  <c r="AY321" i="44"/>
  <c r="BC321" i="44" s="1"/>
  <c r="AY465" i="44"/>
  <c r="BC465" i="44" s="1"/>
  <c r="AS2046" i="44"/>
  <c r="AS2265" i="44"/>
  <c r="AY498" i="44"/>
  <c r="BC498" i="44" s="1"/>
  <c r="AY390" i="44"/>
  <c r="BC390" i="44" s="1"/>
  <c r="AS1506" i="44"/>
  <c r="AS2156" i="44"/>
  <c r="AY482" i="44"/>
  <c r="BC482" i="44" s="1"/>
  <c r="AS2157" i="44"/>
  <c r="AY483" i="44"/>
  <c r="BC483" i="44" s="1"/>
  <c r="AS644" i="44"/>
  <c r="AY272" i="44"/>
  <c r="BC272" i="44" s="1"/>
  <c r="AY395" i="44"/>
  <c r="BC395" i="44" s="1"/>
  <c r="AS1542" i="44"/>
  <c r="AS1869" i="44"/>
  <c r="AY443" i="44"/>
  <c r="BC443" i="44" s="1"/>
  <c r="AS1290" i="44"/>
  <c r="AY360" i="44"/>
  <c r="BC360" i="44" s="1"/>
  <c r="AS428" i="44"/>
  <c r="AY242" i="44"/>
  <c r="BC242" i="44" s="1"/>
  <c r="AS1688" i="44"/>
  <c r="AY417" i="44"/>
  <c r="BC417" i="44" s="1"/>
  <c r="AY520" i="44"/>
  <c r="BC520" i="44" s="1"/>
  <c r="AS2442" i="44"/>
  <c r="AY438" i="44"/>
  <c r="BC438" i="44" s="1"/>
  <c r="AS1833" i="44"/>
  <c r="AS1257" i="44"/>
  <c r="AY358" i="44"/>
  <c r="BC358" i="44" s="1"/>
  <c r="AS1470" i="44"/>
  <c r="AY385" i="44"/>
  <c r="BC385" i="44" s="1"/>
  <c r="AY362" i="44"/>
  <c r="BC362" i="44" s="1"/>
  <c r="AS1292" i="44"/>
  <c r="AY259" i="44"/>
  <c r="BC259" i="44" s="1"/>
  <c r="AS538" i="44"/>
  <c r="AS787" i="44"/>
  <c r="AY291" i="44"/>
  <c r="BC291" i="44" s="1"/>
  <c r="AS2407" i="44"/>
  <c r="AY516" i="44"/>
  <c r="BC516" i="44" s="1"/>
  <c r="AY336" i="44"/>
  <c r="BC336" i="44" s="1"/>
  <c r="AS1111" i="44"/>
  <c r="AS394" i="44"/>
  <c r="AY239" i="44"/>
  <c r="BC239" i="44" s="1"/>
  <c r="AY244" i="44"/>
  <c r="BC244" i="44" s="1"/>
  <c r="AS430" i="44"/>
  <c r="AY326" i="44"/>
  <c r="BC326" i="44" s="1"/>
  <c r="AS1039" i="44"/>
  <c r="AY521" i="44"/>
  <c r="BC521" i="44" s="1"/>
  <c r="AS2443" i="44"/>
  <c r="AS429" i="44"/>
  <c r="AY243" i="44"/>
  <c r="BC243" i="44" s="1"/>
  <c r="AX530" i="44"/>
  <c r="BB530" i="44" s="1"/>
  <c r="AR2514" i="44"/>
  <c r="AN2515" i="44"/>
  <c r="AO2514" i="44"/>
  <c r="AY284" i="44"/>
  <c r="BC284" i="44" s="1"/>
  <c r="AS718" i="44"/>
  <c r="AS2050" i="44"/>
  <c r="AY469" i="44"/>
  <c r="BC469" i="44" s="1"/>
  <c r="AY471" i="44"/>
  <c r="BC471" i="44" s="1"/>
  <c r="AS2083" i="44"/>
  <c r="AS642" i="44"/>
  <c r="AY270" i="44"/>
  <c r="BC270" i="44" s="1"/>
  <c r="AS1510" i="44"/>
  <c r="AY394" i="44"/>
  <c r="BC394" i="44" s="1"/>
  <c r="AY245" i="44"/>
  <c r="BC245" i="44" s="1"/>
  <c r="AS462" i="44"/>
  <c r="AS680" i="44"/>
  <c r="AY277" i="44"/>
  <c r="BC277" i="44" s="1"/>
  <c r="AS606" i="44"/>
  <c r="AY265" i="44"/>
  <c r="BC265" i="44" s="1"/>
  <c r="AY431" i="44"/>
  <c r="BC431" i="44" s="1"/>
  <c r="AS1795" i="44"/>
  <c r="AY427" i="44"/>
  <c r="BC427" i="44" s="1"/>
  <c r="AS1760" i="44"/>
  <c r="AY250" i="44"/>
  <c r="BC250" i="44" s="1"/>
  <c r="AS498" i="44"/>
  <c r="AS825" i="44"/>
  <c r="AY298" i="44"/>
  <c r="BC298" i="44" s="1"/>
  <c r="AS1654" i="44"/>
  <c r="AY414" i="44"/>
  <c r="BC414" i="44" s="1"/>
  <c r="AS1148" i="44"/>
  <c r="AY342" i="44"/>
  <c r="BC342" i="44" s="1"/>
  <c r="AS1182" i="44"/>
  <c r="AY345" i="44"/>
  <c r="BC345" i="44" s="1"/>
  <c r="AY433" i="44"/>
  <c r="BC433" i="44" s="1"/>
  <c r="AS1797" i="44"/>
  <c r="AS1472" i="44"/>
  <c r="AY387" i="44"/>
  <c r="BC387" i="44" s="1"/>
  <c r="AY441" i="44"/>
  <c r="BC441" i="44" s="1"/>
  <c r="AS1867" i="44"/>
  <c r="AS826" i="44"/>
  <c r="AY299" i="44"/>
  <c r="BC299" i="44" s="1"/>
  <c r="AS1578" i="44"/>
  <c r="AY400" i="44"/>
  <c r="BC400" i="44" s="1"/>
  <c r="AY341" i="44"/>
  <c r="BC341" i="44" s="1"/>
  <c r="AS1147" i="44"/>
  <c r="AY402" i="44"/>
  <c r="BC402" i="44" s="1"/>
  <c r="AS1580" i="44"/>
  <c r="AF2529" i="44"/>
  <c r="H2530" i="44"/>
  <c r="AF2530" i="44" s="1"/>
  <c r="H2532" i="44"/>
  <c r="AF2532" i="44" s="1"/>
  <c r="H2533" i="44"/>
  <c r="H2531" i="44"/>
  <c r="AF2531" i="44" s="1"/>
  <c r="AS1258" i="44"/>
  <c r="AY359" i="44"/>
  <c r="BC359" i="44" s="1"/>
  <c r="AY349" i="44"/>
  <c r="BC349" i="44" s="1"/>
  <c r="AS1186" i="44"/>
  <c r="AS895" i="44"/>
  <c r="AY306" i="44"/>
  <c r="BC306" i="44" s="1"/>
  <c r="AS679" i="44"/>
  <c r="AY276" i="44"/>
  <c r="BC276" i="44" s="1"/>
  <c r="AS1221" i="44"/>
  <c r="AY353" i="44"/>
  <c r="BC353" i="44" s="1"/>
  <c r="AY470" i="44"/>
  <c r="BC470" i="44" s="1"/>
  <c r="AS2082" i="44"/>
  <c r="AY332" i="44"/>
  <c r="BC332" i="44" s="1"/>
  <c r="AS1076" i="44"/>
  <c r="AY411" i="44"/>
  <c r="BC411" i="44" s="1"/>
  <c r="AS1651" i="44"/>
  <c r="AS789" i="44"/>
  <c r="AY293" i="44"/>
  <c r="BC293" i="44" s="1"/>
  <c r="AY263" i="44"/>
  <c r="BC263" i="44" s="1"/>
  <c r="AS573" i="44"/>
  <c r="AY356" i="44"/>
  <c r="BC356" i="44" s="1"/>
  <c r="AS1255" i="44"/>
  <c r="AY486" i="44"/>
  <c r="BC486" i="44" s="1"/>
  <c r="AS2191" i="44"/>
  <c r="AS1006" i="44"/>
  <c r="AY324" i="44"/>
  <c r="BC324" i="44" s="1"/>
  <c r="AS1545" i="44"/>
  <c r="AY398" i="44"/>
  <c r="BC398" i="44" s="1"/>
  <c r="AS500" i="44"/>
  <c r="AY252" i="44"/>
  <c r="BC252" i="44" s="1"/>
  <c r="AY457" i="44"/>
  <c r="BC457" i="44" s="1"/>
  <c r="AS1976" i="44"/>
  <c r="AS2335" i="44"/>
  <c r="AY506" i="44"/>
  <c r="BC506" i="44" s="1"/>
  <c r="AY279" i="44"/>
  <c r="BC279" i="44" s="1"/>
  <c r="AS682" i="44"/>
  <c r="AY484" i="44"/>
  <c r="BC484" i="44" s="1"/>
  <c r="AS2158" i="44"/>
  <c r="AS1326" i="44"/>
  <c r="AY365" i="44"/>
  <c r="BC365" i="44" s="1"/>
  <c r="AY319" i="44"/>
  <c r="BC319" i="44" s="1"/>
  <c r="AS970" i="44"/>
  <c r="AY231" i="44"/>
  <c r="BC231" i="44" s="1"/>
  <c r="AS355" i="44"/>
  <c r="AS1294" i="44"/>
  <c r="AY364" i="44"/>
  <c r="BC364" i="44" s="1"/>
  <c r="AS1185" i="44"/>
  <c r="AY348" i="44"/>
  <c r="BC348" i="44" s="1"/>
  <c r="AY282" i="44"/>
  <c r="BC282" i="44" s="1"/>
  <c r="AS716" i="44"/>
  <c r="AY372" i="44"/>
  <c r="BC372" i="44" s="1"/>
  <c r="AS1364" i="44"/>
  <c r="AY247" i="44"/>
  <c r="BC247" i="44" s="1"/>
  <c r="AS464" i="44"/>
  <c r="AS1078" i="44"/>
  <c r="AY334" i="44"/>
  <c r="BC334" i="44" s="1"/>
  <c r="AS1040" i="44"/>
  <c r="AY327" i="44"/>
  <c r="BC327" i="44" s="1"/>
  <c r="AS1435" i="44"/>
  <c r="AY381" i="44"/>
  <c r="BC381" i="44" s="1"/>
  <c r="AS1474" i="44"/>
  <c r="AY389" i="44"/>
  <c r="BC389" i="44" s="1"/>
  <c r="AO2409" i="44"/>
  <c r="AR2409" i="44"/>
  <c r="AX518" i="44"/>
  <c r="BB518" i="44" s="1"/>
  <c r="AN2410" i="44"/>
  <c r="AS1759" i="44"/>
  <c r="AY426" i="44"/>
  <c r="BC426" i="44" s="1"/>
  <c r="AY462" i="44"/>
  <c r="BC462" i="44" s="1"/>
  <c r="AS2012" i="44"/>
  <c r="AS390" i="44"/>
  <c r="AY235" i="44"/>
  <c r="BC235" i="44" s="1"/>
  <c r="AY388" i="44"/>
  <c r="BC388" i="44" s="1"/>
  <c r="AS1473" i="44"/>
  <c r="AS1689" i="44"/>
  <c r="AY418" i="44"/>
  <c r="BC418" i="44" s="1"/>
  <c r="AY458" i="44"/>
  <c r="BC458" i="44" s="1"/>
  <c r="AS1977" i="44"/>
  <c r="AS534" i="44"/>
  <c r="AY255" i="44"/>
  <c r="BC255" i="44" s="1"/>
  <c r="AS1362" i="44"/>
  <c r="AY370" i="44"/>
  <c r="BC370" i="44" s="1"/>
  <c r="AS1546" i="44"/>
  <c r="AY399" i="44"/>
  <c r="BC399" i="44" s="1"/>
  <c r="AS1509" i="44"/>
  <c r="AY393" i="44"/>
  <c r="BC393" i="44" s="1"/>
  <c r="AY311" i="44"/>
  <c r="BC311" i="44" s="1"/>
  <c r="AS931" i="44"/>
  <c r="AS646" i="44"/>
  <c r="AY274" i="44"/>
  <c r="BC274" i="44" s="1"/>
  <c r="AS894" i="44"/>
  <c r="AY305" i="44"/>
  <c r="BC305" i="44" s="1"/>
  <c r="AS750" i="44"/>
  <c r="AY285" i="44"/>
  <c r="BC285" i="44" s="1"/>
  <c r="AY452" i="44"/>
  <c r="BC452" i="44" s="1"/>
  <c r="AS1940" i="44"/>
  <c r="AS969" i="44"/>
  <c r="AY318" i="44"/>
  <c r="BC318" i="44" s="1"/>
  <c r="AY467" i="44"/>
  <c r="BC467" i="44" s="1"/>
  <c r="AS2048" i="44"/>
  <c r="AY330" i="44"/>
  <c r="BC330" i="44" s="1"/>
  <c r="AS1074" i="44"/>
  <c r="AY437" i="44"/>
  <c r="BC437" i="44" s="1"/>
  <c r="AS1832" i="44"/>
  <c r="AY495" i="44"/>
  <c r="BC495" i="44" s="1"/>
  <c r="AS2262" i="44"/>
  <c r="AY281" i="44"/>
  <c r="BC281" i="44" s="1"/>
  <c r="AS715" i="44"/>
  <c r="AS1582" i="44"/>
  <c r="AY404" i="44"/>
  <c r="BC404" i="44" s="1"/>
  <c r="AY288" i="44"/>
  <c r="BC288" i="44" s="1"/>
  <c r="AS753" i="44"/>
  <c r="AY317" i="44"/>
  <c r="BC317" i="44" s="1"/>
  <c r="AS968" i="44"/>
  <c r="AS1723" i="44"/>
  <c r="AY421" i="44"/>
  <c r="BC421" i="44" s="1"/>
  <c r="AY487" i="44"/>
  <c r="BC487" i="44" s="1"/>
  <c r="AS2192" i="44"/>
  <c r="AY350" i="44"/>
  <c r="BC350" i="44" s="1"/>
  <c r="AS1218" i="44"/>
  <c r="AY515" i="44"/>
  <c r="BC515" i="44" s="1"/>
  <c r="AS2406" i="44"/>
  <c r="AY325" i="44"/>
  <c r="BC325" i="44" s="1"/>
  <c r="AS1038" i="44"/>
  <c r="AY455" i="44"/>
  <c r="BC455" i="44" s="1"/>
  <c r="AS1974" i="44"/>
  <c r="AY450" i="44"/>
  <c r="BC450" i="44" s="1"/>
  <c r="AS1938" i="44"/>
  <c r="AY312" i="44"/>
  <c r="BC312" i="44" s="1"/>
  <c r="AS932" i="44"/>
  <c r="AS786" i="44"/>
  <c r="AY290" i="44"/>
  <c r="BC290" i="44" s="1"/>
  <c r="AS1365" i="44"/>
  <c r="AY373" i="44"/>
  <c r="BC373" i="44" s="1"/>
  <c r="E2521" i="44"/>
  <c r="AC2520" i="44"/>
  <c r="AY454" i="44"/>
  <c r="BC454" i="44" s="1"/>
  <c r="AS1942" i="44"/>
  <c r="AS1618" i="44"/>
  <c r="AY409" i="44"/>
  <c r="BC409" i="44" s="1"/>
  <c r="AY347" i="44"/>
  <c r="BC347" i="44" s="1"/>
  <c r="AS1184" i="44"/>
  <c r="AY382" i="44"/>
  <c r="BC382" i="44" s="1"/>
  <c r="AS1436" i="44"/>
  <c r="AS1401" i="44"/>
  <c r="AY378" i="44"/>
  <c r="BC378" i="44" s="1"/>
  <c r="AS2336" i="44"/>
  <c r="AY507" i="44"/>
  <c r="BC507" i="44" s="1"/>
  <c r="AS466" i="44"/>
  <c r="AY249" i="44"/>
  <c r="BC249" i="44" s="1"/>
  <c r="AS2229" i="44"/>
  <c r="AY493" i="44"/>
  <c r="BC493" i="44" s="1"/>
  <c r="AY505" i="44"/>
  <c r="BC505" i="44" s="1"/>
  <c r="AS2334" i="44"/>
  <c r="AS1363" i="44"/>
  <c r="AY371" i="44"/>
  <c r="BC371" i="44" s="1"/>
  <c r="AS1579" i="44"/>
  <c r="AY401" i="44"/>
  <c r="BC401" i="44" s="1"/>
  <c r="AG2425" i="44"/>
  <c r="I2428" i="44"/>
  <c r="AG2428" i="44" s="1"/>
  <c r="I2426" i="44"/>
  <c r="AG2426" i="44" s="1"/>
  <c r="I2429" i="44"/>
  <c r="AG2429" i="44" s="1"/>
  <c r="I2427" i="44"/>
  <c r="AG2427" i="44" s="1"/>
  <c r="AS1471" i="44"/>
  <c r="AY386" i="44"/>
  <c r="BC386" i="44" s="1"/>
  <c r="AY257" i="44"/>
  <c r="BC257" i="44" s="1"/>
  <c r="AS536" i="44"/>
  <c r="AS2121" i="44"/>
  <c r="AY478" i="44"/>
  <c r="BC478" i="44" s="1"/>
  <c r="AS1256" i="44"/>
  <c r="AY357" i="44"/>
  <c r="BC357" i="44" s="1"/>
  <c r="E2453" i="44"/>
  <c r="AC2453" i="44" s="1"/>
  <c r="AC2452" i="44"/>
  <c r="AY278" i="44"/>
  <c r="BC278" i="44" s="1"/>
  <c r="AS681" i="44"/>
  <c r="AY503" i="44"/>
  <c r="BC503" i="44" s="1"/>
  <c r="AS2301" i="44"/>
  <c r="I2490" i="44"/>
  <c r="AG2490" i="44" s="1"/>
  <c r="I2493" i="44"/>
  <c r="I2491" i="44"/>
  <c r="AG2491" i="44" s="1"/>
  <c r="AG2489" i="44"/>
  <c r="I2492" i="44"/>
  <c r="AG2492" i="44" s="1"/>
  <c r="AY397" i="44"/>
  <c r="BC397" i="44" s="1"/>
  <c r="AS1544" i="44"/>
  <c r="AS1399" i="44"/>
  <c r="AY376" i="44"/>
  <c r="BC376" i="44" s="1"/>
  <c r="AY383" i="44"/>
  <c r="BC383" i="44" s="1"/>
  <c r="AS1437" i="44"/>
  <c r="AY380" i="44"/>
  <c r="BC380" i="44" s="1"/>
  <c r="AS1434" i="44"/>
  <c r="AY473" i="44"/>
  <c r="BC473" i="44" s="1"/>
  <c r="AS2085" i="44"/>
  <c r="AY266" i="44"/>
  <c r="BC266" i="44" s="1"/>
  <c r="AS607" i="44"/>
  <c r="AY340" i="44"/>
  <c r="BC340" i="44" s="1"/>
  <c r="AS1146" i="44"/>
  <c r="AY294" i="44"/>
  <c r="BC294" i="44" s="1"/>
  <c r="AS790" i="44"/>
  <c r="AS824" i="44"/>
  <c r="AY297" i="44"/>
  <c r="BC297" i="44" s="1"/>
  <c r="AS1726" i="44"/>
  <c r="AY424" i="44"/>
  <c r="BC424" i="44" s="1"/>
  <c r="AS535" i="44"/>
  <c r="AY256" i="44"/>
  <c r="BC256" i="44" s="1"/>
  <c r="AS1796" i="44"/>
  <c r="AY432" i="44"/>
  <c r="BC432" i="44" s="1"/>
  <c r="AS1254" i="44"/>
  <c r="AY355" i="44"/>
  <c r="BC355" i="44" s="1"/>
  <c r="AY301" i="44"/>
  <c r="BC301" i="44" s="1"/>
  <c r="AS859" i="44"/>
  <c r="AY460" i="44"/>
  <c r="BC460" i="44" s="1"/>
  <c r="AS2010" i="44"/>
  <c r="AS2014" i="44"/>
  <c r="AY464" i="44"/>
  <c r="BC464" i="44" s="1"/>
  <c r="AY354" i="44"/>
  <c r="BC354" i="44" s="1"/>
  <c r="AS1222" i="44"/>
  <c r="AC2521" i="44" l="1"/>
  <c r="E2524" i="44"/>
  <c r="E2522" i="44"/>
  <c r="AR2445" i="44"/>
  <c r="AN2446" i="44"/>
  <c r="AO2445" i="44"/>
  <c r="AX523" i="44"/>
  <c r="BB523" i="44" s="1"/>
  <c r="AY526" i="44"/>
  <c r="BC526" i="44" s="1"/>
  <c r="AS2479" i="44"/>
  <c r="AG2493" i="44"/>
  <c r="I2497" i="44"/>
  <c r="I2495" i="44"/>
  <c r="AG2495" i="44" s="1"/>
  <c r="I2494" i="44"/>
  <c r="AG2494" i="44" s="1"/>
  <c r="I2496" i="44"/>
  <c r="AG2496" i="44" s="1"/>
  <c r="I2526" i="44"/>
  <c r="AG2526" i="44" s="1"/>
  <c r="I2527" i="44"/>
  <c r="AG2527" i="44" s="1"/>
  <c r="I2529" i="44"/>
  <c r="AG2525" i="44"/>
  <c r="I2528" i="44"/>
  <c r="AG2528" i="44" s="1"/>
  <c r="AY522" i="44"/>
  <c r="BC522" i="44" s="1"/>
  <c r="AS2444" i="44"/>
  <c r="AK2521" i="44"/>
  <c r="M2523" i="44"/>
  <c r="AK2523" i="44" s="1"/>
  <c r="M2525" i="44"/>
  <c r="AK2525" i="44" s="1"/>
  <c r="M2524" i="44"/>
  <c r="AK2524" i="44" s="1"/>
  <c r="M2522" i="44"/>
  <c r="AK2522" i="44" s="1"/>
  <c r="E2487" i="44"/>
  <c r="AC2487" i="44" s="1"/>
  <c r="AC2486" i="44"/>
  <c r="AR2410" i="44"/>
  <c r="AO2410" i="44"/>
  <c r="AX519" i="44"/>
  <c r="BB519" i="44" s="1"/>
  <c r="AG2461" i="44"/>
  <c r="I2465" i="44"/>
  <c r="AG2465" i="44" s="1"/>
  <c r="I2463" i="44"/>
  <c r="AG2463" i="44" s="1"/>
  <c r="I2462" i="44"/>
  <c r="AG2462" i="44" s="1"/>
  <c r="I2464" i="44"/>
  <c r="AG2464" i="44" s="1"/>
  <c r="K381" i="43"/>
  <c r="D409" i="43"/>
  <c r="C411" i="43" s="1"/>
  <c r="AS2519" i="44"/>
  <c r="AY535" i="44"/>
  <c r="BC535" i="44" s="1"/>
  <c r="E2489" i="44"/>
  <c r="AC2489" i="44" s="1"/>
  <c r="AC2488" i="44"/>
  <c r="AY514" i="44"/>
  <c r="BC514" i="44" s="1"/>
  <c r="AS2374" i="44"/>
  <c r="AN2481" i="44"/>
  <c r="AO2480" i="44"/>
  <c r="AR2480" i="44"/>
  <c r="AX527" i="44"/>
  <c r="BB527" i="44" s="1"/>
  <c r="AS2409" i="44"/>
  <c r="AY518" i="44"/>
  <c r="BC518" i="44" s="1"/>
  <c r="H2534" i="44"/>
  <c r="AF2534" i="44" s="1"/>
  <c r="AF2533" i="44"/>
  <c r="H2535" i="44"/>
  <c r="AF2535" i="44" s="1"/>
  <c r="H2536" i="44"/>
  <c r="AF2536" i="44" s="1"/>
  <c r="H2537" i="44"/>
  <c r="AF2537" i="44" s="1"/>
  <c r="AY530" i="44"/>
  <c r="BC530" i="44" s="1"/>
  <c r="AS2514" i="44"/>
  <c r="AR2515" i="44"/>
  <c r="AO2515" i="44"/>
  <c r="AX531" i="44"/>
  <c r="BB531" i="44" s="1"/>
  <c r="AN2516" i="44"/>
  <c r="AY519" i="44" l="1"/>
  <c r="BC519" i="44" s="1"/>
  <c r="AS2410" i="44"/>
  <c r="AN2482" i="44"/>
  <c r="AX528" i="44"/>
  <c r="BB528" i="44" s="1"/>
  <c r="AO2481" i="44"/>
  <c r="AR2481" i="44"/>
  <c r="AY531" i="44"/>
  <c r="BC531" i="44" s="1"/>
  <c r="AS2515" i="44"/>
  <c r="AO2516" i="44"/>
  <c r="AX532" i="44"/>
  <c r="BB532" i="44" s="1"/>
  <c r="AR2516" i="44"/>
  <c r="AN2517" i="44"/>
  <c r="I2500" i="44"/>
  <c r="AG2500" i="44" s="1"/>
  <c r="AG2497" i="44"/>
  <c r="I2499" i="44"/>
  <c r="AG2499" i="44" s="1"/>
  <c r="I2498" i="44"/>
  <c r="AG2498" i="44" s="1"/>
  <c r="I2501" i="44"/>
  <c r="AG2501" i="44" s="1"/>
  <c r="AY527" i="44"/>
  <c r="BC527" i="44" s="1"/>
  <c r="AS2480" i="44"/>
  <c r="AS2445" i="44"/>
  <c r="AY523" i="44"/>
  <c r="BC523" i="44" s="1"/>
  <c r="AX524" i="44"/>
  <c r="BB524" i="44" s="1"/>
  <c r="AR2446" i="44"/>
  <c r="AO2446" i="44"/>
  <c r="E2523" i="44"/>
  <c r="AC2523" i="44" s="1"/>
  <c r="AC2522" i="44"/>
  <c r="E2525" i="44"/>
  <c r="AC2525" i="44" s="1"/>
  <c r="AC2524" i="44"/>
  <c r="I2530" i="44"/>
  <c r="AG2530" i="44" s="1"/>
  <c r="I2533" i="44"/>
  <c r="I2532" i="44"/>
  <c r="AG2532" i="44" s="1"/>
  <c r="I2531" i="44"/>
  <c r="AG2531" i="44" s="1"/>
  <c r="AG2529" i="44"/>
  <c r="AG2533" i="44" l="1"/>
  <c r="I2536" i="44"/>
  <c r="AG2536" i="44" s="1"/>
  <c r="I2537" i="44"/>
  <c r="AG2537" i="44" s="1"/>
  <c r="I2535" i="44"/>
  <c r="AG2535" i="44" s="1"/>
  <c r="I2534" i="44"/>
  <c r="AG2534" i="44" s="1"/>
  <c r="AX533" i="44"/>
  <c r="BB533" i="44" s="1"/>
  <c r="AN2518" i="44"/>
  <c r="AR2517" i="44"/>
  <c r="AO2517" i="44"/>
  <c r="AY532" i="44"/>
  <c r="BC532" i="44" s="1"/>
  <c r="AS2516" i="44"/>
  <c r="AS2481" i="44"/>
  <c r="AY528" i="44"/>
  <c r="BC528" i="44" s="1"/>
  <c r="AR2482" i="44"/>
  <c r="AX529" i="44"/>
  <c r="BB529" i="44" s="1"/>
  <c r="AO2482" i="44"/>
  <c r="AY524" i="44"/>
  <c r="BC524" i="44" s="1"/>
  <c r="AS2446" i="44"/>
  <c r="AS2482" i="44" l="1"/>
  <c r="AY529" i="44"/>
  <c r="BC529" i="44" s="1"/>
  <c r="AR2518" i="44"/>
  <c r="AX534" i="44"/>
  <c r="BB534" i="44" s="1"/>
  <c r="AO2518" i="44"/>
  <c r="AS2517" i="44"/>
  <c r="AY533" i="44"/>
  <c r="BC533" i="44" s="1"/>
  <c r="AS2518" i="44" l="1"/>
  <c r="AY534" i="44"/>
  <c r="BC534" i="4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LUCIA</author>
    <author>Philippe Montarnal</author>
  </authors>
  <commentList>
    <comment ref="D4" authorId="0" shapeId="0" xr:uid="{BC7272EE-5E81-4B8F-ADE1-A84260189990}">
      <text>
        <r>
          <rPr>
            <sz val="9"/>
            <color indexed="81"/>
            <rFont val="Tahoma"/>
            <family val="2"/>
          </rPr>
          <t>Give an approximate number of passengers.
Correct this value later after the number of seats in each class, the number of seats abreast and the number of seat rows have been selected/calculated.</t>
        </r>
      </text>
    </comment>
    <comment ref="K4" authorId="0" shapeId="0" xr:uid="{D06E0621-9F7A-4335-A4F3-343E1B98B66A}">
      <text>
        <r>
          <rPr>
            <sz val="9"/>
            <color indexed="81"/>
            <rFont val="Tahoma"/>
            <family val="2"/>
          </rPr>
          <t>An approximate value for the range is needed for cabin layout. The number of classes and the number of passengers in each class depend on it.</t>
        </r>
      </text>
    </comment>
    <comment ref="D6" authorId="0" shapeId="0" xr:uid="{35E2730B-619A-49F4-B06F-915B54855000}">
      <text>
        <r>
          <rPr>
            <sz val="9"/>
            <color indexed="81"/>
            <rFont val="Tahoma"/>
            <family val="2"/>
          </rPr>
          <t>Value is needed in order to check if the cargo compartment volume is sufficient.</t>
        </r>
      </text>
    </comment>
    <comment ref="K6" authorId="0" shapeId="0" xr:uid="{6DC033E5-8C34-4F4C-A8B1-0AECC90A9BB5}">
      <text>
        <r>
          <rPr>
            <sz val="9"/>
            <color indexed="81"/>
            <rFont val="Tahoma"/>
            <family val="2"/>
          </rPr>
          <t>Value is needed in order to check if the door steps are above the water line.</t>
        </r>
      </text>
    </comment>
    <comment ref="D17" authorId="0" shapeId="0" xr:uid="{B0572C00-41EB-4AE9-860F-2D4FC78D7A0A}">
      <text>
        <r>
          <rPr>
            <sz val="9"/>
            <color indexed="81"/>
            <rFont val="Tahoma"/>
            <family val="2"/>
          </rPr>
          <t xml:space="preserve">Correct this value, after the "Number of seats abreast, first class" has been chosen and the "Number of seat rows, first class" has been calculated.
</t>
        </r>
      </text>
    </comment>
    <comment ref="D19" authorId="0" shapeId="0" xr:uid="{495F5210-85EF-47BC-A03C-83979AF7C719}">
      <text>
        <r>
          <rPr>
            <sz val="9"/>
            <color indexed="81"/>
            <rFont val="Tahoma"/>
            <family val="2"/>
          </rPr>
          <t>Correct this value, after the"Number of seats abreast, business class" has been chosen and the "Number of seat rows, business class" has been calculated.</t>
        </r>
      </text>
    </comment>
    <comment ref="D28" authorId="0" shapeId="0" xr:uid="{D0520E87-C501-475A-AED7-0ED6790ACA04}">
      <text>
        <r>
          <rPr>
            <sz val="9"/>
            <color indexed="81"/>
            <rFont val="Tahoma"/>
            <family val="2"/>
          </rPr>
          <t>Choose value between 2 and 12.</t>
        </r>
      </text>
    </comment>
    <comment ref="D30" authorId="0" shapeId="0" xr:uid="{DB1DAFE9-8C31-4F90-AF84-85B6F98DE601}">
      <text>
        <r>
          <rPr>
            <sz val="9"/>
            <color indexed="81"/>
            <rFont val="Tahoma"/>
            <family val="2"/>
          </rPr>
          <t xml:space="preserve">Choose value between 2 and 12.
</t>
        </r>
      </text>
    </comment>
    <comment ref="D32" authorId="0" shapeId="0" xr:uid="{9D2A1313-FACC-44B7-A2FF-A5C8FB9FB753}">
      <text>
        <r>
          <rPr>
            <sz val="9"/>
            <color indexed="81"/>
            <rFont val="Tahoma"/>
            <family val="2"/>
          </rPr>
          <t xml:space="preserve">Choose value between 2 and 12.
</t>
        </r>
      </text>
    </comment>
    <comment ref="I34" authorId="1" shapeId="0" xr:uid="{B9F67063-8E6D-4737-B66D-63D8B0CB56F5}">
      <text>
        <r>
          <rPr>
            <sz val="8"/>
            <color indexed="81"/>
            <rFont val="Arial"/>
            <family val="2"/>
          </rPr>
          <t>If the number of seats is not correct:
- Change the distribution of seats between FC/BC/YC
or
- Change the number of seats abreast
or
- Change the requirements
and
- Pay attention to correct the number of passangers chosen for each class according to the product of number of seats abreast n_SA and number of rows n_rows.
The aim is to find the number of rows for each class with all rows entirely filled. For each class n_rows = n_pax / n_SA rounded down to the next integer value. Check, if the number of passengers in each class is assigned accordingly.
E.g. if 6 seats abreast were chosen and 5 rows were calculated for this class, then the number of passengers in this class must be adapted to 30 or 36, even if the original idea of the number of passengers in this class might have been 33.</t>
        </r>
      </text>
    </comment>
    <comment ref="I41" authorId="0" shapeId="0" xr:uid="{429D2708-2166-44A2-9145-0AA3C8387FE0}">
      <text>
        <r>
          <rPr>
            <sz val="9"/>
            <color indexed="81"/>
            <rFont val="Tahoma"/>
            <family val="2"/>
          </rPr>
          <t xml:space="preserve">The maximum number of aisles that can be handled with this program is 2.
The maximum number of seats abreast that can be handled with this program is 12.
According to common sense and CS 25.817:
- Up to 2 seats abreast: You must choose 1 aisle.
- From 3 seats abreast up to 6 seats abreast: Make a choice between 1 aisle or 2 aisles.
- From 7 seats abreast up to 12 seats abreast: You must choose 2 aisles.
</t>
        </r>
      </text>
    </comment>
    <comment ref="D98" authorId="0" shapeId="0" xr:uid="{F39CFDC9-F10F-4C5F-AAC1-E5EB80C3F174}">
      <text>
        <r>
          <rPr>
            <sz val="9"/>
            <color indexed="81"/>
            <rFont val="Tahoma"/>
            <family val="2"/>
          </rPr>
          <t xml:space="preserve">
Number of PAX | Minimum aisle width</t>
        </r>
        <r>
          <rPr>
            <u/>
            <sz val="9"/>
            <color indexed="81"/>
            <rFont val="Tahoma"/>
            <family val="2"/>
          </rPr>
          <t xml:space="preserve">
____________ |________________</t>
        </r>
        <r>
          <rPr>
            <sz val="9"/>
            <color indexed="81"/>
            <rFont val="Tahoma"/>
            <family val="2"/>
          </rPr>
          <t xml:space="preserve">
    &lt;=10          |       15 ''
      &gt;10          |       20 ''
                      |</t>
        </r>
      </text>
    </comment>
    <comment ref="C102" authorId="1" shapeId="0" xr:uid="{157B6F2A-3C12-41ED-8DDD-CE26257BB4B8}">
      <text>
        <r>
          <rPr>
            <sz val="8"/>
            <color indexed="81"/>
            <rFont val="Arial"/>
            <family val="2"/>
          </rPr>
          <t>If the aisle width is too small:
- Choose a bigger aisle width</t>
        </r>
      </text>
    </comment>
    <comment ref="D104" authorId="0" shapeId="0" xr:uid="{88A02558-AB45-4BD6-94EF-76C8EFFB21BD}">
      <text>
        <r>
          <rPr>
            <sz val="9"/>
            <color indexed="81"/>
            <rFont val="Tahoma"/>
            <family val="2"/>
          </rPr>
          <t xml:space="preserve">High density or small aircraft: &gt;60 ''
First class and economy class: &gt;76 ''
Regarding recommendation in RAYMER 89.
</t>
        </r>
      </text>
    </comment>
    <comment ref="AB120" authorId="1" shapeId="0" xr:uid="{BD0AC7FB-8C83-4ED1-9D93-A65E313F888B}">
      <text>
        <r>
          <rPr>
            <b/>
            <sz val="8"/>
            <color indexed="81"/>
            <rFont val="Tahoma"/>
            <family val="2"/>
          </rPr>
          <t>Philippe Montarnal:</t>
        </r>
        <r>
          <rPr>
            <sz val="8"/>
            <color indexed="81"/>
            <rFont val="Tahoma"/>
            <family val="2"/>
          </rPr>
          <t xml:space="preserve">
from : http://www.boeing.com/commercial/startup/pdf/CargoPalletsContainers.pdf</t>
        </r>
      </text>
    </comment>
    <comment ref="Z128" authorId="1" shapeId="0" xr:uid="{A2FAED28-3FF3-4D3D-B3AA-E86B5F27BD84}">
      <text>
        <r>
          <rPr>
            <b/>
            <sz val="8"/>
            <color indexed="81"/>
            <rFont val="Tahoma"/>
            <family val="2"/>
          </rPr>
          <t>Philippe Montarnal:</t>
        </r>
        <r>
          <rPr>
            <sz val="8"/>
            <color indexed="81"/>
            <rFont val="Tahoma"/>
            <family val="2"/>
          </rPr>
          <t xml:space="preserve">
from http://www.airbus.com/store/mm_repository/pdf/att00012280/media_object_file_A320Family_tech_appendices.pdf</t>
        </r>
      </text>
    </comment>
    <comment ref="D136" authorId="0" shapeId="0" xr:uid="{F84A1E93-A7FC-4C0B-9639-6AAA53C06A7D}">
      <text>
        <r>
          <rPr>
            <sz val="9"/>
            <color indexed="81"/>
            <rFont val="Tahoma"/>
            <family val="2"/>
          </rPr>
          <t>Optimize cross section parameters such that the equivalent outer diameter is a minimum. This will lead to a minimum wetted area of the fuselage and hence a minimum skin friction drag.</t>
        </r>
      </text>
    </comment>
    <comment ref="I153" authorId="1" shapeId="0" xr:uid="{21CD1875-CFBB-40F7-895C-73BC4477B9AA}">
      <text>
        <r>
          <rPr>
            <sz val="8"/>
            <color indexed="81"/>
            <rFont val="Arial"/>
            <family val="2"/>
          </rPr>
          <t>If the number of seats abreast is not correct:
- Change the number of seats on the left/middle/right to get the same value as the one given in the "2. Configuration of classes"
or
- Change the number of seats abreasts in the "2. Configuration of classes" for this class</t>
        </r>
      </text>
    </comment>
    <comment ref="I161" authorId="1" shapeId="0" xr:uid="{A31BB3F5-C78A-4AC0-8DB2-7E0B69DE5C60}">
      <text>
        <r>
          <rPr>
            <sz val="8"/>
            <color indexed="81"/>
            <rFont val="Arial"/>
            <family val="2"/>
          </rPr>
          <t>If the number of seats abreast is not correct:
- Change the number of seats on the left/middle/right to get the same value as the one given in the "2. Configuration of classes"
or
- Change the number of seats abreasts in the "2. Configuration of classes" for this class</t>
        </r>
      </text>
    </comment>
    <comment ref="I169" authorId="1" shapeId="0" xr:uid="{014DA3C5-B061-422A-8644-4E374C247659}">
      <text>
        <r>
          <rPr>
            <sz val="8"/>
            <color indexed="81"/>
            <rFont val="Arial"/>
            <family val="2"/>
          </rPr>
          <t>If the number of seats abreast is not correct:
- Change the number of seats on the left/middle/right to get the same value as the one given in the "2. Configuration of classes"
or
- Change the number of seats abreasts in the "2. Configuration of classes" for this class</t>
        </r>
      </text>
    </comment>
    <comment ref="D182" authorId="0" shapeId="0" xr:uid="{AA28DACE-9199-435E-A467-F233A8AB6546}">
      <text>
        <r>
          <rPr>
            <sz val="9"/>
            <color indexed="81"/>
            <rFont val="Tahoma"/>
            <family val="2"/>
          </rPr>
          <t>Provide at least 2 seat rails in order to ensure stability.</t>
        </r>
      </text>
    </comment>
    <comment ref="D184" authorId="0" shapeId="0" xr:uid="{ABE5EFFC-D0A7-4283-A13F-7F4DCB15A627}">
      <text>
        <r>
          <rPr>
            <sz val="9"/>
            <color indexed="81"/>
            <rFont val="Tahoma"/>
            <family val="2"/>
          </rPr>
          <t xml:space="preserve">Provide at least 2 seat rails in order to ensure stability.
</t>
        </r>
      </text>
    </comment>
    <comment ref="D186" authorId="0" shapeId="0" xr:uid="{8F11877D-50CF-41E5-9B47-9D43EE38310E}">
      <text>
        <r>
          <rPr>
            <sz val="9"/>
            <color indexed="81"/>
            <rFont val="Tahoma"/>
            <family val="2"/>
          </rPr>
          <t>Provide at least 2 seat rails in order to ensure stability.</t>
        </r>
      </text>
    </comment>
    <comment ref="I209" authorId="1" shapeId="0" xr:uid="{99555AAF-BA2F-4773-8A74-E0C657582E6F}">
      <text>
        <r>
          <rPr>
            <sz val="8"/>
            <color indexed="81"/>
            <rFont val="Arial"/>
            <family val="2"/>
          </rPr>
          <t>If the first class aisle width is too small:
- Decrease the width of first class seats or armrests</t>
        </r>
        <r>
          <rPr>
            <sz val="8"/>
            <color indexed="81"/>
            <rFont val="Tahoma"/>
            <family val="2"/>
          </rPr>
          <t xml:space="preserve">
</t>
        </r>
      </text>
    </comment>
    <comment ref="I211" authorId="1" shapeId="0" xr:uid="{295E87F7-37E4-46F5-AF3C-F802E9C9FFA2}">
      <text>
        <r>
          <rPr>
            <sz val="8"/>
            <color indexed="81"/>
            <rFont val="Arial"/>
            <family val="2"/>
          </rPr>
          <t xml:space="preserve">If the business class aisle width is too small:
- Decrease the width of business class seats or armrests
</t>
        </r>
      </text>
    </comment>
    <comment ref="D224" authorId="1" shapeId="0" xr:uid="{DFD01B82-7E54-4E65-AAC0-7FDE1B19052B}">
      <text>
        <r>
          <rPr>
            <sz val="8"/>
            <color indexed="81"/>
            <rFont val="Arial"/>
            <family val="2"/>
          </rPr>
          <t>Lavatory surface is usually :
1,03 m² [Raymer 89]
1,20 m² [MARCKWARDT 98]</t>
        </r>
      </text>
    </comment>
    <comment ref="D226" authorId="1" shapeId="0" xr:uid="{05A9A53E-1562-4E34-9EA2-697CE0282F58}">
      <text>
        <r>
          <rPr>
            <sz val="8"/>
            <color indexed="81"/>
            <rFont val="Arial"/>
            <family val="2"/>
          </rPr>
          <t>Lavatory surface is usually :
1,03 m² [Raymer 89]
1,20 m² [MARCKWARDT 98]</t>
        </r>
      </text>
    </comment>
    <comment ref="C260" authorId="1" shapeId="0" xr:uid="{CC31C87D-5DC0-4874-B6E1-C03B11561E5A}">
      <text>
        <r>
          <rPr>
            <sz val="8"/>
            <color indexed="81"/>
            <rFont val="Arial"/>
            <family val="2"/>
          </rPr>
          <t>If the galley surface is too small:
- Add a galley
or
- Update dimensions of existing galleys to make them bigger</t>
        </r>
      </text>
    </comment>
    <comment ref="D265" authorId="1" shapeId="0" xr:uid="{9EBFC9BC-1A6B-401C-862C-1E5AE21E137B}">
      <text>
        <r>
          <rPr>
            <sz val="8"/>
            <color indexed="81"/>
            <rFont val="Arial"/>
            <family val="2"/>
          </rPr>
          <t>Minimum value : 
28 inches = 0,7112 m</t>
        </r>
      </text>
    </comment>
    <comment ref="D267" authorId="1" shapeId="0" xr:uid="{E18F3245-A5B8-4874-B19D-ECEC9D4513C1}">
      <text>
        <r>
          <rPr>
            <sz val="8"/>
            <color indexed="81"/>
            <rFont val="Tahoma"/>
            <family val="2"/>
          </rPr>
          <t>Minimum value : 
28 inches = 0,7112 m</t>
        </r>
      </text>
    </comment>
    <comment ref="D269" authorId="1" shapeId="0" xr:uid="{B0F5CA80-B66A-4F52-95D5-98720D386801}">
      <text>
        <r>
          <rPr>
            <sz val="8"/>
            <color indexed="81"/>
            <rFont val="Arial"/>
            <family val="2"/>
          </rPr>
          <t>Minimum value : 
28 inches = 0,7112 m</t>
        </r>
      </text>
    </comment>
    <comment ref="G275" authorId="0" shapeId="0" xr:uid="{C6948749-BB19-42C1-BF4B-A1808633CAC8}">
      <text>
        <r>
          <rPr>
            <sz val="9"/>
            <color indexed="81"/>
            <rFont val="Tahoma"/>
            <family val="2"/>
          </rPr>
          <t>Exits are always placed on each side of the fuselage.</t>
        </r>
      </text>
    </comment>
    <comment ref="B375" authorId="1" shapeId="0" xr:uid="{2CCC6705-07C4-4DA7-AE55-34D39F0AC5EE}">
      <text>
        <r>
          <rPr>
            <sz val="8"/>
            <color indexed="81"/>
            <rFont val="Arial"/>
            <family val="2"/>
          </rPr>
          <t>From
NIŢĂ, Mihaela; SCHOLZ, Dieter: The Process Chain to a Certified Cabin Design and Conversion.
In: DGLR: Deutscher Luft- und Raumfahrtkongress 2010 : Tagungsband - Ausgewählte Manuskripte (DLRK, Hamburg, 31.08.- 02.09.2010)</t>
        </r>
      </text>
    </comment>
    <comment ref="D379" authorId="1" shapeId="0" xr:uid="{373BEE40-A9C9-4C1D-83AB-234363E9E8F5}">
      <text>
        <r>
          <rPr>
            <sz val="8"/>
            <color indexed="81"/>
            <rFont val="Arial"/>
            <family val="2"/>
          </rPr>
          <t>Usually ranging from 0,35 to 0,55</t>
        </r>
      </text>
    </comment>
    <comment ref="C411" authorId="1" shapeId="0" xr:uid="{1A7DAFBA-C855-437A-9F5F-02F1E3B671BF}">
      <text>
        <r>
          <rPr>
            <sz val="8"/>
            <color indexed="81"/>
            <rFont val="Arial"/>
            <family val="2"/>
          </rPr>
          <t>If the cargo compartment volume is not sufficient:
- Update the lower deck dimensions
or
- Use bigger overhead bins</t>
        </r>
      </text>
    </comment>
    <comment ref="B414" authorId="1" shapeId="0" xr:uid="{422A3466-954F-4674-A811-B47111BC0467}">
      <text>
        <r>
          <rPr>
            <sz val="8"/>
            <color indexed="81"/>
            <rFont val="Arial"/>
            <family val="2"/>
          </rPr>
          <t>Verification that the galleys and lavatories specified in the beginning of Cabin floor plan section are included in the cabin floor plan configuration</t>
        </r>
      </text>
    </comment>
    <comment ref="C422" authorId="1" shapeId="0" xr:uid="{53E2C207-D6C4-49C5-B744-51641AA033FB}">
      <text>
        <r>
          <rPr>
            <sz val="8"/>
            <color indexed="81"/>
            <rFont val="Arial"/>
            <family val="2"/>
          </rPr>
          <t>If the number of galleys is not correct:
- Change the number of galleys at the beginning of cabin floor plan configuration
or
- Add a galley in one row of the cabin floor plan</t>
        </r>
      </text>
    </comment>
    <comment ref="C426" authorId="1" shapeId="0" xr:uid="{074DD39A-8492-4A59-A1F5-C9630D495E52}">
      <text>
        <r>
          <rPr>
            <sz val="8"/>
            <color indexed="81"/>
            <rFont val="Arial"/>
            <family val="2"/>
          </rPr>
          <t>If the number of lavatories is not correct:
- Change the number of lavatories at the beginning of cabin floor plan configuration
or
- Add a lavatory in one row of the cabin floor plan</t>
        </r>
      </text>
    </comment>
    <comment ref="K435" authorId="1" shapeId="0" xr:uid="{A0417D83-2076-4363-84D8-0D3B375F837B}">
      <text/>
    </comment>
    <comment ref="C439" authorId="1" shapeId="0" xr:uid="{3EEE42EB-11F3-42C1-BE31-EEDAF81CFFDE}">
      <text>
        <r>
          <rPr>
            <sz val="8"/>
            <color indexed="81"/>
            <rFont val="Arial"/>
            <family val="2"/>
          </rPr>
          <t>If door steps are below the waterline:
- Change the fuselage cross section to make it bigger or
- Raise the floor level
Make sure the program calculates it with a correct maximum take-off mass, m_MTO.</t>
        </r>
      </text>
    </comment>
    <comment ref="C447" authorId="1" shapeId="0" xr:uid="{B6ECBC49-4612-444E-A0E3-C096C9FB1C23}">
      <text>
        <r>
          <rPr>
            <sz val="8"/>
            <color indexed="81"/>
            <rFont val="Arial"/>
            <family val="2"/>
          </rPr>
          <t>If the number of exits is not correct :
- Add new exits
or
- Select bigger exits
or
- Select fewer number of passengers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Philippe Montarnal</author>
  </authors>
  <commentList>
    <comment ref="C9" authorId="0" shapeId="0" xr:uid="{44ABB3EE-4D05-403D-A8E9-841B957DAE01}">
      <text>
        <r>
          <rPr>
            <b/>
            <sz val="8"/>
            <color indexed="81"/>
            <rFont val="Tahoma"/>
            <family val="2"/>
          </rPr>
          <t>hard to estimate</t>
        </r>
      </text>
    </comment>
  </commentList>
</comments>
</file>

<file path=xl/sharedStrings.xml><?xml version="1.0" encoding="utf-8"?>
<sst xmlns="http://schemas.openxmlformats.org/spreadsheetml/2006/main" count="14929" uniqueCount="780">
  <si>
    <t>FUSELAGE_n_pax</t>
  </si>
  <si>
    <t>FUSELAGE_nclasses</t>
  </si>
  <si>
    <t>FUSELAGE_n_pax_FC</t>
  </si>
  <si>
    <t>FUSELAGE_n_pax_BC</t>
  </si>
  <si>
    <t>FUSELAGE_n_pax_YC</t>
  </si>
  <si>
    <t>Transversal tube Middle</t>
  </si>
  <si>
    <t>Transversal tube Left</t>
  </si>
  <si>
    <t>O</t>
  </si>
  <si>
    <t>P</t>
  </si>
  <si>
    <t>Q</t>
  </si>
  <si>
    <t>S</t>
  </si>
  <si>
    <t>U</t>
  </si>
  <si>
    <t>V</t>
  </si>
  <si>
    <t>W</t>
  </si>
  <si>
    <t>X</t>
  </si>
  <si>
    <t>FUSELAGE_l_galley_BC</t>
  </si>
  <si>
    <t>FUSELAGE_w_galley_BC</t>
  </si>
  <si>
    <t>FUSELAGE_n_galley_BC</t>
  </si>
  <si>
    <t>FUSELAGE_S_galleys_BC</t>
  </si>
  <si>
    <t>FUSELAGE_l_galley_YC</t>
  </si>
  <si>
    <t>FUSELAGE_w_galley_YC</t>
  </si>
  <si>
    <t>FUSELAGE_n_galley_YC</t>
  </si>
  <si>
    <t>FUSELAGE_S_galleys_YC</t>
  </si>
  <si>
    <t>FUSELAGE_S_galleys</t>
  </si>
  <si>
    <t>SEAT_pitch_FC</t>
  </si>
  <si>
    <t>SEAT_pitch_BC</t>
  </si>
  <si>
    <t>SEAT_pitch_YC</t>
  </si>
  <si>
    <t>FUSELAGE_lnose_df</t>
  </si>
  <si>
    <t>FUSELAGE_lnose</t>
  </si>
  <si>
    <t>FUSELAGE_Dxnose</t>
  </si>
  <si>
    <t>FUSELAGE_ltail_df</t>
  </si>
  <si>
    <t>FUSELAGE_ltail</t>
  </si>
  <si>
    <t>FUSELAGE_Dxtail</t>
  </si>
  <si>
    <r>
      <t>l</t>
    </r>
    <r>
      <rPr>
        <b/>
        <vertAlign val="subscript"/>
        <sz val="10"/>
        <rFont val="Arial"/>
        <family val="2"/>
      </rPr>
      <t>fuselage</t>
    </r>
  </si>
  <si>
    <t>TAIL</t>
  </si>
  <si>
    <t>L</t>
  </si>
  <si>
    <r>
      <t>Δx</t>
    </r>
    <r>
      <rPr>
        <b/>
        <vertAlign val="subscript"/>
        <sz val="10"/>
        <rFont val="Arial"/>
        <family val="2"/>
      </rPr>
      <t>nose</t>
    </r>
  </si>
  <si>
    <r>
      <t>Δx</t>
    </r>
    <r>
      <rPr>
        <b/>
        <vertAlign val="subscript"/>
        <sz val="10"/>
        <rFont val="Arial"/>
        <family val="2"/>
      </rPr>
      <t>tail</t>
    </r>
  </si>
  <si>
    <t>seat length</t>
  </si>
  <si>
    <t>front x position</t>
  </si>
  <si>
    <t>panel length</t>
  </si>
  <si>
    <t>seat width</t>
  </si>
  <si>
    <t>panel width</t>
  </si>
  <si>
    <t>Aisle width, first class</t>
  </si>
  <si>
    <r>
      <t>w</t>
    </r>
    <r>
      <rPr>
        <vertAlign val="subscript"/>
        <sz val="10"/>
        <rFont val="Arial"/>
        <family val="2"/>
      </rPr>
      <t>aisle,FC</t>
    </r>
  </si>
  <si>
    <r>
      <t>w</t>
    </r>
    <r>
      <rPr>
        <vertAlign val="subscript"/>
        <sz val="10"/>
        <rFont val="Arial"/>
        <family val="2"/>
      </rPr>
      <t>aisle,BC</t>
    </r>
  </si>
  <si>
    <t>Aisle width, business class</t>
  </si>
  <si>
    <t>Check: aisle width</t>
  </si>
  <si>
    <r>
      <t>d</t>
    </r>
    <r>
      <rPr>
        <b/>
        <vertAlign val="subscript"/>
        <sz val="10"/>
        <rFont val="Arial"/>
        <family val="2"/>
      </rPr>
      <t>seat,seat rail</t>
    </r>
  </si>
  <si>
    <t>E</t>
  </si>
  <si>
    <t>Cargo mass</t>
  </si>
  <si>
    <t>Needed volume for cargo compartment</t>
  </si>
  <si>
    <r>
      <t>V</t>
    </r>
    <r>
      <rPr>
        <b/>
        <vertAlign val="subscript"/>
        <sz val="10"/>
        <rFont val="Arial"/>
        <family val="2"/>
      </rPr>
      <t>CC,nedded</t>
    </r>
  </si>
  <si>
    <t>Maximal mass for water ditching (nose)</t>
  </si>
  <si>
    <t>Maximal mass for water ditching (total)</t>
  </si>
  <si>
    <t>Maximal mass for water ditching (tail)</t>
  </si>
  <si>
    <t>Maximum take-off mass</t>
  </si>
  <si>
    <t>&gt;&gt; r equiv:</t>
  </si>
  <si>
    <t>PAX</t>
  </si>
  <si>
    <t>Hip breadth</t>
  </si>
  <si>
    <t>Sitting height</t>
  </si>
  <si>
    <t>head width</t>
  </si>
  <si>
    <t>HEAD</t>
  </si>
  <si>
    <t>seated top of head level</t>
  </si>
  <si>
    <r>
      <t>n</t>
    </r>
    <r>
      <rPr>
        <b/>
        <vertAlign val="subscript"/>
        <sz val="10"/>
        <rFont val="Arial"/>
        <family val="2"/>
      </rPr>
      <t>seats,left,YC</t>
    </r>
  </si>
  <si>
    <r>
      <t>n</t>
    </r>
    <r>
      <rPr>
        <b/>
        <vertAlign val="subscript"/>
        <sz val="10"/>
        <rFont val="Arial"/>
        <family val="2"/>
      </rPr>
      <t>seats,right,YC</t>
    </r>
  </si>
  <si>
    <r>
      <t>n</t>
    </r>
    <r>
      <rPr>
        <b/>
        <vertAlign val="subscript"/>
        <sz val="10"/>
        <rFont val="Arial"/>
        <family val="2"/>
      </rPr>
      <t>seats,mid,YC</t>
    </r>
  </si>
  <si>
    <r>
      <t>n</t>
    </r>
    <r>
      <rPr>
        <b/>
        <vertAlign val="subscript"/>
        <sz val="10"/>
        <rFont val="Arial"/>
        <family val="2"/>
      </rPr>
      <t>SA,YC</t>
    </r>
  </si>
  <si>
    <t>Lavatories</t>
  </si>
  <si>
    <t>Cabin floorplan</t>
  </si>
  <si>
    <t>Lavatory length</t>
  </si>
  <si>
    <t>LD1</t>
  </si>
  <si>
    <t>LD2</t>
  </si>
  <si>
    <t>LD3</t>
  </si>
  <si>
    <t>LD9</t>
  </si>
  <si>
    <t>First class galleys</t>
  </si>
  <si>
    <t>Galley width</t>
  </si>
  <si>
    <r>
      <t>l</t>
    </r>
    <r>
      <rPr>
        <b/>
        <vertAlign val="subscript"/>
        <sz val="10"/>
        <rFont val="Arial"/>
        <family val="2"/>
      </rPr>
      <t>galley,FC</t>
    </r>
  </si>
  <si>
    <r>
      <t>w</t>
    </r>
    <r>
      <rPr>
        <b/>
        <vertAlign val="subscript"/>
        <sz val="10"/>
        <rFont val="Arial"/>
        <family val="2"/>
      </rPr>
      <t>galley,FC</t>
    </r>
  </si>
  <si>
    <t>Surface of one galley</t>
  </si>
  <si>
    <t>Surface of FC galleys</t>
  </si>
  <si>
    <r>
      <t>S</t>
    </r>
    <r>
      <rPr>
        <b/>
        <vertAlign val="subscript"/>
        <sz val="10"/>
        <rFont val="Arial"/>
        <family val="2"/>
      </rPr>
      <t>galleys,FC</t>
    </r>
  </si>
  <si>
    <t>Business class galleys</t>
  </si>
  <si>
    <t>Passengers</t>
  </si>
  <si>
    <t>&lt;=10</t>
  </si>
  <si>
    <t>&gt;10</t>
  </si>
  <si>
    <t>Minimum passenger aisle width (inches)</t>
  </si>
  <si>
    <t>Check : Chosen aisle width</t>
  </si>
  <si>
    <t>Number of seat rows, first class</t>
  </si>
  <si>
    <t>Number of seat rows, business class</t>
  </si>
  <si>
    <t>Number of seat rows, economy class</t>
  </si>
  <si>
    <t>Tail offset to diameter ratio</t>
  </si>
  <si>
    <r>
      <t>Δx</t>
    </r>
    <r>
      <rPr>
        <b/>
        <vertAlign val="subscript"/>
        <sz val="10"/>
        <rFont val="Arial"/>
        <family val="2"/>
      </rPr>
      <t>tail</t>
    </r>
    <r>
      <rPr>
        <b/>
        <sz val="10"/>
        <rFont val="Arial"/>
        <family val="2"/>
      </rPr>
      <t>/df</t>
    </r>
  </si>
  <si>
    <t>a</t>
  </si>
  <si>
    <r>
      <t>l</t>
    </r>
    <r>
      <rPr>
        <b/>
        <vertAlign val="subscript"/>
        <sz val="10"/>
        <rFont val="Arial"/>
        <family val="2"/>
      </rPr>
      <t>tail</t>
    </r>
    <r>
      <rPr>
        <b/>
        <sz val="10"/>
        <rFont val="Arial"/>
        <family val="2"/>
      </rPr>
      <t>/d</t>
    </r>
    <r>
      <rPr>
        <b/>
        <vertAlign val="subscript"/>
        <sz val="10"/>
        <rFont val="Arial"/>
        <family val="2"/>
      </rPr>
      <t>f</t>
    </r>
  </si>
  <si>
    <t>Effective rows count</t>
  </si>
  <si>
    <t>Suggestion</t>
  </si>
  <si>
    <t>Results</t>
  </si>
  <si>
    <r>
      <t>l</t>
    </r>
    <r>
      <rPr>
        <b/>
        <vertAlign val="subscript"/>
        <sz val="10"/>
        <rFont val="Arial"/>
        <family val="2"/>
      </rPr>
      <t>cabin</t>
    </r>
  </si>
  <si>
    <t>Nose length to diameter ratio</t>
  </si>
  <si>
    <t>Tail length to diameter ratio</t>
  </si>
  <si>
    <t>Tail length</t>
  </si>
  <si>
    <r>
      <t>l</t>
    </r>
    <r>
      <rPr>
        <b/>
        <vertAlign val="subscript"/>
        <sz val="10"/>
        <rFont val="Arial"/>
        <family val="2"/>
      </rPr>
      <t>nose</t>
    </r>
  </si>
  <si>
    <r>
      <t>l</t>
    </r>
    <r>
      <rPr>
        <b/>
        <vertAlign val="subscript"/>
        <sz val="10"/>
        <rFont val="Arial"/>
        <family val="2"/>
      </rPr>
      <t>tail</t>
    </r>
  </si>
  <si>
    <t>NOSE</t>
  </si>
  <si>
    <t>Nose offset</t>
  </si>
  <si>
    <t>Tail offset</t>
  </si>
  <si>
    <t>pitch = galley length for the first row</t>
  </si>
  <si>
    <t>[inch]</t>
  </si>
  <si>
    <t>Number of lavatories in floor plan</t>
  </si>
  <si>
    <t>Number of expected lavatories</t>
  </si>
  <si>
    <r>
      <t>n</t>
    </r>
    <r>
      <rPr>
        <b/>
        <vertAlign val="subscript"/>
        <sz val="10"/>
        <rFont val="Arial"/>
        <family val="2"/>
      </rPr>
      <t>lavatories</t>
    </r>
  </si>
  <si>
    <t>FUSELAGE_dseat_seat_rail</t>
  </si>
  <si>
    <t>FUSELAGE_n_SA_FC</t>
  </si>
  <si>
    <t>FUSELAGE_n_SA_BC</t>
  </si>
  <si>
    <t>FUSELAGE_n_SA_YC</t>
  </si>
  <si>
    <t>FUSELAGE_n_rows_FC</t>
  </si>
  <si>
    <t>FUSELAGE_n_rows_BC</t>
  </si>
  <si>
    <t>FUSELAGE_n_rows_YC</t>
  </si>
  <si>
    <t>FUSELAGE_n_aisles</t>
  </si>
  <si>
    <t>SEAT_w_cushion_YC</t>
  </si>
  <si>
    <t>SEAT_Dy_cushion</t>
  </si>
  <si>
    <t>SEAT_t_cushion</t>
  </si>
  <si>
    <t>w8</t>
  </si>
  <si>
    <t>&lt;&lt;&lt;</t>
  </si>
  <si>
    <t>Design Range</t>
  </si>
  <si>
    <r>
      <t>95% American Male:</t>
    </r>
    <r>
      <rPr>
        <sz val="10"/>
        <rFont val="Arial"/>
        <family val="2"/>
      </rPr>
      <t xml:space="preserve"> Body Size of the 40-Year-Old American Male for Year 2000 in One Gravity Conditions</t>
    </r>
  </si>
  <si>
    <t>Width "</t>
  </si>
  <si>
    <t>Height "</t>
  </si>
  <si>
    <t>Pitch exit</t>
  </si>
  <si>
    <t>Exit type</t>
  </si>
  <si>
    <t>Exit width</t>
  </si>
  <si>
    <t>Pitch seat</t>
  </si>
  <si>
    <t>Fuselage, right</t>
  </si>
  <si>
    <t>Fuselage, left</t>
  </si>
  <si>
    <t>free space length</t>
  </si>
  <si>
    <t>Proportion of cabin length occupied by overhead stowages</t>
  </si>
  <si>
    <r>
      <t>Suggestion for S</t>
    </r>
    <r>
      <rPr>
        <vertAlign val="subscript"/>
        <sz val="10"/>
        <rFont val="Arial"/>
        <family val="2"/>
      </rPr>
      <t xml:space="preserve">CC </t>
    </r>
    <r>
      <rPr>
        <sz val="10"/>
        <rFont val="Arial"/>
        <family val="2"/>
      </rPr>
      <t>(from cabin cross section)</t>
    </r>
  </si>
  <si>
    <r>
      <t>V</t>
    </r>
    <r>
      <rPr>
        <b/>
        <vertAlign val="subscript"/>
        <sz val="10"/>
        <rFont val="Arial"/>
        <family val="2"/>
      </rPr>
      <t>cargo</t>
    </r>
  </si>
  <si>
    <t>Fuselage inner equivalent diameter</t>
  </si>
  <si>
    <t>Lower deck width, top</t>
  </si>
  <si>
    <t>Lower deck width, bottom</t>
  </si>
  <si>
    <r>
      <t>w</t>
    </r>
    <r>
      <rPr>
        <vertAlign val="subscript"/>
        <sz val="10"/>
        <rFont val="Arial"/>
        <family val="2"/>
      </rPr>
      <t>ld,top</t>
    </r>
  </si>
  <si>
    <r>
      <t>w</t>
    </r>
    <r>
      <rPr>
        <vertAlign val="subscript"/>
        <sz val="10"/>
        <rFont val="Arial"/>
        <family val="2"/>
      </rPr>
      <t>ld,bottom</t>
    </r>
  </si>
  <si>
    <t>Fuselage inner width</t>
  </si>
  <si>
    <t>Fuselage inner height</t>
  </si>
  <si>
    <r>
      <t>n</t>
    </r>
    <r>
      <rPr>
        <b/>
        <vertAlign val="subscript"/>
        <sz val="10"/>
        <rFont val="Arial"/>
        <family val="2"/>
      </rPr>
      <t>seats,mid,FC</t>
    </r>
  </si>
  <si>
    <r>
      <t>n</t>
    </r>
    <r>
      <rPr>
        <b/>
        <vertAlign val="subscript"/>
        <sz val="10"/>
        <rFont val="Arial"/>
        <family val="2"/>
      </rPr>
      <t>seats,left,FC</t>
    </r>
  </si>
  <si>
    <r>
      <t>n</t>
    </r>
    <r>
      <rPr>
        <b/>
        <vertAlign val="subscript"/>
        <sz val="10"/>
        <rFont val="Arial"/>
        <family val="2"/>
      </rPr>
      <t>SA,FC</t>
    </r>
  </si>
  <si>
    <r>
      <t>n</t>
    </r>
    <r>
      <rPr>
        <b/>
        <vertAlign val="subscript"/>
        <sz val="10"/>
        <rFont val="Arial"/>
        <family val="2"/>
      </rPr>
      <t>seats,right,BC</t>
    </r>
  </si>
  <si>
    <r>
      <t>n</t>
    </r>
    <r>
      <rPr>
        <b/>
        <vertAlign val="subscript"/>
        <sz val="10"/>
        <rFont val="Arial"/>
        <family val="2"/>
      </rPr>
      <t>seats,mid,BC</t>
    </r>
  </si>
  <si>
    <r>
      <t>n</t>
    </r>
    <r>
      <rPr>
        <b/>
        <vertAlign val="subscript"/>
        <sz val="10"/>
        <rFont val="Arial"/>
        <family val="2"/>
      </rPr>
      <t>seats,left,BC</t>
    </r>
  </si>
  <si>
    <r>
      <t>n</t>
    </r>
    <r>
      <rPr>
        <b/>
        <vertAlign val="subscript"/>
        <sz val="10"/>
        <rFont val="Arial"/>
        <family val="2"/>
      </rPr>
      <t>SA,BC</t>
    </r>
  </si>
  <si>
    <t>Cross section layout</t>
  </si>
  <si>
    <t>Number of seats, economy class</t>
  </si>
  <si>
    <t>Number of seats abreast, economy class</t>
  </si>
  <si>
    <t>Economy class seats, right aisle</t>
  </si>
  <si>
    <t>Economy class seats, left aisle</t>
  </si>
  <si>
    <t>Check : Economy class seats abreast</t>
  </si>
  <si>
    <t>First class seats, right aisle</t>
  </si>
  <si>
    <t>First class seats, middle aisle</t>
  </si>
  <si>
    <t>T</t>
  </si>
  <si>
    <t>CROSS SECTION FOR SEATING CONFIGURATION DISPLAY                                                                           CROSS SECTION FOR SEATING CONFIGURATION DISPLAY                                                                           CROSS SECTION FOR SEATING CONFIGURATION DISPLAY                                                                           CROSS SECTION FOR SEATING CONFIGURATION DISPLAY</t>
  </si>
  <si>
    <t>seated eye level</t>
  </si>
  <si>
    <t>floor level</t>
  </si>
  <si>
    <t>w3</t>
  </si>
  <si>
    <t>w4</t>
  </si>
  <si>
    <t>w5</t>
  </si>
  <si>
    <t>w2</t>
  </si>
  <si>
    <t>shoulder level</t>
  </si>
  <si>
    <t>SEAT_length_YC</t>
  </si>
  <si>
    <t>SEAT_w_cushion_FC</t>
  </si>
  <si>
    <t>SEAT_w_armrest_FC</t>
  </si>
  <si>
    <t>SEAT_length_FC</t>
  </si>
  <si>
    <t>SEAT_w_cushion_BC</t>
  </si>
  <si>
    <t>SEAT_w_armrest_BC</t>
  </si>
  <si>
    <t>SEAT_length_BC</t>
  </si>
  <si>
    <t>PAX_Dy_midshoulder</t>
  </si>
  <si>
    <t>PAX_w_shoulder</t>
  </si>
  <si>
    <t>PAX_Dy_eye</t>
  </si>
  <si>
    <t>PAX_d_hw</t>
  </si>
  <si>
    <t>PAX_d_sw</t>
  </si>
  <si>
    <t>FUSELAGE_w_aisle_YC</t>
  </si>
  <si>
    <t>FUSELAGE_h_aisle</t>
  </si>
  <si>
    <t>LOWERDECK_w_ldbottom</t>
  </si>
  <si>
    <t>LOWERDECK_w_ldtop</t>
  </si>
  <si>
    <t>LOWERDECK_h_ld</t>
  </si>
  <si>
    <t>FUSELAGE_h_w</t>
  </si>
  <si>
    <t>FUSELAGE_Dz_floor</t>
  </si>
  <si>
    <t>FUSELAGE_d_fi</t>
  </si>
  <si>
    <t>FUSELAGE_t_fuselage</t>
  </si>
  <si>
    <t>FUSELAGE_d_fo</t>
  </si>
  <si>
    <t>FUSELAGE_t_floor</t>
  </si>
  <si>
    <t>FUSELAGE_h_fo</t>
  </si>
  <si>
    <t>FUSELAGE_w_fo</t>
  </si>
  <si>
    <t>FUSELAGE_nseats_right_FC</t>
  </si>
  <si>
    <t>R</t>
  </si>
  <si>
    <t>is x axis</t>
  </si>
  <si>
    <t>is y axis</t>
  </si>
  <si>
    <t>Galley YC</t>
  </si>
  <si>
    <t>Effective row</t>
  </si>
  <si>
    <t>Right</t>
  </si>
  <si>
    <t>Center</t>
  </si>
  <si>
    <t>Left</t>
  </si>
  <si>
    <t>Cockpit</t>
  </si>
  <si>
    <t>Values</t>
  </si>
  <si>
    <t>Attendant Seat</t>
  </si>
  <si>
    <r>
      <t>n</t>
    </r>
    <r>
      <rPr>
        <b/>
        <vertAlign val="subscript"/>
        <sz val="10"/>
        <rFont val="Arial"/>
        <family val="2"/>
      </rPr>
      <t>seats,right,FC</t>
    </r>
  </si>
  <si>
    <t>Monuments</t>
  </si>
  <si>
    <t>Double Type III</t>
  </si>
  <si>
    <t>Single aisle 150 pax</t>
  </si>
  <si>
    <t>Twin aisle 150 pax</t>
  </si>
  <si>
    <t>w1</t>
  </si>
  <si>
    <t>B</t>
  </si>
  <si>
    <t>Fuselage</t>
  </si>
  <si>
    <t>Maximal mass for water ditching (fuselage)</t>
  </si>
  <si>
    <t>Nominal</t>
  </si>
  <si>
    <t>Actual</t>
  </si>
  <si>
    <t>Offset</t>
  </si>
  <si>
    <t>Position</t>
  </si>
  <si>
    <t>Zone</t>
  </si>
  <si>
    <t>Number of expected galleys</t>
  </si>
  <si>
    <t>Distance between seat extremity and first seat rail</t>
  </si>
  <si>
    <t>FUSELAGE_w_galley_FC</t>
  </si>
  <si>
    <t>FUSELAGE_n_galley_FC</t>
  </si>
  <si>
    <t>FUSELAGE_S_galleys_FC</t>
  </si>
  <si>
    <t>Cargo compartment volume</t>
  </si>
  <si>
    <r>
      <t>V</t>
    </r>
    <r>
      <rPr>
        <b/>
        <vertAlign val="subscript"/>
        <sz val="10"/>
        <rFont val="Arial"/>
        <family val="2"/>
      </rPr>
      <t>CC</t>
    </r>
  </si>
  <si>
    <r>
      <t>[m</t>
    </r>
    <r>
      <rPr>
        <vertAlign val="superscript"/>
        <sz val="10"/>
        <rFont val="Arial"/>
        <family val="2"/>
      </rPr>
      <t>3</t>
    </r>
    <r>
      <rPr>
        <sz val="10"/>
        <rFont val="Arial"/>
        <family val="2"/>
      </rPr>
      <t>]</t>
    </r>
  </si>
  <si>
    <t>Cross section of a lateral overhead stowage</t>
  </si>
  <si>
    <r>
      <t>S</t>
    </r>
    <r>
      <rPr>
        <b/>
        <vertAlign val="subscript"/>
        <sz val="10"/>
        <rFont val="Arial"/>
        <family val="2"/>
      </rPr>
      <t>OS,lat</t>
    </r>
  </si>
  <si>
    <r>
      <t>Suggestion for S</t>
    </r>
    <r>
      <rPr>
        <vertAlign val="subscript"/>
        <sz val="10"/>
        <rFont val="Arial"/>
        <family val="2"/>
      </rPr>
      <t>OS,lat</t>
    </r>
    <r>
      <rPr>
        <sz val="10"/>
        <rFont val="Arial"/>
        <family val="2"/>
      </rPr>
      <t xml:space="preserve"> [Nita]</t>
    </r>
  </si>
  <si>
    <t>Cross section of the central overhead stowage</t>
  </si>
  <si>
    <r>
      <t>S</t>
    </r>
    <r>
      <rPr>
        <b/>
        <vertAlign val="subscript"/>
        <sz val="10"/>
        <rFont val="Arial"/>
        <family val="2"/>
      </rPr>
      <t>OS,ce</t>
    </r>
  </si>
  <si>
    <r>
      <t>Suggestion for S</t>
    </r>
    <r>
      <rPr>
        <vertAlign val="subscript"/>
        <sz val="10"/>
        <rFont val="Arial"/>
        <family val="2"/>
      </rPr>
      <t>OS,ce</t>
    </r>
    <r>
      <rPr>
        <sz val="10"/>
        <rFont val="Arial"/>
        <family val="2"/>
      </rPr>
      <t xml:space="preserve"> [Nita]</t>
    </r>
  </si>
  <si>
    <t>Number of lateral rows of overhead stowages</t>
  </si>
  <si>
    <r>
      <t>n</t>
    </r>
    <r>
      <rPr>
        <b/>
        <vertAlign val="subscript"/>
        <sz val="10"/>
        <rFont val="Arial"/>
        <family val="2"/>
      </rPr>
      <t>OS,lat</t>
    </r>
  </si>
  <si>
    <r>
      <t>Suggestion for n</t>
    </r>
    <r>
      <rPr>
        <vertAlign val="subscript"/>
        <sz val="10"/>
        <rFont val="Arial"/>
        <family val="2"/>
      </rPr>
      <t>OS,lat</t>
    </r>
    <r>
      <rPr>
        <sz val="10"/>
        <rFont val="Arial"/>
        <family val="2"/>
      </rPr>
      <t xml:space="preserve"> [Nita]</t>
    </r>
  </si>
  <si>
    <r>
      <t>n</t>
    </r>
    <r>
      <rPr>
        <b/>
        <vertAlign val="subscript"/>
        <sz val="10"/>
        <rFont val="Arial"/>
        <family val="2"/>
      </rPr>
      <t>OS,ce</t>
    </r>
  </si>
  <si>
    <t>Number of central rows of overhead stowages</t>
  </si>
  <si>
    <r>
      <t>Suggestion for n</t>
    </r>
    <r>
      <rPr>
        <vertAlign val="subscript"/>
        <sz val="10"/>
        <rFont val="Arial"/>
        <family val="2"/>
      </rPr>
      <t>OS,ce</t>
    </r>
    <r>
      <rPr>
        <sz val="10"/>
        <rFont val="Arial"/>
        <family val="2"/>
      </rPr>
      <t xml:space="preserve"> [Nita]</t>
    </r>
  </si>
  <si>
    <r>
      <t>S</t>
    </r>
    <r>
      <rPr>
        <b/>
        <vertAlign val="subscript"/>
        <sz val="10"/>
        <rFont val="Arial"/>
        <family val="2"/>
      </rPr>
      <t>OS,tot</t>
    </r>
  </si>
  <si>
    <t>Total cross section of the overhead stowages</t>
  </si>
  <si>
    <r>
      <t>k</t>
    </r>
    <r>
      <rPr>
        <b/>
        <vertAlign val="subscript"/>
        <sz val="10"/>
        <rFont val="Arial"/>
        <family val="2"/>
      </rPr>
      <t>OS</t>
    </r>
  </si>
  <si>
    <r>
      <t>Suggestion for k</t>
    </r>
    <r>
      <rPr>
        <vertAlign val="subscript"/>
        <sz val="10"/>
        <rFont val="Arial"/>
        <family val="2"/>
      </rPr>
      <t>OS</t>
    </r>
    <r>
      <rPr>
        <sz val="10"/>
        <rFont val="Arial"/>
        <family val="2"/>
      </rPr>
      <t xml:space="preserve"> [Nita]</t>
    </r>
  </si>
  <si>
    <t>Volume of overhead stowage</t>
  </si>
  <si>
    <r>
      <t>V</t>
    </r>
    <r>
      <rPr>
        <b/>
        <vertAlign val="subscript"/>
        <sz val="10"/>
        <rFont val="Arial"/>
        <family val="2"/>
      </rPr>
      <t>OS</t>
    </r>
  </si>
  <si>
    <t>Average mass of passenger baggage</t>
  </si>
  <si>
    <r>
      <t>m</t>
    </r>
    <r>
      <rPr>
        <b/>
        <vertAlign val="subscript"/>
        <sz val="10"/>
        <rFont val="Arial"/>
        <family val="2"/>
      </rPr>
      <t>baggage</t>
    </r>
  </si>
  <si>
    <t>Volume of baggage</t>
  </si>
  <si>
    <r>
      <t>V</t>
    </r>
    <r>
      <rPr>
        <b/>
        <vertAlign val="subscript"/>
        <sz val="10"/>
        <rFont val="Arial"/>
        <family val="2"/>
      </rPr>
      <t>B</t>
    </r>
  </si>
  <si>
    <t>Fuselage outter width</t>
  </si>
  <si>
    <t>Fuselage outter height</t>
  </si>
  <si>
    <r>
      <t>w</t>
    </r>
    <r>
      <rPr>
        <vertAlign val="subscript"/>
        <sz val="10"/>
        <rFont val="Arial"/>
        <family val="2"/>
      </rPr>
      <t>f,i</t>
    </r>
  </si>
  <si>
    <r>
      <t>h</t>
    </r>
    <r>
      <rPr>
        <vertAlign val="subscript"/>
        <sz val="10"/>
        <rFont val="Arial"/>
        <family val="2"/>
      </rPr>
      <t>f,i</t>
    </r>
  </si>
  <si>
    <r>
      <t>d</t>
    </r>
    <r>
      <rPr>
        <vertAlign val="subscript"/>
        <sz val="10"/>
        <rFont val="Arial"/>
        <family val="2"/>
      </rPr>
      <t>f,i</t>
    </r>
  </si>
  <si>
    <r>
      <t>d</t>
    </r>
    <r>
      <rPr>
        <vertAlign val="subscript"/>
        <sz val="10"/>
        <rFont val="Arial"/>
        <family val="2"/>
      </rPr>
      <t>f,o</t>
    </r>
  </si>
  <si>
    <r>
      <t>w</t>
    </r>
    <r>
      <rPr>
        <vertAlign val="subscript"/>
        <sz val="10"/>
        <rFont val="Arial"/>
        <family val="2"/>
      </rPr>
      <t>f,o</t>
    </r>
  </si>
  <si>
    <r>
      <t>h</t>
    </r>
    <r>
      <rPr>
        <vertAlign val="subscript"/>
        <sz val="10"/>
        <rFont val="Arial"/>
        <family val="2"/>
      </rPr>
      <t>f,o</t>
    </r>
  </si>
  <si>
    <t xml:space="preserve"> </t>
  </si>
  <si>
    <t>h</t>
  </si>
  <si>
    <t>FC</t>
  </si>
  <si>
    <t>BC</t>
  </si>
  <si>
    <t>b</t>
  </si>
  <si>
    <t>[kg]</t>
  </si>
  <si>
    <t>[m²]</t>
  </si>
  <si>
    <t>[m]</t>
  </si>
  <si>
    <t>Floor thickness [Schmitt]</t>
  </si>
  <si>
    <t>Fuselage thickness [Marckwardt]</t>
  </si>
  <si>
    <t>display leg</t>
  </si>
  <si>
    <t>left aisle min</t>
  </si>
  <si>
    <t>left aisle max</t>
  </si>
  <si>
    <t>middle aisle min</t>
  </si>
  <si>
    <t>right aisle min</t>
  </si>
  <si>
    <t>middle aisle max</t>
  </si>
  <si>
    <t>right aisle max</t>
  </si>
  <si>
    <t>left leg</t>
  </si>
  <si>
    <t>middle leg</t>
  </si>
  <si>
    <t>right leg</t>
  </si>
  <si>
    <t>Cabin and fuselage</t>
  </si>
  <si>
    <t>Monument</t>
  </si>
  <si>
    <t>Galley FC</t>
  </si>
  <si>
    <t>Galley BC</t>
  </si>
  <si>
    <t>Use central hatrack ?</t>
  </si>
  <si>
    <t>Seat pitch, economy class</t>
  </si>
  <si>
    <t>Total of allowed passengers through exits</t>
  </si>
  <si>
    <t>C</t>
  </si>
  <si>
    <t>Number of passengers</t>
  </si>
  <si>
    <t>Y</t>
  </si>
  <si>
    <r>
      <t>Suggestion for m</t>
    </r>
    <r>
      <rPr>
        <vertAlign val="subscript"/>
        <sz val="10"/>
        <rFont val="Arial"/>
        <family val="2"/>
      </rPr>
      <t>baggage</t>
    </r>
  </si>
  <si>
    <t>Total mass of passenger baggage</t>
  </si>
  <si>
    <r>
      <t>m</t>
    </r>
    <r>
      <rPr>
        <b/>
        <vertAlign val="subscript"/>
        <sz val="10"/>
        <rFont val="Arial"/>
        <family val="2"/>
      </rPr>
      <t>baggage,total</t>
    </r>
  </si>
  <si>
    <t>Volume of cargo</t>
  </si>
  <si>
    <t>chosen container</t>
  </si>
  <si>
    <t>index</t>
  </si>
  <si>
    <t>base width</t>
  </si>
  <si>
    <t>overall width</t>
  </si>
  <si>
    <t>depth</t>
  </si>
  <si>
    <t>is half seized</t>
  </si>
  <si>
    <t>lower deck</t>
  </si>
  <si>
    <t>??</t>
  </si>
  <si>
    <t>Fuselage length</t>
  </si>
  <si>
    <t>Number of galleys in floor plan, first class</t>
  </si>
  <si>
    <t>Number of galleys in floor plan, business class</t>
  </si>
  <si>
    <t>Number of galleys in floor plan, economy class</t>
  </si>
  <si>
    <r>
      <t>n</t>
    </r>
    <r>
      <rPr>
        <b/>
        <vertAlign val="subscript"/>
        <sz val="10"/>
        <rFont val="Arial"/>
        <family val="2"/>
      </rPr>
      <t>galleys,FC</t>
    </r>
  </si>
  <si>
    <r>
      <t>n</t>
    </r>
    <r>
      <rPr>
        <b/>
        <vertAlign val="subscript"/>
        <sz val="10"/>
        <rFont val="Arial"/>
        <family val="2"/>
      </rPr>
      <t>galleys,BC</t>
    </r>
  </si>
  <si>
    <r>
      <t>n</t>
    </r>
    <r>
      <rPr>
        <b/>
        <vertAlign val="subscript"/>
        <sz val="10"/>
        <rFont val="Arial"/>
        <family val="2"/>
      </rPr>
      <t>galleys,YC</t>
    </r>
  </si>
  <si>
    <t>Side Monuments:</t>
  </si>
  <si>
    <t>Pitch right monument</t>
  </si>
  <si>
    <t>CROSS SECTION FOR FUSELAGE DIMENSIONS</t>
  </si>
  <si>
    <t>K</t>
  </si>
  <si>
    <t>M</t>
  </si>
  <si>
    <t>N</t>
  </si>
  <si>
    <t>Seat 1R</t>
  </si>
  <si>
    <t>Seat 2R</t>
  </si>
  <si>
    <t>Seat 3R</t>
  </si>
  <si>
    <t>Seat 1M</t>
  </si>
  <si>
    <t>Seat 2M</t>
  </si>
  <si>
    <t>Seat 3M</t>
  </si>
  <si>
    <t>delta x :</t>
  </si>
  <si>
    <t>Seat 4M</t>
  </si>
  <si>
    <t>Seat 5M</t>
  </si>
  <si>
    <t>Seat 6M</t>
  </si>
  <si>
    <t>Seat 3L</t>
  </si>
  <si>
    <t>Seat 2L</t>
  </si>
  <si>
    <t>Seat 1L</t>
  </si>
  <si>
    <t>Design range</t>
  </si>
  <si>
    <t>2.</t>
  </si>
  <si>
    <t>3.</t>
  </si>
  <si>
    <t>4.</t>
  </si>
  <si>
    <t>Passenger dimensions</t>
  </si>
  <si>
    <t>Midshoulder height, sitting</t>
  </si>
  <si>
    <r>
      <t>Δy</t>
    </r>
    <r>
      <rPr>
        <vertAlign val="subscript"/>
        <sz val="10"/>
        <rFont val="Arial"/>
        <family val="2"/>
      </rPr>
      <t>midshoulder</t>
    </r>
  </si>
  <si>
    <t>SEAT_h_armrest_bottom</t>
  </si>
  <si>
    <t>SEAT_h_backrest</t>
  </si>
  <si>
    <t>Row</t>
  </si>
  <si>
    <t>Class</t>
  </si>
  <si>
    <t>Pitch</t>
  </si>
  <si>
    <t>Lavatory width</t>
  </si>
  <si>
    <r>
      <t>w</t>
    </r>
    <r>
      <rPr>
        <b/>
        <vertAlign val="subscript"/>
        <sz val="10"/>
        <rFont val="Arial"/>
        <family val="2"/>
      </rPr>
      <t>lavatory</t>
    </r>
  </si>
  <si>
    <t>Economy class galleys</t>
  </si>
  <si>
    <t>Surface of BC galleys</t>
  </si>
  <si>
    <r>
      <t>n</t>
    </r>
    <r>
      <rPr>
        <b/>
        <vertAlign val="subscript"/>
        <sz val="10"/>
        <rFont val="Arial"/>
        <family val="2"/>
      </rPr>
      <t>galley,YC</t>
    </r>
  </si>
  <si>
    <t>Surface of YC galleys</t>
  </si>
  <si>
    <r>
      <t>l</t>
    </r>
    <r>
      <rPr>
        <b/>
        <vertAlign val="subscript"/>
        <sz val="10"/>
        <rFont val="Arial"/>
        <family val="2"/>
      </rPr>
      <t>galley,BC</t>
    </r>
  </si>
  <si>
    <r>
      <t>w</t>
    </r>
    <r>
      <rPr>
        <b/>
        <vertAlign val="subscript"/>
        <sz val="10"/>
        <rFont val="Arial"/>
        <family val="2"/>
      </rPr>
      <t>galley,BC</t>
    </r>
  </si>
  <si>
    <r>
      <t>n</t>
    </r>
    <r>
      <rPr>
        <b/>
        <vertAlign val="subscript"/>
        <sz val="10"/>
        <rFont val="Arial"/>
        <family val="2"/>
      </rPr>
      <t>galley,BC</t>
    </r>
  </si>
  <si>
    <r>
      <t>n</t>
    </r>
    <r>
      <rPr>
        <b/>
        <vertAlign val="subscript"/>
        <sz val="10"/>
        <rFont val="Arial"/>
        <family val="2"/>
      </rPr>
      <t>galley,FC</t>
    </r>
  </si>
  <si>
    <r>
      <t>S</t>
    </r>
    <r>
      <rPr>
        <b/>
        <vertAlign val="subscript"/>
        <sz val="10"/>
        <rFont val="Arial"/>
        <family val="2"/>
      </rPr>
      <t>galleys,BC</t>
    </r>
  </si>
  <si>
    <r>
      <t>S</t>
    </r>
    <r>
      <rPr>
        <b/>
        <vertAlign val="subscript"/>
        <sz val="10"/>
        <rFont val="Arial"/>
        <family val="2"/>
      </rPr>
      <t>galleys,YC</t>
    </r>
  </si>
  <si>
    <r>
      <t>l</t>
    </r>
    <r>
      <rPr>
        <b/>
        <vertAlign val="subscript"/>
        <sz val="10"/>
        <rFont val="Arial"/>
        <family val="2"/>
      </rPr>
      <t>galley,YC</t>
    </r>
  </si>
  <si>
    <r>
      <t>w</t>
    </r>
    <r>
      <rPr>
        <b/>
        <vertAlign val="subscript"/>
        <sz val="10"/>
        <rFont val="Arial"/>
        <family val="2"/>
      </rPr>
      <t>galley,YC</t>
    </r>
  </si>
  <si>
    <t>Check : galleys surface</t>
  </si>
  <si>
    <t>Overall galleys surface</t>
  </si>
  <si>
    <r>
      <t>S</t>
    </r>
    <r>
      <rPr>
        <b/>
        <vertAlign val="subscript"/>
        <sz val="10"/>
        <rFont val="Arial"/>
        <family val="2"/>
      </rPr>
      <t>galleys</t>
    </r>
  </si>
  <si>
    <r>
      <t>k</t>
    </r>
    <r>
      <rPr>
        <vertAlign val="subscript"/>
        <sz val="10"/>
        <rFont val="Arial"/>
        <family val="2"/>
      </rPr>
      <t>Galley</t>
    </r>
    <r>
      <rPr>
        <sz val="10"/>
        <rFont val="Arial"/>
        <family val="2"/>
      </rPr>
      <t xml:space="preserve"> [m²]</t>
    </r>
  </si>
  <si>
    <t>Range &gt; [Nm]</t>
  </si>
  <si>
    <t>Result :</t>
  </si>
  <si>
    <t>Marckwardt : Galleys surface recommendation</t>
  </si>
  <si>
    <t>Armrest height position, top</t>
  </si>
  <si>
    <t>Armrest height position, bottom</t>
  </si>
  <si>
    <r>
      <t>h</t>
    </r>
    <r>
      <rPr>
        <vertAlign val="subscript"/>
        <sz val="10"/>
        <rFont val="Arial"/>
        <family val="2"/>
      </rPr>
      <t>armrest,top</t>
    </r>
  </si>
  <si>
    <r>
      <t>h</t>
    </r>
    <r>
      <rPr>
        <vertAlign val="subscript"/>
        <sz val="10"/>
        <rFont val="Arial"/>
        <family val="2"/>
      </rPr>
      <t>armrest,bottom</t>
    </r>
  </si>
  <si>
    <t>seat armrest level, top</t>
  </si>
  <si>
    <t>seat armrest level, bottom</t>
  </si>
  <si>
    <t>Drawing of fuselage cross section</t>
  </si>
  <si>
    <t>up,left</t>
  </si>
  <si>
    <t>up,right</t>
  </si>
  <si>
    <t>middle,right</t>
  </si>
  <si>
    <t>bottom,right</t>
  </si>
  <si>
    <t>bottom,left</t>
  </si>
  <si>
    <t>LD container</t>
  </si>
  <si>
    <t>middle,left</t>
  </si>
  <si>
    <t>up,center</t>
  </si>
  <si>
    <t>LD3-45(Rectangular)</t>
  </si>
  <si>
    <t>LD7(Rectangular)</t>
  </si>
  <si>
    <t>is rectangular</t>
  </si>
  <si>
    <t>Floor</t>
  </si>
  <si>
    <t>Transversal tube Right</t>
  </si>
  <si>
    <t>Right Monument</t>
  </si>
  <si>
    <t>Center Monument</t>
  </si>
  <si>
    <t>Left Monument</t>
  </si>
  <si>
    <t>&gt;</t>
  </si>
  <si>
    <t>x</t>
  </si>
  <si>
    <t>y</t>
  </si>
  <si>
    <t>-</t>
  </si>
  <si>
    <r>
      <t>w</t>
    </r>
    <r>
      <rPr>
        <vertAlign val="subscript"/>
        <sz val="10"/>
        <rFont val="Arial"/>
        <family val="2"/>
      </rPr>
      <t>cushion</t>
    </r>
  </si>
  <si>
    <t>Type A</t>
  </si>
  <si>
    <t>Aisles</t>
  </si>
  <si>
    <t>Pax</t>
  </si>
  <si>
    <t>Cabin length</t>
  </si>
  <si>
    <t>Show seatrails</t>
  </si>
  <si>
    <t>Attendant seat</t>
  </si>
  <si>
    <t>G</t>
  </si>
  <si>
    <t>[-]</t>
  </si>
  <si>
    <t>A</t>
  </si>
  <si>
    <r>
      <t>m</t>
    </r>
    <r>
      <rPr>
        <b/>
        <vertAlign val="subscript"/>
        <sz val="10"/>
        <rFont val="Arial"/>
        <family val="2"/>
      </rPr>
      <t>MTO</t>
    </r>
  </si>
  <si>
    <t>Lavatory</t>
  </si>
  <si>
    <t>Lavatory(x2)</t>
  </si>
  <si>
    <t xml:space="preserve">CABIN FLOOR PLAN                                           CABIN FLOOR PLAN                                           CABIN FLOOR PLAN                                           CABIN FLOOR PLAN                                           CABIN FLOOR PLAN                                           CABIN FLOOR PLAN                                           CABIN FLOOR PLAN                                           CABIN FLOOR PLAN                                           </t>
  </si>
  <si>
    <t>Input data from previous design phases</t>
  </si>
  <si>
    <t>Reference number of passengers</t>
  </si>
  <si>
    <r>
      <t>n</t>
    </r>
    <r>
      <rPr>
        <b/>
        <vertAlign val="subscript"/>
        <sz val="10"/>
        <rFont val="Arial"/>
        <family val="2"/>
      </rPr>
      <t>pax</t>
    </r>
  </si>
  <si>
    <t>Seat cushion width</t>
  </si>
  <si>
    <t>Armrest width</t>
  </si>
  <si>
    <t>Aisle</t>
  </si>
  <si>
    <t>Aisle width</t>
  </si>
  <si>
    <t>Aisle height</t>
  </si>
  <si>
    <r>
      <t>n</t>
    </r>
    <r>
      <rPr>
        <b/>
        <vertAlign val="subscript"/>
        <sz val="10"/>
        <rFont val="Arial"/>
        <family val="2"/>
      </rPr>
      <t>pax, BC</t>
    </r>
  </si>
  <si>
    <r>
      <t>n</t>
    </r>
    <r>
      <rPr>
        <b/>
        <vertAlign val="subscript"/>
        <sz val="10"/>
        <rFont val="Arial"/>
        <family val="2"/>
      </rPr>
      <t>pax, YC</t>
    </r>
  </si>
  <si>
    <t>Number of seats abreast, first class</t>
  </si>
  <si>
    <t>Number of seats, first class</t>
  </si>
  <si>
    <t>Number of seats, business class</t>
  </si>
  <si>
    <t>Number of seats abreast, business class</t>
  </si>
  <si>
    <t>Seat rows</t>
  </si>
  <si>
    <r>
      <t>n</t>
    </r>
    <r>
      <rPr>
        <b/>
        <vertAlign val="subscript"/>
        <sz val="10"/>
        <rFont val="Arial"/>
        <family val="2"/>
      </rPr>
      <t>rows, FC</t>
    </r>
  </si>
  <si>
    <r>
      <t>n</t>
    </r>
    <r>
      <rPr>
        <b/>
        <vertAlign val="subscript"/>
        <sz val="10"/>
        <rFont val="Arial"/>
        <family val="2"/>
      </rPr>
      <t>rows, BC</t>
    </r>
  </si>
  <si>
    <r>
      <t>n</t>
    </r>
    <r>
      <rPr>
        <b/>
        <vertAlign val="subscript"/>
        <sz val="10"/>
        <rFont val="Arial"/>
        <family val="2"/>
      </rPr>
      <t>rows, YC</t>
    </r>
  </si>
  <si>
    <t>Check : number of seats</t>
  </si>
  <si>
    <r>
      <t>n</t>
    </r>
    <r>
      <rPr>
        <b/>
        <vertAlign val="subscript"/>
        <sz val="10"/>
        <rFont val="Arial"/>
        <family val="2"/>
      </rPr>
      <t>seats</t>
    </r>
  </si>
  <si>
    <r>
      <t>n</t>
    </r>
    <r>
      <rPr>
        <b/>
        <vertAlign val="subscript"/>
        <sz val="10"/>
        <rFont val="Arial"/>
        <family val="2"/>
      </rPr>
      <t>SA, FC</t>
    </r>
  </si>
  <si>
    <r>
      <t>n</t>
    </r>
    <r>
      <rPr>
        <b/>
        <vertAlign val="subscript"/>
        <sz val="10"/>
        <rFont val="Arial"/>
        <family val="2"/>
      </rPr>
      <t>SA, BC</t>
    </r>
  </si>
  <si>
    <r>
      <t>n</t>
    </r>
    <r>
      <rPr>
        <b/>
        <vertAlign val="subscript"/>
        <sz val="10"/>
        <rFont val="Arial"/>
        <family val="2"/>
      </rPr>
      <t>SA, YC</t>
    </r>
  </si>
  <si>
    <r>
      <t>n</t>
    </r>
    <r>
      <rPr>
        <b/>
        <vertAlign val="subscript"/>
        <sz val="10"/>
        <rFont val="Arial"/>
        <family val="2"/>
      </rPr>
      <t>SA</t>
    </r>
  </si>
  <si>
    <t>Recommandation : average seats abreast</t>
  </si>
  <si>
    <t>using of side seatrails</t>
  </si>
  <si>
    <t>Base width</t>
  </si>
  <si>
    <t>Overall width</t>
  </si>
  <si>
    <t>Depth</t>
  </si>
  <si>
    <t>Height</t>
  </si>
  <si>
    <t>Is half-size</t>
  </si>
  <si>
    <t>lower deck level (top)</t>
  </si>
  <si>
    <t>lower deck level (bottom)</t>
  </si>
  <si>
    <t>Total width</t>
  </si>
  <si>
    <t>Is max</t>
  </si>
  <si>
    <t>Level</t>
  </si>
  <si>
    <t>Height (abs)</t>
  </si>
  <si>
    <t>Semi width</t>
  </si>
  <si>
    <t>Angle</t>
  </si>
  <si>
    <t>Inner Fuselage</t>
  </si>
  <si>
    <t>Outter Fuselage</t>
  </si>
  <si>
    <t>Cabin floor plan</t>
  </si>
  <si>
    <t>Automatic calculation</t>
  </si>
  <si>
    <t>Schmitt : number of FC seats suggestion</t>
  </si>
  <si>
    <t>Schmitt : number of BC seats suggestion</t>
  </si>
  <si>
    <t xml:space="preserve">NACA 66(2)-415        </t>
  </si>
  <si>
    <t>x0 fuselage</t>
  </si>
  <si>
    <t>a ellipse :</t>
  </si>
  <si>
    <r>
      <t>t</t>
    </r>
    <r>
      <rPr>
        <vertAlign val="subscript"/>
        <sz val="10"/>
        <rFont val="Arial"/>
        <family val="2"/>
      </rPr>
      <t>fuselage</t>
    </r>
  </si>
  <si>
    <t>down,right</t>
  </si>
  <si>
    <t>down,left</t>
  </si>
  <si>
    <t>point</t>
  </si>
  <si>
    <t>F</t>
  </si>
  <si>
    <t>H</t>
  </si>
  <si>
    <t>J</t>
  </si>
  <si>
    <t>b/a</t>
  </si>
  <si>
    <t>Ratio : cabin height / cabin width</t>
  </si>
  <si>
    <t>w0</t>
  </si>
  <si>
    <t>aisle ceiling</t>
  </si>
  <si>
    <t>0,7                                            1,3</t>
  </si>
  <si>
    <t>b ellipse :</t>
  </si>
  <si>
    <r>
      <t>(h/w)</t>
    </r>
    <r>
      <rPr>
        <b/>
        <vertAlign val="subscript"/>
        <sz val="10"/>
        <rFont val="Arial"/>
        <family val="2"/>
      </rPr>
      <t>cabin</t>
    </r>
  </si>
  <si>
    <t>Double container</t>
  </si>
  <si>
    <t>YES</t>
  </si>
  <si>
    <t>NO</t>
  </si>
  <si>
    <r>
      <t>n</t>
    </r>
    <r>
      <rPr>
        <b/>
        <vertAlign val="subscript"/>
        <sz val="10"/>
        <rFont val="Arial"/>
        <family val="2"/>
      </rPr>
      <t>aisles</t>
    </r>
  </si>
  <si>
    <t>Lower deck</t>
  </si>
  <si>
    <t>Type</t>
  </si>
  <si>
    <t>has container</t>
  </si>
  <si>
    <t>Cushion height position</t>
  </si>
  <si>
    <r>
      <t>Δy</t>
    </r>
    <r>
      <rPr>
        <vertAlign val="subscript"/>
        <sz val="10"/>
        <rFont val="Arial"/>
        <family val="2"/>
      </rPr>
      <t>cushion</t>
    </r>
  </si>
  <si>
    <r>
      <t>w</t>
    </r>
    <r>
      <rPr>
        <vertAlign val="subscript"/>
        <sz val="10"/>
        <rFont val="Arial"/>
        <family val="2"/>
      </rPr>
      <t>armrest</t>
    </r>
  </si>
  <si>
    <r>
      <t>h</t>
    </r>
    <r>
      <rPr>
        <vertAlign val="subscript"/>
        <sz val="10"/>
        <rFont val="Arial"/>
        <family val="2"/>
      </rPr>
      <t>backrest</t>
    </r>
  </si>
  <si>
    <t>line</t>
  </si>
  <si>
    <t>Distance from aisle to first seat rail, right</t>
  </si>
  <si>
    <t>Distance from aisle to first seat rail, left</t>
  </si>
  <si>
    <r>
      <t>n</t>
    </r>
    <r>
      <rPr>
        <b/>
        <vertAlign val="subscript"/>
        <sz val="10"/>
        <rFont val="Arial"/>
        <family val="2"/>
      </rPr>
      <t>rails,left</t>
    </r>
  </si>
  <si>
    <r>
      <t>n</t>
    </r>
    <r>
      <rPr>
        <b/>
        <vertAlign val="subscript"/>
        <sz val="10"/>
        <rFont val="Arial"/>
        <family val="2"/>
      </rPr>
      <t>rails,middle</t>
    </r>
  </si>
  <si>
    <r>
      <t>n</t>
    </r>
    <r>
      <rPr>
        <b/>
        <vertAlign val="subscript"/>
        <sz val="10"/>
        <rFont val="Arial"/>
        <family val="2"/>
      </rPr>
      <t>rails,right</t>
    </r>
  </si>
  <si>
    <r>
      <t>d</t>
    </r>
    <r>
      <rPr>
        <b/>
        <vertAlign val="subscript"/>
        <sz val="10"/>
        <rFont val="Arial"/>
        <family val="2"/>
      </rPr>
      <t>rails,right</t>
    </r>
  </si>
  <si>
    <r>
      <t>d</t>
    </r>
    <r>
      <rPr>
        <b/>
        <vertAlign val="subscript"/>
        <sz val="10"/>
        <rFont val="Arial"/>
        <family val="2"/>
      </rPr>
      <t>rails,middle</t>
    </r>
  </si>
  <si>
    <r>
      <t>d</t>
    </r>
    <r>
      <rPr>
        <b/>
        <vertAlign val="subscript"/>
        <sz val="10"/>
        <rFont val="Arial"/>
        <family val="2"/>
      </rPr>
      <t>rails,left</t>
    </r>
  </si>
  <si>
    <r>
      <t>Δy</t>
    </r>
    <r>
      <rPr>
        <b/>
        <vertAlign val="subscript"/>
        <sz val="10"/>
        <rFont val="Arial"/>
        <family val="2"/>
      </rPr>
      <t>rails,right</t>
    </r>
  </si>
  <si>
    <r>
      <t>Δy</t>
    </r>
    <r>
      <rPr>
        <b/>
        <vertAlign val="subscript"/>
        <sz val="10"/>
        <rFont val="Arial"/>
        <family val="2"/>
      </rPr>
      <t>rails,left</t>
    </r>
  </si>
  <si>
    <t>Number of classes</t>
  </si>
  <si>
    <t>1 (YC)</t>
  </si>
  <si>
    <t>2 (FC - YC)</t>
  </si>
  <si>
    <t>3 (FC - BC - YC)</t>
  </si>
  <si>
    <r>
      <t>n</t>
    </r>
    <r>
      <rPr>
        <b/>
        <vertAlign val="subscript"/>
        <sz val="10"/>
        <rFont val="Arial"/>
        <family val="2"/>
      </rPr>
      <t>classes</t>
    </r>
  </si>
  <si>
    <t>[Nm]</t>
  </si>
  <si>
    <t>w9</t>
  </si>
  <si>
    <t>delta x right</t>
  </si>
  <si>
    <t>delta x middle</t>
  </si>
  <si>
    <t>delta x left</t>
  </si>
  <si>
    <t>w up</t>
  </si>
  <si>
    <t>wdown</t>
  </si>
  <si>
    <t>wup2</t>
  </si>
  <si>
    <t>tup</t>
  </si>
  <si>
    <t>tdown</t>
  </si>
  <si>
    <t>x position</t>
  </si>
  <si>
    <t>tcenter</t>
  </si>
  <si>
    <t>hup2</t>
  </si>
  <si>
    <t>automatic seatrails positionning</t>
  </si>
  <si>
    <t>saved values :</t>
  </si>
  <si>
    <t>Aisle dimensions (Economy Class)</t>
  </si>
  <si>
    <t>Cross section dimensions (from Economy Class)</t>
  </si>
  <si>
    <t>I</t>
  </si>
  <si>
    <t>None</t>
  </si>
  <si>
    <t>Verification of monuments</t>
  </si>
  <si>
    <t>Waterline</t>
  </si>
  <si>
    <t>FUSELAGE_l_cabin</t>
  </si>
  <si>
    <t>FUSELAGE_l_fuselage</t>
  </si>
  <si>
    <t>[cm]</t>
  </si>
  <si>
    <t>Number of galleys</t>
  </si>
  <si>
    <t>Nose length</t>
  </si>
  <si>
    <t>Schmitt : number of classes suggestion</t>
  </si>
  <si>
    <r>
      <t>n</t>
    </r>
    <r>
      <rPr>
        <b/>
        <vertAlign val="subscript"/>
        <sz val="10"/>
        <rFont val="Arial"/>
        <family val="2"/>
      </rPr>
      <t>pax, FC</t>
    </r>
  </si>
  <si>
    <t>Seat pitch</t>
  </si>
  <si>
    <r>
      <t>l</t>
    </r>
    <r>
      <rPr>
        <b/>
        <vertAlign val="subscript"/>
        <sz val="10"/>
        <rFont val="Arial"/>
        <family val="2"/>
      </rPr>
      <t>nose</t>
    </r>
    <r>
      <rPr>
        <b/>
        <sz val="10"/>
        <rFont val="Arial"/>
        <family val="2"/>
      </rPr>
      <t>/d</t>
    </r>
    <r>
      <rPr>
        <b/>
        <vertAlign val="subscript"/>
        <sz val="10"/>
        <rFont val="Arial"/>
        <family val="2"/>
      </rPr>
      <t>f</t>
    </r>
  </si>
  <si>
    <t>old value :</t>
  </si>
  <si>
    <t>old value:</t>
  </si>
  <si>
    <t>D</t>
  </si>
  <si>
    <t>X axis</t>
  </si>
  <si>
    <t>Y axis</t>
  </si>
  <si>
    <t>RESULTS</t>
  </si>
  <si>
    <r>
      <t>w</t>
    </r>
    <r>
      <rPr>
        <vertAlign val="subscript"/>
        <sz val="10"/>
        <rFont val="Arial"/>
        <family val="2"/>
      </rPr>
      <t>cushion,FC</t>
    </r>
  </si>
  <si>
    <t>Seat dimensions, First class</t>
  </si>
  <si>
    <t>Seat dimensions, Business class</t>
  </si>
  <si>
    <r>
      <t>w</t>
    </r>
    <r>
      <rPr>
        <vertAlign val="subscript"/>
        <sz val="10"/>
        <rFont val="Arial"/>
        <family val="2"/>
      </rPr>
      <t>cushion,BC</t>
    </r>
  </si>
  <si>
    <r>
      <t>w</t>
    </r>
    <r>
      <rPr>
        <vertAlign val="subscript"/>
        <sz val="10"/>
        <rFont val="Arial"/>
        <family val="2"/>
      </rPr>
      <t>armrest,FC</t>
    </r>
  </si>
  <si>
    <r>
      <t>w</t>
    </r>
    <r>
      <rPr>
        <vertAlign val="subscript"/>
        <sz val="10"/>
        <rFont val="Arial"/>
        <family val="2"/>
      </rPr>
      <t>armrest,BC</t>
    </r>
  </si>
  <si>
    <r>
      <t>w</t>
    </r>
    <r>
      <rPr>
        <vertAlign val="subscript"/>
        <sz val="10"/>
        <rFont val="Arial"/>
        <family val="2"/>
      </rPr>
      <t>cushion,YC</t>
    </r>
  </si>
  <si>
    <r>
      <t>w</t>
    </r>
    <r>
      <rPr>
        <vertAlign val="subscript"/>
        <sz val="10"/>
        <rFont val="Arial"/>
        <family val="2"/>
      </rPr>
      <t>armrest,YC</t>
    </r>
  </si>
  <si>
    <t>y pos left seat</t>
  </si>
  <si>
    <t>Seat length</t>
  </si>
  <si>
    <r>
      <t>l</t>
    </r>
    <r>
      <rPr>
        <vertAlign val="subscript"/>
        <sz val="10"/>
        <rFont val="Arial"/>
        <family val="2"/>
      </rPr>
      <t>seat,YC</t>
    </r>
  </si>
  <si>
    <r>
      <t>l</t>
    </r>
    <r>
      <rPr>
        <vertAlign val="subscript"/>
        <sz val="10"/>
        <rFont val="Arial"/>
        <family val="2"/>
      </rPr>
      <t>seat,FC</t>
    </r>
  </si>
  <si>
    <r>
      <t>l</t>
    </r>
    <r>
      <rPr>
        <vertAlign val="subscript"/>
        <sz val="10"/>
        <rFont val="Arial"/>
        <family val="2"/>
      </rPr>
      <t>seat,BC</t>
    </r>
  </si>
  <si>
    <t>Schmitt : number of BC lavatories suggestion</t>
  </si>
  <si>
    <t>Schmitt : number of YC lavatories suggestion</t>
  </si>
  <si>
    <t>Hatracks (used in drawing)</t>
  </si>
  <si>
    <t>Hatracks without central one</t>
  </si>
  <si>
    <t>Hatracks with central one</t>
  </si>
  <si>
    <r>
      <t>l</t>
    </r>
    <r>
      <rPr>
        <b/>
        <vertAlign val="subscript"/>
        <sz val="10"/>
        <rFont val="Arial"/>
        <family val="2"/>
      </rPr>
      <t>lavatory</t>
    </r>
  </si>
  <si>
    <r>
      <t>S</t>
    </r>
    <r>
      <rPr>
        <b/>
        <vertAlign val="subscript"/>
        <sz val="10"/>
        <rFont val="Arial"/>
        <family val="2"/>
      </rPr>
      <t>galley,FC</t>
    </r>
  </si>
  <si>
    <r>
      <t>S</t>
    </r>
    <r>
      <rPr>
        <b/>
        <vertAlign val="subscript"/>
        <sz val="10"/>
        <rFont val="Arial"/>
        <family val="2"/>
      </rPr>
      <t>galley,BC</t>
    </r>
  </si>
  <si>
    <r>
      <t>S</t>
    </r>
    <r>
      <rPr>
        <b/>
        <vertAlign val="subscript"/>
        <sz val="10"/>
        <rFont val="Arial"/>
        <family val="2"/>
      </rPr>
      <t>galley,YC</t>
    </r>
  </si>
  <si>
    <t>Seat dimensions, economy class</t>
  </si>
  <si>
    <t>Seat rails</t>
  </si>
  <si>
    <t>Number of seat rails, right aisle</t>
  </si>
  <si>
    <t>Number of seat rails, middle aisle</t>
  </si>
  <si>
    <t>Number of seat rails, left aisle</t>
  </si>
  <si>
    <t>Distance between two seat rails, right aisle</t>
  </si>
  <si>
    <t>Distance between two seat rails, middle aisle</t>
  </si>
  <si>
    <t>Distance between two seat rails, left aisle</t>
  </si>
  <si>
    <t>SEAT_w_armrest_YC</t>
  </si>
  <si>
    <t>SEAT_h_armrest_top</t>
  </si>
  <si>
    <t xml:space="preserve">NACA 65-210        </t>
  </si>
  <si>
    <t>FUSELAGE_nseats_middle_FC</t>
  </si>
  <si>
    <t>FUSELAGE_nseats_left_FC</t>
  </si>
  <si>
    <t>FUSELAGE_nseats_right_BC</t>
  </si>
  <si>
    <t>FUSELAGE_nseats_middle_BC</t>
  </si>
  <si>
    <t>FUSELAGE_nseats_left_BC</t>
  </si>
  <si>
    <t>FUSELAGE_nseats_right_YC</t>
  </si>
  <si>
    <t>FUSELAGE_nseats_middle_YC</t>
  </si>
  <si>
    <t>FUSELAGE_nseats_left_YC</t>
  </si>
  <si>
    <t>FUSELAGE_use_side_seatrails</t>
  </si>
  <si>
    <t>FUSELAGE_automatic_seatrails_positionning</t>
  </si>
  <si>
    <t>FUSELAGE_nrails_right</t>
  </si>
  <si>
    <t>FUSELAGE_nrails_middle</t>
  </si>
  <si>
    <t>FUSELAGE_nrails_left</t>
  </si>
  <si>
    <t>FUSELAGE_hside_seatrail</t>
  </si>
  <si>
    <t>FUSELAGE_drails_right</t>
  </si>
  <si>
    <t>FUSELAGE_drails_middle</t>
  </si>
  <si>
    <t>FUSELAGE_drails_left</t>
  </si>
  <si>
    <t>FUSELAGE_delta_yrails_right</t>
  </si>
  <si>
    <t>FUSELAGE_delta_yrails_left</t>
  </si>
  <si>
    <t>FUSELAGE_n_lavatories_FC</t>
  </si>
  <si>
    <t>FUSELAGE_n_lavatories_BC</t>
  </si>
  <si>
    <t>FUSELAGE_n_lavatories_YC</t>
  </si>
  <si>
    <t>FUSELAGE_l_lavatory</t>
  </si>
  <si>
    <t>FUSELAGE_w_lavatory</t>
  </si>
  <si>
    <t>FUSELAGE_l_galley_FC</t>
  </si>
  <si>
    <r>
      <t>m</t>
    </r>
    <r>
      <rPr>
        <b/>
        <vertAlign val="subscript"/>
        <sz val="10"/>
        <rFont val="Arial"/>
        <family val="2"/>
      </rPr>
      <t>cargo</t>
    </r>
  </si>
  <si>
    <t>Lower deck height</t>
  </si>
  <si>
    <r>
      <t>h</t>
    </r>
    <r>
      <rPr>
        <vertAlign val="subscript"/>
        <sz val="10"/>
        <rFont val="Arial"/>
        <family val="2"/>
      </rPr>
      <t>ld</t>
    </r>
  </si>
  <si>
    <t>5.</t>
  </si>
  <si>
    <t>Shoulder breadth</t>
  </si>
  <si>
    <r>
      <t>w</t>
    </r>
    <r>
      <rPr>
        <vertAlign val="subscript"/>
        <sz val="10"/>
        <rFont val="Arial"/>
        <family val="2"/>
      </rPr>
      <t>shoulder</t>
    </r>
  </si>
  <si>
    <t>Eye height, sitting</t>
  </si>
  <si>
    <r>
      <t>Δy</t>
    </r>
    <r>
      <rPr>
        <vertAlign val="subscript"/>
        <sz val="10"/>
        <rFont val="Arial"/>
        <family val="2"/>
      </rPr>
      <t>eye</t>
    </r>
  </si>
  <si>
    <t>Head to wall clearance</t>
  </si>
  <si>
    <t>Shoulder to wall clearance</t>
  </si>
  <si>
    <t>Choose a container type</t>
  </si>
  <si>
    <r>
      <t>h</t>
    </r>
    <r>
      <rPr>
        <vertAlign val="subscript"/>
        <sz val="10"/>
        <rFont val="Arial"/>
        <family val="2"/>
      </rPr>
      <t>aisle</t>
    </r>
  </si>
  <si>
    <r>
      <t>d</t>
    </r>
    <r>
      <rPr>
        <vertAlign val="subscript"/>
        <sz val="10"/>
        <rFont val="Arial"/>
        <family val="2"/>
      </rPr>
      <t>hw</t>
    </r>
  </si>
  <si>
    <r>
      <t>d</t>
    </r>
    <r>
      <rPr>
        <vertAlign val="subscript"/>
        <sz val="10"/>
        <rFont val="Arial"/>
        <family val="2"/>
      </rPr>
      <t>sw</t>
    </r>
  </si>
  <si>
    <r>
      <t>D</t>
    </r>
    <r>
      <rPr>
        <b/>
        <sz val="10"/>
        <rFont val="Arial"/>
        <family val="2"/>
      </rPr>
      <t>z</t>
    </r>
    <r>
      <rPr>
        <b/>
        <vertAlign val="subscript"/>
        <sz val="10"/>
        <rFont val="Arial"/>
        <family val="2"/>
      </rPr>
      <t>floor</t>
    </r>
  </si>
  <si>
    <r>
      <t>w</t>
    </r>
    <r>
      <rPr>
        <vertAlign val="subscript"/>
        <sz val="10"/>
        <rFont val="Arial"/>
        <family val="2"/>
      </rPr>
      <t>aisle</t>
    </r>
  </si>
  <si>
    <t>First class seats, left aisle</t>
  </si>
  <si>
    <t>Check : First class seats abreast</t>
  </si>
  <si>
    <t>Business class seats, right aisle</t>
  </si>
  <si>
    <t>Business class seats, middle aisle</t>
  </si>
  <si>
    <t>Business class seats, left aisle</t>
  </si>
  <si>
    <t>Check : Business class seats abreast</t>
  </si>
  <si>
    <t xml:space="preserve">Display </t>
  </si>
  <si>
    <t>Economy class</t>
  </si>
  <si>
    <t>display :</t>
  </si>
  <si>
    <r>
      <t>n</t>
    </r>
    <r>
      <rPr>
        <b/>
        <vertAlign val="subscript"/>
        <sz val="10"/>
        <rFont val="Arial"/>
        <family val="2"/>
      </rPr>
      <t>seats,right</t>
    </r>
  </si>
  <si>
    <t>Center Monuments:</t>
  </si>
  <si>
    <t>1.</t>
  </si>
  <si>
    <t>YC</t>
  </si>
  <si>
    <t>%</t>
  </si>
  <si>
    <t>Cushion thickness</t>
  </si>
  <si>
    <r>
      <t>t</t>
    </r>
    <r>
      <rPr>
        <vertAlign val="subscript"/>
        <sz val="10"/>
        <rFont val="Arial"/>
        <family val="2"/>
      </rPr>
      <t>cushion</t>
    </r>
  </si>
  <si>
    <t>Schmitt : number of YC seats suggestion</t>
  </si>
  <si>
    <t>&lt;&lt;&lt;&lt;&lt;</t>
  </si>
  <si>
    <t>&gt;&gt;&gt;&gt;&gt;</t>
  </si>
  <si>
    <t>Cross section</t>
  </si>
  <si>
    <t>Configuration of classes</t>
  </si>
  <si>
    <t>Cushion width</t>
  </si>
  <si>
    <t>Backrest height</t>
  </si>
  <si>
    <t>Proportion of fuselage length used for cargo</t>
  </si>
  <si>
    <r>
      <t>k</t>
    </r>
    <r>
      <rPr>
        <b/>
        <vertAlign val="subscript"/>
        <sz val="10"/>
        <rFont val="Arial"/>
        <family val="2"/>
      </rPr>
      <t>CC</t>
    </r>
  </si>
  <si>
    <t>Cross section of the cargo compartment</t>
  </si>
  <si>
    <r>
      <t>S</t>
    </r>
    <r>
      <rPr>
        <b/>
        <vertAlign val="subscript"/>
        <sz val="10"/>
        <rFont val="Arial"/>
        <family val="2"/>
      </rPr>
      <t>CC</t>
    </r>
  </si>
  <si>
    <r>
      <t>[m</t>
    </r>
    <r>
      <rPr>
        <vertAlign val="superscript"/>
        <sz val="10"/>
        <rFont val="Arial"/>
        <family val="2"/>
      </rPr>
      <t>2</t>
    </r>
    <r>
      <rPr>
        <sz val="10"/>
        <rFont val="Arial"/>
        <family val="2"/>
      </rPr>
      <t>]</t>
    </r>
  </si>
  <si>
    <t>Floor lowering from horiz. fuselage symmetry</t>
  </si>
  <si>
    <t>Number of lavatories, business class</t>
  </si>
  <si>
    <t>is side rail</t>
  </si>
  <si>
    <t>Side seatrail height</t>
  </si>
  <si>
    <r>
      <t>h</t>
    </r>
    <r>
      <rPr>
        <b/>
        <vertAlign val="subscript"/>
        <sz val="10"/>
        <rFont val="Arial"/>
        <family val="2"/>
      </rPr>
      <t>side seatrail</t>
    </r>
  </si>
  <si>
    <t>y position</t>
  </si>
  <si>
    <t xml:space="preserve">Right SideSeatrail </t>
  </si>
  <si>
    <t xml:space="preserve">Left SideSeatrail </t>
  </si>
  <si>
    <t>angle</t>
  </si>
  <si>
    <t>Seat</t>
  </si>
  <si>
    <t>Pitch left monument</t>
  </si>
  <si>
    <t>Pitch center monument</t>
  </si>
  <si>
    <t>Left monument</t>
  </si>
  <si>
    <t>Right monument</t>
  </si>
  <si>
    <t>Center monument</t>
  </si>
  <si>
    <t>Pitch row</t>
  </si>
  <si>
    <t>Delta x row</t>
  </si>
  <si>
    <t>Seat abreast left</t>
  </si>
  <si>
    <t>Seat abreast center</t>
  </si>
  <si>
    <t>Left monument length</t>
  </si>
  <si>
    <t>Left monument width</t>
  </si>
  <si>
    <t>Length</t>
  </si>
  <si>
    <t>Width</t>
  </si>
  <si>
    <t>Right monument length</t>
  </si>
  <si>
    <t>Center monument length</t>
  </si>
  <si>
    <t>Center monument width</t>
  </si>
  <si>
    <t>Right monument width</t>
  </si>
  <si>
    <t>Seat abreast right</t>
  </si>
  <si>
    <t>w6</t>
  </si>
  <si>
    <t>w7</t>
  </si>
  <si>
    <t>lower deck level (middle)</t>
  </si>
  <si>
    <t>Seat pitch, first class</t>
  </si>
  <si>
    <r>
      <t>pitch</t>
    </r>
    <r>
      <rPr>
        <vertAlign val="subscript"/>
        <sz val="10"/>
        <rFont val="Arial"/>
        <family val="2"/>
      </rPr>
      <t>FC</t>
    </r>
  </si>
  <si>
    <r>
      <t>pitch</t>
    </r>
    <r>
      <rPr>
        <vertAlign val="subscript"/>
        <sz val="10"/>
        <rFont val="Arial"/>
        <family val="2"/>
      </rPr>
      <t>BC</t>
    </r>
  </si>
  <si>
    <r>
      <t>pitch</t>
    </r>
    <r>
      <rPr>
        <vertAlign val="subscript"/>
        <sz val="10"/>
        <rFont val="Arial"/>
        <family val="2"/>
      </rPr>
      <t>YC</t>
    </r>
  </si>
  <si>
    <t>Seat pitch, business class</t>
  </si>
  <si>
    <r>
      <t>n</t>
    </r>
    <r>
      <rPr>
        <b/>
        <vertAlign val="subscript"/>
        <sz val="10"/>
        <rFont val="Arial"/>
        <family val="2"/>
      </rPr>
      <t>seats,middle</t>
    </r>
  </si>
  <si>
    <r>
      <t>n</t>
    </r>
    <r>
      <rPr>
        <b/>
        <vertAlign val="subscript"/>
        <sz val="10"/>
        <rFont val="Arial"/>
        <family val="2"/>
      </rPr>
      <t>seats,left</t>
    </r>
  </si>
  <si>
    <t>Number of lavatories, economy class</t>
  </si>
  <si>
    <t>Number of lavatories, first class</t>
  </si>
  <si>
    <t>Economy class seats, middle aisle</t>
  </si>
  <si>
    <t>y position of left seat</t>
  </si>
  <si>
    <r>
      <t>Δ</t>
    </r>
    <r>
      <rPr>
        <sz val="11"/>
        <color indexed="8"/>
        <rFont val="Calibri"/>
        <family val="2"/>
      </rPr>
      <t xml:space="preserve"> width seat(ground)</t>
    </r>
  </si>
  <si>
    <t>LD3-45</t>
  </si>
  <si>
    <t>LD3-45W</t>
  </si>
  <si>
    <t>LD8</t>
  </si>
  <si>
    <t>LD4</t>
  </si>
  <si>
    <t>LD6</t>
  </si>
  <si>
    <t>LD7</t>
  </si>
  <si>
    <t>LD11</t>
  </si>
  <si>
    <t>LD26</t>
  </si>
  <si>
    <t>LD29</t>
  </si>
  <si>
    <t>LD39</t>
  </si>
  <si>
    <t>Container</t>
  </si>
  <si>
    <r>
      <t>n</t>
    </r>
    <r>
      <rPr>
        <b/>
        <vertAlign val="subscript"/>
        <sz val="10"/>
        <rFont val="Arial"/>
        <family val="2"/>
      </rPr>
      <t>lavatories,FC</t>
    </r>
  </si>
  <si>
    <r>
      <t>n</t>
    </r>
    <r>
      <rPr>
        <b/>
        <vertAlign val="subscript"/>
        <sz val="10"/>
        <rFont val="Arial"/>
        <family val="2"/>
      </rPr>
      <t>lavatories,BC</t>
    </r>
  </si>
  <si>
    <r>
      <t>n</t>
    </r>
    <r>
      <rPr>
        <b/>
        <vertAlign val="subscript"/>
        <sz val="10"/>
        <rFont val="Arial"/>
        <family val="2"/>
      </rPr>
      <t>lavatories,YC</t>
    </r>
  </si>
  <si>
    <t>pax/lavatory</t>
  </si>
  <si>
    <t>R&lt;3000Nm</t>
  </si>
  <si>
    <t>3000&lt;R&lt;5500Nm</t>
  </si>
  <si>
    <t>R&gt;5500Nm</t>
  </si>
  <si>
    <r>
      <t>t</t>
    </r>
    <r>
      <rPr>
        <vertAlign val="subscript"/>
        <sz val="10"/>
        <rFont val="Arial"/>
        <family val="2"/>
      </rPr>
      <t>floor</t>
    </r>
  </si>
  <si>
    <t>Seatrails configuration</t>
  </si>
  <si>
    <t>Seat rail</t>
  </si>
  <si>
    <t>X Position</t>
  </si>
  <si>
    <t>Allowed PAX</t>
  </si>
  <si>
    <t>[% cab. length]</t>
  </si>
  <si>
    <t>Cockpit door</t>
  </si>
  <si>
    <t>head height</t>
  </si>
  <si>
    <t>Galley length</t>
  </si>
  <si>
    <t>Right wing</t>
  </si>
  <si>
    <t>Show wings</t>
  </si>
  <si>
    <t>Left wing</t>
  </si>
  <si>
    <t>Exit</t>
  </si>
  <si>
    <t>Type I</t>
  </si>
  <si>
    <t>Type II</t>
  </si>
  <si>
    <t>Type III</t>
  </si>
  <si>
    <t>Type IV</t>
  </si>
  <si>
    <t>Type B</t>
  </si>
  <si>
    <t>Type C</t>
  </si>
  <si>
    <t>height</t>
  </si>
  <si>
    <t>Number of saved variables :</t>
  </si>
  <si>
    <t xml:space="preserve">http://www.gnu.org/licenses/ </t>
  </si>
  <si>
    <t>it under the terms of the GNU General Public License as published by</t>
  </si>
  <si>
    <t>the Free Software Foundation, License Version 3.</t>
  </si>
  <si>
    <t>MERCHANTABILITY or FITNESS FOR A PARTICULAR PURPOSE.</t>
  </si>
  <si>
    <t>See the GNU General Public License for more details.</t>
  </si>
  <si>
    <t>but WITHOUT ANY WARRANTY; without even the implied warranty of</t>
  </si>
  <si>
    <t>PreSTo - Cabin</t>
  </si>
  <si>
    <r>
      <rPr>
        <u/>
        <sz val="28"/>
        <color indexed="8"/>
        <rFont val="Calibri"/>
        <family val="2"/>
      </rPr>
      <t>Pre</t>
    </r>
    <r>
      <rPr>
        <sz val="28"/>
        <color indexed="8"/>
        <rFont val="Calibri"/>
        <family val="2"/>
      </rPr>
      <t xml:space="preserve">liminary </t>
    </r>
    <r>
      <rPr>
        <u/>
        <sz val="28"/>
        <color indexed="8"/>
        <rFont val="Calibri"/>
        <family val="2"/>
      </rPr>
      <t>S</t>
    </r>
    <r>
      <rPr>
        <sz val="28"/>
        <color indexed="8"/>
        <rFont val="Calibri"/>
        <family val="2"/>
      </rPr>
      <t xml:space="preserve">izing </t>
    </r>
    <r>
      <rPr>
        <u/>
        <sz val="28"/>
        <color indexed="8"/>
        <rFont val="Calibri"/>
        <family val="2"/>
      </rPr>
      <t>To</t>
    </r>
    <r>
      <rPr>
        <sz val="28"/>
        <color indexed="8"/>
        <rFont val="Calibri"/>
        <family val="2"/>
      </rPr>
      <t>ol for Passenger Aircraft Cabins</t>
    </r>
  </si>
  <si>
    <t>the user can design a cabin cross section and a seat layout.</t>
  </si>
  <si>
    <t>For further information, documentation and a users guide please refer to:</t>
  </si>
  <si>
    <t>http://PreSTo.ProfScholz.de</t>
  </si>
  <si>
    <t>This project is being supported by the company Bishop Gmbh, through supervision and financing of an internship for a student.</t>
  </si>
  <si>
    <t>Copyright © 2009-2010</t>
  </si>
  <si>
    <t>Effective number of PAX</t>
  </si>
  <si>
    <t>Distance between exits</t>
  </si>
  <si>
    <t>The distance is greater than the fuselage length factor</t>
  </si>
  <si>
    <t>The distance is smaller than 60 ft</t>
  </si>
  <si>
    <t>Panel front x position</t>
  </si>
  <si>
    <t>Panel width</t>
  </si>
  <si>
    <t>Panel length</t>
  </si>
  <si>
    <t>Seat width</t>
  </si>
  <si>
    <t>Cockpit configuration</t>
  </si>
  <si>
    <t>Fuselage outer equivalent diameter</t>
  </si>
  <si>
    <t>Philippe Montarnal, Kolja Seeckt, Dieter Scholz, Lucía Núñez and all students and members of the named organisations who contributed to PreSTo-Cabin</t>
  </si>
  <si>
    <t>PAX allowed</t>
  </si>
  <si>
    <t>Type A (Floor-level exit)</t>
  </si>
  <si>
    <t>Type B (Floor-level exit)</t>
  </si>
  <si>
    <t>Type C (Floor-level exit)</t>
  </si>
  <si>
    <t>Type I (Floor-level exit)</t>
  </si>
  <si>
    <t>Type II (Floor-level or over-wing exit)</t>
  </si>
  <si>
    <t>Type III (Rectangular opening)</t>
  </si>
  <si>
    <t>Type IV (Located over the wing)</t>
  </si>
  <si>
    <t>Type of exit and Location</t>
  </si>
  <si>
    <t>Size (b*h)</t>
  </si>
  <si>
    <t>0,61m*1,22m</t>
  </si>
  <si>
    <t>1,07m*1,83m</t>
  </si>
  <si>
    <t>0,51m*1,12m</t>
  </si>
  <si>
    <t>0,51m*0,91m</t>
  </si>
  <si>
    <t>0,48m*0,66m</t>
  </si>
  <si>
    <t>0,81m*1,83m</t>
  </si>
  <si>
    <t>0,76m*1,22m</t>
  </si>
  <si>
    <t xml:space="preserve"> Minimum aisle width CS 25.815</t>
  </si>
  <si>
    <t>Seat rails are positioned automatically based on</t>
  </si>
  <si>
    <t xml:space="preserve">economy class layout and these parameters: </t>
  </si>
  <si>
    <t>According to CS 25.807 (d)</t>
  </si>
  <si>
    <t>1</t>
  </si>
  <si>
    <t xml:space="preserve">PreSTo-Cabin allows the user to design the layout of cabins. From simple input parameters, such as "number of passengers", </t>
  </si>
  <si>
    <t>In order to run the program, the user must activate Macros . Whenever the user opens PreSTo-Cabin, a pop-up will appear asking</t>
  </si>
  <si>
    <t>Verification of cargo compartment volume (Nita 2010)</t>
  </si>
  <si>
    <t>Resulting number of seats, first class</t>
  </si>
  <si>
    <t>Resulting number of seats, business class</t>
  </si>
  <si>
    <t>Resulting number of seats, economy class</t>
  </si>
  <si>
    <t>the user to enable Macros.</t>
  </si>
  <si>
    <t>PreSTo-Cabin is free software: you can redistribute it and/or modify</t>
  </si>
  <si>
    <t>PreSTo-Cabin is distributed in the hope that it will be useful,</t>
  </si>
  <si>
    <t>CS 25.817: Number of aisles</t>
  </si>
  <si>
    <t>Number of aisles</t>
  </si>
  <si>
    <t>Definition of Cabin Layout</t>
  </si>
  <si>
    <t>According CS 25.807 (e)(1)</t>
  </si>
  <si>
    <t>Exit distribution analysis</t>
  </si>
  <si>
    <t>According to AC 25.807-1 (6) (b) (2) (v)</t>
  </si>
  <si>
    <t>According to CS 25.807 (d)(7)</t>
  </si>
  <si>
    <t>Check of exit zones according to AC 25.807-1 (6)(b)(1)</t>
  </si>
  <si>
    <t>PreSTo-Cabin is a project by Aero - Aircraft Design and Systems Group at Hamburg University of Applied Sciences  (HAW Hamburg).</t>
  </si>
  <si>
    <t>According to CS 25.807(d)(2):</t>
  </si>
  <si>
    <t>For passenger seating configurations greater than 299 seats, each emergency exit must be</t>
  </si>
  <si>
    <t>either a Type A or a Type I.</t>
  </si>
  <si>
    <t>Check of exits positions according to AC 25.807-1 (6)(b)(2)(vi)</t>
  </si>
  <si>
    <t>Schmitt : number of FC lavatories suggestion</t>
    <phoneticPr fontId="11" type="noConversion"/>
  </si>
  <si>
    <t>First class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</si>
</sst>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000"/>
    <numFmt numFmtId="165" formatCode="0.000"/>
    <numFmt numFmtId="166" formatCode="0.0"/>
    <numFmt numFmtId="167" formatCode="0.000000"/>
  </numFmts>
  <fonts count="36">
    <font>
      <sz val="11"/>
      <color indexed="8"/>
      <name val="Calibri"/>
      <family val="2"/>
    </font>
    <font>
      <sz val="11"/>
      <color indexed="8"/>
      <name val="Calibri"/>
      <family val="2"/>
    </font>
    <font>
      <b/>
      <sz val="10"/>
      <name val="Arial"/>
      <family val="2"/>
    </font>
    <font>
      <b/>
      <vertAlign val="subscript"/>
      <sz val="10"/>
      <name val="Arial"/>
      <family val="2"/>
    </font>
    <font>
      <u/>
      <sz val="11"/>
      <color indexed="12"/>
      <name val="Calibri"/>
      <family val="2"/>
    </font>
    <font>
      <b/>
      <sz val="11"/>
      <color indexed="8"/>
      <name val="Calibri"/>
      <family val="2"/>
    </font>
    <font>
      <vertAlign val="subscript"/>
      <sz val="10"/>
      <name val="Arial"/>
      <family val="2"/>
    </font>
    <font>
      <b/>
      <sz val="12"/>
      <name val="Arial"/>
      <family val="2"/>
    </font>
    <font>
      <sz val="10"/>
      <name val="Arial"/>
      <family val="2"/>
    </font>
    <font>
      <sz val="10"/>
      <color indexed="8"/>
      <name val="Arial"/>
      <family val="2"/>
    </font>
    <font>
      <sz val="8"/>
      <name val="Arial"/>
      <family val="2"/>
    </font>
    <font>
      <sz val="8"/>
      <name val="Calibri"/>
      <family val="2"/>
    </font>
    <font>
      <b/>
      <sz val="14"/>
      <color indexed="9"/>
      <name val="Arial"/>
      <family val="2"/>
    </font>
    <font>
      <vertAlign val="superscript"/>
      <sz val="10"/>
      <name val="Arial"/>
      <family val="2"/>
    </font>
    <font>
      <sz val="8"/>
      <color indexed="81"/>
      <name val="Tahoma"/>
      <family val="2"/>
    </font>
    <font>
      <sz val="11"/>
      <color indexed="8"/>
      <name val="Arial"/>
      <family val="2"/>
    </font>
    <font>
      <b/>
      <sz val="8"/>
      <color indexed="81"/>
      <name val="Tahoma"/>
      <family val="2"/>
    </font>
    <font>
      <b/>
      <sz val="14"/>
      <name val="Arial"/>
      <family val="2"/>
    </font>
    <font>
      <b/>
      <sz val="10"/>
      <name val="Symbol"/>
      <family val="1"/>
      <charset val="2"/>
    </font>
    <font>
      <sz val="9"/>
      <name val="Arial"/>
      <family val="2"/>
    </font>
    <font>
      <b/>
      <sz val="14"/>
      <color indexed="8"/>
      <name val="Calibri"/>
      <family val="2"/>
    </font>
    <font>
      <sz val="14"/>
      <color indexed="8"/>
      <name val="Calibri"/>
      <family val="2"/>
    </font>
    <font>
      <sz val="11"/>
      <color indexed="8"/>
      <name val="Calibri"/>
      <family val="2"/>
    </font>
    <font>
      <sz val="7"/>
      <name val="Arial"/>
      <family val="2"/>
    </font>
    <font>
      <sz val="9"/>
      <color indexed="8"/>
      <name val="Calibri"/>
      <family val="2"/>
    </font>
    <font>
      <sz val="11"/>
      <color indexed="22"/>
      <name val="Calibri"/>
      <family val="2"/>
    </font>
    <font>
      <u/>
      <sz val="10"/>
      <name val="Arial"/>
      <family val="2"/>
    </font>
    <font>
      <sz val="48"/>
      <color indexed="8"/>
      <name val="Arial"/>
      <family val="2"/>
    </font>
    <font>
      <sz val="10"/>
      <color indexed="8"/>
      <name val="Arial Unicode MS"/>
      <family val="2"/>
    </font>
    <font>
      <sz val="28"/>
      <color indexed="8"/>
      <name val="Calibri"/>
      <family val="2"/>
    </font>
    <font>
      <u/>
      <sz val="28"/>
      <color indexed="8"/>
      <name val="Calibri"/>
      <family val="2"/>
    </font>
    <font>
      <sz val="8"/>
      <color indexed="81"/>
      <name val="Arial"/>
      <family val="2"/>
    </font>
    <font>
      <sz val="9"/>
      <color indexed="81"/>
      <name val="Tahoma"/>
      <family val="2"/>
    </font>
    <font>
      <u/>
      <sz val="9"/>
      <color indexed="81"/>
      <name val="Tahoma"/>
      <family val="2"/>
    </font>
    <font>
      <sz val="9"/>
      <name val="細明體"/>
      <family val="3"/>
      <charset val="136"/>
    </font>
    <font>
      <sz val="7"/>
      <color indexed="8"/>
      <name val="Arial Unicode MS"/>
      <family val="2"/>
    </font>
  </fonts>
  <fills count="15">
    <fill>
      <patternFill patternType="none"/>
    </fill>
    <fill>
      <patternFill patternType="gray125"/>
    </fill>
    <fill>
      <patternFill patternType="solid">
        <fgColor indexed="22"/>
        <bgColor indexed="64"/>
      </patternFill>
    </fill>
    <fill>
      <patternFill patternType="solid">
        <fgColor indexed="55"/>
        <bgColor indexed="64"/>
      </patternFill>
    </fill>
    <fill>
      <patternFill patternType="solid">
        <fgColor indexed="23"/>
        <bgColor indexed="64"/>
      </patternFill>
    </fill>
    <fill>
      <patternFill patternType="solid">
        <fgColor indexed="9"/>
        <bgColor indexed="64"/>
      </patternFill>
    </fill>
    <fill>
      <patternFill patternType="solid">
        <fgColor indexed="8"/>
        <bgColor indexed="64"/>
      </patternFill>
    </fill>
    <fill>
      <patternFill patternType="solid">
        <fgColor indexed="11"/>
        <bgColor indexed="64"/>
      </patternFill>
    </fill>
    <fill>
      <patternFill patternType="solid">
        <fgColor indexed="13"/>
        <bgColor indexed="64"/>
      </patternFill>
    </fill>
    <fill>
      <patternFill patternType="solid">
        <fgColor indexed="10"/>
        <bgColor indexed="64"/>
      </patternFill>
    </fill>
    <fill>
      <patternFill patternType="solid">
        <fgColor theme="0" tint="-0.249977111117893"/>
        <bgColor indexed="64"/>
      </patternFill>
    </fill>
    <fill>
      <patternFill patternType="solid">
        <fgColor rgb="FFFFFFFF"/>
        <bgColor indexed="64"/>
      </patternFill>
    </fill>
    <fill>
      <patternFill patternType="solid">
        <fgColor rgb="FFC0C0C0"/>
        <bgColor indexed="64"/>
      </patternFill>
    </fill>
    <fill>
      <patternFill patternType="solid">
        <fgColor theme="0"/>
        <bgColor indexed="64"/>
      </patternFill>
    </fill>
    <fill>
      <patternFill patternType="solid">
        <fgColor rgb="FF00FF00"/>
        <bgColor indexed="64"/>
      </patternFill>
    </fill>
  </fills>
  <borders count="54">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medium">
        <color indexed="64"/>
      </top>
      <bottom/>
      <diagonal/>
    </border>
    <border>
      <left/>
      <right/>
      <top/>
      <bottom style="medium">
        <color indexed="64"/>
      </bottom>
      <diagonal/>
    </border>
    <border>
      <left/>
      <right style="medium">
        <color indexed="64"/>
      </right>
      <top/>
      <bottom/>
      <diagonal/>
    </border>
    <border>
      <left/>
      <right style="medium">
        <color indexed="64"/>
      </right>
      <top/>
      <bottom style="medium">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medium">
        <color indexed="64"/>
      </left>
      <right/>
      <top/>
      <bottom/>
      <diagonal/>
    </border>
    <border>
      <left style="medium">
        <color indexed="64"/>
      </left>
      <right/>
      <top/>
      <bottom style="medium">
        <color indexed="64"/>
      </bottom>
      <diagonal/>
    </border>
    <border>
      <left/>
      <right style="medium">
        <color indexed="64"/>
      </right>
      <top style="medium">
        <color indexed="64"/>
      </top>
      <bottom/>
      <diagonal/>
    </border>
    <border>
      <left style="thin">
        <color indexed="64"/>
      </left>
      <right/>
      <top style="thin">
        <color indexed="64"/>
      </top>
      <bottom/>
      <diagonal/>
    </border>
    <border>
      <left style="thin">
        <color indexed="64"/>
      </left>
      <right/>
      <top/>
      <bottom/>
      <diagonal/>
    </border>
    <border>
      <left/>
      <right style="thin">
        <color indexed="64"/>
      </right>
      <top/>
      <bottom/>
      <diagonal/>
    </border>
    <border>
      <left style="medium">
        <color indexed="64"/>
      </left>
      <right/>
      <top style="medium">
        <color indexed="64"/>
      </top>
      <bottom/>
      <diagonal/>
    </border>
    <border>
      <left/>
      <right/>
      <top style="medium">
        <color indexed="64"/>
      </top>
      <bottom style="medium">
        <color indexed="64"/>
      </bottom>
      <diagonal/>
    </border>
    <border>
      <left/>
      <right/>
      <top/>
      <bottom style="thin">
        <color indexed="64"/>
      </bottom>
      <diagonal/>
    </border>
    <border>
      <left style="thin">
        <color indexed="64"/>
      </left>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mediumDashed">
        <color indexed="64"/>
      </right>
      <top style="thin">
        <color indexed="64"/>
      </top>
      <bottom style="thin">
        <color indexed="64"/>
      </bottom>
      <diagonal/>
    </border>
    <border>
      <left/>
      <right/>
      <top style="thin">
        <color indexed="64"/>
      </top>
      <bottom/>
      <diagonal/>
    </border>
    <border>
      <left style="thin">
        <color indexed="64"/>
      </left>
      <right/>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style="medium">
        <color indexed="64"/>
      </right>
      <top/>
      <bottom style="thin">
        <color indexed="64"/>
      </bottom>
      <diagonal/>
    </border>
    <border>
      <left style="thin">
        <color indexed="64"/>
      </left>
      <right style="double">
        <color indexed="64"/>
      </right>
      <top style="thin">
        <color indexed="64"/>
      </top>
      <bottom style="thin">
        <color indexed="64"/>
      </bottom>
      <diagonal/>
    </border>
    <border>
      <left style="thin">
        <color indexed="64"/>
      </left>
      <right style="double">
        <color indexed="64"/>
      </right>
      <top/>
      <bottom/>
      <diagonal/>
    </border>
    <border>
      <left style="thin">
        <color indexed="64"/>
      </left>
      <right style="double">
        <color indexed="64"/>
      </right>
      <top/>
      <bottom style="thin">
        <color indexed="64"/>
      </bottom>
      <diagonal/>
    </border>
    <border>
      <left style="double">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bottom style="thin">
        <color indexed="64"/>
      </bottom>
      <diagonal/>
    </border>
    <border>
      <left/>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bottom/>
      <diagonal/>
    </border>
    <border>
      <left style="thin">
        <color indexed="64"/>
      </left>
      <right style="dashDot">
        <color indexed="64"/>
      </right>
      <top style="thin">
        <color indexed="64"/>
      </top>
      <bottom/>
      <diagonal/>
    </border>
    <border>
      <left/>
      <right style="dashDot">
        <color indexed="64"/>
      </right>
      <top style="thin">
        <color indexed="64"/>
      </top>
      <bottom/>
      <diagonal/>
    </border>
    <border>
      <left style="thin">
        <color indexed="64"/>
      </left>
      <right style="dashDot">
        <color indexed="64"/>
      </right>
      <top/>
      <bottom/>
      <diagonal/>
    </border>
    <border>
      <left/>
      <right style="dashDot">
        <color indexed="64"/>
      </right>
      <top/>
      <bottom/>
      <diagonal/>
    </border>
    <border>
      <left style="thin">
        <color indexed="64"/>
      </left>
      <right style="dashDot">
        <color indexed="64"/>
      </right>
      <top/>
      <bottom style="thin">
        <color indexed="64"/>
      </bottom>
      <diagonal/>
    </border>
    <border>
      <left/>
      <right style="dashDot">
        <color indexed="64"/>
      </right>
      <top/>
      <bottom style="thin">
        <color indexed="64"/>
      </bottom>
      <diagonal/>
    </border>
    <border>
      <left style="thin">
        <color indexed="64"/>
      </left>
      <right style="medium">
        <color indexed="64"/>
      </right>
      <top style="thin">
        <color indexed="64"/>
      </top>
      <bottom style="thin">
        <color indexed="64"/>
      </bottom>
      <diagonal/>
    </border>
  </borders>
  <cellStyleXfs count="4">
    <xf numFmtId="0" fontId="0" fillId="0" borderId="0"/>
    <xf numFmtId="165" fontId="9" fillId="2" borderId="1">
      <alignment horizontal="right" vertical="center"/>
    </xf>
    <xf numFmtId="0" fontId="8" fillId="0" borderId="0"/>
    <xf numFmtId="0" fontId="4" fillId="0" borderId="0" applyNumberFormat="0" applyFill="0" applyBorder="0" applyAlignment="0" applyProtection="0">
      <alignment vertical="top"/>
      <protection locked="0"/>
    </xf>
  </cellStyleXfs>
  <cellXfs count="337">
    <xf numFmtId="0" fontId="0" fillId="0" borderId="0" xfId="0"/>
    <xf numFmtId="2" fontId="0" fillId="0" borderId="0" xfId="0" applyNumberFormat="1"/>
    <xf numFmtId="0" fontId="0" fillId="2" borderId="0" xfId="0" applyFill="1"/>
    <xf numFmtId="0" fontId="0" fillId="3" borderId="0" xfId="0" applyFill="1"/>
    <xf numFmtId="0" fontId="0" fillId="2" borderId="2" xfId="0" applyFill="1" applyBorder="1"/>
    <xf numFmtId="0" fontId="0" fillId="0" borderId="3" xfId="0" applyBorder="1"/>
    <xf numFmtId="0" fontId="2" fillId="2" borderId="0" xfId="2" applyFont="1" applyFill="1" applyAlignment="1">
      <alignment horizontal="left" vertical="center"/>
    </xf>
    <xf numFmtId="0" fontId="2" fillId="2" borderId="0" xfId="2" applyFont="1" applyFill="1" applyAlignment="1">
      <alignment horizontal="center" vertical="center"/>
    </xf>
    <xf numFmtId="0" fontId="8" fillId="2" borderId="0" xfId="2" applyFill="1" applyAlignment="1">
      <alignment horizontal="center" vertical="center"/>
    </xf>
    <xf numFmtId="0" fontId="2" fillId="2" borderId="0" xfId="0" applyFont="1" applyFill="1" applyAlignment="1">
      <alignment horizontal="center" vertical="center"/>
    </xf>
    <xf numFmtId="0" fontId="2" fillId="2" borderId="4" xfId="0" applyFont="1" applyFill="1" applyBorder="1" applyAlignment="1">
      <alignment horizontal="center" vertical="center"/>
    </xf>
    <xf numFmtId="0" fontId="2" fillId="2" borderId="5" xfId="0" applyFont="1" applyFill="1" applyBorder="1" applyAlignment="1">
      <alignment horizontal="center" vertical="center"/>
    </xf>
    <xf numFmtId="0" fontId="8" fillId="2" borderId="0" xfId="0" applyFont="1" applyFill="1" applyAlignment="1">
      <alignment vertical="center"/>
    </xf>
    <xf numFmtId="0" fontId="2" fillId="4" borderId="0" xfId="0" applyFont="1" applyFill="1" applyAlignment="1">
      <alignment vertical="center"/>
    </xf>
    <xf numFmtId="0" fontId="9" fillId="2" borderId="0" xfId="0" applyFont="1" applyFill="1" applyAlignment="1">
      <alignment horizontal="center" vertical="center"/>
    </xf>
    <xf numFmtId="2" fontId="8" fillId="2" borderId="0" xfId="2" applyNumberFormat="1" applyFill="1" applyAlignment="1">
      <alignment vertical="center"/>
    </xf>
    <xf numFmtId="0" fontId="8" fillId="2" borderId="0" xfId="2" applyFill="1" applyAlignment="1">
      <alignment horizontal="left" vertical="center"/>
    </xf>
    <xf numFmtId="1" fontId="8" fillId="2" borderId="0" xfId="2" applyNumberFormat="1" applyFill="1" applyAlignment="1">
      <alignment horizontal="center" vertical="center"/>
    </xf>
    <xf numFmtId="0" fontId="8" fillId="2" borderId="0" xfId="2" applyFill="1" applyAlignment="1">
      <alignment horizontal="right" vertical="center"/>
    </xf>
    <xf numFmtId="0" fontId="15" fillId="0" borderId="0" xfId="0" applyFont="1"/>
    <xf numFmtId="0" fontId="9" fillId="2" borderId="0" xfId="0" applyFont="1" applyFill="1"/>
    <xf numFmtId="0" fontId="9" fillId="2" borderId="0" xfId="0" applyFont="1" applyFill="1" applyAlignment="1">
      <alignment vertical="center"/>
    </xf>
    <xf numFmtId="0" fontId="9" fillId="2" borderId="0" xfId="0" applyFont="1" applyFill="1" applyAlignment="1">
      <alignment horizontal="right" vertical="center"/>
    </xf>
    <xf numFmtId="165" fontId="9" fillId="2" borderId="1" xfId="0" applyNumberFormat="1" applyFont="1" applyFill="1" applyBorder="1" applyAlignment="1">
      <alignment horizontal="right" vertical="center"/>
    </xf>
    <xf numFmtId="0" fontId="9" fillId="2" borderId="1" xfId="0" applyFont="1" applyFill="1" applyBorder="1" applyAlignment="1">
      <alignment horizontal="right" vertical="center"/>
    </xf>
    <xf numFmtId="2" fontId="9" fillId="2" borderId="1" xfId="0" applyNumberFormat="1" applyFont="1" applyFill="1" applyBorder="1" applyAlignment="1">
      <alignment horizontal="right" vertical="center"/>
    </xf>
    <xf numFmtId="1" fontId="9" fillId="2" borderId="1" xfId="0" applyNumberFormat="1" applyFont="1" applyFill="1" applyBorder="1" applyAlignment="1">
      <alignment horizontal="right" vertical="center"/>
    </xf>
    <xf numFmtId="0" fontId="9" fillId="0" borderId="0" xfId="0" applyFont="1"/>
    <xf numFmtId="0" fontId="9" fillId="5" borderId="1" xfId="0" applyFont="1" applyFill="1" applyBorder="1" applyAlignment="1">
      <alignment vertical="center"/>
    </xf>
    <xf numFmtId="0" fontId="9" fillId="2" borderId="4" xfId="0" applyFont="1" applyFill="1" applyBorder="1" applyAlignment="1">
      <alignment vertical="center"/>
    </xf>
    <xf numFmtId="0" fontId="9" fillId="2" borderId="6" xfId="0" applyFont="1" applyFill="1" applyBorder="1" applyAlignment="1">
      <alignment vertical="center"/>
    </xf>
    <xf numFmtId="0" fontId="9" fillId="5" borderId="1" xfId="0" applyFont="1" applyFill="1" applyBorder="1" applyAlignment="1">
      <alignment horizontal="center" vertical="center"/>
    </xf>
    <xf numFmtId="0" fontId="9" fillId="2" borderId="5" xfId="0" applyFont="1" applyFill="1" applyBorder="1" applyAlignment="1">
      <alignment vertical="center"/>
    </xf>
    <xf numFmtId="0" fontId="9" fillId="2" borderId="7" xfId="0" applyFont="1" applyFill="1" applyBorder="1" applyAlignment="1">
      <alignment vertical="center"/>
    </xf>
    <xf numFmtId="2" fontId="9" fillId="5" borderId="1" xfId="0" applyNumberFormat="1" applyFont="1" applyFill="1" applyBorder="1" applyAlignment="1">
      <alignment horizontal="right" vertical="center"/>
    </xf>
    <xf numFmtId="0" fontId="9" fillId="2" borderId="0" xfId="0" applyFont="1" applyFill="1" applyAlignment="1">
      <alignment horizontal="left"/>
    </xf>
    <xf numFmtId="0" fontId="9" fillId="2" borderId="8" xfId="0" applyFont="1" applyFill="1" applyBorder="1" applyAlignment="1">
      <alignment horizontal="left"/>
    </xf>
    <xf numFmtId="0" fontId="8" fillId="2" borderId="0" xfId="2" applyFill="1" applyAlignment="1">
      <alignment vertical="center"/>
    </xf>
    <xf numFmtId="1" fontId="8" fillId="2" borderId="0" xfId="2" applyNumberFormat="1" applyFill="1" applyAlignment="1">
      <alignment vertical="center"/>
    </xf>
    <xf numFmtId="0" fontId="12" fillId="6" borderId="0" xfId="2" applyFont="1" applyFill="1" applyAlignment="1">
      <alignment horizontal="left" vertical="center"/>
    </xf>
    <xf numFmtId="0" fontId="12" fillId="6" borderId="0" xfId="2" applyFont="1" applyFill="1" applyAlignment="1">
      <alignment vertical="center"/>
    </xf>
    <xf numFmtId="0" fontId="12" fillId="6" borderId="0" xfId="2" applyFont="1" applyFill="1" applyAlignment="1">
      <alignment horizontal="center" vertical="center"/>
    </xf>
    <xf numFmtId="0" fontId="12" fillId="6" borderId="0" xfId="2" applyFont="1" applyFill="1" applyAlignment="1">
      <alignment horizontal="right" vertical="center"/>
    </xf>
    <xf numFmtId="2" fontId="12" fillId="6" borderId="0" xfId="2" applyNumberFormat="1" applyFont="1" applyFill="1" applyAlignment="1">
      <alignment vertical="center"/>
    </xf>
    <xf numFmtId="0" fontId="2" fillId="4" borderId="0" xfId="2" applyFont="1" applyFill="1" applyAlignment="1">
      <alignment horizontal="center" vertical="center"/>
    </xf>
    <xf numFmtId="0" fontId="2" fillId="4" borderId="0" xfId="2" applyFont="1" applyFill="1" applyAlignment="1">
      <alignment horizontal="left" vertical="center"/>
    </xf>
    <xf numFmtId="0" fontId="2" fillId="4" borderId="0" xfId="2" applyFont="1" applyFill="1" applyAlignment="1">
      <alignment horizontal="right" vertical="center"/>
    </xf>
    <xf numFmtId="2" fontId="2" fillId="4" borderId="0" xfId="2" applyNumberFormat="1" applyFont="1" applyFill="1" applyAlignment="1">
      <alignment vertical="center"/>
    </xf>
    <xf numFmtId="0" fontId="2" fillId="4" borderId="0" xfId="2" applyFont="1" applyFill="1" applyAlignment="1">
      <alignment vertical="center"/>
    </xf>
    <xf numFmtId="3" fontId="2" fillId="4" borderId="0" xfId="2" applyNumberFormat="1" applyFont="1" applyFill="1" applyAlignment="1">
      <alignment vertical="center"/>
    </xf>
    <xf numFmtId="0" fontId="8" fillId="2" borderId="9" xfId="2" applyFill="1" applyBorder="1" applyAlignment="1">
      <alignment vertical="center"/>
    </xf>
    <xf numFmtId="2" fontId="8" fillId="5" borderId="1" xfId="2" applyNumberFormat="1" applyFill="1" applyBorder="1" applyAlignment="1">
      <alignment horizontal="right" vertical="center"/>
    </xf>
    <xf numFmtId="0" fontId="8" fillId="2" borderId="10" xfId="2" applyFill="1" applyBorder="1" applyAlignment="1">
      <alignment vertical="center"/>
    </xf>
    <xf numFmtId="0" fontId="8" fillId="2" borderId="11" xfId="2" applyFill="1" applyBorder="1" applyAlignment="1">
      <alignment vertical="center"/>
    </xf>
    <xf numFmtId="0" fontId="8" fillId="2" borderId="11" xfId="2" applyFill="1" applyBorder="1" applyAlignment="1">
      <alignment horizontal="center" vertical="center"/>
    </xf>
    <xf numFmtId="0" fontId="8" fillId="2" borderId="12" xfId="2" applyFill="1" applyBorder="1" applyAlignment="1">
      <alignment vertical="center"/>
    </xf>
    <xf numFmtId="2" fontId="9" fillId="2" borderId="0" xfId="0" applyNumberFormat="1" applyFont="1" applyFill="1" applyAlignment="1">
      <alignment horizontal="right" vertical="center"/>
    </xf>
    <xf numFmtId="0" fontId="8" fillId="2" borderId="4" xfId="2" applyFill="1" applyBorder="1" applyAlignment="1">
      <alignment horizontal="center" vertical="center"/>
    </xf>
    <xf numFmtId="0" fontId="8" fillId="2" borderId="4" xfId="2" applyFill="1" applyBorder="1" applyAlignment="1">
      <alignment horizontal="right" vertical="center"/>
    </xf>
    <xf numFmtId="0" fontId="8" fillId="2" borderId="4" xfId="2" applyFill="1" applyBorder="1" applyAlignment="1">
      <alignment vertical="center"/>
    </xf>
    <xf numFmtId="0" fontId="8" fillId="2" borderId="4" xfId="2" applyFill="1" applyBorder="1" applyAlignment="1">
      <alignment horizontal="left" vertical="center"/>
    </xf>
    <xf numFmtId="0" fontId="8" fillId="2" borderId="13" xfId="2" applyFill="1" applyBorder="1" applyAlignment="1">
      <alignment horizontal="left" vertical="center"/>
    </xf>
    <xf numFmtId="0" fontId="8" fillId="2" borderId="6" xfId="2" applyFill="1" applyBorder="1" applyAlignment="1">
      <alignment horizontal="left" vertical="center"/>
    </xf>
    <xf numFmtId="0" fontId="8" fillId="2" borderId="6" xfId="2" applyFill="1" applyBorder="1" applyAlignment="1">
      <alignment vertical="center"/>
    </xf>
    <xf numFmtId="0" fontId="8" fillId="2" borderId="6" xfId="2" applyFill="1" applyBorder="1" applyAlignment="1">
      <alignment horizontal="center" vertical="center"/>
    </xf>
    <xf numFmtId="0" fontId="8" fillId="2" borderId="14" xfId="2" applyFill="1" applyBorder="1" applyAlignment="1">
      <alignment horizontal="left" vertical="center"/>
    </xf>
    <xf numFmtId="0" fontId="8" fillId="2" borderId="5" xfId="2" applyFill="1" applyBorder="1" applyAlignment="1">
      <alignment horizontal="left" vertical="center"/>
    </xf>
    <xf numFmtId="0" fontId="8" fillId="2" borderId="5" xfId="2" applyFill="1" applyBorder="1" applyAlignment="1">
      <alignment horizontal="center" vertical="center"/>
    </xf>
    <xf numFmtId="0" fontId="8" fillId="2" borderId="5" xfId="2" applyFill="1" applyBorder="1" applyAlignment="1">
      <alignment vertical="center"/>
    </xf>
    <xf numFmtId="0" fontId="8" fillId="2" borderId="7" xfId="2" applyFill="1" applyBorder="1" applyAlignment="1">
      <alignment vertical="center"/>
    </xf>
    <xf numFmtId="0" fontId="18" fillId="2" borderId="0" xfId="2" applyFont="1" applyFill="1" applyAlignment="1">
      <alignment horizontal="center" vertical="center"/>
    </xf>
    <xf numFmtId="0" fontId="8" fillId="5" borderId="1" xfId="2" applyFill="1" applyBorder="1" applyAlignment="1">
      <alignment horizontal="center" vertical="center"/>
    </xf>
    <xf numFmtId="0" fontId="8" fillId="2" borderId="1" xfId="2" applyFill="1" applyBorder="1" applyAlignment="1">
      <alignment horizontal="center" vertical="center"/>
    </xf>
    <xf numFmtId="1" fontId="8" fillId="5" borderId="1" xfId="2" applyNumberFormat="1" applyFill="1" applyBorder="1" applyAlignment="1">
      <alignment horizontal="right" vertical="center"/>
    </xf>
    <xf numFmtId="0" fontId="8" fillId="2" borderId="15" xfId="2" applyFill="1" applyBorder="1" applyAlignment="1">
      <alignment vertical="center"/>
    </xf>
    <xf numFmtId="0" fontId="8" fillId="2" borderId="16" xfId="2" applyFill="1" applyBorder="1" applyAlignment="1">
      <alignment vertical="center"/>
    </xf>
    <xf numFmtId="0" fontId="8" fillId="2" borderId="17" xfId="2" applyFill="1" applyBorder="1" applyAlignment="1">
      <alignment vertical="center"/>
    </xf>
    <xf numFmtId="0" fontId="8" fillId="2" borderId="18" xfId="2" applyFill="1" applyBorder="1" applyAlignment="1">
      <alignment vertical="center"/>
    </xf>
    <xf numFmtId="0" fontId="8" fillId="2" borderId="17" xfId="2" applyFill="1" applyBorder="1" applyAlignment="1">
      <alignment horizontal="center" vertical="center"/>
    </xf>
    <xf numFmtId="2" fontId="12" fillId="6" borderId="0" xfId="2" applyNumberFormat="1" applyFont="1" applyFill="1" applyAlignment="1">
      <alignment horizontal="center" vertical="center"/>
    </xf>
    <xf numFmtId="2" fontId="2" fillId="4" borderId="0" xfId="2" applyNumberFormat="1" applyFont="1" applyFill="1" applyAlignment="1">
      <alignment horizontal="center" vertical="center"/>
    </xf>
    <xf numFmtId="2" fontId="2" fillId="2" borderId="0" xfId="2" applyNumberFormat="1" applyFont="1" applyFill="1" applyAlignment="1">
      <alignment horizontal="center" vertical="center"/>
    </xf>
    <xf numFmtId="0" fontId="5" fillId="0" borderId="0" xfId="0" applyFont="1" applyAlignment="1">
      <alignment horizontal="center"/>
    </xf>
    <xf numFmtId="1" fontId="9" fillId="5" borderId="1" xfId="0" applyNumberFormat="1" applyFont="1" applyFill="1" applyBorder="1" applyAlignment="1">
      <alignment horizontal="right" vertical="center"/>
    </xf>
    <xf numFmtId="1" fontId="9" fillId="2" borderId="0" xfId="0" applyNumberFormat="1" applyFont="1" applyFill="1" applyAlignment="1">
      <alignment horizontal="right" vertical="center"/>
    </xf>
    <xf numFmtId="0" fontId="0" fillId="0" borderId="0" xfId="0" applyAlignment="1">
      <alignment horizontal="left"/>
    </xf>
    <xf numFmtId="0" fontId="2" fillId="2" borderId="19" xfId="2" applyFont="1" applyFill="1" applyBorder="1" applyAlignment="1">
      <alignment horizontal="left" vertical="center"/>
    </xf>
    <xf numFmtId="0" fontId="2" fillId="2" borderId="4" xfId="2" applyFont="1" applyFill="1" applyBorder="1" applyAlignment="1">
      <alignment horizontal="center" vertical="center"/>
    </xf>
    <xf numFmtId="2" fontId="2" fillId="2" borderId="4" xfId="2" applyNumberFormat="1" applyFont="1" applyFill="1" applyBorder="1" applyAlignment="1">
      <alignment horizontal="center" vertical="center"/>
    </xf>
    <xf numFmtId="0" fontId="8" fillId="2" borderId="6" xfId="2" applyFill="1" applyBorder="1" applyAlignment="1">
      <alignment horizontal="right" vertical="center"/>
    </xf>
    <xf numFmtId="0" fontId="2" fillId="2" borderId="5" xfId="2" applyFont="1" applyFill="1" applyBorder="1" applyAlignment="1">
      <alignment horizontal="center" vertical="center"/>
    </xf>
    <xf numFmtId="1" fontId="9" fillId="2" borderId="5" xfId="0" applyNumberFormat="1" applyFont="1" applyFill="1" applyBorder="1" applyAlignment="1">
      <alignment horizontal="right" vertical="center"/>
    </xf>
    <xf numFmtId="1" fontId="9" fillId="2" borderId="4" xfId="0" applyNumberFormat="1" applyFont="1" applyFill="1" applyBorder="1" applyAlignment="1">
      <alignment horizontal="right" vertical="center"/>
    </xf>
    <xf numFmtId="1" fontId="8" fillId="2" borderId="4" xfId="2" applyNumberFormat="1" applyFill="1" applyBorder="1" applyAlignment="1">
      <alignment vertical="center"/>
    </xf>
    <xf numFmtId="0" fontId="2" fillId="2" borderId="13" xfId="2" applyFont="1" applyFill="1" applyBorder="1" applyAlignment="1">
      <alignment horizontal="left" vertical="center"/>
    </xf>
    <xf numFmtId="0" fontId="8" fillId="2" borderId="13" xfId="2" applyFill="1" applyBorder="1" applyAlignment="1">
      <alignment vertical="center"/>
    </xf>
    <xf numFmtId="0" fontId="8" fillId="2" borderId="14" xfId="2" applyFill="1" applyBorder="1" applyAlignment="1">
      <alignment vertical="center"/>
    </xf>
    <xf numFmtId="0" fontId="2" fillId="2" borderId="19" xfId="2" applyFont="1" applyFill="1" applyBorder="1" applyAlignment="1">
      <alignment vertical="center"/>
    </xf>
    <xf numFmtId="0" fontId="8" fillId="2" borderId="5" xfId="2" applyFill="1" applyBorder="1" applyAlignment="1">
      <alignment horizontal="right" vertical="center"/>
    </xf>
    <xf numFmtId="0" fontId="8" fillId="7" borderId="1" xfId="2" applyFill="1" applyBorder="1" applyAlignment="1">
      <alignment horizontal="center" vertical="center"/>
    </xf>
    <xf numFmtId="2" fontId="2" fillId="2" borderId="0" xfId="2" applyNumberFormat="1" applyFont="1" applyFill="1" applyAlignment="1">
      <alignment horizontal="left" vertical="center"/>
    </xf>
    <xf numFmtId="2" fontId="2" fillId="2" borderId="4" xfId="2" applyNumberFormat="1" applyFont="1" applyFill="1" applyBorder="1" applyAlignment="1">
      <alignment horizontal="left" vertical="center"/>
    </xf>
    <xf numFmtId="0" fontId="8" fillId="2" borderId="15" xfId="2" applyFill="1" applyBorder="1" applyAlignment="1">
      <alignment horizontal="left" vertical="center"/>
    </xf>
    <xf numFmtId="2" fontId="2" fillId="2" borderId="5" xfId="2" applyNumberFormat="1" applyFont="1" applyFill="1" applyBorder="1" applyAlignment="1">
      <alignment horizontal="left" vertical="center"/>
    </xf>
    <xf numFmtId="0" fontId="8" fillId="2" borderId="7" xfId="2" applyFill="1" applyBorder="1" applyAlignment="1">
      <alignment horizontal="left" vertical="center"/>
    </xf>
    <xf numFmtId="0" fontId="0" fillId="0" borderId="14" xfId="0" applyBorder="1"/>
    <xf numFmtId="0" fontId="0" fillId="0" borderId="5" xfId="0" applyBorder="1"/>
    <xf numFmtId="0" fontId="0" fillId="0" borderId="7" xfId="0" applyBorder="1"/>
    <xf numFmtId="0" fontId="8" fillId="2" borderId="20" xfId="2" applyFill="1" applyBorder="1" applyAlignment="1">
      <alignment horizontal="left" vertical="center"/>
    </xf>
    <xf numFmtId="0" fontId="2" fillId="2" borderId="20" xfId="2" applyFont="1" applyFill="1" applyBorder="1" applyAlignment="1">
      <alignment horizontal="center" vertical="center"/>
    </xf>
    <xf numFmtId="0" fontId="8" fillId="2" borderId="20" xfId="2" applyFill="1" applyBorder="1" applyAlignment="1">
      <alignment horizontal="center" vertical="center"/>
    </xf>
    <xf numFmtId="0" fontId="8" fillId="2" borderId="20" xfId="2" applyFill="1" applyBorder="1" applyAlignment="1">
      <alignment horizontal="right" vertical="center"/>
    </xf>
    <xf numFmtId="2" fontId="2" fillId="2" borderId="20" xfId="2" applyNumberFormat="1" applyFont="1" applyFill="1" applyBorder="1" applyAlignment="1">
      <alignment horizontal="left" vertical="center"/>
    </xf>
    <xf numFmtId="0" fontId="0" fillId="2" borderId="17" xfId="0" applyFill="1" applyBorder="1"/>
    <xf numFmtId="0" fontId="0" fillId="2" borderId="18" xfId="0" applyFill="1" applyBorder="1"/>
    <xf numFmtId="0" fontId="0" fillId="2" borderId="21" xfId="0" applyFill="1" applyBorder="1"/>
    <xf numFmtId="0" fontId="0" fillId="2" borderId="11" xfId="0" applyFill="1" applyBorder="1"/>
    <xf numFmtId="0" fontId="5" fillId="4" borderId="22" xfId="0" applyFont="1" applyFill="1" applyBorder="1"/>
    <xf numFmtId="0" fontId="5" fillId="4" borderId="2" xfId="0" applyFont="1" applyFill="1" applyBorder="1"/>
    <xf numFmtId="0" fontId="5" fillId="4" borderId="3" xfId="0" applyFont="1" applyFill="1" applyBorder="1"/>
    <xf numFmtId="2" fontId="0" fillId="2" borderId="0" xfId="0" applyNumberFormat="1" applyFill="1"/>
    <xf numFmtId="2" fontId="0" fillId="2" borderId="21" xfId="0" applyNumberFormat="1" applyFill="1" applyBorder="1"/>
    <xf numFmtId="0" fontId="5" fillId="4" borderId="17" xfId="0" applyFont="1" applyFill="1" applyBorder="1"/>
    <xf numFmtId="0" fontId="5" fillId="4" borderId="18" xfId="0" applyFont="1" applyFill="1" applyBorder="1"/>
    <xf numFmtId="0" fontId="5" fillId="4" borderId="11" xfId="0" applyFont="1" applyFill="1" applyBorder="1"/>
    <xf numFmtId="0" fontId="5" fillId="4" borderId="13" xfId="0" applyFont="1" applyFill="1" applyBorder="1"/>
    <xf numFmtId="0" fontId="5" fillId="4" borderId="0" xfId="0" applyFont="1" applyFill="1"/>
    <xf numFmtId="0" fontId="5" fillId="4" borderId="6" xfId="0" applyFont="1" applyFill="1" applyBorder="1"/>
    <xf numFmtId="0" fontId="0" fillId="2" borderId="13" xfId="0" applyFill="1" applyBorder="1"/>
    <xf numFmtId="0" fontId="0" fillId="2" borderId="6" xfId="0" applyFill="1" applyBorder="1"/>
    <xf numFmtId="0" fontId="0" fillId="2" borderId="14" xfId="0" applyFill="1" applyBorder="1"/>
    <xf numFmtId="0" fontId="0" fillId="2" borderId="5" xfId="0" applyFill="1" applyBorder="1"/>
    <xf numFmtId="0" fontId="0" fillId="2" borderId="7" xfId="0" applyFill="1" applyBorder="1"/>
    <xf numFmtId="0" fontId="5" fillId="0" borderId="23" xfId="0" applyFont="1" applyBorder="1"/>
    <xf numFmtId="0" fontId="5" fillId="0" borderId="0" xfId="0" applyFont="1"/>
    <xf numFmtId="0" fontId="8" fillId="2" borderId="21" xfId="2" applyFill="1" applyBorder="1" applyAlignment="1">
      <alignment vertical="center"/>
    </xf>
    <xf numFmtId="0" fontId="0" fillId="4" borderId="13" xfId="0" applyFill="1" applyBorder="1"/>
    <xf numFmtId="0" fontId="0" fillId="4" borderId="0" xfId="0" applyFill="1"/>
    <xf numFmtId="0" fontId="0" fillId="4" borderId="6" xfId="0" applyFill="1" applyBorder="1"/>
    <xf numFmtId="2" fontId="0" fillId="2" borderId="6" xfId="0" applyNumberFormat="1" applyFill="1" applyBorder="1"/>
    <xf numFmtId="2" fontId="0" fillId="2" borderId="7" xfId="0" applyNumberFormat="1" applyFill="1" applyBorder="1"/>
    <xf numFmtId="0" fontId="0" fillId="0" borderId="24" xfId="0" applyBorder="1"/>
    <xf numFmtId="0" fontId="0" fillId="4" borderId="25" xfId="0" applyFill="1" applyBorder="1"/>
    <xf numFmtId="0" fontId="0" fillId="2" borderId="25" xfId="0" applyFill="1" applyBorder="1"/>
    <xf numFmtId="0" fontId="0" fillId="2" borderId="26" xfId="0" applyFill="1" applyBorder="1"/>
    <xf numFmtId="0" fontId="5" fillId="8" borderId="0" xfId="0" applyFont="1" applyFill="1"/>
    <xf numFmtId="2" fontId="5" fillId="8" borderId="0" xfId="0" applyNumberFormat="1" applyFont="1" applyFill="1"/>
    <xf numFmtId="2" fontId="8" fillId="2" borderId="0" xfId="2" applyNumberFormat="1" applyFill="1" applyAlignment="1">
      <alignment horizontal="center" vertical="center"/>
    </xf>
    <xf numFmtId="2" fontId="8" fillId="2" borderId="1" xfId="2" applyNumberFormat="1" applyFill="1" applyBorder="1" applyAlignment="1">
      <alignment horizontal="right" vertical="center"/>
    </xf>
    <xf numFmtId="0" fontId="8" fillId="2" borderId="1" xfId="2" applyFill="1" applyBorder="1" applyAlignment="1">
      <alignment vertical="center"/>
    </xf>
    <xf numFmtId="167" fontId="0" fillId="2" borderId="0" xfId="0" applyNumberFormat="1" applyFill="1"/>
    <xf numFmtId="167" fontId="0" fillId="2" borderId="21" xfId="0" applyNumberFormat="1" applyFill="1" applyBorder="1"/>
    <xf numFmtId="0" fontId="8" fillId="2" borderId="3" xfId="2" applyFill="1" applyBorder="1" applyAlignment="1">
      <alignment vertical="center"/>
    </xf>
    <xf numFmtId="0" fontId="9" fillId="2" borderId="27" xfId="0" applyFont="1" applyFill="1" applyBorder="1" applyAlignment="1">
      <alignment horizontal="right" vertical="center"/>
    </xf>
    <xf numFmtId="0" fontId="8" fillId="2" borderId="28" xfId="2" applyFill="1" applyBorder="1" applyAlignment="1">
      <alignment vertical="center"/>
    </xf>
    <xf numFmtId="0" fontId="8" fillId="2" borderId="29" xfId="2" applyFill="1" applyBorder="1" applyAlignment="1">
      <alignment vertical="center"/>
    </xf>
    <xf numFmtId="0" fontId="0" fillId="0" borderId="13" xfId="0" applyBorder="1"/>
    <xf numFmtId="0" fontId="0" fillId="0" borderId="6" xfId="0" applyBorder="1"/>
    <xf numFmtId="0" fontId="0" fillId="2" borderId="19" xfId="0" applyFill="1" applyBorder="1"/>
    <xf numFmtId="0" fontId="0" fillId="2" borderId="30" xfId="0" applyFill="1" applyBorder="1"/>
    <xf numFmtId="2" fontId="0" fillId="2" borderId="15" xfId="0" applyNumberFormat="1" applyFill="1" applyBorder="1"/>
    <xf numFmtId="0" fontId="2" fillId="2" borderId="29" xfId="2" applyFont="1" applyFill="1" applyBorder="1" applyAlignment="1">
      <alignment vertical="center"/>
    </xf>
    <xf numFmtId="0" fontId="0" fillId="0" borderId="31" xfId="0" applyBorder="1"/>
    <xf numFmtId="0" fontId="21" fillId="0" borderId="0" xfId="0" applyFont="1" applyAlignment="1">
      <alignment horizontal="center"/>
    </xf>
    <xf numFmtId="0" fontId="1" fillId="0" borderId="0" xfId="0" applyFont="1"/>
    <xf numFmtId="0" fontId="21" fillId="0" borderId="13" xfId="0" applyFont="1" applyBorder="1" applyAlignment="1">
      <alignment horizontal="center"/>
    </xf>
    <xf numFmtId="0" fontId="22" fillId="0" borderId="0" xfId="0" applyFont="1"/>
    <xf numFmtId="0" fontId="22" fillId="0" borderId="13" xfId="0" applyFont="1" applyBorder="1"/>
    <xf numFmtId="0" fontId="22" fillId="0" borderId="6" xfId="0" applyFont="1" applyBorder="1"/>
    <xf numFmtId="0" fontId="23" fillId="2" borderId="28" xfId="2" applyFont="1" applyFill="1" applyBorder="1" applyAlignment="1">
      <alignment vertical="center"/>
    </xf>
    <xf numFmtId="0" fontId="8" fillId="5" borderId="1" xfId="2" applyFill="1" applyBorder="1" applyAlignment="1">
      <alignment horizontal="right" vertical="center"/>
    </xf>
    <xf numFmtId="0" fontId="0" fillId="0" borderId="4" xfId="0" applyBorder="1"/>
    <xf numFmtId="0" fontId="21" fillId="0" borderId="0" xfId="0" applyFont="1" applyAlignment="1">
      <alignment horizontal="left"/>
    </xf>
    <xf numFmtId="0" fontId="0" fillId="0" borderId="18" xfId="0" applyBorder="1"/>
    <xf numFmtId="0" fontId="0" fillId="2" borderId="15" xfId="0" applyFill="1" applyBorder="1"/>
    <xf numFmtId="0" fontId="0" fillId="2" borderId="4" xfId="0" applyFill="1" applyBorder="1"/>
    <xf numFmtId="0" fontId="8" fillId="2" borderId="8" xfId="2" applyFill="1" applyBorder="1" applyAlignment="1">
      <alignment vertical="center"/>
    </xf>
    <xf numFmtId="0" fontId="8" fillId="7" borderId="1" xfId="2" applyFill="1" applyBorder="1" applyAlignment="1">
      <alignment horizontal="left" vertical="center"/>
    </xf>
    <xf numFmtId="0" fontId="0" fillId="8" borderId="0" xfId="0" applyFill="1"/>
    <xf numFmtId="0" fontId="0" fillId="0" borderId="1" xfId="0" applyBorder="1"/>
    <xf numFmtId="0" fontId="0" fillId="0" borderId="12" xfId="0" applyBorder="1"/>
    <xf numFmtId="0" fontId="0" fillId="0" borderId="11" xfId="0" applyBorder="1"/>
    <xf numFmtId="0" fontId="9" fillId="2" borderId="20" xfId="0" applyFont="1" applyFill="1" applyBorder="1" applyAlignment="1">
      <alignment vertical="center"/>
    </xf>
    <xf numFmtId="0" fontId="10" fillId="2" borderId="0" xfId="2" applyFont="1" applyFill="1" applyAlignment="1">
      <alignment vertical="center"/>
    </xf>
    <xf numFmtId="0" fontId="10" fillId="2" borderId="1" xfId="2" applyFont="1" applyFill="1" applyBorder="1" applyAlignment="1">
      <alignment vertical="center"/>
    </xf>
    <xf numFmtId="0" fontId="24" fillId="0" borderId="9" xfId="0" applyFont="1" applyBorder="1"/>
    <xf numFmtId="0" fontId="24" fillId="0" borderId="8" xfId="0" applyFont="1" applyBorder="1"/>
    <xf numFmtId="0" fontId="24" fillId="0" borderId="12" xfId="0" applyFont="1" applyBorder="1"/>
    <xf numFmtId="0" fontId="0" fillId="2" borderId="32" xfId="0" applyFill="1" applyBorder="1"/>
    <xf numFmtId="2" fontId="0" fillId="2" borderId="33" xfId="0" applyNumberFormat="1" applyFill="1" applyBorder="1"/>
    <xf numFmtId="0" fontId="0" fillId="2" borderId="34" xfId="0" applyFill="1" applyBorder="1"/>
    <xf numFmtId="2" fontId="0" fillId="2" borderId="35" xfId="0" applyNumberFormat="1" applyFill="1" applyBorder="1"/>
    <xf numFmtId="0" fontId="0" fillId="2" borderId="28" xfId="0" applyFill="1" applyBorder="1"/>
    <xf numFmtId="0" fontId="0" fillId="4" borderId="19" xfId="0" applyFill="1" applyBorder="1"/>
    <xf numFmtId="0" fontId="0" fillId="4" borderId="15" xfId="0" applyFill="1" applyBorder="1"/>
    <xf numFmtId="0" fontId="0" fillId="2" borderId="36" xfId="0" applyFill="1" applyBorder="1"/>
    <xf numFmtId="0" fontId="0" fillId="2" borderId="33" xfId="0" applyFill="1" applyBorder="1"/>
    <xf numFmtId="0" fontId="5" fillId="0" borderId="23" xfId="0" applyFont="1" applyBorder="1" applyAlignment="1">
      <alignment horizontal="center"/>
    </xf>
    <xf numFmtId="0" fontId="5" fillId="0" borderId="31" xfId="0" applyFont="1" applyBorder="1" applyAlignment="1">
      <alignment horizontal="center"/>
    </xf>
    <xf numFmtId="0" fontId="8" fillId="0" borderId="1" xfId="2" applyBorder="1" applyAlignment="1">
      <alignment vertical="center"/>
    </xf>
    <xf numFmtId="0" fontId="0" fillId="0" borderId="0" xfId="0" applyAlignment="1">
      <alignment horizontal="right"/>
    </xf>
    <xf numFmtId="2" fontId="0" fillId="2" borderId="13" xfId="0" applyNumberFormat="1" applyFill="1" applyBorder="1"/>
    <xf numFmtId="2" fontId="0" fillId="2" borderId="32" xfId="0" applyNumberFormat="1" applyFill="1" applyBorder="1"/>
    <xf numFmtId="2" fontId="0" fillId="2" borderId="19" xfId="0" applyNumberFormat="1" applyFill="1" applyBorder="1"/>
    <xf numFmtId="2" fontId="8" fillId="2" borderId="0" xfId="2" applyNumberFormat="1" applyFill="1" applyAlignment="1">
      <alignment horizontal="right" vertical="center"/>
    </xf>
    <xf numFmtId="2" fontId="8" fillId="2" borderId="28" xfId="2" applyNumberFormat="1" applyFill="1" applyBorder="1" applyAlignment="1">
      <alignment horizontal="right" vertical="center"/>
    </xf>
    <xf numFmtId="2" fontId="8" fillId="2" borderId="21" xfId="2" applyNumberFormat="1" applyFill="1" applyBorder="1" applyAlignment="1">
      <alignment horizontal="right" vertical="center"/>
    </xf>
    <xf numFmtId="1" fontId="8" fillId="2" borderId="1" xfId="2" applyNumberFormat="1" applyFill="1" applyBorder="1" applyAlignment="1">
      <alignment horizontal="right" vertical="center"/>
    </xf>
    <xf numFmtId="0" fontId="8" fillId="2" borderId="22" xfId="2" applyFill="1" applyBorder="1" applyAlignment="1">
      <alignment vertical="center"/>
    </xf>
    <xf numFmtId="164" fontId="0" fillId="2" borderId="15" xfId="0" applyNumberFormat="1" applyFill="1" applyBorder="1"/>
    <xf numFmtId="0" fontId="8" fillId="2" borderId="22" xfId="2" applyFill="1" applyBorder="1" applyAlignment="1">
      <alignment horizontal="center" vertical="center"/>
    </xf>
    <xf numFmtId="0" fontId="8" fillId="2" borderId="3" xfId="2" applyFill="1" applyBorder="1" applyAlignment="1">
      <alignment horizontal="center" vertical="center"/>
    </xf>
    <xf numFmtId="0" fontId="7" fillId="2" borderId="0" xfId="2" applyFont="1" applyFill="1" applyAlignment="1">
      <alignment horizontal="center" vertical="center"/>
    </xf>
    <xf numFmtId="0" fontId="0" fillId="0" borderId="24" xfId="0" applyBorder="1" applyAlignment="1">
      <alignment horizontal="right"/>
    </xf>
    <xf numFmtId="0" fontId="8" fillId="2" borderId="0" xfId="2" applyFill="1" applyAlignment="1">
      <alignment vertical="distributed"/>
    </xf>
    <xf numFmtId="0" fontId="8" fillId="2" borderId="1" xfId="2" applyFill="1" applyBorder="1" applyAlignment="1">
      <alignment horizontal="right" vertical="center"/>
    </xf>
    <xf numFmtId="0" fontId="17" fillId="2" borderId="0" xfId="2" applyFont="1" applyFill="1" applyAlignment="1">
      <alignment horizontal="center" vertical="center"/>
    </xf>
    <xf numFmtId="0" fontId="0" fillId="0" borderId="8" xfId="0" applyBorder="1"/>
    <xf numFmtId="0" fontId="8" fillId="2" borderId="37" xfId="2" applyFill="1" applyBorder="1" applyAlignment="1">
      <alignment horizontal="center" vertical="center"/>
    </xf>
    <xf numFmtId="0" fontId="0" fillId="2" borderId="38" xfId="0" applyFill="1" applyBorder="1"/>
    <xf numFmtId="0" fontId="0" fillId="2" borderId="39" xfId="0" applyFill="1" applyBorder="1"/>
    <xf numFmtId="0" fontId="23" fillId="2" borderId="3" xfId="2" applyFont="1" applyFill="1" applyBorder="1" applyAlignment="1">
      <alignment horizontal="center" vertical="distributed"/>
    </xf>
    <xf numFmtId="0" fontId="0" fillId="2" borderId="1" xfId="0" applyFill="1" applyBorder="1"/>
    <xf numFmtId="0" fontId="0" fillId="2" borderId="3" xfId="0" applyFill="1" applyBorder="1"/>
    <xf numFmtId="0" fontId="0" fillId="2" borderId="12" xfId="0" applyFill="1" applyBorder="1"/>
    <xf numFmtId="0" fontId="5" fillId="3" borderId="0" xfId="0" applyFont="1" applyFill="1"/>
    <xf numFmtId="0" fontId="25" fillId="2" borderId="0" xfId="0" applyFont="1" applyFill="1"/>
    <xf numFmtId="0" fontId="8" fillId="2" borderId="29" xfId="2" applyFill="1" applyBorder="1" applyAlignment="1">
      <alignment horizontal="left" vertical="center"/>
    </xf>
    <xf numFmtId="2" fontId="8" fillId="2" borderId="8" xfId="2" applyNumberFormat="1" applyFill="1" applyBorder="1" applyAlignment="1">
      <alignment vertical="center"/>
    </xf>
    <xf numFmtId="0" fontId="8" fillId="2" borderId="0" xfId="2" applyFill="1" applyAlignment="1">
      <alignment horizontal="left" vertical="distributed"/>
    </xf>
    <xf numFmtId="0" fontId="19" fillId="2" borderId="0" xfId="2" applyFont="1" applyFill="1" applyAlignment="1">
      <alignment horizontal="left" vertical="distributed"/>
    </xf>
    <xf numFmtId="0" fontId="8" fillId="2" borderId="40" xfId="2" applyFill="1" applyBorder="1" applyAlignment="1">
      <alignment horizontal="center" vertical="center"/>
    </xf>
    <xf numFmtId="0" fontId="8" fillId="2" borderId="41" xfId="2" applyFill="1" applyBorder="1" applyAlignment="1">
      <alignment horizontal="center" vertical="center"/>
    </xf>
    <xf numFmtId="0" fontId="8" fillId="2" borderId="13" xfId="2" applyFill="1" applyBorder="1" applyAlignment="1">
      <alignment horizontal="center" vertical="center"/>
    </xf>
    <xf numFmtId="0" fontId="8" fillId="2" borderId="42" xfId="2" applyFill="1" applyBorder="1" applyAlignment="1">
      <alignment horizontal="center" vertical="center"/>
    </xf>
    <xf numFmtId="0" fontId="5" fillId="2" borderId="0" xfId="0" applyFont="1" applyFill="1" applyAlignment="1">
      <alignment horizontal="center"/>
    </xf>
    <xf numFmtId="0" fontId="0" fillId="2" borderId="0" xfId="0" applyFill="1" applyAlignment="1">
      <alignment horizontal="left"/>
    </xf>
    <xf numFmtId="0" fontId="5" fillId="2" borderId="5" xfId="0" applyFont="1" applyFill="1" applyBorder="1" applyAlignment="1">
      <alignment horizontal="center"/>
    </xf>
    <xf numFmtId="0" fontId="0" fillId="2" borderId="5" xfId="0" applyFill="1" applyBorder="1" applyAlignment="1">
      <alignment horizontal="left"/>
    </xf>
    <xf numFmtId="2" fontId="8" fillId="2" borderId="4" xfId="2" applyNumberFormat="1" applyFill="1" applyBorder="1" applyAlignment="1">
      <alignment horizontal="center" vertical="center"/>
    </xf>
    <xf numFmtId="0" fontId="8" fillId="2" borderId="15" xfId="2" applyFill="1" applyBorder="1" applyAlignment="1">
      <alignment horizontal="right" vertical="center"/>
    </xf>
    <xf numFmtId="2" fontId="8" fillId="2" borderId="43" xfId="2" applyNumberFormat="1" applyFill="1" applyBorder="1" applyAlignment="1">
      <alignment horizontal="right" vertical="center"/>
    </xf>
    <xf numFmtId="2" fontId="8" fillId="2" borderId="4" xfId="2" applyNumberFormat="1" applyFill="1" applyBorder="1" applyAlignment="1">
      <alignment horizontal="right" vertical="center"/>
    </xf>
    <xf numFmtId="2" fontId="8" fillId="2" borderId="5" xfId="2" applyNumberFormat="1" applyFill="1" applyBorder="1" applyAlignment="1">
      <alignment horizontal="right" vertical="center"/>
    </xf>
    <xf numFmtId="0" fontId="5" fillId="2" borderId="4" xfId="0" applyFont="1" applyFill="1" applyBorder="1" applyAlignment="1">
      <alignment horizontal="center"/>
    </xf>
    <xf numFmtId="0" fontId="0" fillId="2" borderId="4" xfId="0" applyFill="1" applyBorder="1" applyAlignment="1">
      <alignment horizontal="left"/>
    </xf>
    <xf numFmtId="0" fontId="2" fillId="2" borderId="19" xfId="2" applyFont="1" applyFill="1" applyBorder="1" applyAlignment="1">
      <alignment horizontal="right" vertical="center"/>
    </xf>
    <xf numFmtId="0" fontId="0" fillId="8" borderId="0" xfId="0" applyFill="1" applyAlignment="1">
      <alignment horizontal="right"/>
    </xf>
    <xf numFmtId="0" fontId="8" fillId="2" borderId="17" xfId="2" applyFill="1" applyBorder="1" applyAlignment="1">
      <alignment horizontal="left" vertical="center"/>
    </xf>
    <xf numFmtId="166" fontId="8" fillId="2" borderId="1" xfId="2" applyNumberFormat="1" applyFill="1" applyBorder="1" applyAlignment="1">
      <alignment horizontal="right" vertical="center"/>
    </xf>
    <xf numFmtId="165" fontId="8" fillId="2" borderId="1" xfId="2" applyNumberFormat="1" applyFill="1" applyBorder="1" applyAlignment="1">
      <alignment horizontal="right" vertical="center"/>
    </xf>
    <xf numFmtId="165" fontId="8" fillId="5" borderId="1" xfId="2" applyNumberFormat="1" applyFill="1" applyBorder="1" applyAlignment="1">
      <alignment horizontal="right" vertical="center"/>
    </xf>
    <xf numFmtId="1" fontId="8" fillId="2" borderId="0" xfId="2" applyNumberFormat="1" applyFill="1" applyAlignment="1">
      <alignment horizontal="right" vertical="center"/>
    </xf>
    <xf numFmtId="0" fontId="10" fillId="2" borderId="13" xfId="2" applyFont="1" applyFill="1" applyBorder="1" applyAlignment="1">
      <alignment horizontal="left" vertical="center"/>
    </xf>
    <xf numFmtId="0" fontId="23" fillId="2" borderId="1" xfId="2" applyFont="1" applyFill="1" applyBorder="1" applyAlignment="1">
      <alignment horizontal="center" vertical="center"/>
    </xf>
    <xf numFmtId="2" fontId="23" fillId="2" borderId="8" xfId="2" applyNumberFormat="1" applyFont="1" applyFill="1" applyBorder="1" applyAlignment="1">
      <alignment vertical="center"/>
    </xf>
    <xf numFmtId="0" fontId="23" fillId="2" borderId="8" xfId="2" applyFont="1" applyFill="1" applyBorder="1" applyAlignment="1">
      <alignment vertical="center"/>
    </xf>
    <xf numFmtId="0" fontId="23" fillId="2" borderId="12" xfId="2" applyFont="1" applyFill="1" applyBorder="1" applyAlignment="1">
      <alignment vertical="center"/>
    </xf>
    <xf numFmtId="0" fontId="8" fillId="2" borderId="29" xfId="2" applyFill="1" applyBorder="1" applyAlignment="1">
      <alignment horizontal="center" vertical="center"/>
    </xf>
    <xf numFmtId="0" fontId="8" fillId="2" borderId="28" xfId="2" applyFill="1" applyBorder="1" applyAlignment="1">
      <alignment horizontal="left" vertical="center"/>
    </xf>
    <xf numFmtId="0" fontId="8" fillId="2" borderId="21" xfId="2" applyFill="1" applyBorder="1" applyAlignment="1">
      <alignment horizontal="left" vertical="center"/>
    </xf>
    <xf numFmtId="0" fontId="8" fillId="2" borderId="44" xfId="2" applyFill="1" applyBorder="1" applyAlignment="1">
      <alignment horizontal="center" vertical="center"/>
    </xf>
    <xf numFmtId="0" fontId="8" fillId="2" borderId="45" xfId="2" applyFill="1" applyBorder="1" applyAlignment="1">
      <alignment horizontal="center" vertical="center"/>
    </xf>
    <xf numFmtId="2" fontId="8" fillId="2" borderId="46" xfId="2" applyNumberFormat="1" applyFill="1" applyBorder="1" applyAlignment="1">
      <alignment horizontal="center" vertical="center"/>
    </xf>
    <xf numFmtId="2" fontId="8" fillId="2" borderId="42" xfId="2" applyNumberFormat="1" applyFill="1" applyBorder="1" applyAlignment="1">
      <alignment horizontal="center" vertical="center"/>
    </xf>
    <xf numFmtId="0" fontId="8" fillId="7" borderId="9" xfId="2" applyFill="1" applyBorder="1" applyAlignment="1">
      <alignment horizontal="center" vertical="center"/>
    </xf>
    <xf numFmtId="0" fontId="8" fillId="7" borderId="8" xfId="2" applyFill="1" applyBorder="1" applyAlignment="1">
      <alignment horizontal="center" vertical="center"/>
    </xf>
    <xf numFmtId="0" fontId="8" fillId="7" borderId="12" xfId="2" applyFill="1" applyBorder="1" applyAlignment="1">
      <alignment horizontal="center" vertical="center"/>
    </xf>
    <xf numFmtId="0" fontId="10" fillId="5" borderId="47" xfId="2" applyFont="1" applyFill="1" applyBorder="1" applyAlignment="1">
      <alignment horizontal="center" vertical="center"/>
    </xf>
    <xf numFmtId="0" fontId="10" fillId="5" borderId="48" xfId="2" applyFont="1" applyFill="1" applyBorder="1" applyAlignment="1">
      <alignment horizontal="center" vertical="center"/>
    </xf>
    <xf numFmtId="0" fontId="10" fillId="5" borderId="18" xfId="2" applyFont="1" applyFill="1" applyBorder="1" applyAlignment="1">
      <alignment horizontal="center" vertical="center"/>
    </xf>
    <xf numFmtId="0" fontId="10" fillId="5" borderId="49" xfId="2" applyFont="1" applyFill="1" applyBorder="1" applyAlignment="1">
      <alignment horizontal="center" vertical="center"/>
    </xf>
    <xf numFmtId="0" fontId="10" fillId="5" borderId="50" xfId="2" applyFont="1" applyFill="1" applyBorder="1" applyAlignment="1">
      <alignment horizontal="center" vertical="center"/>
    </xf>
    <xf numFmtId="0" fontId="10" fillId="5" borderId="51" xfId="2" applyFont="1" applyFill="1" applyBorder="1" applyAlignment="1">
      <alignment horizontal="center" vertical="center"/>
    </xf>
    <xf numFmtId="0" fontId="10" fillId="5" borderId="52" xfId="2" applyFont="1" applyFill="1" applyBorder="1" applyAlignment="1">
      <alignment horizontal="center" vertical="center"/>
    </xf>
    <xf numFmtId="0" fontId="10" fillId="5" borderId="11" xfId="2" applyFont="1" applyFill="1" applyBorder="1" applyAlignment="1">
      <alignment horizontal="center" vertical="center"/>
    </xf>
    <xf numFmtId="0" fontId="23" fillId="5" borderId="18" xfId="2" applyFont="1" applyFill="1" applyBorder="1" applyAlignment="1">
      <alignment horizontal="center" vertical="center"/>
    </xf>
    <xf numFmtId="0" fontId="8" fillId="5" borderId="18" xfId="2" applyFill="1" applyBorder="1" applyAlignment="1">
      <alignment horizontal="center" vertical="center"/>
    </xf>
    <xf numFmtId="0" fontId="23" fillId="5" borderId="11" xfId="2" applyFont="1" applyFill="1" applyBorder="1" applyAlignment="1">
      <alignment horizontal="center" vertical="center"/>
    </xf>
    <xf numFmtId="0" fontId="8" fillId="5" borderId="11" xfId="2" applyFill="1" applyBorder="1" applyAlignment="1">
      <alignment horizontal="center" vertical="center"/>
    </xf>
    <xf numFmtId="3" fontId="8" fillId="2" borderId="0" xfId="2" applyNumberFormat="1" applyFill="1" applyAlignment="1">
      <alignment vertical="center"/>
    </xf>
    <xf numFmtId="0" fontId="9" fillId="2" borderId="17" xfId="0" applyFont="1" applyFill="1" applyBorder="1" applyAlignment="1">
      <alignment vertical="center"/>
    </xf>
    <xf numFmtId="3" fontId="8" fillId="5" borderId="1" xfId="2" applyNumberFormat="1" applyFill="1" applyBorder="1" applyAlignment="1">
      <alignment vertical="center"/>
    </xf>
    <xf numFmtId="0" fontId="0" fillId="10" borderId="0" xfId="0" applyFill="1"/>
    <xf numFmtId="0" fontId="15" fillId="10" borderId="0" xfId="0" applyFont="1" applyFill="1"/>
    <xf numFmtId="0" fontId="4" fillId="10" borderId="0" xfId="3" applyFill="1" applyAlignment="1" applyProtection="1"/>
    <xf numFmtId="0" fontId="28" fillId="10" borderId="0" xfId="0" applyFont="1" applyFill="1"/>
    <xf numFmtId="0" fontId="27" fillId="10" borderId="0" xfId="0" applyFont="1" applyFill="1" applyAlignment="1">
      <alignment horizontal="center"/>
    </xf>
    <xf numFmtId="0" fontId="29" fillId="10" borderId="0" xfId="0" applyFont="1" applyFill="1" applyAlignment="1">
      <alignment horizontal="center"/>
    </xf>
    <xf numFmtId="2" fontId="8" fillId="2" borderId="0" xfId="2" applyNumberFormat="1" applyFill="1" applyAlignment="1">
      <alignment horizontal="left" vertical="center"/>
    </xf>
    <xf numFmtId="0" fontId="8" fillId="2" borderId="1" xfId="2" applyFill="1" applyBorder="1" applyAlignment="1">
      <alignment horizontal="center" vertical="center" wrapText="1"/>
    </xf>
    <xf numFmtId="0" fontId="10" fillId="2" borderId="1" xfId="2" applyFont="1" applyFill="1" applyBorder="1" applyAlignment="1">
      <alignment horizontal="center" vertical="center" wrapText="1"/>
    </xf>
    <xf numFmtId="0" fontId="2" fillId="2" borderId="0" xfId="2" applyFont="1" applyFill="1" applyAlignment="1">
      <alignment vertical="center"/>
    </xf>
    <xf numFmtId="2" fontId="8" fillId="11" borderId="1" xfId="2" applyNumberFormat="1" applyFill="1" applyBorder="1" applyAlignment="1">
      <alignment horizontal="right" vertical="center"/>
    </xf>
    <xf numFmtId="2" fontId="8" fillId="12" borderId="1" xfId="2" applyNumberFormat="1" applyFill="1" applyBorder="1" applyAlignment="1">
      <alignment horizontal="right" vertical="center"/>
    </xf>
    <xf numFmtId="0" fontId="2" fillId="2" borderId="13" xfId="2" applyFont="1" applyFill="1" applyBorder="1" applyAlignment="1">
      <alignment vertical="center"/>
    </xf>
    <xf numFmtId="0" fontId="8" fillId="7" borderId="2" xfId="2" applyFill="1" applyBorder="1" applyAlignment="1">
      <alignment vertical="center"/>
    </xf>
    <xf numFmtId="0" fontId="8" fillId="7" borderId="3" xfId="2" applyFill="1" applyBorder="1" applyAlignment="1">
      <alignment horizontal="left" vertical="center"/>
    </xf>
    <xf numFmtId="0" fontId="8" fillId="7" borderId="22" xfId="2" applyFill="1" applyBorder="1" applyAlignment="1">
      <alignment vertical="center"/>
    </xf>
    <xf numFmtId="0" fontId="8" fillId="13" borderId="1" xfId="2" applyFill="1" applyBorder="1" applyAlignment="1">
      <alignment vertical="center"/>
    </xf>
    <xf numFmtId="0" fontId="8" fillId="13" borderId="12" xfId="2" applyFill="1" applyBorder="1" applyAlignment="1">
      <alignment vertical="center"/>
    </xf>
    <xf numFmtId="0" fontId="8" fillId="2" borderId="3" xfId="2" applyFill="1" applyBorder="1" applyAlignment="1">
      <alignment horizontal="right" vertical="center"/>
    </xf>
    <xf numFmtId="0" fontId="8" fillId="2" borderId="11" xfId="2" applyFill="1" applyBorder="1" applyAlignment="1">
      <alignment horizontal="right" vertical="center"/>
    </xf>
    <xf numFmtId="0" fontId="8" fillId="2" borderId="2" xfId="2" applyFill="1" applyBorder="1" applyAlignment="1">
      <alignment vertical="center"/>
    </xf>
    <xf numFmtId="0" fontId="2" fillId="2" borderId="17" xfId="2" applyFont="1" applyFill="1" applyBorder="1" applyAlignment="1">
      <alignment horizontal="center" vertical="center"/>
    </xf>
    <xf numFmtId="0" fontId="8" fillId="14" borderId="1" xfId="2" applyFill="1" applyBorder="1" applyAlignment="1">
      <alignment horizontal="center" vertical="center"/>
    </xf>
    <xf numFmtId="1" fontId="8" fillId="2" borderId="8" xfId="2" applyNumberFormat="1" applyFill="1" applyBorder="1" applyAlignment="1">
      <alignment horizontal="right" vertical="center"/>
    </xf>
    <xf numFmtId="0" fontId="10" fillId="2" borderId="1" xfId="2" applyFont="1" applyFill="1" applyBorder="1" applyAlignment="1">
      <alignment horizontal="right" vertical="center"/>
    </xf>
    <xf numFmtId="0" fontId="10" fillId="2" borderId="1" xfId="2" applyFont="1" applyFill="1" applyBorder="1" applyAlignment="1">
      <alignment horizontal="right" vertical="distributed"/>
    </xf>
    <xf numFmtId="0" fontId="10" fillId="2" borderId="53" xfId="2" applyFont="1" applyFill="1" applyBorder="1" applyAlignment="1">
      <alignment horizontal="right" vertical="distributed"/>
    </xf>
    <xf numFmtId="2" fontId="8" fillId="7" borderId="18" xfId="2" applyNumberFormat="1" applyFill="1" applyBorder="1" applyAlignment="1">
      <alignment vertical="center"/>
    </xf>
    <xf numFmtId="2" fontId="8" fillId="7" borderId="11" xfId="2" applyNumberFormat="1" applyFill="1" applyBorder="1" applyAlignment="1">
      <alignment vertical="center"/>
    </xf>
    <xf numFmtId="0" fontId="35" fillId="0" borderId="0" xfId="0" applyFont="1" applyAlignment="1">
      <alignment horizontal="left" vertical="center"/>
    </xf>
    <xf numFmtId="0" fontId="26" fillId="2" borderId="0" xfId="2" applyFont="1" applyFill="1" applyAlignment="1">
      <alignment horizontal="center" vertical="distributed"/>
    </xf>
    <xf numFmtId="0" fontId="8" fillId="2" borderId="0" xfId="2" applyFill="1" applyAlignment="1">
      <alignment horizontal="center" vertical="distributed"/>
    </xf>
    <xf numFmtId="0" fontId="8" fillId="9" borderId="22" xfId="2" applyFill="1" applyBorder="1" applyAlignment="1">
      <alignment horizontal="center" vertical="center"/>
    </xf>
    <xf numFmtId="0" fontId="8" fillId="9" borderId="2" xfId="2" applyFill="1" applyBorder="1" applyAlignment="1">
      <alignment horizontal="center" vertical="center"/>
    </xf>
    <xf numFmtId="0" fontId="8" fillId="9" borderId="3" xfId="2" applyFill="1" applyBorder="1" applyAlignment="1">
      <alignment horizontal="center" vertical="center"/>
    </xf>
    <xf numFmtId="0" fontId="2" fillId="2" borderId="0" xfId="2" applyFont="1" applyFill="1" applyAlignment="1">
      <alignment horizontal="center" vertical="center"/>
    </xf>
    <xf numFmtId="0" fontId="2" fillId="2" borderId="22" xfId="2" applyFont="1" applyFill="1" applyBorder="1" applyAlignment="1">
      <alignment horizontal="center" vertical="center"/>
    </xf>
    <xf numFmtId="0" fontId="2" fillId="2" borderId="2" xfId="2" applyFont="1" applyFill="1" applyBorder="1" applyAlignment="1">
      <alignment horizontal="center" vertical="center"/>
    </xf>
    <xf numFmtId="0" fontId="2" fillId="2" borderId="3" xfId="2" applyFont="1" applyFill="1" applyBorder="1" applyAlignment="1">
      <alignment horizontal="center" vertical="center"/>
    </xf>
    <xf numFmtId="0" fontId="8" fillId="7" borderId="22" xfId="2" applyFill="1" applyBorder="1" applyAlignment="1">
      <alignment horizontal="center" vertical="center"/>
    </xf>
    <xf numFmtId="0" fontId="8" fillId="7" borderId="3" xfId="2" applyFill="1" applyBorder="1" applyAlignment="1">
      <alignment horizontal="center" vertical="center"/>
    </xf>
    <xf numFmtId="0" fontId="0" fillId="5" borderId="22" xfId="0" applyFill="1" applyBorder="1" applyAlignment="1">
      <alignment horizontal="right"/>
    </xf>
    <xf numFmtId="0" fontId="0" fillId="5" borderId="3" xfId="0" applyFill="1" applyBorder="1" applyAlignment="1">
      <alignment horizontal="right"/>
    </xf>
    <xf numFmtId="0" fontId="5" fillId="0" borderId="23" xfId="0" applyFont="1" applyBorder="1" applyAlignment="1">
      <alignment horizontal="center"/>
    </xf>
    <xf numFmtId="0" fontId="5" fillId="0" borderId="31" xfId="0" applyFont="1" applyBorder="1" applyAlignment="1">
      <alignment horizontal="center"/>
    </xf>
    <xf numFmtId="0" fontId="5" fillId="0" borderId="0" xfId="0" applyFont="1" applyAlignment="1">
      <alignment horizontal="center"/>
    </xf>
    <xf numFmtId="0" fontId="20" fillId="0" borderId="23" xfId="0" applyFont="1" applyBorder="1" applyAlignment="1">
      <alignment horizontal="center"/>
    </xf>
    <xf numFmtId="0" fontId="20" fillId="0" borderId="20" xfId="0" applyFont="1" applyBorder="1" applyAlignment="1">
      <alignment horizontal="center"/>
    </xf>
    <xf numFmtId="0" fontId="20" fillId="0" borderId="31" xfId="0" applyFont="1" applyBorder="1" applyAlignment="1">
      <alignment horizontal="center"/>
    </xf>
    <xf numFmtId="0" fontId="0" fillId="0" borderId="20" xfId="0" applyBorder="1"/>
    <xf numFmtId="0" fontId="0" fillId="0" borderId="31" xfId="0" applyBorder="1"/>
    <xf numFmtId="0" fontId="0" fillId="0" borderId="23" xfId="0" applyBorder="1" applyAlignment="1">
      <alignment horizontal="center"/>
    </xf>
    <xf numFmtId="0" fontId="0" fillId="0" borderId="20" xfId="0" applyBorder="1" applyAlignment="1">
      <alignment horizontal="center"/>
    </xf>
    <xf numFmtId="0" fontId="0" fillId="0" borderId="31" xfId="0" applyBorder="1" applyAlignment="1">
      <alignment horizontal="center"/>
    </xf>
  </cellXfs>
  <cellStyles count="4">
    <cellStyle name="Hyperlink" xfId="3" builtinId="8"/>
    <cellStyle name="Normal" xfId="0" builtinId="0"/>
    <cellStyle name="PRESTO_AUSGABE" xfId="1" xr:uid="{E38552C3-BF1E-464A-B150-AD03C44579B9}"/>
    <cellStyle name="Standard_Fuselage and Landing Gear Design" xfId="2" xr:uid="{F169FF7D-D4CA-4553-8C6A-ABEF17274748}"/>
  </cellStyles>
  <dxfs count="19">
    <dxf>
      <font>
        <condense val="0"/>
        <extend val="0"/>
        <color indexed="22"/>
      </font>
    </dxf>
    <dxf>
      <font>
        <strike val="0"/>
        <condense val="0"/>
        <extend val="0"/>
        <u val="none"/>
        <color indexed="22"/>
      </font>
    </dxf>
    <dxf>
      <fill>
        <patternFill>
          <bgColor rgb="FFFF0000"/>
        </patternFill>
      </fill>
    </dxf>
    <dxf>
      <fill>
        <patternFill>
          <bgColor indexed="11"/>
        </patternFill>
      </fill>
    </dxf>
    <dxf>
      <fill>
        <patternFill>
          <bgColor indexed="11"/>
        </patternFill>
      </fill>
    </dxf>
    <dxf>
      <font>
        <strike val="0"/>
        <condense val="0"/>
        <extend val="0"/>
      </font>
      <fill>
        <patternFill>
          <bgColor indexed="10"/>
        </patternFill>
      </fill>
      <border>
        <left style="thin">
          <color indexed="64"/>
        </left>
        <right style="thin">
          <color indexed="64"/>
        </right>
        <top style="thin">
          <color indexed="64"/>
        </top>
        <bottom style="thin">
          <color indexed="64"/>
        </bottom>
      </border>
    </dxf>
    <dxf>
      <font>
        <strike val="0"/>
        <condense val="0"/>
        <extend val="0"/>
      </font>
      <fill>
        <patternFill>
          <bgColor indexed="10"/>
        </patternFill>
      </fill>
      <border>
        <left style="thin">
          <color indexed="64"/>
        </left>
        <right style="thin">
          <color indexed="64"/>
        </right>
        <top style="thin">
          <color indexed="64"/>
        </top>
        <bottom style="thin">
          <color indexed="64"/>
        </bottom>
      </border>
    </dxf>
    <dxf>
      <font>
        <strike val="0"/>
        <condense val="0"/>
        <extend val="0"/>
      </font>
      <fill>
        <patternFill>
          <bgColor indexed="10"/>
        </patternFill>
      </fill>
      <border>
        <left style="thin">
          <color indexed="64"/>
        </left>
        <right style="thin">
          <color indexed="64"/>
        </right>
        <top style="thin">
          <color indexed="64"/>
        </top>
        <bottom style="thin">
          <color indexed="64"/>
        </bottom>
      </border>
    </dxf>
    <dxf>
      <font>
        <strike val="0"/>
        <condense val="0"/>
        <extend val="0"/>
      </font>
      <fill>
        <patternFill>
          <bgColor indexed="10"/>
        </patternFill>
      </fill>
      <border>
        <left style="thin">
          <color indexed="64"/>
        </left>
        <right style="thin">
          <color indexed="64"/>
        </right>
        <top style="thin">
          <color indexed="64"/>
        </top>
        <bottom style="thin">
          <color indexed="64"/>
        </bottom>
      </border>
    </dxf>
    <dxf>
      <fill>
        <patternFill>
          <bgColor indexed="11"/>
        </patternFill>
      </fill>
    </dxf>
    <dxf>
      <fill>
        <patternFill>
          <bgColor indexed="43"/>
        </patternFill>
      </fill>
    </dxf>
    <dxf>
      <font>
        <condense val="0"/>
        <extend val="0"/>
        <color auto="1"/>
      </font>
      <fill>
        <patternFill>
          <bgColor indexed="43"/>
        </patternFill>
      </fill>
    </dxf>
    <dxf>
      <fill>
        <patternFill>
          <bgColor indexed="11"/>
        </patternFill>
      </fill>
    </dxf>
    <dxf>
      <fill>
        <patternFill>
          <bgColor indexed="11"/>
        </patternFill>
      </fill>
    </dxf>
    <dxf>
      <fill>
        <patternFill>
          <bgColor indexed="11"/>
        </patternFill>
      </fill>
    </dxf>
    <dxf>
      <fill>
        <patternFill>
          <bgColor indexed="11"/>
        </patternFill>
      </fill>
    </dxf>
    <dxf>
      <font>
        <condense val="0"/>
        <extend val="0"/>
      </font>
      <fill>
        <patternFill>
          <bgColor indexed="10"/>
        </patternFill>
      </fill>
    </dxf>
    <dxf>
      <fill>
        <patternFill>
          <bgColor indexed="10"/>
        </patternFill>
      </fill>
    </dxf>
    <dxf>
      <fill>
        <patternFill>
          <bgColor indexed="1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externalLink" Target="externalLinks/externalLink1.xml"/><Relationship Id="rId10" Type="http://schemas.openxmlformats.org/officeDocument/2006/relationships/calcChain" Target="calcChain.xml"/><Relationship Id="rId4" Type="http://schemas.openxmlformats.org/officeDocument/2006/relationships/worksheet" Target="worksheets/sheet4.xml"/><Relationship Id="rId9" Type="http://schemas.microsoft.com/office/2017/10/relationships/person" Target="persons/perso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DFD181E0-5E2F-11CE-A449-00AA004A803D}"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3.0985958112288336E-2"/>
          <c:y val="3.3707865168539325E-2"/>
          <c:w val="0.94084636450039127"/>
          <c:h val="0.9353932584269663"/>
        </c:manualLayout>
      </c:layout>
      <c:scatterChart>
        <c:scatterStyle val="smoothMarker"/>
        <c:varyColors val="0"/>
        <c:ser>
          <c:idx val="0"/>
          <c:order val="0"/>
          <c:tx>
            <c:v>inner fuselage</c:v>
          </c:tx>
          <c:spPr>
            <a:ln w="12700">
              <a:solidFill>
                <a:srgbClr val="000000"/>
              </a:solidFill>
              <a:prstDash val="solid"/>
            </a:ln>
          </c:spPr>
          <c:marker>
            <c:symbol val="none"/>
          </c:marker>
          <c:xVal>
            <c:numRef>
              <c:f>'Data Fuselage'!$D$27:$D$64</c:f>
              <c:numCache>
                <c:formatCode>General</c:formatCode>
                <c:ptCount val="38"/>
                <c:pt idx="0">
                  <c:v>1.4960570012328709</c:v>
                </c:pt>
                <c:pt idx="1">
                  <c:v>1.4733285337623256</c:v>
                </c:pt>
                <c:pt idx="2">
                  <c:v>1.4058337243336234</c:v>
                </c:pt>
                <c:pt idx="3">
                  <c:v>1.2956233685772336</c:v>
                </c:pt>
                <c:pt idx="4">
                  <c:v>1.1460461523836827</c:v>
                </c:pt>
                <c:pt idx="5">
                  <c:v>0.96164690377728912</c:v>
                </c:pt>
                <c:pt idx="6">
                  <c:v>0.74802850061643555</c:v>
                </c:pt>
                <c:pt idx="7">
                  <c:v>0.51168162998503686</c:v>
                </c:pt>
                <c:pt idx="8">
                  <c:v>0.25978757194994068</c:v>
                </c:pt>
                <c:pt idx="9">
                  <c:v>9.1644596175783763E-17</c:v>
                </c:pt>
                <c:pt idx="10">
                  <c:v>-0.25978757194994051</c:v>
                </c:pt>
                <c:pt idx="11">
                  <c:v>-0.51168162998503663</c:v>
                </c:pt>
                <c:pt idx="12">
                  <c:v>-0.74802850061643511</c:v>
                </c:pt>
                <c:pt idx="13">
                  <c:v>-0.96164690377728868</c:v>
                </c:pt>
                <c:pt idx="14">
                  <c:v>-1.1460461523836822</c:v>
                </c:pt>
                <c:pt idx="15">
                  <c:v>-1.2956233685772329</c:v>
                </c:pt>
                <c:pt idx="16">
                  <c:v>-1.4058337243336227</c:v>
                </c:pt>
                <c:pt idx="17">
                  <c:v>-1.4733285337623254</c:v>
                </c:pt>
                <c:pt idx="18">
                  <c:v>-1.4960570012328709</c:v>
                </c:pt>
                <c:pt idx="19">
                  <c:v>-1.4733285337623263</c:v>
                </c:pt>
                <c:pt idx="20">
                  <c:v>-1.4058337243336243</c:v>
                </c:pt>
                <c:pt idx="21">
                  <c:v>-1.2956233685772349</c:v>
                </c:pt>
                <c:pt idx="22">
                  <c:v>-1.1460461523836849</c:v>
                </c:pt>
                <c:pt idx="23">
                  <c:v>-0.96164690377729145</c:v>
                </c:pt>
                <c:pt idx="24">
                  <c:v>-0.74802850061643822</c:v>
                </c:pt>
                <c:pt idx="25">
                  <c:v>-0.51168162998504008</c:v>
                </c:pt>
                <c:pt idx="26">
                  <c:v>-0.25978757194994445</c:v>
                </c:pt>
                <c:pt idx="27">
                  <c:v>-4.2612304179363098E-15</c:v>
                </c:pt>
                <c:pt idx="28">
                  <c:v>0.25978757194993607</c:v>
                </c:pt>
                <c:pt idx="29">
                  <c:v>0.51168162998503208</c:v>
                </c:pt>
                <c:pt idx="30">
                  <c:v>0.748028500616431</c:v>
                </c:pt>
                <c:pt idx="31">
                  <c:v>0.96164690377728479</c:v>
                </c:pt>
                <c:pt idx="32">
                  <c:v>1.1460461523836791</c:v>
                </c:pt>
                <c:pt idx="33">
                  <c:v>1.2956233685772303</c:v>
                </c:pt>
                <c:pt idx="34">
                  <c:v>1.4058337243336212</c:v>
                </c:pt>
                <c:pt idx="35">
                  <c:v>1.4733285337623245</c:v>
                </c:pt>
                <c:pt idx="36">
                  <c:v>1.4960570012328709</c:v>
                </c:pt>
                <c:pt idx="37">
                  <c:v>1.473328533762327</c:v>
                </c:pt>
              </c:numCache>
            </c:numRef>
          </c:xVal>
          <c:yVal>
            <c:numRef>
              <c:f>'Data Fuselage'!$E$27:$E$64</c:f>
              <c:numCache>
                <c:formatCode>General</c:formatCode>
                <c:ptCount val="38"/>
                <c:pt idx="0">
                  <c:v>0</c:v>
                </c:pt>
                <c:pt idx="1">
                  <c:v>0.25978757194994057</c:v>
                </c:pt>
                <c:pt idx="2">
                  <c:v>0.51168162998503663</c:v>
                </c:pt>
                <c:pt idx="3">
                  <c:v>0.74802850061643533</c:v>
                </c:pt>
                <c:pt idx="4">
                  <c:v>0.96164690377728901</c:v>
                </c:pt>
                <c:pt idx="5">
                  <c:v>1.1460461523836827</c:v>
                </c:pt>
                <c:pt idx="6">
                  <c:v>1.2956233685772334</c:v>
                </c:pt>
                <c:pt idx="7">
                  <c:v>1.4058337243336234</c:v>
                </c:pt>
                <c:pt idx="8">
                  <c:v>1.4733285337623256</c:v>
                </c:pt>
                <c:pt idx="9">
                  <c:v>1.4960570012328709</c:v>
                </c:pt>
                <c:pt idx="10">
                  <c:v>1.4733285337623256</c:v>
                </c:pt>
                <c:pt idx="11">
                  <c:v>1.4058337243336234</c:v>
                </c:pt>
                <c:pt idx="12">
                  <c:v>1.2956233685772336</c:v>
                </c:pt>
                <c:pt idx="13">
                  <c:v>1.1460461523836833</c:v>
                </c:pt>
                <c:pt idx="14">
                  <c:v>0.96164690377728979</c:v>
                </c:pt>
                <c:pt idx="15">
                  <c:v>0.74802850061643655</c:v>
                </c:pt>
                <c:pt idx="16">
                  <c:v>0.51168162998503808</c:v>
                </c:pt>
                <c:pt idx="17">
                  <c:v>0.25978757194994245</c:v>
                </c:pt>
                <c:pt idx="18">
                  <c:v>2.1764375070560468E-15</c:v>
                </c:pt>
                <c:pt idx="19">
                  <c:v>-0.25978757194993818</c:v>
                </c:pt>
                <c:pt idx="20">
                  <c:v>-0.51168162998503408</c:v>
                </c:pt>
                <c:pt idx="21">
                  <c:v>-0.74802850061643278</c:v>
                </c:pt>
                <c:pt idx="22">
                  <c:v>-0.96164690377728645</c:v>
                </c:pt>
                <c:pt idx="23">
                  <c:v>-1.1460461523836807</c:v>
                </c:pt>
                <c:pt idx="24">
                  <c:v>-1.2956233685772316</c:v>
                </c:pt>
                <c:pt idx="25">
                  <c:v>-1.4058337243336221</c:v>
                </c:pt>
                <c:pt idx="26">
                  <c:v>-1.473328533762325</c:v>
                </c:pt>
                <c:pt idx="27">
                  <c:v>-1.4960570012328709</c:v>
                </c:pt>
                <c:pt idx="28">
                  <c:v>-1.4733285337623265</c:v>
                </c:pt>
                <c:pt idx="29">
                  <c:v>-1.4058337243336252</c:v>
                </c:pt>
                <c:pt idx="30">
                  <c:v>-1.295623368577236</c:v>
                </c:pt>
                <c:pt idx="31">
                  <c:v>-1.1460461523836862</c:v>
                </c:pt>
                <c:pt idx="32">
                  <c:v>-0.96164690377729345</c:v>
                </c:pt>
                <c:pt idx="33">
                  <c:v>-0.74802850061644077</c:v>
                </c:pt>
                <c:pt idx="34">
                  <c:v>-0.51168162998504274</c:v>
                </c:pt>
                <c:pt idx="35">
                  <c:v>-0.25978757194994723</c:v>
                </c:pt>
                <c:pt idx="36">
                  <c:v>-7.0104061003847332E-15</c:v>
                </c:pt>
                <c:pt idx="37">
                  <c:v>0.2597875719499334</c:v>
                </c:pt>
              </c:numCache>
            </c:numRef>
          </c:yVal>
          <c:smooth val="1"/>
          <c:extLst>
            <c:ext xmlns:c16="http://schemas.microsoft.com/office/drawing/2014/chart" uri="{C3380CC4-5D6E-409C-BE32-E72D297353CC}">
              <c16:uniqueId val="{00000000-CEB9-4663-A17D-2893051A0506}"/>
            </c:ext>
          </c:extLst>
        </c:ser>
        <c:ser>
          <c:idx val="1"/>
          <c:order val="1"/>
          <c:tx>
            <c:v>ld</c:v>
          </c:tx>
          <c:spPr>
            <a:ln w="12700">
              <a:solidFill>
                <a:srgbClr val="FF00FF"/>
              </a:solidFill>
              <a:prstDash val="solid"/>
            </a:ln>
          </c:spPr>
          <c:marker>
            <c:symbol val="none"/>
          </c:marker>
          <c:xVal>
            <c:numRef>
              <c:f>'Data Fuselage'!$L$27:$L$34</c:f>
              <c:numCache>
                <c:formatCode>General</c:formatCode>
                <c:ptCount val="8"/>
                <c:pt idx="0">
                  <c:v>0</c:v>
                </c:pt>
                <c:pt idx="1">
                  <c:v>1.196045314261363</c:v>
                </c:pt>
                <c:pt idx="2">
                  <c:v>1.196045314261363</c:v>
                </c:pt>
                <c:pt idx="3">
                  <c:v>0</c:v>
                </c:pt>
                <c:pt idx="4">
                  <c:v>0</c:v>
                </c:pt>
                <c:pt idx="5">
                  <c:v>-1.196045314261363</c:v>
                </c:pt>
                <c:pt idx="6">
                  <c:v>-1.196045314261363</c:v>
                </c:pt>
                <c:pt idx="7">
                  <c:v>0</c:v>
                </c:pt>
              </c:numCache>
            </c:numRef>
          </c:xVal>
          <c:yVal>
            <c:numRef>
              <c:f>'Data Fuselage'!$M$27:$M$34</c:f>
              <c:numCache>
                <c:formatCode>0.00</c:formatCode>
                <c:ptCount val="8"/>
                <c:pt idx="0">
                  <c:v>-0.89870025991502178</c:v>
                </c:pt>
                <c:pt idx="1">
                  <c:v>-0.89870025991502178</c:v>
                </c:pt>
                <c:pt idx="2">
                  <c:v>-0.89870025991502178</c:v>
                </c:pt>
                <c:pt idx="3">
                  <c:v>-0.89870025991502178</c:v>
                </c:pt>
                <c:pt idx="4">
                  <c:v>-0.89870025991502178</c:v>
                </c:pt>
                <c:pt idx="5">
                  <c:v>-0.89870025991502178</c:v>
                </c:pt>
                <c:pt idx="6">
                  <c:v>-0.89870025991502178</c:v>
                </c:pt>
                <c:pt idx="7">
                  <c:v>-0.89870025991502178</c:v>
                </c:pt>
              </c:numCache>
            </c:numRef>
          </c:yVal>
          <c:smooth val="0"/>
          <c:extLst>
            <c:ext xmlns:c16="http://schemas.microsoft.com/office/drawing/2014/chart" uri="{C3380CC4-5D6E-409C-BE32-E72D297353CC}">
              <c16:uniqueId val="{00000001-CEB9-4663-A17D-2893051A0506}"/>
            </c:ext>
          </c:extLst>
        </c:ser>
        <c:ser>
          <c:idx val="2"/>
          <c:order val="2"/>
          <c:tx>
            <c:v>lower deck</c:v>
          </c:tx>
          <c:spPr>
            <a:ln w="12700">
              <a:solidFill>
                <a:srgbClr val="FFFF00"/>
              </a:solidFill>
              <a:prstDash val="solid"/>
            </a:ln>
          </c:spPr>
          <c:marker>
            <c:symbol val="none"/>
          </c:marker>
          <c:xVal>
            <c:numRef>
              <c:f>'Data Fuselage'!$J$27:$J$34</c:f>
              <c:numCache>
                <c:formatCode>General</c:formatCode>
                <c:ptCount val="8"/>
                <c:pt idx="0">
                  <c:v>0</c:v>
                </c:pt>
                <c:pt idx="1">
                  <c:v>1.196045314261363</c:v>
                </c:pt>
                <c:pt idx="2">
                  <c:v>1.196045314261363</c:v>
                </c:pt>
                <c:pt idx="3">
                  <c:v>0</c:v>
                </c:pt>
                <c:pt idx="4">
                  <c:v>0</c:v>
                </c:pt>
                <c:pt idx="5">
                  <c:v>-1.196045314261363</c:v>
                </c:pt>
                <c:pt idx="6">
                  <c:v>-1.196045314261363</c:v>
                </c:pt>
                <c:pt idx="7">
                  <c:v>0</c:v>
                </c:pt>
              </c:numCache>
            </c:numRef>
          </c:xVal>
          <c:yVal>
            <c:numRef>
              <c:f>'Data Fuselage'!$K$27:$K$34</c:f>
              <c:numCache>
                <c:formatCode>0.00</c:formatCode>
                <c:ptCount val="8"/>
                <c:pt idx="0">
                  <c:v>-0.89870025991502178</c:v>
                </c:pt>
                <c:pt idx="1">
                  <c:v>-0.89870025991502178</c:v>
                </c:pt>
                <c:pt idx="2">
                  <c:v>-0.89870025991502178</c:v>
                </c:pt>
                <c:pt idx="3">
                  <c:v>-0.89870025991502178</c:v>
                </c:pt>
                <c:pt idx="4">
                  <c:v>-0.89870025991502178</c:v>
                </c:pt>
                <c:pt idx="5">
                  <c:v>-0.89870025991502178</c:v>
                </c:pt>
                <c:pt idx="6">
                  <c:v>-0.89870025991502178</c:v>
                </c:pt>
                <c:pt idx="7">
                  <c:v>-0.89870025991502178</c:v>
                </c:pt>
              </c:numCache>
            </c:numRef>
          </c:yVal>
          <c:smooth val="0"/>
          <c:extLst>
            <c:ext xmlns:c16="http://schemas.microsoft.com/office/drawing/2014/chart" uri="{C3380CC4-5D6E-409C-BE32-E72D297353CC}">
              <c16:uniqueId val="{00000002-CEB9-4663-A17D-2893051A0506}"/>
            </c:ext>
          </c:extLst>
        </c:ser>
        <c:ser>
          <c:idx val="3"/>
          <c:order val="3"/>
          <c:tx>
            <c:v>important points</c:v>
          </c:tx>
          <c:spPr>
            <a:ln w="25400">
              <a:solidFill>
                <a:srgbClr val="FF0000"/>
              </a:solidFill>
              <a:prstDash val="solid"/>
            </a:ln>
          </c:spPr>
          <c:marker>
            <c:symbol val="x"/>
            <c:size val="8"/>
            <c:spPr>
              <a:noFill/>
              <a:ln>
                <a:solidFill>
                  <a:srgbClr val="FF0000"/>
                </a:solidFill>
                <a:prstDash val="solid"/>
              </a:ln>
            </c:spPr>
          </c:marker>
          <c:xVal>
            <c:numRef>
              <c:f>'Data Fuselage'!$D$9:$D$18</c:f>
              <c:numCache>
                <c:formatCode>General</c:formatCode>
                <c:ptCount val="10"/>
                <c:pt idx="0">
                  <c:v>0.47499999999999998</c:v>
                </c:pt>
                <c:pt idx="1">
                  <c:v>1.0699999999999998</c:v>
                </c:pt>
                <c:pt idx="2">
                  <c:v>1.2039999999999997</c:v>
                </c:pt>
                <c:pt idx="3">
                  <c:v>1.3599999999999999</c:v>
                </c:pt>
                <c:pt idx="4">
                  <c:v>1.38</c:v>
                </c:pt>
                <c:pt idx="5">
                  <c:v>1.38</c:v>
                </c:pt>
                <c:pt idx="6">
                  <c:v>1.2699999999999998</c:v>
                </c:pt>
                <c:pt idx="7">
                  <c:v>0</c:v>
                </c:pt>
                <c:pt idx="8">
                  <c:v>0</c:v>
                </c:pt>
                <c:pt idx="9" formatCode="0.00">
                  <c:v>0</c:v>
                </c:pt>
              </c:numCache>
            </c:numRef>
          </c:xVal>
          <c:yVal>
            <c:numRef>
              <c:f>'Data Fuselage'!$E$9:$E$18</c:f>
              <c:numCache>
                <c:formatCode>0.000000</c:formatCode>
                <c:ptCount val="10"/>
                <c:pt idx="0">
                  <c:v>1.1092493750000001</c:v>
                </c:pt>
                <c:pt idx="1">
                  <c:v>0.584729375</c:v>
                </c:pt>
                <c:pt idx="2">
                  <c:v>0.40872937499999995</c:v>
                </c:pt>
                <c:pt idx="3">
                  <c:v>0.22872937500000001</c:v>
                </c:pt>
                <c:pt idx="4">
                  <c:v>-0.19075062499999995</c:v>
                </c:pt>
                <c:pt idx="5">
                  <c:v>-0.29075062499999993</c:v>
                </c:pt>
                <c:pt idx="6">
                  <c:v>-0.79075062499999993</c:v>
                </c:pt>
                <c:pt idx="7">
                  <c:v>-0.89870025991502178</c:v>
                </c:pt>
                <c:pt idx="8">
                  <c:v>-0.89870025991502178</c:v>
                </c:pt>
                <c:pt idx="9">
                  <c:v>-0.89870025991502178</c:v>
                </c:pt>
              </c:numCache>
            </c:numRef>
          </c:yVal>
          <c:smooth val="0"/>
          <c:extLst>
            <c:ext xmlns:c16="http://schemas.microsoft.com/office/drawing/2014/chart" uri="{C3380CC4-5D6E-409C-BE32-E72D297353CC}">
              <c16:uniqueId val="{00000003-CEB9-4663-A17D-2893051A0506}"/>
            </c:ext>
          </c:extLst>
        </c:ser>
        <c:ser>
          <c:idx val="4"/>
          <c:order val="4"/>
          <c:tx>
            <c:v>outter fuselage</c:v>
          </c:tx>
          <c:spPr>
            <a:ln w="12700">
              <a:solidFill>
                <a:srgbClr val="000000"/>
              </a:solidFill>
              <a:prstDash val="solid"/>
            </a:ln>
          </c:spPr>
          <c:marker>
            <c:symbol val="none"/>
          </c:marker>
          <c:xVal>
            <c:numRef>
              <c:f>'Data Fuselage'!$F$27:$F$64</c:f>
              <c:numCache>
                <c:formatCode>General</c:formatCode>
                <c:ptCount val="38"/>
                <c:pt idx="0">
                  <c:v>1.6053795662883501</c:v>
                </c:pt>
                <c:pt idx="1">
                  <c:v>1.5809902434081431</c:v>
                </c:pt>
                <c:pt idx="2">
                  <c:v>1.5085633320016447</c:v>
                </c:pt>
                <c:pt idx="3">
                  <c:v>1.3902994871221555</c:v>
                </c:pt>
                <c:pt idx="4">
                  <c:v>1.2297920958519457</c:v>
                </c:pt>
                <c:pt idx="5">
                  <c:v>1.0319180940541017</c:v>
                </c:pt>
                <c:pt idx="6">
                  <c:v>0.80268978314417527</c:v>
                </c:pt>
                <c:pt idx="7">
                  <c:v>0.54907214935404158</c:v>
                </c:pt>
                <c:pt idx="8">
                  <c:v>0.27877123614969912</c:v>
                </c:pt>
                <c:pt idx="9">
                  <c:v>9.8341414759002134E-17</c:v>
                </c:pt>
                <c:pt idx="10">
                  <c:v>-0.27877123614969895</c:v>
                </c:pt>
                <c:pt idx="11">
                  <c:v>-0.54907214935404136</c:v>
                </c:pt>
                <c:pt idx="12">
                  <c:v>-0.80268978314417472</c:v>
                </c:pt>
                <c:pt idx="13">
                  <c:v>-1.0319180940541013</c:v>
                </c:pt>
                <c:pt idx="14">
                  <c:v>-1.229792095851945</c:v>
                </c:pt>
                <c:pt idx="15">
                  <c:v>-1.3902994871221548</c:v>
                </c:pt>
                <c:pt idx="16">
                  <c:v>-1.5085633320016441</c:v>
                </c:pt>
                <c:pt idx="17">
                  <c:v>-1.5809902434081429</c:v>
                </c:pt>
                <c:pt idx="18">
                  <c:v>-1.6053795662883501</c:v>
                </c:pt>
                <c:pt idx="19">
                  <c:v>-1.5809902434081438</c:v>
                </c:pt>
                <c:pt idx="20">
                  <c:v>-1.5085633320016456</c:v>
                </c:pt>
                <c:pt idx="21">
                  <c:v>-1.390299487122157</c:v>
                </c:pt>
                <c:pt idx="22">
                  <c:v>-1.2297920958519479</c:v>
                </c:pt>
                <c:pt idx="23">
                  <c:v>-1.0319180940541044</c:v>
                </c:pt>
                <c:pt idx="24">
                  <c:v>-0.80268978314417805</c:v>
                </c:pt>
                <c:pt idx="25">
                  <c:v>-0.54907214935404514</c:v>
                </c:pt>
                <c:pt idx="26">
                  <c:v>-0.27877123614970317</c:v>
                </c:pt>
                <c:pt idx="27">
                  <c:v>-4.5726147028915838E-15</c:v>
                </c:pt>
                <c:pt idx="28">
                  <c:v>0.27877123614969418</c:v>
                </c:pt>
                <c:pt idx="29">
                  <c:v>0.54907214935403648</c:v>
                </c:pt>
                <c:pt idx="30">
                  <c:v>0.80268978314417028</c:v>
                </c:pt>
                <c:pt idx="31">
                  <c:v>1.0319180940540973</c:v>
                </c:pt>
                <c:pt idx="32">
                  <c:v>1.2297920958519417</c:v>
                </c:pt>
                <c:pt idx="33">
                  <c:v>1.3902994871221521</c:v>
                </c:pt>
                <c:pt idx="34">
                  <c:v>1.5085633320016423</c:v>
                </c:pt>
                <c:pt idx="35">
                  <c:v>1.580990243408142</c:v>
                </c:pt>
                <c:pt idx="36">
                  <c:v>1.6053795662883501</c:v>
                </c:pt>
                <c:pt idx="37">
                  <c:v>1.5809902434081446</c:v>
                </c:pt>
              </c:numCache>
            </c:numRef>
          </c:xVal>
          <c:yVal>
            <c:numRef>
              <c:f>'Data Fuselage'!$G$27:$G$64</c:f>
              <c:numCache>
                <c:formatCode>General</c:formatCode>
                <c:ptCount val="38"/>
                <c:pt idx="0">
                  <c:v>0</c:v>
                </c:pt>
                <c:pt idx="1">
                  <c:v>0.27877123614969895</c:v>
                </c:pt>
                <c:pt idx="2">
                  <c:v>0.54907214935404136</c:v>
                </c:pt>
                <c:pt idx="3">
                  <c:v>0.80268978314417494</c:v>
                </c:pt>
                <c:pt idx="4">
                  <c:v>1.0319180940541017</c:v>
                </c:pt>
                <c:pt idx="5">
                  <c:v>1.2297920958519457</c:v>
                </c:pt>
                <c:pt idx="6">
                  <c:v>1.3902994871221552</c:v>
                </c:pt>
                <c:pt idx="7">
                  <c:v>1.5085633320016445</c:v>
                </c:pt>
                <c:pt idx="8">
                  <c:v>1.5809902434081431</c:v>
                </c:pt>
                <c:pt idx="9">
                  <c:v>1.6053795662883501</c:v>
                </c:pt>
                <c:pt idx="10">
                  <c:v>1.5809902434081431</c:v>
                </c:pt>
                <c:pt idx="11">
                  <c:v>1.5085633320016447</c:v>
                </c:pt>
                <c:pt idx="12">
                  <c:v>1.3902994871221555</c:v>
                </c:pt>
                <c:pt idx="13">
                  <c:v>1.2297920958519462</c:v>
                </c:pt>
                <c:pt idx="14">
                  <c:v>1.0319180940541026</c:v>
                </c:pt>
                <c:pt idx="15">
                  <c:v>0.80268978314417627</c:v>
                </c:pt>
                <c:pt idx="16">
                  <c:v>0.54907214935404303</c:v>
                </c:pt>
                <c:pt idx="17">
                  <c:v>0.27877123614970101</c:v>
                </c:pt>
                <c:pt idx="18">
                  <c:v>2.3354780588252932E-15</c:v>
                </c:pt>
                <c:pt idx="19">
                  <c:v>-0.2787712361496964</c:v>
                </c:pt>
                <c:pt idx="20">
                  <c:v>-0.54907214935403859</c:v>
                </c:pt>
                <c:pt idx="21">
                  <c:v>-0.80268978314417216</c:v>
                </c:pt>
                <c:pt idx="22">
                  <c:v>-1.0319180940540991</c:v>
                </c:pt>
                <c:pt idx="23">
                  <c:v>-1.2297920958519435</c:v>
                </c:pt>
                <c:pt idx="24">
                  <c:v>-1.3902994871221535</c:v>
                </c:pt>
                <c:pt idx="25">
                  <c:v>-1.5085633320016434</c:v>
                </c:pt>
                <c:pt idx="26">
                  <c:v>-1.5809902434081424</c:v>
                </c:pt>
                <c:pt idx="27">
                  <c:v>-1.6053795662883501</c:v>
                </c:pt>
                <c:pt idx="28">
                  <c:v>-1.580990243408144</c:v>
                </c:pt>
                <c:pt idx="29">
                  <c:v>-1.5085633320016465</c:v>
                </c:pt>
                <c:pt idx="30">
                  <c:v>-1.3902994871221581</c:v>
                </c:pt>
                <c:pt idx="31">
                  <c:v>-1.2297920958519493</c:v>
                </c:pt>
                <c:pt idx="32">
                  <c:v>-1.0319180940541064</c:v>
                </c:pt>
                <c:pt idx="33">
                  <c:v>-0.80268978314418071</c:v>
                </c:pt>
                <c:pt idx="34">
                  <c:v>-0.54907214935404791</c:v>
                </c:pt>
                <c:pt idx="35">
                  <c:v>-0.27877123614970611</c:v>
                </c:pt>
                <c:pt idx="36">
                  <c:v>-7.5226830900603041E-15</c:v>
                </c:pt>
                <c:pt idx="37">
                  <c:v>0.27877123614969129</c:v>
                </c:pt>
              </c:numCache>
            </c:numRef>
          </c:yVal>
          <c:smooth val="1"/>
          <c:extLst>
            <c:ext xmlns:c16="http://schemas.microsoft.com/office/drawing/2014/chart" uri="{C3380CC4-5D6E-409C-BE32-E72D297353CC}">
              <c16:uniqueId val="{00000004-CEB9-4663-A17D-2893051A0506}"/>
            </c:ext>
          </c:extLst>
        </c:ser>
        <c:ser>
          <c:idx val="5"/>
          <c:order val="5"/>
          <c:tx>
            <c:v>floor,up</c:v>
          </c:tx>
          <c:spPr>
            <a:ln w="12700">
              <a:solidFill>
                <a:srgbClr val="000000"/>
              </a:solidFill>
              <a:prstDash val="solid"/>
            </a:ln>
          </c:spPr>
          <c:marker>
            <c:symbol val="none"/>
          </c:marker>
          <c:xVal>
            <c:numRef>
              <c:f>'Data Fuselage'!$J$38:$J$39</c:f>
              <c:numCache>
                <c:formatCode>General</c:formatCode>
                <c:ptCount val="2"/>
                <c:pt idx="0">
                  <c:v>1.2699999999999998</c:v>
                </c:pt>
                <c:pt idx="1">
                  <c:v>-1.2699999999999998</c:v>
                </c:pt>
              </c:numCache>
            </c:numRef>
          </c:xVal>
          <c:yVal>
            <c:numRef>
              <c:f>'Data Fuselage'!$K$38:$K$39</c:f>
              <c:numCache>
                <c:formatCode>0.00</c:formatCode>
                <c:ptCount val="2"/>
                <c:pt idx="0">
                  <c:v>-0.79075062499999993</c:v>
                </c:pt>
                <c:pt idx="1">
                  <c:v>-0.79075062499999993</c:v>
                </c:pt>
              </c:numCache>
            </c:numRef>
          </c:yVal>
          <c:smooth val="1"/>
          <c:extLst>
            <c:ext xmlns:c16="http://schemas.microsoft.com/office/drawing/2014/chart" uri="{C3380CC4-5D6E-409C-BE32-E72D297353CC}">
              <c16:uniqueId val="{00000005-CEB9-4663-A17D-2893051A0506}"/>
            </c:ext>
          </c:extLst>
        </c:ser>
        <c:ser>
          <c:idx val="6"/>
          <c:order val="6"/>
          <c:tx>
            <c:v>floor,down</c:v>
          </c:tx>
          <c:spPr>
            <a:ln w="12700">
              <a:solidFill>
                <a:srgbClr val="000000"/>
              </a:solidFill>
              <a:prstDash val="solid"/>
            </a:ln>
          </c:spPr>
          <c:marker>
            <c:symbol val="none"/>
          </c:marker>
          <c:xVal>
            <c:numRef>
              <c:f>'Data Fuselage'!$J$40:$J$41</c:f>
              <c:numCache>
                <c:formatCode>General</c:formatCode>
                <c:ptCount val="2"/>
                <c:pt idx="0">
                  <c:v>1.196045314261363</c:v>
                </c:pt>
                <c:pt idx="1">
                  <c:v>-1.196045314261363</c:v>
                </c:pt>
              </c:numCache>
            </c:numRef>
          </c:xVal>
          <c:yVal>
            <c:numRef>
              <c:f>'Data Fuselage'!$K$40:$K$41</c:f>
              <c:numCache>
                <c:formatCode>0.00</c:formatCode>
                <c:ptCount val="2"/>
                <c:pt idx="0">
                  <c:v>-0.89870025991502178</c:v>
                </c:pt>
                <c:pt idx="1">
                  <c:v>-0.89870025991502178</c:v>
                </c:pt>
              </c:numCache>
            </c:numRef>
          </c:yVal>
          <c:smooth val="1"/>
          <c:extLst>
            <c:ext xmlns:c16="http://schemas.microsoft.com/office/drawing/2014/chart" uri="{C3380CC4-5D6E-409C-BE32-E72D297353CC}">
              <c16:uniqueId val="{00000006-CEB9-4663-A17D-2893051A0506}"/>
            </c:ext>
          </c:extLst>
        </c:ser>
        <c:ser>
          <c:idx val="7"/>
          <c:order val="7"/>
          <c:tx>
            <c:v>Seat1</c:v>
          </c:tx>
          <c:spPr>
            <a:ln w="12700">
              <a:solidFill>
                <a:srgbClr val="0000FF"/>
              </a:solidFill>
              <a:prstDash val="solid"/>
            </a:ln>
          </c:spPr>
          <c:marker>
            <c:symbol val="none"/>
          </c:marker>
          <c:xVal>
            <c:numRef>
              <c:f>'Data Fuselage'!$J$46:$J$50</c:f>
              <c:numCache>
                <c:formatCode>General</c:formatCode>
                <c:ptCount val="5"/>
                <c:pt idx="0">
                  <c:v>1.3199999999999998</c:v>
                </c:pt>
                <c:pt idx="1">
                  <c:v>1.3199999999999998</c:v>
                </c:pt>
                <c:pt idx="2">
                  <c:v>0.81999999999999984</c:v>
                </c:pt>
                <c:pt idx="3">
                  <c:v>0.81999999999999984</c:v>
                </c:pt>
                <c:pt idx="4">
                  <c:v>1.3199999999999998</c:v>
                </c:pt>
              </c:numCache>
            </c:numRef>
          </c:xVal>
          <c:yVal>
            <c:numRef>
              <c:f>'Data Fuselage'!$K$46:$K$50</c:f>
              <c:numCache>
                <c:formatCode>0.00</c:formatCode>
                <c:ptCount val="5"/>
                <c:pt idx="0">
                  <c:v>-0.50722062499999998</c:v>
                </c:pt>
                <c:pt idx="1">
                  <c:v>0.42872937500000008</c:v>
                </c:pt>
                <c:pt idx="2">
                  <c:v>0.42872937500000008</c:v>
                </c:pt>
                <c:pt idx="3">
                  <c:v>-0.50722062499999998</c:v>
                </c:pt>
                <c:pt idx="4">
                  <c:v>-0.50722062499999998</c:v>
                </c:pt>
              </c:numCache>
            </c:numRef>
          </c:yVal>
          <c:smooth val="0"/>
          <c:extLst>
            <c:ext xmlns:c16="http://schemas.microsoft.com/office/drawing/2014/chart" uri="{C3380CC4-5D6E-409C-BE32-E72D297353CC}">
              <c16:uniqueId val="{00000007-CEB9-4663-A17D-2893051A0506}"/>
            </c:ext>
          </c:extLst>
        </c:ser>
        <c:ser>
          <c:idx val="8"/>
          <c:order val="8"/>
          <c:tx>
            <c:v>Seat1_2</c:v>
          </c:tx>
          <c:spPr>
            <a:ln w="12700">
              <a:solidFill>
                <a:srgbClr val="0000FF"/>
              </a:solidFill>
              <a:prstDash val="solid"/>
            </a:ln>
          </c:spPr>
          <c:marker>
            <c:symbol val="none"/>
          </c:marker>
          <c:xVal>
            <c:numRef>
              <c:f>'Data Fuselage'!$J$55:$J$56</c:f>
              <c:numCache>
                <c:formatCode>General</c:formatCode>
                <c:ptCount val="2"/>
                <c:pt idx="0">
                  <c:v>1.3199999999999998</c:v>
                </c:pt>
                <c:pt idx="1">
                  <c:v>0.81999999999999984</c:v>
                </c:pt>
              </c:numCache>
            </c:numRef>
          </c:xVal>
          <c:yVal>
            <c:numRef>
              <c:f>'Data Fuselage'!$K$55:$K$56</c:f>
              <c:numCache>
                <c:formatCode>0.00</c:formatCode>
                <c:ptCount val="2"/>
                <c:pt idx="0">
                  <c:v>-0.37127062499999997</c:v>
                </c:pt>
                <c:pt idx="1">
                  <c:v>-0.37127062499999997</c:v>
                </c:pt>
              </c:numCache>
            </c:numRef>
          </c:yVal>
          <c:smooth val="0"/>
          <c:extLst>
            <c:ext xmlns:c16="http://schemas.microsoft.com/office/drawing/2014/chart" uri="{C3380CC4-5D6E-409C-BE32-E72D297353CC}">
              <c16:uniqueId val="{00000008-CEB9-4663-A17D-2893051A0506}"/>
            </c:ext>
          </c:extLst>
        </c:ser>
        <c:ser>
          <c:idx val="9"/>
          <c:order val="9"/>
          <c:tx>
            <c:v>Seat1_armrest</c:v>
          </c:tx>
          <c:spPr>
            <a:ln w="12700">
              <a:solidFill>
                <a:srgbClr val="0000FF"/>
              </a:solidFill>
              <a:prstDash val="solid"/>
            </a:ln>
          </c:spPr>
          <c:marker>
            <c:symbol val="none"/>
          </c:marker>
          <c:xVal>
            <c:numRef>
              <c:f>'Data Fuselage'!$J$51:$J$54</c:f>
              <c:numCache>
                <c:formatCode>General</c:formatCode>
                <c:ptCount val="4"/>
                <c:pt idx="0">
                  <c:v>1.3199999999999998</c:v>
                </c:pt>
                <c:pt idx="1">
                  <c:v>1.38</c:v>
                </c:pt>
                <c:pt idx="2">
                  <c:v>1.38</c:v>
                </c:pt>
                <c:pt idx="3">
                  <c:v>1.3199999999999998</c:v>
                </c:pt>
              </c:numCache>
            </c:numRef>
          </c:xVal>
          <c:yVal>
            <c:numRef>
              <c:f>'Data Fuselage'!$K$51:$K$54</c:f>
              <c:numCache>
                <c:formatCode>0.00</c:formatCode>
                <c:ptCount val="4"/>
                <c:pt idx="0">
                  <c:v>-0.29075062499999993</c:v>
                </c:pt>
                <c:pt idx="1">
                  <c:v>-0.29075062499999993</c:v>
                </c:pt>
                <c:pt idx="2">
                  <c:v>-0.19075062499999995</c:v>
                </c:pt>
                <c:pt idx="3">
                  <c:v>-0.19075062499999995</c:v>
                </c:pt>
              </c:numCache>
            </c:numRef>
          </c:yVal>
          <c:smooth val="0"/>
          <c:extLst>
            <c:ext xmlns:c16="http://schemas.microsoft.com/office/drawing/2014/chart" uri="{C3380CC4-5D6E-409C-BE32-E72D297353CC}">
              <c16:uniqueId val="{00000009-CEB9-4663-A17D-2893051A0506}"/>
            </c:ext>
          </c:extLst>
        </c:ser>
        <c:ser>
          <c:idx val="10"/>
          <c:order val="10"/>
          <c:tx>
            <c:v>Pax_legs</c:v>
          </c:tx>
          <c:spPr>
            <a:ln w="25400">
              <a:solidFill>
                <a:srgbClr val="FFFF00"/>
              </a:solidFill>
              <a:prstDash val="solid"/>
            </a:ln>
          </c:spPr>
          <c:marker>
            <c:symbol val="none"/>
          </c:marker>
          <c:xVal>
            <c:numRef>
              <c:f>'Data Fuselage'!$P$32:$P$35</c:f>
              <c:numCache>
                <c:formatCode>General</c:formatCode>
                <c:ptCount val="4"/>
                <c:pt idx="0">
                  <c:v>1.2814999999999999</c:v>
                </c:pt>
                <c:pt idx="1">
                  <c:v>1.2814999999999999</c:v>
                </c:pt>
                <c:pt idx="2">
                  <c:v>0.85849999999999982</c:v>
                </c:pt>
                <c:pt idx="3">
                  <c:v>0.85849999999999982</c:v>
                </c:pt>
              </c:numCache>
            </c:numRef>
          </c:xVal>
          <c:yVal>
            <c:numRef>
              <c:f>'Data Fuselage'!$Q$32:$Q$35</c:f>
              <c:numCache>
                <c:formatCode>0.00</c:formatCode>
                <c:ptCount val="4"/>
                <c:pt idx="0">
                  <c:v>-0.79075062499999993</c:v>
                </c:pt>
                <c:pt idx="1">
                  <c:v>-0.29075062499999993</c:v>
                </c:pt>
                <c:pt idx="2">
                  <c:v>-0.29075062499999993</c:v>
                </c:pt>
                <c:pt idx="3">
                  <c:v>-0.79075062499999993</c:v>
                </c:pt>
              </c:numCache>
            </c:numRef>
          </c:yVal>
          <c:smooth val="0"/>
          <c:extLst>
            <c:ext xmlns:c16="http://schemas.microsoft.com/office/drawing/2014/chart" uri="{C3380CC4-5D6E-409C-BE32-E72D297353CC}">
              <c16:uniqueId val="{0000000A-CEB9-4663-A17D-2893051A0506}"/>
            </c:ext>
          </c:extLst>
        </c:ser>
        <c:ser>
          <c:idx val="11"/>
          <c:order val="11"/>
          <c:tx>
            <c:v>Pax_arms</c:v>
          </c:tx>
          <c:spPr>
            <a:ln w="25400">
              <a:solidFill>
                <a:srgbClr val="FFFF00"/>
              </a:solidFill>
              <a:prstDash val="solid"/>
            </a:ln>
          </c:spPr>
          <c:marker>
            <c:symbol val="none"/>
          </c:marker>
          <c:xVal>
            <c:numRef>
              <c:f>'Data Fuselage'!$P$36:$P$39</c:f>
              <c:numCache>
                <c:formatCode>General</c:formatCode>
                <c:ptCount val="4"/>
                <c:pt idx="0">
                  <c:v>1.3099999999999998</c:v>
                </c:pt>
                <c:pt idx="1">
                  <c:v>1.3099999999999998</c:v>
                </c:pt>
                <c:pt idx="2">
                  <c:v>0.82999999999999985</c:v>
                </c:pt>
                <c:pt idx="3">
                  <c:v>0.82999999999999985</c:v>
                </c:pt>
              </c:numCache>
            </c:numRef>
          </c:xVal>
          <c:yVal>
            <c:numRef>
              <c:f>'Data Fuselage'!$Q$36:$Q$39</c:f>
              <c:numCache>
                <c:formatCode>0.00</c:formatCode>
                <c:ptCount val="4"/>
                <c:pt idx="0">
                  <c:v>-0.19075062499999995</c:v>
                </c:pt>
                <c:pt idx="1">
                  <c:v>0.30924937500000005</c:v>
                </c:pt>
                <c:pt idx="2">
                  <c:v>0.30924937500000005</c:v>
                </c:pt>
                <c:pt idx="3">
                  <c:v>-0.19075062499999995</c:v>
                </c:pt>
              </c:numCache>
            </c:numRef>
          </c:yVal>
          <c:smooth val="0"/>
          <c:extLst>
            <c:ext xmlns:c16="http://schemas.microsoft.com/office/drawing/2014/chart" uri="{C3380CC4-5D6E-409C-BE32-E72D297353CC}">
              <c16:uniqueId val="{0000000B-CEB9-4663-A17D-2893051A0506}"/>
            </c:ext>
          </c:extLst>
        </c:ser>
        <c:ser>
          <c:idx val="12"/>
          <c:order val="12"/>
          <c:tx>
            <c:v>Pax_body</c:v>
          </c:tx>
          <c:spPr>
            <a:ln w="25400">
              <a:solidFill>
                <a:srgbClr val="FFFF00"/>
              </a:solidFill>
              <a:prstDash val="solid"/>
            </a:ln>
          </c:spPr>
          <c:marker>
            <c:symbol val="none"/>
          </c:marker>
          <c:xVal>
            <c:numRef>
              <c:f>'Data Fuselage'!$P$40:$P$41</c:f>
              <c:numCache>
                <c:formatCode>General</c:formatCode>
                <c:ptCount val="2"/>
                <c:pt idx="0">
                  <c:v>1.0699999999999998</c:v>
                </c:pt>
                <c:pt idx="1">
                  <c:v>1.0699999999999998</c:v>
                </c:pt>
              </c:numCache>
            </c:numRef>
          </c:xVal>
          <c:yVal>
            <c:numRef>
              <c:f>'Data Fuselage'!$Q$40:$Q$41</c:f>
              <c:numCache>
                <c:formatCode>0.00</c:formatCode>
                <c:ptCount val="2"/>
                <c:pt idx="0">
                  <c:v>-0.29075062499999993</c:v>
                </c:pt>
                <c:pt idx="1">
                  <c:v>0.35824937500000009</c:v>
                </c:pt>
              </c:numCache>
            </c:numRef>
          </c:yVal>
          <c:smooth val="0"/>
          <c:extLst>
            <c:ext xmlns:c16="http://schemas.microsoft.com/office/drawing/2014/chart" uri="{C3380CC4-5D6E-409C-BE32-E72D297353CC}">
              <c16:uniqueId val="{0000000C-CEB9-4663-A17D-2893051A0506}"/>
            </c:ext>
          </c:extLst>
        </c:ser>
        <c:ser>
          <c:idx val="13"/>
          <c:order val="13"/>
          <c:tx>
            <c:v>Pax_head</c:v>
          </c:tx>
          <c:spPr>
            <a:ln w="25400">
              <a:solidFill>
                <a:srgbClr val="FFFF00"/>
              </a:solidFill>
              <a:prstDash val="solid"/>
            </a:ln>
          </c:spPr>
          <c:marker>
            <c:symbol val="none"/>
          </c:marker>
          <c:xVal>
            <c:numRef>
              <c:f>'Data Fuselage'!$P$43:$P$55</c:f>
              <c:numCache>
                <c:formatCode>General</c:formatCode>
                <c:ptCount val="13"/>
                <c:pt idx="0">
                  <c:v>1.1524999999999999</c:v>
                </c:pt>
                <c:pt idx="1">
                  <c:v>1.141447095812216</c:v>
                </c:pt>
                <c:pt idx="2">
                  <c:v>1.1112499999999998</c:v>
                </c:pt>
                <c:pt idx="3">
                  <c:v>1.0699999999999998</c:v>
                </c:pt>
                <c:pt idx="4">
                  <c:v>1.0287499999999998</c:v>
                </c:pt>
                <c:pt idx="5">
                  <c:v>0.99855290418778364</c:v>
                </c:pt>
                <c:pt idx="6">
                  <c:v>0.98749999999999982</c:v>
                </c:pt>
                <c:pt idx="7">
                  <c:v>0.99855290418778364</c:v>
                </c:pt>
                <c:pt idx="8">
                  <c:v>1.0287499999999998</c:v>
                </c:pt>
                <c:pt idx="9">
                  <c:v>1.0699999999999998</c:v>
                </c:pt>
                <c:pt idx="10">
                  <c:v>1.1112499999999998</c:v>
                </c:pt>
                <c:pt idx="11">
                  <c:v>1.141447095812216</c:v>
                </c:pt>
                <c:pt idx="12">
                  <c:v>1.1524999999999999</c:v>
                </c:pt>
              </c:numCache>
            </c:numRef>
          </c:xVal>
          <c:yVal>
            <c:numRef>
              <c:f>'Data Fuselage'!$Q$43:$Q$55</c:f>
              <c:numCache>
                <c:formatCode>0.00</c:formatCode>
                <c:ptCount val="13"/>
                <c:pt idx="0">
                  <c:v>0.4867493750000001</c:v>
                </c:pt>
                <c:pt idx="1">
                  <c:v>0.55099937500000007</c:v>
                </c:pt>
                <c:pt idx="2">
                  <c:v>0.59803363938630039</c:v>
                </c:pt>
                <c:pt idx="3">
                  <c:v>0.6152493750000001</c:v>
                </c:pt>
                <c:pt idx="4">
                  <c:v>0.59803363938630039</c:v>
                </c:pt>
                <c:pt idx="5">
                  <c:v>0.55099937500000018</c:v>
                </c:pt>
                <c:pt idx="6">
                  <c:v>0.48674937500000015</c:v>
                </c:pt>
                <c:pt idx="7">
                  <c:v>0.42249937500000018</c:v>
                </c:pt>
                <c:pt idx="8">
                  <c:v>0.37546511061369975</c:v>
                </c:pt>
                <c:pt idx="9">
                  <c:v>0.35824937500000009</c:v>
                </c:pt>
                <c:pt idx="10">
                  <c:v>0.37546511061369975</c:v>
                </c:pt>
                <c:pt idx="11">
                  <c:v>0.42249937500000012</c:v>
                </c:pt>
                <c:pt idx="12">
                  <c:v>0.48674937500000015</c:v>
                </c:pt>
              </c:numCache>
            </c:numRef>
          </c:yVal>
          <c:smooth val="1"/>
          <c:extLst>
            <c:ext xmlns:c16="http://schemas.microsoft.com/office/drawing/2014/chart" uri="{C3380CC4-5D6E-409C-BE32-E72D297353CC}">
              <c16:uniqueId val="{0000000D-CEB9-4663-A17D-2893051A0506}"/>
            </c:ext>
          </c:extLst>
        </c:ser>
        <c:dLbls>
          <c:showLegendKey val="0"/>
          <c:showVal val="0"/>
          <c:showCatName val="0"/>
          <c:showSerName val="0"/>
          <c:showPercent val="0"/>
          <c:showBubbleSize val="0"/>
        </c:dLbls>
        <c:axId val="660126400"/>
        <c:axId val="1"/>
      </c:scatterChart>
      <c:valAx>
        <c:axId val="660126400"/>
        <c:scaling>
          <c:orientation val="minMax"/>
          <c:max val="2"/>
          <c:min val="-2"/>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zh-TW"/>
          </a:p>
        </c:txPr>
        <c:crossAx val="1"/>
        <c:crosses val="autoZero"/>
        <c:crossBetween val="midCat"/>
      </c:valAx>
      <c:valAx>
        <c:axId val="1"/>
        <c:scaling>
          <c:orientation val="minMax"/>
          <c:max val="2"/>
          <c:min val="-2"/>
        </c:scaling>
        <c:delete val="0"/>
        <c:axPos val="l"/>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zh-TW"/>
          </a:p>
        </c:txPr>
        <c:crossAx val="660126400"/>
        <c:crosses val="autoZero"/>
        <c:crossBetween val="midCat"/>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575" b="0" i="0" u="none" strike="noStrike" baseline="0">
          <a:solidFill>
            <a:srgbClr val="000000"/>
          </a:solidFill>
          <a:latin typeface="Arial"/>
          <a:ea typeface="Arial"/>
          <a:cs typeface="Arial"/>
        </a:defRPr>
      </a:pPr>
      <a:endParaRPr lang="zh-TW"/>
    </a:p>
  </c:txPr>
  <c:printSettings>
    <c:headerFooter alignWithMargins="0"/>
    <c:pageMargins b="1" l="0.75" r="0.75" t="1" header="0.4921259845" footer="0.4921259845"/>
    <c:pageSetup paperSize="9" orientation="landscape" verticalDpi="300"/>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2.3715415019762844E-2"/>
          <c:y val="2.8248639522715696E-2"/>
          <c:w val="0.95454545454545459"/>
          <c:h val="0.94538780269355194"/>
        </c:manualLayout>
      </c:layout>
      <c:scatterChart>
        <c:scatterStyle val="lineMarker"/>
        <c:varyColors val="0"/>
        <c:ser>
          <c:idx val="0"/>
          <c:order val="0"/>
          <c:tx>
            <c:v>inner fuselage</c:v>
          </c:tx>
          <c:spPr>
            <a:ln w="12700">
              <a:solidFill>
                <a:srgbClr val="000000"/>
              </a:solidFill>
              <a:prstDash val="solid"/>
            </a:ln>
          </c:spPr>
          <c:marker>
            <c:symbol val="none"/>
          </c:marker>
          <c:xVal>
            <c:numRef>
              <c:f>'Data Fuselage'!$D$27:$D$64</c:f>
              <c:numCache>
                <c:formatCode>General</c:formatCode>
                <c:ptCount val="38"/>
                <c:pt idx="0">
                  <c:v>1.4960570012328709</c:v>
                </c:pt>
                <c:pt idx="1">
                  <c:v>1.4733285337623256</c:v>
                </c:pt>
                <c:pt idx="2">
                  <c:v>1.4058337243336234</c:v>
                </c:pt>
                <c:pt idx="3">
                  <c:v>1.2956233685772336</c:v>
                </c:pt>
                <c:pt idx="4">
                  <c:v>1.1460461523836827</c:v>
                </c:pt>
                <c:pt idx="5">
                  <c:v>0.96164690377728912</c:v>
                </c:pt>
                <c:pt idx="6">
                  <c:v>0.74802850061643555</c:v>
                </c:pt>
                <c:pt idx="7">
                  <c:v>0.51168162998503686</c:v>
                </c:pt>
                <c:pt idx="8">
                  <c:v>0.25978757194994068</c:v>
                </c:pt>
                <c:pt idx="9">
                  <c:v>9.1644596175783763E-17</c:v>
                </c:pt>
                <c:pt idx="10">
                  <c:v>-0.25978757194994051</c:v>
                </c:pt>
                <c:pt idx="11">
                  <c:v>-0.51168162998503663</c:v>
                </c:pt>
                <c:pt idx="12">
                  <c:v>-0.74802850061643511</c:v>
                </c:pt>
                <c:pt idx="13">
                  <c:v>-0.96164690377728868</c:v>
                </c:pt>
                <c:pt idx="14">
                  <c:v>-1.1460461523836822</c:v>
                </c:pt>
                <c:pt idx="15">
                  <c:v>-1.2956233685772329</c:v>
                </c:pt>
                <c:pt idx="16">
                  <c:v>-1.4058337243336227</c:v>
                </c:pt>
                <c:pt idx="17">
                  <c:v>-1.4733285337623254</c:v>
                </c:pt>
                <c:pt idx="18">
                  <c:v>-1.4960570012328709</c:v>
                </c:pt>
                <c:pt idx="19">
                  <c:v>-1.4733285337623263</c:v>
                </c:pt>
                <c:pt idx="20">
                  <c:v>-1.4058337243336243</c:v>
                </c:pt>
                <c:pt idx="21">
                  <c:v>-1.2956233685772349</c:v>
                </c:pt>
                <c:pt idx="22">
                  <c:v>-1.1460461523836849</c:v>
                </c:pt>
                <c:pt idx="23">
                  <c:v>-0.96164690377729145</c:v>
                </c:pt>
                <c:pt idx="24">
                  <c:v>-0.74802850061643822</c:v>
                </c:pt>
                <c:pt idx="25">
                  <c:v>-0.51168162998504008</c:v>
                </c:pt>
                <c:pt idx="26">
                  <c:v>-0.25978757194994445</c:v>
                </c:pt>
                <c:pt idx="27">
                  <c:v>-4.2612304179363098E-15</c:v>
                </c:pt>
                <c:pt idx="28">
                  <c:v>0.25978757194993607</c:v>
                </c:pt>
                <c:pt idx="29">
                  <c:v>0.51168162998503208</c:v>
                </c:pt>
                <c:pt idx="30">
                  <c:v>0.748028500616431</c:v>
                </c:pt>
                <c:pt idx="31">
                  <c:v>0.96164690377728479</c:v>
                </c:pt>
                <c:pt idx="32">
                  <c:v>1.1460461523836791</c:v>
                </c:pt>
                <c:pt idx="33">
                  <c:v>1.2956233685772303</c:v>
                </c:pt>
                <c:pt idx="34">
                  <c:v>1.4058337243336212</c:v>
                </c:pt>
                <c:pt idx="35">
                  <c:v>1.4733285337623245</c:v>
                </c:pt>
                <c:pt idx="36">
                  <c:v>1.4960570012328709</c:v>
                </c:pt>
                <c:pt idx="37">
                  <c:v>1.473328533762327</c:v>
                </c:pt>
              </c:numCache>
            </c:numRef>
          </c:xVal>
          <c:yVal>
            <c:numRef>
              <c:f>'Data Fuselage'!$E$27:$E$64</c:f>
              <c:numCache>
                <c:formatCode>General</c:formatCode>
                <c:ptCount val="38"/>
                <c:pt idx="0">
                  <c:v>0</c:v>
                </c:pt>
                <c:pt idx="1">
                  <c:v>0.25978757194994057</c:v>
                </c:pt>
                <c:pt idx="2">
                  <c:v>0.51168162998503663</c:v>
                </c:pt>
                <c:pt idx="3">
                  <c:v>0.74802850061643533</c:v>
                </c:pt>
                <c:pt idx="4">
                  <c:v>0.96164690377728901</c:v>
                </c:pt>
                <c:pt idx="5">
                  <c:v>1.1460461523836827</c:v>
                </c:pt>
                <c:pt idx="6">
                  <c:v>1.2956233685772334</c:v>
                </c:pt>
                <c:pt idx="7">
                  <c:v>1.4058337243336234</c:v>
                </c:pt>
                <c:pt idx="8">
                  <c:v>1.4733285337623256</c:v>
                </c:pt>
                <c:pt idx="9">
                  <c:v>1.4960570012328709</c:v>
                </c:pt>
                <c:pt idx="10">
                  <c:v>1.4733285337623256</c:v>
                </c:pt>
                <c:pt idx="11">
                  <c:v>1.4058337243336234</c:v>
                </c:pt>
                <c:pt idx="12">
                  <c:v>1.2956233685772336</c:v>
                </c:pt>
                <c:pt idx="13">
                  <c:v>1.1460461523836833</c:v>
                </c:pt>
                <c:pt idx="14">
                  <c:v>0.96164690377728979</c:v>
                </c:pt>
                <c:pt idx="15">
                  <c:v>0.74802850061643655</c:v>
                </c:pt>
                <c:pt idx="16">
                  <c:v>0.51168162998503808</c:v>
                </c:pt>
                <c:pt idx="17">
                  <c:v>0.25978757194994245</c:v>
                </c:pt>
                <c:pt idx="18">
                  <c:v>2.1764375070560468E-15</c:v>
                </c:pt>
                <c:pt idx="19">
                  <c:v>-0.25978757194993818</c:v>
                </c:pt>
                <c:pt idx="20">
                  <c:v>-0.51168162998503408</c:v>
                </c:pt>
                <c:pt idx="21">
                  <c:v>-0.74802850061643278</c:v>
                </c:pt>
                <c:pt idx="22">
                  <c:v>-0.96164690377728645</c:v>
                </c:pt>
                <c:pt idx="23">
                  <c:v>-1.1460461523836807</c:v>
                </c:pt>
                <c:pt idx="24">
                  <c:v>-1.2956233685772316</c:v>
                </c:pt>
                <c:pt idx="25">
                  <c:v>-1.4058337243336221</c:v>
                </c:pt>
                <c:pt idx="26">
                  <c:v>-1.473328533762325</c:v>
                </c:pt>
                <c:pt idx="27">
                  <c:v>-1.4960570012328709</c:v>
                </c:pt>
                <c:pt idx="28">
                  <c:v>-1.4733285337623265</c:v>
                </c:pt>
                <c:pt idx="29">
                  <c:v>-1.4058337243336252</c:v>
                </c:pt>
                <c:pt idx="30">
                  <c:v>-1.295623368577236</c:v>
                </c:pt>
                <c:pt idx="31">
                  <c:v>-1.1460461523836862</c:v>
                </c:pt>
                <c:pt idx="32">
                  <c:v>-0.96164690377729345</c:v>
                </c:pt>
                <c:pt idx="33">
                  <c:v>-0.74802850061644077</c:v>
                </c:pt>
                <c:pt idx="34">
                  <c:v>-0.51168162998504274</c:v>
                </c:pt>
                <c:pt idx="35">
                  <c:v>-0.25978757194994723</c:v>
                </c:pt>
                <c:pt idx="36">
                  <c:v>-7.0104061003847332E-15</c:v>
                </c:pt>
                <c:pt idx="37">
                  <c:v>0.2597875719499334</c:v>
                </c:pt>
              </c:numCache>
            </c:numRef>
          </c:yVal>
          <c:smooth val="0"/>
          <c:extLst>
            <c:ext xmlns:c16="http://schemas.microsoft.com/office/drawing/2014/chart" uri="{C3380CC4-5D6E-409C-BE32-E72D297353CC}">
              <c16:uniqueId val="{00000000-D895-4181-8EED-051A286E6B5A}"/>
            </c:ext>
          </c:extLst>
        </c:ser>
        <c:ser>
          <c:idx val="1"/>
          <c:order val="1"/>
          <c:tx>
            <c:v>ld</c:v>
          </c:tx>
          <c:spPr>
            <a:ln w="12700">
              <a:solidFill>
                <a:srgbClr val="FF00FF"/>
              </a:solidFill>
              <a:prstDash val="solid"/>
            </a:ln>
          </c:spPr>
          <c:marker>
            <c:symbol val="none"/>
          </c:marker>
          <c:xVal>
            <c:numRef>
              <c:f>'Data Fuselage'!$L$27:$L$34</c:f>
              <c:numCache>
                <c:formatCode>General</c:formatCode>
                <c:ptCount val="8"/>
                <c:pt idx="0">
                  <c:v>0</c:v>
                </c:pt>
                <c:pt idx="1">
                  <c:v>1.196045314261363</c:v>
                </c:pt>
                <c:pt idx="2">
                  <c:v>1.196045314261363</c:v>
                </c:pt>
                <c:pt idx="3">
                  <c:v>0</c:v>
                </c:pt>
                <c:pt idx="4">
                  <c:v>0</c:v>
                </c:pt>
                <c:pt idx="5">
                  <c:v>-1.196045314261363</c:v>
                </c:pt>
                <c:pt idx="6">
                  <c:v>-1.196045314261363</c:v>
                </c:pt>
                <c:pt idx="7">
                  <c:v>0</c:v>
                </c:pt>
              </c:numCache>
            </c:numRef>
          </c:xVal>
          <c:yVal>
            <c:numRef>
              <c:f>'Data Fuselage'!$M$27:$M$34</c:f>
              <c:numCache>
                <c:formatCode>0.00</c:formatCode>
                <c:ptCount val="8"/>
                <c:pt idx="0">
                  <c:v>-0.89870025991502178</c:v>
                </c:pt>
                <c:pt idx="1">
                  <c:v>-0.89870025991502178</c:v>
                </c:pt>
                <c:pt idx="2">
                  <c:v>-0.89870025991502178</c:v>
                </c:pt>
                <c:pt idx="3">
                  <c:v>-0.89870025991502178</c:v>
                </c:pt>
                <c:pt idx="4">
                  <c:v>-0.89870025991502178</c:v>
                </c:pt>
                <c:pt idx="5">
                  <c:v>-0.89870025991502178</c:v>
                </c:pt>
                <c:pt idx="6">
                  <c:v>-0.89870025991502178</c:v>
                </c:pt>
                <c:pt idx="7">
                  <c:v>-0.89870025991502178</c:v>
                </c:pt>
              </c:numCache>
            </c:numRef>
          </c:yVal>
          <c:smooth val="0"/>
          <c:extLst>
            <c:ext xmlns:c16="http://schemas.microsoft.com/office/drawing/2014/chart" uri="{C3380CC4-5D6E-409C-BE32-E72D297353CC}">
              <c16:uniqueId val="{00000001-D895-4181-8EED-051A286E6B5A}"/>
            </c:ext>
          </c:extLst>
        </c:ser>
        <c:ser>
          <c:idx val="2"/>
          <c:order val="2"/>
          <c:tx>
            <c:v>lower deck</c:v>
          </c:tx>
          <c:spPr>
            <a:ln w="12700">
              <a:solidFill>
                <a:srgbClr val="000000"/>
              </a:solidFill>
              <a:prstDash val="solid"/>
            </a:ln>
          </c:spPr>
          <c:marker>
            <c:symbol val="none"/>
          </c:marker>
          <c:xVal>
            <c:numRef>
              <c:f>'Data Fuselage'!$J$27:$J$34</c:f>
              <c:numCache>
                <c:formatCode>General</c:formatCode>
                <c:ptCount val="8"/>
                <c:pt idx="0">
                  <c:v>0</c:v>
                </c:pt>
                <c:pt idx="1">
                  <c:v>1.196045314261363</c:v>
                </c:pt>
                <c:pt idx="2">
                  <c:v>1.196045314261363</c:v>
                </c:pt>
                <c:pt idx="3">
                  <c:v>0</c:v>
                </c:pt>
                <c:pt idx="4">
                  <c:v>0</c:v>
                </c:pt>
                <c:pt idx="5">
                  <c:v>-1.196045314261363</c:v>
                </c:pt>
                <c:pt idx="6">
                  <c:v>-1.196045314261363</c:v>
                </c:pt>
                <c:pt idx="7">
                  <c:v>0</c:v>
                </c:pt>
              </c:numCache>
            </c:numRef>
          </c:xVal>
          <c:yVal>
            <c:numRef>
              <c:f>'Data Fuselage'!$K$27:$K$34</c:f>
              <c:numCache>
                <c:formatCode>0.00</c:formatCode>
                <c:ptCount val="8"/>
                <c:pt idx="0">
                  <c:v>-0.89870025991502178</c:v>
                </c:pt>
                <c:pt idx="1">
                  <c:v>-0.89870025991502178</c:v>
                </c:pt>
                <c:pt idx="2">
                  <c:v>-0.89870025991502178</c:v>
                </c:pt>
                <c:pt idx="3">
                  <c:v>-0.89870025991502178</c:v>
                </c:pt>
                <c:pt idx="4">
                  <c:v>-0.89870025991502178</c:v>
                </c:pt>
                <c:pt idx="5">
                  <c:v>-0.89870025991502178</c:v>
                </c:pt>
                <c:pt idx="6">
                  <c:v>-0.89870025991502178</c:v>
                </c:pt>
                <c:pt idx="7">
                  <c:v>-0.89870025991502178</c:v>
                </c:pt>
              </c:numCache>
            </c:numRef>
          </c:yVal>
          <c:smooth val="0"/>
          <c:extLst>
            <c:ext xmlns:c16="http://schemas.microsoft.com/office/drawing/2014/chart" uri="{C3380CC4-5D6E-409C-BE32-E72D297353CC}">
              <c16:uniqueId val="{00000002-D895-4181-8EED-051A286E6B5A}"/>
            </c:ext>
          </c:extLst>
        </c:ser>
        <c:ser>
          <c:idx val="4"/>
          <c:order val="3"/>
          <c:tx>
            <c:v>outter fuselage</c:v>
          </c:tx>
          <c:spPr>
            <a:ln w="12700">
              <a:solidFill>
                <a:srgbClr val="000000"/>
              </a:solidFill>
              <a:prstDash val="solid"/>
            </a:ln>
          </c:spPr>
          <c:marker>
            <c:symbol val="none"/>
          </c:marker>
          <c:xVal>
            <c:numRef>
              <c:f>'Data Fuselage'!$F$27:$F$64</c:f>
              <c:numCache>
                <c:formatCode>General</c:formatCode>
                <c:ptCount val="38"/>
                <c:pt idx="0">
                  <c:v>1.6053795662883501</c:v>
                </c:pt>
                <c:pt idx="1">
                  <c:v>1.5809902434081431</c:v>
                </c:pt>
                <c:pt idx="2">
                  <c:v>1.5085633320016447</c:v>
                </c:pt>
                <c:pt idx="3">
                  <c:v>1.3902994871221555</c:v>
                </c:pt>
                <c:pt idx="4">
                  <c:v>1.2297920958519457</c:v>
                </c:pt>
                <c:pt idx="5">
                  <c:v>1.0319180940541017</c:v>
                </c:pt>
                <c:pt idx="6">
                  <c:v>0.80268978314417527</c:v>
                </c:pt>
                <c:pt idx="7">
                  <c:v>0.54907214935404158</c:v>
                </c:pt>
                <c:pt idx="8">
                  <c:v>0.27877123614969912</c:v>
                </c:pt>
                <c:pt idx="9">
                  <c:v>9.8341414759002134E-17</c:v>
                </c:pt>
                <c:pt idx="10">
                  <c:v>-0.27877123614969895</c:v>
                </c:pt>
                <c:pt idx="11">
                  <c:v>-0.54907214935404136</c:v>
                </c:pt>
                <c:pt idx="12">
                  <c:v>-0.80268978314417472</c:v>
                </c:pt>
                <c:pt idx="13">
                  <c:v>-1.0319180940541013</c:v>
                </c:pt>
                <c:pt idx="14">
                  <c:v>-1.229792095851945</c:v>
                </c:pt>
                <c:pt idx="15">
                  <c:v>-1.3902994871221548</c:v>
                </c:pt>
                <c:pt idx="16">
                  <c:v>-1.5085633320016441</c:v>
                </c:pt>
                <c:pt idx="17">
                  <c:v>-1.5809902434081429</c:v>
                </c:pt>
                <c:pt idx="18">
                  <c:v>-1.6053795662883501</c:v>
                </c:pt>
                <c:pt idx="19">
                  <c:v>-1.5809902434081438</c:v>
                </c:pt>
                <c:pt idx="20">
                  <c:v>-1.5085633320016456</c:v>
                </c:pt>
                <c:pt idx="21">
                  <c:v>-1.390299487122157</c:v>
                </c:pt>
                <c:pt idx="22">
                  <c:v>-1.2297920958519479</c:v>
                </c:pt>
                <c:pt idx="23">
                  <c:v>-1.0319180940541044</c:v>
                </c:pt>
                <c:pt idx="24">
                  <c:v>-0.80268978314417805</c:v>
                </c:pt>
                <c:pt idx="25">
                  <c:v>-0.54907214935404514</c:v>
                </c:pt>
                <c:pt idx="26">
                  <c:v>-0.27877123614970317</c:v>
                </c:pt>
                <c:pt idx="27">
                  <c:v>-4.5726147028915838E-15</c:v>
                </c:pt>
                <c:pt idx="28">
                  <c:v>0.27877123614969418</c:v>
                </c:pt>
                <c:pt idx="29">
                  <c:v>0.54907214935403648</c:v>
                </c:pt>
                <c:pt idx="30">
                  <c:v>0.80268978314417028</c:v>
                </c:pt>
                <c:pt idx="31">
                  <c:v>1.0319180940540973</c:v>
                </c:pt>
                <c:pt idx="32">
                  <c:v>1.2297920958519417</c:v>
                </c:pt>
                <c:pt idx="33">
                  <c:v>1.3902994871221521</c:v>
                </c:pt>
                <c:pt idx="34">
                  <c:v>1.5085633320016423</c:v>
                </c:pt>
                <c:pt idx="35">
                  <c:v>1.580990243408142</c:v>
                </c:pt>
                <c:pt idx="36">
                  <c:v>1.6053795662883501</c:v>
                </c:pt>
                <c:pt idx="37">
                  <c:v>1.5809902434081446</c:v>
                </c:pt>
              </c:numCache>
            </c:numRef>
          </c:xVal>
          <c:yVal>
            <c:numRef>
              <c:f>'Data Fuselage'!$G$27:$G$64</c:f>
              <c:numCache>
                <c:formatCode>General</c:formatCode>
                <c:ptCount val="38"/>
                <c:pt idx="0">
                  <c:v>0</c:v>
                </c:pt>
                <c:pt idx="1">
                  <c:v>0.27877123614969895</c:v>
                </c:pt>
                <c:pt idx="2">
                  <c:v>0.54907214935404136</c:v>
                </c:pt>
                <c:pt idx="3">
                  <c:v>0.80268978314417494</c:v>
                </c:pt>
                <c:pt idx="4">
                  <c:v>1.0319180940541017</c:v>
                </c:pt>
                <c:pt idx="5">
                  <c:v>1.2297920958519457</c:v>
                </c:pt>
                <c:pt idx="6">
                  <c:v>1.3902994871221552</c:v>
                </c:pt>
                <c:pt idx="7">
                  <c:v>1.5085633320016445</c:v>
                </c:pt>
                <c:pt idx="8">
                  <c:v>1.5809902434081431</c:v>
                </c:pt>
                <c:pt idx="9">
                  <c:v>1.6053795662883501</c:v>
                </c:pt>
                <c:pt idx="10">
                  <c:v>1.5809902434081431</c:v>
                </c:pt>
                <c:pt idx="11">
                  <c:v>1.5085633320016447</c:v>
                </c:pt>
                <c:pt idx="12">
                  <c:v>1.3902994871221555</c:v>
                </c:pt>
                <c:pt idx="13">
                  <c:v>1.2297920958519462</c:v>
                </c:pt>
                <c:pt idx="14">
                  <c:v>1.0319180940541026</c:v>
                </c:pt>
                <c:pt idx="15">
                  <c:v>0.80268978314417627</c:v>
                </c:pt>
                <c:pt idx="16">
                  <c:v>0.54907214935404303</c:v>
                </c:pt>
                <c:pt idx="17">
                  <c:v>0.27877123614970101</c:v>
                </c:pt>
                <c:pt idx="18">
                  <c:v>2.3354780588252932E-15</c:v>
                </c:pt>
                <c:pt idx="19">
                  <c:v>-0.2787712361496964</c:v>
                </c:pt>
                <c:pt idx="20">
                  <c:v>-0.54907214935403859</c:v>
                </c:pt>
                <c:pt idx="21">
                  <c:v>-0.80268978314417216</c:v>
                </c:pt>
                <c:pt idx="22">
                  <c:v>-1.0319180940540991</c:v>
                </c:pt>
                <c:pt idx="23">
                  <c:v>-1.2297920958519435</c:v>
                </c:pt>
                <c:pt idx="24">
                  <c:v>-1.3902994871221535</c:v>
                </c:pt>
                <c:pt idx="25">
                  <c:v>-1.5085633320016434</c:v>
                </c:pt>
                <c:pt idx="26">
                  <c:v>-1.5809902434081424</c:v>
                </c:pt>
                <c:pt idx="27">
                  <c:v>-1.6053795662883501</c:v>
                </c:pt>
                <c:pt idx="28">
                  <c:v>-1.580990243408144</c:v>
                </c:pt>
                <c:pt idx="29">
                  <c:v>-1.5085633320016465</c:v>
                </c:pt>
                <c:pt idx="30">
                  <c:v>-1.3902994871221581</c:v>
                </c:pt>
                <c:pt idx="31">
                  <c:v>-1.2297920958519493</c:v>
                </c:pt>
                <c:pt idx="32">
                  <c:v>-1.0319180940541064</c:v>
                </c:pt>
                <c:pt idx="33">
                  <c:v>-0.80268978314418071</c:v>
                </c:pt>
                <c:pt idx="34">
                  <c:v>-0.54907214935404791</c:v>
                </c:pt>
                <c:pt idx="35">
                  <c:v>-0.27877123614970611</c:v>
                </c:pt>
                <c:pt idx="36">
                  <c:v>-7.5226830900603041E-15</c:v>
                </c:pt>
                <c:pt idx="37">
                  <c:v>0.27877123614969129</c:v>
                </c:pt>
              </c:numCache>
            </c:numRef>
          </c:yVal>
          <c:smooth val="0"/>
          <c:extLst>
            <c:ext xmlns:c16="http://schemas.microsoft.com/office/drawing/2014/chart" uri="{C3380CC4-5D6E-409C-BE32-E72D297353CC}">
              <c16:uniqueId val="{00000003-D895-4181-8EED-051A286E6B5A}"/>
            </c:ext>
          </c:extLst>
        </c:ser>
        <c:ser>
          <c:idx val="5"/>
          <c:order val="4"/>
          <c:tx>
            <c:v>floor,up</c:v>
          </c:tx>
          <c:spPr>
            <a:ln w="12700">
              <a:solidFill>
                <a:srgbClr val="000000"/>
              </a:solidFill>
              <a:prstDash val="solid"/>
            </a:ln>
          </c:spPr>
          <c:marker>
            <c:symbol val="none"/>
          </c:marker>
          <c:xVal>
            <c:numRef>
              <c:f>'Data Fuselage'!$J$38:$J$39</c:f>
              <c:numCache>
                <c:formatCode>General</c:formatCode>
                <c:ptCount val="2"/>
                <c:pt idx="0">
                  <c:v>1.2699999999999998</c:v>
                </c:pt>
                <c:pt idx="1">
                  <c:v>-1.2699999999999998</c:v>
                </c:pt>
              </c:numCache>
            </c:numRef>
          </c:xVal>
          <c:yVal>
            <c:numRef>
              <c:f>'Data Fuselage'!$K$38:$K$39</c:f>
              <c:numCache>
                <c:formatCode>0.00</c:formatCode>
                <c:ptCount val="2"/>
                <c:pt idx="0">
                  <c:v>-0.79075062499999993</c:v>
                </c:pt>
                <c:pt idx="1">
                  <c:v>-0.79075062499999993</c:v>
                </c:pt>
              </c:numCache>
            </c:numRef>
          </c:yVal>
          <c:smooth val="0"/>
          <c:extLst>
            <c:ext xmlns:c16="http://schemas.microsoft.com/office/drawing/2014/chart" uri="{C3380CC4-5D6E-409C-BE32-E72D297353CC}">
              <c16:uniqueId val="{00000004-D895-4181-8EED-051A286E6B5A}"/>
            </c:ext>
          </c:extLst>
        </c:ser>
        <c:ser>
          <c:idx val="6"/>
          <c:order val="5"/>
          <c:tx>
            <c:v>floor,down</c:v>
          </c:tx>
          <c:spPr>
            <a:ln w="12700">
              <a:solidFill>
                <a:srgbClr val="000000"/>
              </a:solidFill>
              <a:prstDash val="solid"/>
            </a:ln>
          </c:spPr>
          <c:marker>
            <c:symbol val="none"/>
          </c:marker>
          <c:xVal>
            <c:numRef>
              <c:f>'Data Fuselage'!$J$40:$J$41</c:f>
              <c:numCache>
                <c:formatCode>General</c:formatCode>
                <c:ptCount val="2"/>
                <c:pt idx="0">
                  <c:v>1.196045314261363</c:v>
                </c:pt>
                <c:pt idx="1">
                  <c:v>-1.196045314261363</c:v>
                </c:pt>
              </c:numCache>
            </c:numRef>
          </c:xVal>
          <c:yVal>
            <c:numRef>
              <c:f>'Data Fuselage'!$K$40:$K$41</c:f>
              <c:numCache>
                <c:formatCode>0.00</c:formatCode>
                <c:ptCount val="2"/>
                <c:pt idx="0">
                  <c:v>-0.89870025991502178</c:v>
                </c:pt>
                <c:pt idx="1">
                  <c:v>-0.89870025991502178</c:v>
                </c:pt>
              </c:numCache>
            </c:numRef>
          </c:yVal>
          <c:smooth val="0"/>
          <c:extLst>
            <c:ext xmlns:c16="http://schemas.microsoft.com/office/drawing/2014/chart" uri="{C3380CC4-5D6E-409C-BE32-E72D297353CC}">
              <c16:uniqueId val="{00000005-D895-4181-8EED-051A286E6B5A}"/>
            </c:ext>
          </c:extLst>
        </c:ser>
        <c:ser>
          <c:idx val="3"/>
          <c:order val="6"/>
          <c:tx>
            <c:v>Seat1R_1</c:v>
          </c:tx>
          <c:spPr>
            <a:ln w="12700">
              <a:solidFill>
                <a:srgbClr val="0000FF"/>
              </a:solidFill>
              <a:prstDash val="solid"/>
            </a:ln>
          </c:spPr>
          <c:marker>
            <c:symbol val="none"/>
          </c:marker>
          <c:xVal>
            <c:numRef>
              <c:f>'Data Fuselage'!$D$76:$D$80</c:f>
              <c:numCache>
                <c:formatCode>General</c:formatCode>
                <c:ptCount val="5"/>
                <c:pt idx="0">
                  <c:v>1.3099999999999998</c:v>
                </c:pt>
                <c:pt idx="1">
                  <c:v>1.3099999999999998</c:v>
                </c:pt>
                <c:pt idx="2">
                  <c:v>0.65999999999999992</c:v>
                </c:pt>
                <c:pt idx="3">
                  <c:v>0.65999999999999992</c:v>
                </c:pt>
                <c:pt idx="4">
                  <c:v>1.3099999999999998</c:v>
                </c:pt>
              </c:numCache>
            </c:numRef>
          </c:xVal>
          <c:yVal>
            <c:numRef>
              <c:f>'Data Fuselage'!$E$76:$E$80</c:f>
              <c:numCache>
                <c:formatCode>0.00</c:formatCode>
                <c:ptCount val="5"/>
                <c:pt idx="0">
                  <c:v>-0.50722062499999998</c:v>
                </c:pt>
                <c:pt idx="1">
                  <c:v>0.42872937500000008</c:v>
                </c:pt>
                <c:pt idx="2">
                  <c:v>0.42872937500000008</c:v>
                </c:pt>
                <c:pt idx="3">
                  <c:v>-0.50722062499999998</c:v>
                </c:pt>
                <c:pt idx="4">
                  <c:v>-0.50722062499999998</c:v>
                </c:pt>
              </c:numCache>
            </c:numRef>
          </c:yVal>
          <c:smooth val="0"/>
          <c:extLst>
            <c:ext xmlns:c16="http://schemas.microsoft.com/office/drawing/2014/chart" uri="{C3380CC4-5D6E-409C-BE32-E72D297353CC}">
              <c16:uniqueId val="{00000006-D895-4181-8EED-051A286E6B5A}"/>
            </c:ext>
          </c:extLst>
        </c:ser>
        <c:ser>
          <c:idx val="7"/>
          <c:order val="7"/>
          <c:tx>
            <c:v>Seat1R_2</c:v>
          </c:tx>
          <c:spPr>
            <a:ln w="12700">
              <a:solidFill>
                <a:srgbClr val="0000FF"/>
              </a:solidFill>
              <a:prstDash val="solid"/>
            </a:ln>
          </c:spPr>
          <c:marker>
            <c:symbol val="none"/>
          </c:marker>
          <c:xVal>
            <c:numRef>
              <c:f>'Data Fuselage'!$D$86:$D$87</c:f>
              <c:numCache>
                <c:formatCode>General</c:formatCode>
                <c:ptCount val="2"/>
                <c:pt idx="0">
                  <c:v>1.3099999999999998</c:v>
                </c:pt>
                <c:pt idx="1">
                  <c:v>0.65999999999999992</c:v>
                </c:pt>
              </c:numCache>
            </c:numRef>
          </c:xVal>
          <c:yVal>
            <c:numRef>
              <c:f>'Data Fuselage'!$E$86:$E$87</c:f>
              <c:numCache>
                <c:formatCode>0.00</c:formatCode>
                <c:ptCount val="2"/>
                <c:pt idx="0">
                  <c:v>-0.37127062499999997</c:v>
                </c:pt>
                <c:pt idx="1">
                  <c:v>-0.37127062499999997</c:v>
                </c:pt>
              </c:numCache>
            </c:numRef>
          </c:yVal>
          <c:smooth val="0"/>
          <c:extLst>
            <c:ext xmlns:c16="http://schemas.microsoft.com/office/drawing/2014/chart" uri="{C3380CC4-5D6E-409C-BE32-E72D297353CC}">
              <c16:uniqueId val="{00000007-D895-4181-8EED-051A286E6B5A}"/>
            </c:ext>
          </c:extLst>
        </c:ser>
        <c:ser>
          <c:idx val="8"/>
          <c:order val="8"/>
          <c:tx>
            <c:v>Seat1R_armrest1</c:v>
          </c:tx>
          <c:spPr>
            <a:ln w="12700">
              <a:solidFill>
                <a:srgbClr val="0000FF"/>
              </a:solidFill>
              <a:prstDash val="solid"/>
            </a:ln>
          </c:spPr>
          <c:marker>
            <c:symbol val="none"/>
          </c:marker>
          <c:xVal>
            <c:numRef>
              <c:f>'Data Fuselage'!$D$81:$D$85</c:f>
              <c:numCache>
                <c:formatCode>General</c:formatCode>
                <c:ptCount val="5"/>
                <c:pt idx="0">
                  <c:v>0.65999999999999992</c:v>
                </c:pt>
                <c:pt idx="1">
                  <c:v>0.58999999999999986</c:v>
                </c:pt>
                <c:pt idx="2">
                  <c:v>0.58999999999999986</c:v>
                </c:pt>
                <c:pt idx="3">
                  <c:v>0.65999999999999992</c:v>
                </c:pt>
                <c:pt idx="4">
                  <c:v>0.65999999999999992</c:v>
                </c:pt>
              </c:numCache>
            </c:numRef>
          </c:xVal>
          <c:yVal>
            <c:numRef>
              <c:f>'Data Fuselage'!$E$81:$E$85</c:f>
              <c:numCache>
                <c:formatCode>0.00</c:formatCode>
                <c:ptCount val="5"/>
                <c:pt idx="0">
                  <c:v>-0.29075062499999993</c:v>
                </c:pt>
                <c:pt idx="1">
                  <c:v>-0.29075062499999993</c:v>
                </c:pt>
                <c:pt idx="2">
                  <c:v>-0.19075062499999995</c:v>
                </c:pt>
                <c:pt idx="3">
                  <c:v>-0.19075062499999995</c:v>
                </c:pt>
                <c:pt idx="4">
                  <c:v>-0.29075062499999993</c:v>
                </c:pt>
              </c:numCache>
            </c:numRef>
          </c:yVal>
          <c:smooth val="0"/>
          <c:extLst>
            <c:ext xmlns:c16="http://schemas.microsoft.com/office/drawing/2014/chart" uri="{C3380CC4-5D6E-409C-BE32-E72D297353CC}">
              <c16:uniqueId val="{00000008-D895-4181-8EED-051A286E6B5A}"/>
            </c:ext>
          </c:extLst>
        </c:ser>
        <c:ser>
          <c:idx val="9"/>
          <c:order val="9"/>
          <c:tx>
            <c:v>Seat1R_armrest2</c:v>
          </c:tx>
          <c:spPr>
            <a:ln w="12700">
              <a:solidFill>
                <a:srgbClr val="0000FF"/>
              </a:solidFill>
              <a:prstDash val="solid"/>
            </a:ln>
          </c:spPr>
          <c:marker>
            <c:symbol val="none"/>
          </c:marker>
          <c:xVal>
            <c:numRef>
              <c:f>'Data Fuselage'!$D$88:$D$92</c:f>
              <c:numCache>
                <c:formatCode>General</c:formatCode>
                <c:ptCount val="5"/>
                <c:pt idx="0">
                  <c:v>1.3099999999999998</c:v>
                </c:pt>
                <c:pt idx="1">
                  <c:v>1.38</c:v>
                </c:pt>
                <c:pt idx="2">
                  <c:v>1.38</c:v>
                </c:pt>
                <c:pt idx="3">
                  <c:v>1.3099999999999998</c:v>
                </c:pt>
                <c:pt idx="4">
                  <c:v>1.3099999999999998</c:v>
                </c:pt>
              </c:numCache>
            </c:numRef>
          </c:xVal>
          <c:yVal>
            <c:numRef>
              <c:f>'Data Fuselage'!$E$88:$E$92</c:f>
              <c:numCache>
                <c:formatCode>0.00</c:formatCode>
                <c:ptCount val="5"/>
                <c:pt idx="0">
                  <c:v>-0.29075062499999993</c:v>
                </c:pt>
                <c:pt idx="1">
                  <c:v>-0.29075062499999993</c:v>
                </c:pt>
                <c:pt idx="2">
                  <c:v>-0.19075062499999995</c:v>
                </c:pt>
                <c:pt idx="3">
                  <c:v>-0.19075062499999995</c:v>
                </c:pt>
                <c:pt idx="4">
                  <c:v>-0.29075062499999993</c:v>
                </c:pt>
              </c:numCache>
            </c:numRef>
          </c:yVal>
          <c:smooth val="0"/>
          <c:extLst>
            <c:ext xmlns:c16="http://schemas.microsoft.com/office/drawing/2014/chart" uri="{C3380CC4-5D6E-409C-BE32-E72D297353CC}">
              <c16:uniqueId val="{00000009-D895-4181-8EED-051A286E6B5A}"/>
            </c:ext>
          </c:extLst>
        </c:ser>
        <c:ser>
          <c:idx val="10"/>
          <c:order val="10"/>
          <c:tx>
            <c:v>Seat2R_1</c:v>
          </c:tx>
          <c:spPr>
            <a:ln w="12700">
              <a:solidFill>
                <a:srgbClr val="0000FF"/>
              </a:solidFill>
              <a:prstDash val="solid"/>
            </a:ln>
          </c:spPr>
          <c:marker>
            <c:symbol val="none"/>
          </c:marker>
          <c:xVal>
            <c:numRef>
              <c:f>'Data Fuselage'!$H$76:$H$80</c:f>
              <c:numCache>
                <c:formatCode>General</c:formatCode>
                <c:ptCount val="5"/>
                <c:pt idx="0">
                  <c:v>0.58999999999999986</c:v>
                </c:pt>
                <c:pt idx="1">
                  <c:v>0.58999999999999986</c:v>
                </c:pt>
                <c:pt idx="2">
                  <c:v>-6.0000000000000109E-2</c:v>
                </c:pt>
                <c:pt idx="3">
                  <c:v>-6.0000000000000109E-2</c:v>
                </c:pt>
                <c:pt idx="4">
                  <c:v>0.58999999999999986</c:v>
                </c:pt>
              </c:numCache>
            </c:numRef>
          </c:xVal>
          <c:yVal>
            <c:numRef>
              <c:f>'Data Fuselage'!$I$76:$I$80</c:f>
              <c:numCache>
                <c:formatCode>General</c:formatCode>
                <c:ptCount val="5"/>
                <c:pt idx="0">
                  <c:v>-0.50722062499999998</c:v>
                </c:pt>
                <c:pt idx="1">
                  <c:v>0.42872937500000008</c:v>
                </c:pt>
                <c:pt idx="2">
                  <c:v>0.42872937500000008</c:v>
                </c:pt>
                <c:pt idx="3">
                  <c:v>-0.50722062499999998</c:v>
                </c:pt>
                <c:pt idx="4">
                  <c:v>-0.50722062499999998</c:v>
                </c:pt>
              </c:numCache>
            </c:numRef>
          </c:yVal>
          <c:smooth val="0"/>
          <c:extLst>
            <c:ext xmlns:c16="http://schemas.microsoft.com/office/drawing/2014/chart" uri="{C3380CC4-5D6E-409C-BE32-E72D297353CC}">
              <c16:uniqueId val="{0000000A-D895-4181-8EED-051A286E6B5A}"/>
            </c:ext>
          </c:extLst>
        </c:ser>
        <c:ser>
          <c:idx val="11"/>
          <c:order val="11"/>
          <c:tx>
            <c:v>Seat2R_2</c:v>
          </c:tx>
          <c:spPr>
            <a:ln w="12700">
              <a:solidFill>
                <a:srgbClr val="0000FF"/>
              </a:solidFill>
              <a:prstDash val="solid"/>
            </a:ln>
          </c:spPr>
          <c:marker>
            <c:symbol val="none"/>
          </c:marker>
          <c:xVal>
            <c:numRef>
              <c:f>'Data Fuselage'!$H$86:$H$87</c:f>
              <c:numCache>
                <c:formatCode>General</c:formatCode>
                <c:ptCount val="2"/>
                <c:pt idx="0">
                  <c:v>0.58999999999999986</c:v>
                </c:pt>
                <c:pt idx="1">
                  <c:v>-6.0000000000000109E-2</c:v>
                </c:pt>
              </c:numCache>
            </c:numRef>
          </c:xVal>
          <c:yVal>
            <c:numRef>
              <c:f>'Data Fuselage'!$I$86:$I$87</c:f>
              <c:numCache>
                <c:formatCode>General</c:formatCode>
                <c:ptCount val="2"/>
                <c:pt idx="0">
                  <c:v>-0.37127062499999997</c:v>
                </c:pt>
                <c:pt idx="1">
                  <c:v>-0.37127062499999997</c:v>
                </c:pt>
              </c:numCache>
            </c:numRef>
          </c:yVal>
          <c:smooth val="0"/>
          <c:extLst>
            <c:ext xmlns:c16="http://schemas.microsoft.com/office/drawing/2014/chart" uri="{C3380CC4-5D6E-409C-BE32-E72D297353CC}">
              <c16:uniqueId val="{0000000B-D895-4181-8EED-051A286E6B5A}"/>
            </c:ext>
          </c:extLst>
        </c:ser>
        <c:ser>
          <c:idx val="12"/>
          <c:order val="12"/>
          <c:tx>
            <c:v>Seat2R_armrest</c:v>
          </c:tx>
          <c:spPr>
            <a:ln w="12700">
              <a:solidFill>
                <a:srgbClr val="0000FF"/>
              </a:solidFill>
              <a:prstDash val="solid"/>
            </a:ln>
          </c:spPr>
          <c:marker>
            <c:symbol val="none"/>
          </c:marker>
          <c:xVal>
            <c:numRef>
              <c:f>'Data Fuselage'!$H$81:$H$85</c:f>
              <c:numCache>
                <c:formatCode>General</c:formatCode>
                <c:ptCount val="5"/>
                <c:pt idx="0">
                  <c:v>-6.0000000000000109E-2</c:v>
                </c:pt>
                <c:pt idx="1">
                  <c:v>-0.13000000000000017</c:v>
                </c:pt>
                <c:pt idx="2">
                  <c:v>-0.13000000000000017</c:v>
                </c:pt>
                <c:pt idx="3">
                  <c:v>-6.0000000000000109E-2</c:v>
                </c:pt>
                <c:pt idx="4">
                  <c:v>-6.0000000000000109E-2</c:v>
                </c:pt>
              </c:numCache>
            </c:numRef>
          </c:xVal>
          <c:yVal>
            <c:numRef>
              <c:f>'Data Fuselage'!$I$81:$I$85</c:f>
              <c:numCache>
                <c:formatCode>General</c:formatCode>
                <c:ptCount val="5"/>
                <c:pt idx="0">
                  <c:v>-0.29075062499999993</c:v>
                </c:pt>
                <c:pt idx="1">
                  <c:v>-0.29075062499999993</c:v>
                </c:pt>
                <c:pt idx="2">
                  <c:v>-0.19075062499999995</c:v>
                </c:pt>
                <c:pt idx="3">
                  <c:v>-0.19075062499999995</c:v>
                </c:pt>
                <c:pt idx="4">
                  <c:v>-0.29075062499999993</c:v>
                </c:pt>
              </c:numCache>
            </c:numRef>
          </c:yVal>
          <c:smooth val="0"/>
          <c:extLst>
            <c:ext xmlns:c16="http://schemas.microsoft.com/office/drawing/2014/chart" uri="{C3380CC4-5D6E-409C-BE32-E72D297353CC}">
              <c16:uniqueId val="{0000000C-D895-4181-8EED-051A286E6B5A}"/>
            </c:ext>
          </c:extLst>
        </c:ser>
        <c:ser>
          <c:idx val="13"/>
          <c:order val="13"/>
          <c:tx>
            <c:v>Seat3R_1</c:v>
          </c:tx>
          <c:spPr>
            <a:ln w="12700">
              <a:solidFill>
                <a:srgbClr val="0000FF"/>
              </a:solidFill>
              <a:prstDash val="solid"/>
            </a:ln>
          </c:spPr>
          <c:marker>
            <c:symbol val="none"/>
          </c:marker>
          <c:xVal>
            <c:numRef>
              <c:f>'Data Fuselage'!$L$76:$L$80</c:f>
              <c:numCache>
                <c:formatCode>General</c:formatCode>
                <c:ptCount val="5"/>
                <c:pt idx="0">
                  <c:v>8888</c:v>
                </c:pt>
                <c:pt idx="1">
                  <c:v>8888</c:v>
                </c:pt>
                <c:pt idx="2">
                  <c:v>8888</c:v>
                </c:pt>
                <c:pt idx="3">
                  <c:v>8888</c:v>
                </c:pt>
                <c:pt idx="4">
                  <c:v>8888</c:v>
                </c:pt>
              </c:numCache>
            </c:numRef>
          </c:xVal>
          <c:yVal>
            <c:numRef>
              <c:f>'Data Fuselage'!$M$76:$M$80</c:f>
              <c:numCache>
                <c:formatCode>General</c:formatCode>
                <c:ptCount val="5"/>
                <c:pt idx="0">
                  <c:v>8888</c:v>
                </c:pt>
                <c:pt idx="1">
                  <c:v>8888</c:v>
                </c:pt>
                <c:pt idx="2">
                  <c:v>8888</c:v>
                </c:pt>
                <c:pt idx="3">
                  <c:v>8888</c:v>
                </c:pt>
                <c:pt idx="4">
                  <c:v>8888</c:v>
                </c:pt>
              </c:numCache>
            </c:numRef>
          </c:yVal>
          <c:smooth val="0"/>
          <c:extLst>
            <c:ext xmlns:c16="http://schemas.microsoft.com/office/drawing/2014/chart" uri="{C3380CC4-5D6E-409C-BE32-E72D297353CC}">
              <c16:uniqueId val="{0000000D-D895-4181-8EED-051A286E6B5A}"/>
            </c:ext>
          </c:extLst>
        </c:ser>
        <c:ser>
          <c:idx val="14"/>
          <c:order val="14"/>
          <c:tx>
            <c:v>Seat3R_2</c:v>
          </c:tx>
          <c:spPr>
            <a:ln w="12700">
              <a:solidFill>
                <a:srgbClr val="0000FF"/>
              </a:solidFill>
              <a:prstDash val="solid"/>
            </a:ln>
          </c:spPr>
          <c:marker>
            <c:symbol val="none"/>
          </c:marker>
          <c:xVal>
            <c:numRef>
              <c:f>'Data Fuselage'!$L$86:$L$87</c:f>
              <c:numCache>
                <c:formatCode>General</c:formatCode>
                <c:ptCount val="2"/>
                <c:pt idx="0">
                  <c:v>8888</c:v>
                </c:pt>
                <c:pt idx="1">
                  <c:v>8888</c:v>
                </c:pt>
              </c:numCache>
            </c:numRef>
          </c:xVal>
          <c:yVal>
            <c:numRef>
              <c:f>'Data Fuselage'!$M$86:$M$87</c:f>
              <c:numCache>
                <c:formatCode>General</c:formatCode>
                <c:ptCount val="2"/>
                <c:pt idx="0">
                  <c:v>8888</c:v>
                </c:pt>
                <c:pt idx="1">
                  <c:v>8888</c:v>
                </c:pt>
              </c:numCache>
            </c:numRef>
          </c:yVal>
          <c:smooth val="0"/>
          <c:extLst>
            <c:ext xmlns:c16="http://schemas.microsoft.com/office/drawing/2014/chart" uri="{C3380CC4-5D6E-409C-BE32-E72D297353CC}">
              <c16:uniqueId val="{0000000E-D895-4181-8EED-051A286E6B5A}"/>
            </c:ext>
          </c:extLst>
        </c:ser>
        <c:ser>
          <c:idx val="15"/>
          <c:order val="15"/>
          <c:tx>
            <c:v>Seat3R_armrest</c:v>
          </c:tx>
          <c:spPr>
            <a:ln w="12700">
              <a:solidFill>
                <a:srgbClr val="0000FF"/>
              </a:solidFill>
              <a:prstDash val="solid"/>
            </a:ln>
          </c:spPr>
          <c:marker>
            <c:symbol val="none"/>
          </c:marker>
          <c:xVal>
            <c:numRef>
              <c:f>'Data Fuselage'!$L$81:$L$85</c:f>
              <c:numCache>
                <c:formatCode>General</c:formatCode>
                <c:ptCount val="5"/>
                <c:pt idx="0">
                  <c:v>8888</c:v>
                </c:pt>
                <c:pt idx="1">
                  <c:v>8888</c:v>
                </c:pt>
                <c:pt idx="2">
                  <c:v>8888</c:v>
                </c:pt>
                <c:pt idx="3">
                  <c:v>8888</c:v>
                </c:pt>
                <c:pt idx="4">
                  <c:v>8888</c:v>
                </c:pt>
              </c:numCache>
            </c:numRef>
          </c:xVal>
          <c:yVal>
            <c:numRef>
              <c:f>'Data Fuselage'!$M$81:$M$85</c:f>
              <c:numCache>
                <c:formatCode>General</c:formatCode>
                <c:ptCount val="5"/>
                <c:pt idx="0">
                  <c:v>8888</c:v>
                </c:pt>
                <c:pt idx="1">
                  <c:v>8888</c:v>
                </c:pt>
                <c:pt idx="2">
                  <c:v>8888</c:v>
                </c:pt>
                <c:pt idx="3">
                  <c:v>8888</c:v>
                </c:pt>
                <c:pt idx="4">
                  <c:v>8888</c:v>
                </c:pt>
              </c:numCache>
            </c:numRef>
          </c:yVal>
          <c:smooth val="0"/>
          <c:extLst>
            <c:ext xmlns:c16="http://schemas.microsoft.com/office/drawing/2014/chart" uri="{C3380CC4-5D6E-409C-BE32-E72D297353CC}">
              <c16:uniqueId val="{0000000F-D895-4181-8EED-051A286E6B5A}"/>
            </c:ext>
          </c:extLst>
        </c:ser>
        <c:ser>
          <c:idx val="16"/>
          <c:order val="16"/>
          <c:tx>
            <c:v>Seat1M_1</c:v>
          </c:tx>
          <c:spPr>
            <a:ln w="12700">
              <a:solidFill>
                <a:srgbClr val="0000FF"/>
              </a:solidFill>
              <a:prstDash val="solid"/>
            </a:ln>
          </c:spPr>
          <c:marker>
            <c:symbol val="none"/>
          </c:marker>
          <c:xVal>
            <c:numRef>
              <c:f>'Data Fuselage'!$D$97:$D$101</c:f>
              <c:numCache>
                <c:formatCode>General</c:formatCode>
                <c:ptCount val="5"/>
                <c:pt idx="0">
                  <c:v>8888</c:v>
                </c:pt>
                <c:pt idx="1">
                  <c:v>8888</c:v>
                </c:pt>
                <c:pt idx="2">
                  <c:v>8888</c:v>
                </c:pt>
                <c:pt idx="3">
                  <c:v>8888</c:v>
                </c:pt>
                <c:pt idx="4">
                  <c:v>8888</c:v>
                </c:pt>
              </c:numCache>
            </c:numRef>
          </c:xVal>
          <c:yVal>
            <c:numRef>
              <c:f>'Data Fuselage'!$E$97:$E$101</c:f>
              <c:numCache>
                <c:formatCode>0.00</c:formatCode>
                <c:ptCount val="5"/>
                <c:pt idx="0">
                  <c:v>8888</c:v>
                </c:pt>
                <c:pt idx="1">
                  <c:v>8888</c:v>
                </c:pt>
                <c:pt idx="2">
                  <c:v>8888</c:v>
                </c:pt>
                <c:pt idx="3">
                  <c:v>8888</c:v>
                </c:pt>
                <c:pt idx="4">
                  <c:v>8888</c:v>
                </c:pt>
              </c:numCache>
            </c:numRef>
          </c:yVal>
          <c:smooth val="0"/>
          <c:extLst>
            <c:ext xmlns:c16="http://schemas.microsoft.com/office/drawing/2014/chart" uri="{C3380CC4-5D6E-409C-BE32-E72D297353CC}">
              <c16:uniqueId val="{00000010-D895-4181-8EED-051A286E6B5A}"/>
            </c:ext>
          </c:extLst>
        </c:ser>
        <c:ser>
          <c:idx val="17"/>
          <c:order val="17"/>
          <c:tx>
            <c:v>Seat1M_2</c:v>
          </c:tx>
          <c:spPr>
            <a:ln w="12700">
              <a:solidFill>
                <a:srgbClr val="0000FF"/>
              </a:solidFill>
              <a:prstDash val="solid"/>
            </a:ln>
          </c:spPr>
          <c:marker>
            <c:symbol val="none"/>
          </c:marker>
          <c:xVal>
            <c:numRef>
              <c:f>'Data Fuselage'!$D$107:$D$108</c:f>
              <c:numCache>
                <c:formatCode>General</c:formatCode>
                <c:ptCount val="2"/>
                <c:pt idx="0">
                  <c:v>8888</c:v>
                </c:pt>
                <c:pt idx="1">
                  <c:v>8888</c:v>
                </c:pt>
              </c:numCache>
            </c:numRef>
          </c:xVal>
          <c:yVal>
            <c:numRef>
              <c:f>'Data Fuselage'!$E$107:$E$108</c:f>
              <c:numCache>
                <c:formatCode>0.00</c:formatCode>
                <c:ptCount val="2"/>
                <c:pt idx="0">
                  <c:v>8888</c:v>
                </c:pt>
                <c:pt idx="1">
                  <c:v>8888</c:v>
                </c:pt>
              </c:numCache>
            </c:numRef>
          </c:yVal>
          <c:smooth val="0"/>
          <c:extLst>
            <c:ext xmlns:c16="http://schemas.microsoft.com/office/drawing/2014/chart" uri="{C3380CC4-5D6E-409C-BE32-E72D297353CC}">
              <c16:uniqueId val="{00000011-D895-4181-8EED-051A286E6B5A}"/>
            </c:ext>
          </c:extLst>
        </c:ser>
        <c:ser>
          <c:idx val="18"/>
          <c:order val="18"/>
          <c:tx>
            <c:v>Seat1M_armrest1</c:v>
          </c:tx>
          <c:spPr>
            <a:ln w="12700">
              <a:solidFill>
                <a:srgbClr val="0000FF"/>
              </a:solidFill>
              <a:prstDash val="solid"/>
            </a:ln>
          </c:spPr>
          <c:marker>
            <c:symbol val="none"/>
          </c:marker>
          <c:xVal>
            <c:numRef>
              <c:f>'Data Fuselage'!$D$102:$D$106</c:f>
              <c:numCache>
                <c:formatCode>General</c:formatCode>
                <c:ptCount val="5"/>
                <c:pt idx="0">
                  <c:v>8888</c:v>
                </c:pt>
                <c:pt idx="1">
                  <c:v>8888</c:v>
                </c:pt>
                <c:pt idx="2">
                  <c:v>8888</c:v>
                </c:pt>
                <c:pt idx="3">
                  <c:v>8888</c:v>
                </c:pt>
                <c:pt idx="4">
                  <c:v>8888</c:v>
                </c:pt>
              </c:numCache>
            </c:numRef>
          </c:xVal>
          <c:yVal>
            <c:numRef>
              <c:f>'Data Fuselage'!$E$102:$E$106</c:f>
              <c:numCache>
                <c:formatCode>0.00</c:formatCode>
                <c:ptCount val="5"/>
                <c:pt idx="0">
                  <c:v>8888</c:v>
                </c:pt>
                <c:pt idx="1">
                  <c:v>8888</c:v>
                </c:pt>
                <c:pt idx="2">
                  <c:v>8888</c:v>
                </c:pt>
                <c:pt idx="3">
                  <c:v>8888</c:v>
                </c:pt>
                <c:pt idx="4">
                  <c:v>8888</c:v>
                </c:pt>
              </c:numCache>
            </c:numRef>
          </c:yVal>
          <c:smooth val="0"/>
          <c:extLst>
            <c:ext xmlns:c16="http://schemas.microsoft.com/office/drawing/2014/chart" uri="{C3380CC4-5D6E-409C-BE32-E72D297353CC}">
              <c16:uniqueId val="{00000012-D895-4181-8EED-051A286E6B5A}"/>
            </c:ext>
          </c:extLst>
        </c:ser>
        <c:ser>
          <c:idx val="19"/>
          <c:order val="19"/>
          <c:tx>
            <c:v>Seat1M_armrest2</c:v>
          </c:tx>
          <c:spPr>
            <a:ln w="12700">
              <a:solidFill>
                <a:srgbClr val="0000FF"/>
              </a:solidFill>
              <a:prstDash val="solid"/>
            </a:ln>
          </c:spPr>
          <c:marker>
            <c:symbol val="none"/>
          </c:marker>
          <c:xVal>
            <c:numRef>
              <c:f>'Data Fuselage'!$D$109:$D$113</c:f>
              <c:numCache>
                <c:formatCode>General</c:formatCode>
                <c:ptCount val="5"/>
                <c:pt idx="0">
                  <c:v>8888</c:v>
                </c:pt>
                <c:pt idx="1">
                  <c:v>8888</c:v>
                </c:pt>
                <c:pt idx="2">
                  <c:v>8888</c:v>
                </c:pt>
                <c:pt idx="3">
                  <c:v>8888</c:v>
                </c:pt>
                <c:pt idx="4">
                  <c:v>8888</c:v>
                </c:pt>
              </c:numCache>
            </c:numRef>
          </c:xVal>
          <c:yVal>
            <c:numRef>
              <c:f>'Data Fuselage'!$E$109:$E$113</c:f>
              <c:numCache>
                <c:formatCode>0.00</c:formatCode>
                <c:ptCount val="5"/>
                <c:pt idx="0">
                  <c:v>8888</c:v>
                </c:pt>
                <c:pt idx="1">
                  <c:v>8888</c:v>
                </c:pt>
                <c:pt idx="2">
                  <c:v>8888</c:v>
                </c:pt>
                <c:pt idx="3">
                  <c:v>8888</c:v>
                </c:pt>
                <c:pt idx="4">
                  <c:v>8888</c:v>
                </c:pt>
              </c:numCache>
            </c:numRef>
          </c:yVal>
          <c:smooth val="0"/>
          <c:extLst>
            <c:ext xmlns:c16="http://schemas.microsoft.com/office/drawing/2014/chart" uri="{C3380CC4-5D6E-409C-BE32-E72D297353CC}">
              <c16:uniqueId val="{00000013-D895-4181-8EED-051A286E6B5A}"/>
            </c:ext>
          </c:extLst>
        </c:ser>
        <c:ser>
          <c:idx val="20"/>
          <c:order val="20"/>
          <c:tx>
            <c:v>Seat2M_1</c:v>
          </c:tx>
          <c:spPr>
            <a:ln w="12700">
              <a:solidFill>
                <a:srgbClr val="0000FF"/>
              </a:solidFill>
              <a:prstDash val="solid"/>
            </a:ln>
          </c:spPr>
          <c:marker>
            <c:symbol val="none"/>
          </c:marker>
          <c:xVal>
            <c:numRef>
              <c:f>'Data Fuselage'!$H$97:$H$101</c:f>
              <c:numCache>
                <c:formatCode>General</c:formatCode>
                <c:ptCount val="5"/>
                <c:pt idx="0">
                  <c:v>8888</c:v>
                </c:pt>
                <c:pt idx="1">
                  <c:v>8888</c:v>
                </c:pt>
                <c:pt idx="2">
                  <c:v>8888</c:v>
                </c:pt>
                <c:pt idx="3">
                  <c:v>8888</c:v>
                </c:pt>
                <c:pt idx="4">
                  <c:v>8888</c:v>
                </c:pt>
              </c:numCache>
            </c:numRef>
          </c:xVal>
          <c:yVal>
            <c:numRef>
              <c:f>'Data Fuselage'!$I$97:$I$101</c:f>
              <c:numCache>
                <c:formatCode>General</c:formatCode>
                <c:ptCount val="5"/>
                <c:pt idx="0">
                  <c:v>8888</c:v>
                </c:pt>
                <c:pt idx="1">
                  <c:v>8888</c:v>
                </c:pt>
                <c:pt idx="2">
                  <c:v>8888</c:v>
                </c:pt>
                <c:pt idx="3">
                  <c:v>8888</c:v>
                </c:pt>
                <c:pt idx="4">
                  <c:v>8888</c:v>
                </c:pt>
              </c:numCache>
            </c:numRef>
          </c:yVal>
          <c:smooth val="0"/>
          <c:extLst>
            <c:ext xmlns:c16="http://schemas.microsoft.com/office/drawing/2014/chart" uri="{C3380CC4-5D6E-409C-BE32-E72D297353CC}">
              <c16:uniqueId val="{00000014-D895-4181-8EED-051A286E6B5A}"/>
            </c:ext>
          </c:extLst>
        </c:ser>
        <c:ser>
          <c:idx val="21"/>
          <c:order val="21"/>
          <c:tx>
            <c:v>Seat2M_2</c:v>
          </c:tx>
          <c:spPr>
            <a:ln w="12700">
              <a:solidFill>
                <a:srgbClr val="0000FF"/>
              </a:solidFill>
              <a:prstDash val="solid"/>
            </a:ln>
          </c:spPr>
          <c:marker>
            <c:symbol val="none"/>
          </c:marker>
          <c:xVal>
            <c:numRef>
              <c:f>'Data Fuselage'!$H$107:$H$108</c:f>
              <c:numCache>
                <c:formatCode>General</c:formatCode>
                <c:ptCount val="2"/>
                <c:pt idx="0">
                  <c:v>8888</c:v>
                </c:pt>
                <c:pt idx="1">
                  <c:v>8888</c:v>
                </c:pt>
              </c:numCache>
            </c:numRef>
          </c:xVal>
          <c:yVal>
            <c:numRef>
              <c:f>'Data Fuselage'!$I$107:$I$108</c:f>
              <c:numCache>
                <c:formatCode>General</c:formatCode>
                <c:ptCount val="2"/>
                <c:pt idx="0">
                  <c:v>8888</c:v>
                </c:pt>
                <c:pt idx="1">
                  <c:v>8888</c:v>
                </c:pt>
              </c:numCache>
            </c:numRef>
          </c:yVal>
          <c:smooth val="0"/>
          <c:extLst>
            <c:ext xmlns:c16="http://schemas.microsoft.com/office/drawing/2014/chart" uri="{C3380CC4-5D6E-409C-BE32-E72D297353CC}">
              <c16:uniqueId val="{00000015-D895-4181-8EED-051A286E6B5A}"/>
            </c:ext>
          </c:extLst>
        </c:ser>
        <c:ser>
          <c:idx val="22"/>
          <c:order val="22"/>
          <c:tx>
            <c:v>Seat2M_armrest</c:v>
          </c:tx>
          <c:spPr>
            <a:ln w="12700">
              <a:solidFill>
                <a:srgbClr val="0000FF"/>
              </a:solidFill>
              <a:prstDash val="solid"/>
            </a:ln>
          </c:spPr>
          <c:marker>
            <c:symbol val="none"/>
          </c:marker>
          <c:xVal>
            <c:numRef>
              <c:f>'Data Fuselage'!$H$102:$H$106</c:f>
              <c:numCache>
                <c:formatCode>General</c:formatCode>
                <c:ptCount val="5"/>
                <c:pt idx="0">
                  <c:v>8888</c:v>
                </c:pt>
                <c:pt idx="1">
                  <c:v>8888</c:v>
                </c:pt>
                <c:pt idx="2">
                  <c:v>8888</c:v>
                </c:pt>
                <c:pt idx="3">
                  <c:v>8888</c:v>
                </c:pt>
                <c:pt idx="4">
                  <c:v>8888</c:v>
                </c:pt>
              </c:numCache>
            </c:numRef>
          </c:xVal>
          <c:yVal>
            <c:numRef>
              <c:f>'Data Fuselage'!$I$102:$I$106</c:f>
              <c:numCache>
                <c:formatCode>General</c:formatCode>
                <c:ptCount val="5"/>
                <c:pt idx="0">
                  <c:v>8888</c:v>
                </c:pt>
                <c:pt idx="1">
                  <c:v>8888</c:v>
                </c:pt>
                <c:pt idx="2">
                  <c:v>8888</c:v>
                </c:pt>
                <c:pt idx="3">
                  <c:v>8888</c:v>
                </c:pt>
                <c:pt idx="4">
                  <c:v>8888</c:v>
                </c:pt>
              </c:numCache>
            </c:numRef>
          </c:yVal>
          <c:smooth val="0"/>
          <c:extLst>
            <c:ext xmlns:c16="http://schemas.microsoft.com/office/drawing/2014/chart" uri="{C3380CC4-5D6E-409C-BE32-E72D297353CC}">
              <c16:uniqueId val="{00000016-D895-4181-8EED-051A286E6B5A}"/>
            </c:ext>
          </c:extLst>
        </c:ser>
        <c:ser>
          <c:idx val="23"/>
          <c:order val="23"/>
          <c:tx>
            <c:v>Seat3M_1</c:v>
          </c:tx>
          <c:spPr>
            <a:ln w="12700">
              <a:solidFill>
                <a:srgbClr val="0000FF"/>
              </a:solidFill>
              <a:prstDash val="solid"/>
            </a:ln>
          </c:spPr>
          <c:marker>
            <c:symbol val="none"/>
          </c:marker>
          <c:xVal>
            <c:numRef>
              <c:f>'Data Fuselage'!$L$97:$L$101</c:f>
              <c:numCache>
                <c:formatCode>General</c:formatCode>
                <c:ptCount val="5"/>
                <c:pt idx="0">
                  <c:v>8888</c:v>
                </c:pt>
                <c:pt idx="1">
                  <c:v>8888</c:v>
                </c:pt>
                <c:pt idx="2">
                  <c:v>8888</c:v>
                </c:pt>
                <c:pt idx="3">
                  <c:v>8888</c:v>
                </c:pt>
                <c:pt idx="4">
                  <c:v>8888</c:v>
                </c:pt>
              </c:numCache>
            </c:numRef>
          </c:xVal>
          <c:yVal>
            <c:numRef>
              <c:f>'Data Fuselage'!$M$97:$M$101</c:f>
              <c:numCache>
                <c:formatCode>General</c:formatCode>
                <c:ptCount val="5"/>
                <c:pt idx="0">
                  <c:v>8888</c:v>
                </c:pt>
                <c:pt idx="1">
                  <c:v>8888</c:v>
                </c:pt>
                <c:pt idx="2">
                  <c:v>8888</c:v>
                </c:pt>
                <c:pt idx="3">
                  <c:v>8888</c:v>
                </c:pt>
                <c:pt idx="4">
                  <c:v>8888</c:v>
                </c:pt>
              </c:numCache>
            </c:numRef>
          </c:yVal>
          <c:smooth val="0"/>
          <c:extLst>
            <c:ext xmlns:c16="http://schemas.microsoft.com/office/drawing/2014/chart" uri="{C3380CC4-5D6E-409C-BE32-E72D297353CC}">
              <c16:uniqueId val="{00000017-D895-4181-8EED-051A286E6B5A}"/>
            </c:ext>
          </c:extLst>
        </c:ser>
        <c:ser>
          <c:idx val="24"/>
          <c:order val="24"/>
          <c:tx>
            <c:v>Seat3M_2</c:v>
          </c:tx>
          <c:spPr>
            <a:ln w="12700">
              <a:solidFill>
                <a:srgbClr val="0000FF"/>
              </a:solidFill>
              <a:prstDash val="solid"/>
            </a:ln>
          </c:spPr>
          <c:marker>
            <c:symbol val="none"/>
          </c:marker>
          <c:xVal>
            <c:numRef>
              <c:f>'Data Fuselage'!$L$107:$L$108</c:f>
              <c:numCache>
                <c:formatCode>General</c:formatCode>
                <c:ptCount val="2"/>
                <c:pt idx="0">
                  <c:v>8888</c:v>
                </c:pt>
                <c:pt idx="1">
                  <c:v>8888</c:v>
                </c:pt>
              </c:numCache>
            </c:numRef>
          </c:xVal>
          <c:yVal>
            <c:numRef>
              <c:f>'Data Fuselage'!$M$107:$M$108</c:f>
              <c:numCache>
                <c:formatCode>General</c:formatCode>
                <c:ptCount val="2"/>
                <c:pt idx="0">
                  <c:v>8888</c:v>
                </c:pt>
                <c:pt idx="1">
                  <c:v>8888</c:v>
                </c:pt>
              </c:numCache>
            </c:numRef>
          </c:yVal>
          <c:smooth val="0"/>
          <c:extLst>
            <c:ext xmlns:c16="http://schemas.microsoft.com/office/drawing/2014/chart" uri="{C3380CC4-5D6E-409C-BE32-E72D297353CC}">
              <c16:uniqueId val="{00000018-D895-4181-8EED-051A286E6B5A}"/>
            </c:ext>
          </c:extLst>
        </c:ser>
        <c:ser>
          <c:idx val="25"/>
          <c:order val="25"/>
          <c:tx>
            <c:v>Seat3M_armrest</c:v>
          </c:tx>
          <c:spPr>
            <a:ln w="12700">
              <a:solidFill>
                <a:srgbClr val="0000FF"/>
              </a:solidFill>
              <a:prstDash val="solid"/>
            </a:ln>
          </c:spPr>
          <c:marker>
            <c:symbol val="none"/>
          </c:marker>
          <c:xVal>
            <c:numRef>
              <c:f>'Data Fuselage'!$L$102:$L$106</c:f>
              <c:numCache>
                <c:formatCode>General</c:formatCode>
                <c:ptCount val="5"/>
                <c:pt idx="0">
                  <c:v>8888</c:v>
                </c:pt>
                <c:pt idx="1">
                  <c:v>8888</c:v>
                </c:pt>
                <c:pt idx="2">
                  <c:v>8888</c:v>
                </c:pt>
                <c:pt idx="3">
                  <c:v>8888</c:v>
                </c:pt>
                <c:pt idx="4">
                  <c:v>8888</c:v>
                </c:pt>
              </c:numCache>
            </c:numRef>
          </c:xVal>
          <c:yVal>
            <c:numRef>
              <c:f>'Data Fuselage'!$M$102:$M$106</c:f>
              <c:numCache>
                <c:formatCode>General</c:formatCode>
                <c:ptCount val="5"/>
                <c:pt idx="0">
                  <c:v>8888</c:v>
                </c:pt>
                <c:pt idx="1">
                  <c:v>8888</c:v>
                </c:pt>
                <c:pt idx="2">
                  <c:v>8888</c:v>
                </c:pt>
                <c:pt idx="3">
                  <c:v>8888</c:v>
                </c:pt>
                <c:pt idx="4">
                  <c:v>8888</c:v>
                </c:pt>
              </c:numCache>
            </c:numRef>
          </c:yVal>
          <c:smooth val="0"/>
          <c:extLst>
            <c:ext xmlns:c16="http://schemas.microsoft.com/office/drawing/2014/chart" uri="{C3380CC4-5D6E-409C-BE32-E72D297353CC}">
              <c16:uniqueId val="{00000019-D895-4181-8EED-051A286E6B5A}"/>
            </c:ext>
          </c:extLst>
        </c:ser>
        <c:ser>
          <c:idx val="26"/>
          <c:order val="26"/>
          <c:tx>
            <c:v>Seat4M_1</c:v>
          </c:tx>
          <c:spPr>
            <a:ln w="12700">
              <a:solidFill>
                <a:srgbClr val="0000FF"/>
              </a:solidFill>
              <a:prstDash val="solid"/>
            </a:ln>
          </c:spPr>
          <c:marker>
            <c:symbol val="none"/>
          </c:marker>
          <c:xVal>
            <c:numRef>
              <c:f>'Data Fuselage'!$P$97:$P$101</c:f>
              <c:numCache>
                <c:formatCode>General</c:formatCode>
                <c:ptCount val="5"/>
                <c:pt idx="0">
                  <c:v>8888</c:v>
                </c:pt>
                <c:pt idx="1">
                  <c:v>8888</c:v>
                </c:pt>
                <c:pt idx="2">
                  <c:v>8888</c:v>
                </c:pt>
                <c:pt idx="3">
                  <c:v>8888</c:v>
                </c:pt>
                <c:pt idx="4">
                  <c:v>8888</c:v>
                </c:pt>
              </c:numCache>
            </c:numRef>
          </c:xVal>
          <c:yVal>
            <c:numRef>
              <c:f>'Data Fuselage'!$Q$97:$Q$101</c:f>
              <c:numCache>
                <c:formatCode>General</c:formatCode>
                <c:ptCount val="5"/>
                <c:pt idx="0">
                  <c:v>8888</c:v>
                </c:pt>
                <c:pt idx="1">
                  <c:v>8888</c:v>
                </c:pt>
                <c:pt idx="2">
                  <c:v>8888</c:v>
                </c:pt>
                <c:pt idx="3">
                  <c:v>8888</c:v>
                </c:pt>
                <c:pt idx="4">
                  <c:v>8888</c:v>
                </c:pt>
              </c:numCache>
            </c:numRef>
          </c:yVal>
          <c:smooth val="0"/>
          <c:extLst>
            <c:ext xmlns:c16="http://schemas.microsoft.com/office/drawing/2014/chart" uri="{C3380CC4-5D6E-409C-BE32-E72D297353CC}">
              <c16:uniqueId val="{0000001A-D895-4181-8EED-051A286E6B5A}"/>
            </c:ext>
          </c:extLst>
        </c:ser>
        <c:ser>
          <c:idx val="27"/>
          <c:order val="27"/>
          <c:tx>
            <c:v>Seat4M_2</c:v>
          </c:tx>
          <c:spPr>
            <a:ln w="12700">
              <a:solidFill>
                <a:srgbClr val="0000FF"/>
              </a:solidFill>
              <a:prstDash val="solid"/>
            </a:ln>
          </c:spPr>
          <c:marker>
            <c:symbol val="none"/>
          </c:marker>
          <c:xVal>
            <c:numRef>
              <c:f>'Data Fuselage'!$P$107:$P$108</c:f>
              <c:numCache>
                <c:formatCode>General</c:formatCode>
                <c:ptCount val="2"/>
                <c:pt idx="0">
                  <c:v>8888</c:v>
                </c:pt>
                <c:pt idx="1">
                  <c:v>8888</c:v>
                </c:pt>
              </c:numCache>
            </c:numRef>
          </c:xVal>
          <c:yVal>
            <c:numRef>
              <c:f>'Data Fuselage'!$Q$107:$Q$108</c:f>
              <c:numCache>
                <c:formatCode>General</c:formatCode>
                <c:ptCount val="2"/>
                <c:pt idx="0">
                  <c:v>8888</c:v>
                </c:pt>
                <c:pt idx="1">
                  <c:v>8888</c:v>
                </c:pt>
              </c:numCache>
            </c:numRef>
          </c:yVal>
          <c:smooth val="0"/>
          <c:extLst>
            <c:ext xmlns:c16="http://schemas.microsoft.com/office/drawing/2014/chart" uri="{C3380CC4-5D6E-409C-BE32-E72D297353CC}">
              <c16:uniqueId val="{0000001B-D895-4181-8EED-051A286E6B5A}"/>
            </c:ext>
          </c:extLst>
        </c:ser>
        <c:ser>
          <c:idx val="28"/>
          <c:order val="28"/>
          <c:tx>
            <c:v>Seat4M_armrest</c:v>
          </c:tx>
          <c:spPr>
            <a:ln w="12700">
              <a:solidFill>
                <a:srgbClr val="0000FF"/>
              </a:solidFill>
              <a:prstDash val="solid"/>
            </a:ln>
          </c:spPr>
          <c:marker>
            <c:symbol val="none"/>
          </c:marker>
          <c:xVal>
            <c:numRef>
              <c:f>'Data Fuselage'!$P$102:$P$106</c:f>
              <c:numCache>
                <c:formatCode>General</c:formatCode>
                <c:ptCount val="5"/>
                <c:pt idx="0">
                  <c:v>8888</c:v>
                </c:pt>
                <c:pt idx="1">
                  <c:v>8888</c:v>
                </c:pt>
                <c:pt idx="2">
                  <c:v>8888</c:v>
                </c:pt>
                <c:pt idx="3">
                  <c:v>8888</c:v>
                </c:pt>
                <c:pt idx="4">
                  <c:v>8888</c:v>
                </c:pt>
              </c:numCache>
            </c:numRef>
          </c:xVal>
          <c:yVal>
            <c:numRef>
              <c:f>'Data Fuselage'!$Q$102:$Q$106</c:f>
              <c:numCache>
                <c:formatCode>General</c:formatCode>
                <c:ptCount val="5"/>
                <c:pt idx="0">
                  <c:v>8888</c:v>
                </c:pt>
                <c:pt idx="1">
                  <c:v>8888</c:v>
                </c:pt>
                <c:pt idx="2">
                  <c:v>8888</c:v>
                </c:pt>
                <c:pt idx="3">
                  <c:v>8888</c:v>
                </c:pt>
                <c:pt idx="4">
                  <c:v>8888</c:v>
                </c:pt>
              </c:numCache>
            </c:numRef>
          </c:yVal>
          <c:smooth val="0"/>
          <c:extLst>
            <c:ext xmlns:c16="http://schemas.microsoft.com/office/drawing/2014/chart" uri="{C3380CC4-5D6E-409C-BE32-E72D297353CC}">
              <c16:uniqueId val="{0000001C-D895-4181-8EED-051A286E6B5A}"/>
            </c:ext>
          </c:extLst>
        </c:ser>
        <c:ser>
          <c:idx val="29"/>
          <c:order val="29"/>
          <c:tx>
            <c:v>Seat5M_1</c:v>
          </c:tx>
          <c:spPr>
            <a:ln w="12700">
              <a:solidFill>
                <a:srgbClr val="0000FF"/>
              </a:solidFill>
              <a:prstDash val="solid"/>
            </a:ln>
          </c:spPr>
          <c:marker>
            <c:symbol val="none"/>
          </c:marker>
          <c:xVal>
            <c:numRef>
              <c:f>'Data Fuselage'!$T$97:$T$101</c:f>
              <c:numCache>
                <c:formatCode>General</c:formatCode>
                <c:ptCount val="5"/>
                <c:pt idx="0">
                  <c:v>8888</c:v>
                </c:pt>
                <c:pt idx="1">
                  <c:v>8888</c:v>
                </c:pt>
                <c:pt idx="2">
                  <c:v>8888</c:v>
                </c:pt>
                <c:pt idx="3">
                  <c:v>8888</c:v>
                </c:pt>
                <c:pt idx="4">
                  <c:v>8888</c:v>
                </c:pt>
              </c:numCache>
            </c:numRef>
          </c:xVal>
          <c:yVal>
            <c:numRef>
              <c:f>'Data Fuselage'!$U$97:$U$101</c:f>
              <c:numCache>
                <c:formatCode>General</c:formatCode>
                <c:ptCount val="5"/>
                <c:pt idx="0">
                  <c:v>8888</c:v>
                </c:pt>
                <c:pt idx="1">
                  <c:v>8888</c:v>
                </c:pt>
                <c:pt idx="2">
                  <c:v>8888</c:v>
                </c:pt>
                <c:pt idx="3">
                  <c:v>8888</c:v>
                </c:pt>
                <c:pt idx="4">
                  <c:v>8888</c:v>
                </c:pt>
              </c:numCache>
            </c:numRef>
          </c:yVal>
          <c:smooth val="0"/>
          <c:extLst>
            <c:ext xmlns:c16="http://schemas.microsoft.com/office/drawing/2014/chart" uri="{C3380CC4-5D6E-409C-BE32-E72D297353CC}">
              <c16:uniqueId val="{0000001D-D895-4181-8EED-051A286E6B5A}"/>
            </c:ext>
          </c:extLst>
        </c:ser>
        <c:ser>
          <c:idx val="30"/>
          <c:order val="30"/>
          <c:tx>
            <c:v>Seat5M_2</c:v>
          </c:tx>
          <c:spPr>
            <a:ln w="12700">
              <a:solidFill>
                <a:srgbClr val="0000FF"/>
              </a:solidFill>
              <a:prstDash val="solid"/>
            </a:ln>
          </c:spPr>
          <c:marker>
            <c:symbol val="none"/>
          </c:marker>
          <c:xVal>
            <c:numRef>
              <c:f>'Data Fuselage'!$T$107:$T$108</c:f>
              <c:numCache>
                <c:formatCode>General</c:formatCode>
                <c:ptCount val="2"/>
                <c:pt idx="0">
                  <c:v>8888</c:v>
                </c:pt>
                <c:pt idx="1">
                  <c:v>8888</c:v>
                </c:pt>
              </c:numCache>
            </c:numRef>
          </c:xVal>
          <c:yVal>
            <c:numRef>
              <c:f>'Data Fuselage'!$U$107:$U$108</c:f>
              <c:numCache>
                <c:formatCode>General</c:formatCode>
                <c:ptCount val="2"/>
                <c:pt idx="0">
                  <c:v>8888</c:v>
                </c:pt>
                <c:pt idx="1">
                  <c:v>8888</c:v>
                </c:pt>
              </c:numCache>
            </c:numRef>
          </c:yVal>
          <c:smooth val="0"/>
          <c:extLst>
            <c:ext xmlns:c16="http://schemas.microsoft.com/office/drawing/2014/chart" uri="{C3380CC4-5D6E-409C-BE32-E72D297353CC}">
              <c16:uniqueId val="{0000001E-D895-4181-8EED-051A286E6B5A}"/>
            </c:ext>
          </c:extLst>
        </c:ser>
        <c:ser>
          <c:idx val="31"/>
          <c:order val="31"/>
          <c:tx>
            <c:v>Seat5M_armrest</c:v>
          </c:tx>
          <c:spPr>
            <a:ln w="12700">
              <a:solidFill>
                <a:srgbClr val="0000FF"/>
              </a:solidFill>
              <a:prstDash val="solid"/>
            </a:ln>
          </c:spPr>
          <c:marker>
            <c:symbol val="none"/>
          </c:marker>
          <c:xVal>
            <c:numRef>
              <c:f>'Data Fuselage'!$T$102:$T$106</c:f>
              <c:numCache>
                <c:formatCode>General</c:formatCode>
                <c:ptCount val="5"/>
                <c:pt idx="0">
                  <c:v>8888</c:v>
                </c:pt>
                <c:pt idx="1">
                  <c:v>8888</c:v>
                </c:pt>
                <c:pt idx="2">
                  <c:v>8888</c:v>
                </c:pt>
                <c:pt idx="3">
                  <c:v>8888</c:v>
                </c:pt>
                <c:pt idx="4">
                  <c:v>8888</c:v>
                </c:pt>
              </c:numCache>
            </c:numRef>
          </c:xVal>
          <c:yVal>
            <c:numRef>
              <c:f>'Data Fuselage'!$U$102:$U$106</c:f>
              <c:numCache>
                <c:formatCode>General</c:formatCode>
                <c:ptCount val="5"/>
                <c:pt idx="0">
                  <c:v>8888</c:v>
                </c:pt>
                <c:pt idx="1">
                  <c:v>8888</c:v>
                </c:pt>
                <c:pt idx="2">
                  <c:v>8888</c:v>
                </c:pt>
                <c:pt idx="3">
                  <c:v>8888</c:v>
                </c:pt>
                <c:pt idx="4">
                  <c:v>8888</c:v>
                </c:pt>
              </c:numCache>
            </c:numRef>
          </c:yVal>
          <c:smooth val="0"/>
          <c:extLst>
            <c:ext xmlns:c16="http://schemas.microsoft.com/office/drawing/2014/chart" uri="{C3380CC4-5D6E-409C-BE32-E72D297353CC}">
              <c16:uniqueId val="{0000001F-D895-4181-8EED-051A286E6B5A}"/>
            </c:ext>
          </c:extLst>
        </c:ser>
        <c:ser>
          <c:idx val="32"/>
          <c:order val="32"/>
          <c:tx>
            <c:v>Seat6M_1</c:v>
          </c:tx>
          <c:spPr>
            <a:ln w="12700">
              <a:solidFill>
                <a:srgbClr val="0000FF"/>
              </a:solidFill>
              <a:prstDash val="solid"/>
            </a:ln>
          </c:spPr>
          <c:marker>
            <c:symbol val="none"/>
          </c:marker>
          <c:xVal>
            <c:numRef>
              <c:f>'Data Fuselage'!$X$97:$X$101</c:f>
              <c:numCache>
                <c:formatCode>General</c:formatCode>
                <c:ptCount val="5"/>
                <c:pt idx="0">
                  <c:v>8888</c:v>
                </c:pt>
                <c:pt idx="1">
                  <c:v>8888</c:v>
                </c:pt>
                <c:pt idx="2">
                  <c:v>8888</c:v>
                </c:pt>
                <c:pt idx="3">
                  <c:v>8888</c:v>
                </c:pt>
                <c:pt idx="4">
                  <c:v>8888</c:v>
                </c:pt>
              </c:numCache>
            </c:numRef>
          </c:xVal>
          <c:yVal>
            <c:numRef>
              <c:f>'Data Fuselage'!$Y$97:$Y$101</c:f>
              <c:numCache>
                <c:formatCode>General</c:formatCode>
                <c:ptCount val="5"/>
                <c:pt idx="0">
                  <c:v>8888</c:v>
                </c:pt>
                <c:pt idx="1">
                  <c:v>8888</c:v>
                </c:pt>
                <c:pt idx="2">
                  <c:v>8888</c:v>
                </c:pt>
                <c:pt idx="3">
                  <c:v>8888</c:v>
                </c:pt>
                <c:pt idx="4">
                  <c:v>8888</c:v>
                </c:pt>
              </c:numCache>
            </c:numRef>
          </c:yVal>
          <c:smooth val="0"/>
          <c:extLst>
            <c:ext xmlns:c16="http://schemas.microsoft.com/office/drawing/2014/chart" uri="{C3380CC4-5D6E-409C-BE32-E72D297353CC}">
              <c16:uniqueId val="{00000020-D895-4181-8EED-051A286E6B5A}"/>
            </c:ext>
          </c:extLst>
        </c:ser>
        <c:ser>
          <c:idx val="33"/>
          <c:order val="33"/>
          <c:tx>
            <c:v>Seat6M_2</c:v>
          </c:tx>
          <c:spPr>
            <a:ln w="12700">
              <a:solidFill>
                <a:srgbClr val="0000FF"/>
              </a:solidFill>
              <a:prstDash val="solid"/>
            </a:ln>
          </c:spPr>
          <c:marker>
            <c:symbol val="none"/>
          </c:marker>
          <c:xVal>
            <c:numRef>
              <c:f>'Data Fuselage'!$X$107:$X$108</c:f>
              <c:numCache>
                <c:formatCode>General</c:formatCode>
                <c:ptCount val="2"/>
                <c:pt idx="0">
                  <c:v>8888</c:v>
                </c:pt>
                <c:pt idx="1">
                  <c:v>8888</c:v>
                </c:pt>
              </c:numCache>
            </c:numRef>
          </c:xVal>
          <c:yVal>
            <c:numRef>
              <c:f>'Data Fuselage'!$Y$107:$Y$108</c:f>
              <c:numCache>
                <c:formatCode>General</c:formatCode>
                <c:ptCount val="2"/>
                <c:pt idx="0">
                  <c:v>8888</c:v>
                </c:pt>
                <c:pt idx="1">
                  <c:v>8888</c:v>
                </c:pt>
              </c:numCache>
            </c:numRef>
          </c:yVal>
          <c:smooth val="0"/>
          <c:extLst>
            <c:ext xmlns:c16="http://schemas.microsoft.com/office/drawing/2014/chart" uri="{C3380CC4-5D6E-409C-BE32-E72D297353CC}">
              <c16:uniqueId val="{00000021-D895-4181-8EED-051A286E6B5A}"/>
            </c:ext>
          </c:extLst>
        </c:ser>
        <c:ser>
          <c:idx val="34"/>
          <c:order val="34"/>
          <c:tx>
            <c:v>Seat6M_armrest</c:v>
          </c:tx>
          <c:spPr>
            <a:ln w="12700">
              <a:solidFill>
                <a:srgbClr val="0000FF"/>
              </a:solidFill>
              <a:prstDash val="solid"/>
            </a:ln>
          </c:spPr>
          <c:marker>
            <c:symbol val="none"/>
          </c:marker>
          <c:xVal>
            <c:numRef>
              <c:f>'Data Fuselage'!$X$102:$X$106</c:f>
              <c:numCache>
                <c:formatCode>General</c:formatCode>
                <c:ptCount val="5"/>
                <c:pt idx="0">
                  <c:v>8888</c:v>
                </c:pt>
                <c:pt idx="1">
                  <c:v>8888</c:v>
                </c:pt>
                <c:pt idx="2">
                  <c:v>8888</c:v>
                </c:pt>
                <c:pt idx="3">
                  <c:v>8888</c:v>
                </c:pt>
                <c:pt idx="4">
                  <c:v>8888</c:v>
                </c:pt>
              </c:numCache>
            </c:numRef>
          </c:xVal>
          <c:yVal>
            <c:numRef>
              <c:f>'Data Fuselage'!$Y$102:$Y$106</c:f>
              <c:numCache>
                <c:formatCode>General</c:formatCode>
                <c:ptCount val="5"/>
                <c:pt idx="0">
                  <c:v>8888</c:v>
                </c:pt>
                <c:pt idx="1">
                  <c:v>8888</c:v>
                </c:pt>
                <c:pt idx="2">
                  <c:v>8888</c:v>
                </c:pt>
                <c:pt idx="3">
                  <c:v>8888</c:v>
                </c:pt>
                <c:pt idx="4">
                  <c:v>8888</c:v>
                </c:pt>
              </c:numCache>
            </c:numRef>
          </c:yVal>
          <c:smooth val="0"/>
          <c:extLst>
            <c:ext xmlns:c16="http://schemas.microsoft.com/office/drawing/2014/chart" uri="{C3380CC4-5D6E-409C-BE32-E72D297353CC}">
              <c16:uniqueId val="{00000022-D895-4181-8EED-051A286E6B5A}"/>
            </c:ext>
          </c:extLst>
        </c:ser>
        <c:ser>
          <c:idx val="35"/>
          <c:order val="35"/>
          <c:tx>
            <c:v>Seat1L_1</c:v>
          </c:tx>
          <c:spPr>
            <a:ln w="12700">
              <a:solidFill>
                <a:srgbClr val="0000FF"/>
              </a:solidFill>
              <a:prstDash val="solid"/>
            </a:ln>
          </c:spPr>
          <c:marker>
            <c:symbol val="none"/>
          </c:marker>
          <c:xVal>
            <c:numRef>
              <c:f>'Data Fuselage'!$D$118:$D$122</c:f>
              <c:numCache>
                <c:formatCode>General</c:formatCode>
                <c:ptCount val="5"/>
                <c:pt idx="0">
                  <c:v>-0.6599999999999997</c:v>
                </c:pt>
                <c:pt idx="1">
                  <c:v>-0.6599999999999997</c:v>
                </c:pt>
                <c:pt idx="2">
                  <c:v>-1.3099999999999996</c:v>
                </c:pt>
                <c:pt idx="3">
                  <c:v>-1.3099999999999996</c:v>
                </c:pt>
                <c:pt idx="4">
                  <c:v>-0.6599999999999997</c:v>
                </c:pt>
              </c:numCache>
            </c:numRef>
          </c:xVal>
          <c:yVal>
            <c:numRef>
              <c:f>'Data Fuselage'!$E$118:$E$122</c:f>
              <c:numCache>
                <c:formatCode>0.00</c:formatCode>
                <c:ptCount val="5"/>
                <c:pt idx="0">
                  <c:v>-0.50722062499999998</c:v>
                </c:pt>
                <c:pt idx="1">
                  <c:v>0.42872937500000008</c:v>
                </c:pt>
                <c:pt idx="2">
                  <c:v>0.42872937500000008</c:v>
                </c:pt>
                <c:pt idx="3">
                  <c:v>-0.50722062499999998</c:v>
                </c:pt>
                <c:pt idx="4">
                  <c:v>-0.50722062499999998</c:v>
                </c:pt>
              </c:numCache>
            </c:numRef>
          </c:yVal>
          <c:smooth val="0"/>
          <c:extLst>
            <c:ext xmlns:c16="http://schemas.microsoft.com/office/drawing/2014/chart" uri="{C3380CC4-5D6E-409C-BE32-E72D297353CC}">
              <c16:uniqueId val="{00000023-D895-4181-8EED-051A286E6B5A}"/>
            </c:ext>
          </c:extLst>
        </c:ser>
        <c:ser>
          <c:idx val="36"/>
          <c:order val="36"/>
          <c:tx>
            <c:v>Seat1L_2</c:v>
          </c:tx>
          <c:spPr>
            <a:ln w="12700">
              <a:solidFill>
                <a:srgbClr val="0000FF"/>
              </a:solidFill>
              <a:prstDash val="solid"/>
            </a:ln>
          </c:spPr>
          <c:marker>
            <c:symbol val="none"/>
          </c:marker>
          <c:xVal>
            <c:numRef>
              <c:f>'Data Fuselage'!$D$128:$D$129</c:f>
              <c:numCache>
                <c:formatCode>General</c:formatCode>
                <c:ptCount val="2"/>
                <c:pt idx="0">
                  <c:v>-0.6599999999999997</c:v>
                </c:pt>
                <c:pt idx="1">
                  <c:v>-1.3099999999999996</c:v>
                </c:pt>
              </c:numCache>
            </c:numRef>
          </c:xVal>
          <c:yVal>
            <c:numRef>
              <c:f>'Data Fuselage'!$E$128:$E$129</c:f>
              <c:numCache>
                <c:formatCode>0.00</c:formatCode>
                <c:ptCount val="2"/>
                <c:pt idx="0">
                  <c:v>-0.37127062499999997</c:v>
                </c:pt>
                <c:pt idx="1">
                  <c:v>-0.37127062499999997</c:v>
                </c:pt>
              </c:numCache>
            </c:numRef>
          </c:yVal>
          <c:smooth val="0"/>
          <c:extLst>
            <c:ext xmlns:c16="http://schemas.microsoft.com/office/drawing/2014/chart" uri="{C3380CC4-5D6E-409C-BE32-E72D297353CC}">
              <c16:uniqueId val="{00000024-D895-4181-8EED-051A286E6B5A}"/>
            </c:ext>
          </c:extLst>
        </c:ser>
        <c:ser>
          <c:idx val="37"/>
          <c:order val="37"/>
          <c:tx>
            <c:v>Seat1L_armrest1</c:v>
          </c:tx>
          <c:spPr>
            <a:ln w="12700">
              <a:solidFill>
                <a:srgbClr val="0000FF"/>
              </a:solidFill>
              <a:prstDash val="solid"/>
            </a:ln>
          </c:spPr>
          <c:marker>
            <c:symbol val="none"/>
          </c:marker>
          <c:xVal>
            <c:numRef>
              <c:f>'Data Fuselage'!$D$123:$D$127</c:f>
              <c:numCache>
                <c:formatCode>General</c:formatCode>
                <c:ptCount val="5"/>
                <c:pt idx="0">
                  <c:v>-1.3099999999999996</c:v>
                </c:pt>
                <c:pt idx="1">
                  <c:v>-1.3799999999999997</c:v>
                </c:pt>
                <c:pt idx="2">
                  <c:v>-1.3799999999999997</c:v>
                </c:pt>
                <c:pt idx="3">
                  <c:v>-1.3099999999999996</c:v>
                </c:pt>
                <c:pt idx="4">
                  <c:v>-1.3099999999999996</c:v>
                </c:pt>
              </c:numCache>
            </c:numRef>
          </c:xVal>
          <c:yVal>
            <c:numRef>
              <c:f>'Data Fuselage'!$E$123:$E$127</c:f>
              <c:numCache>
                <c:formatCode>0.00</c:formatCode>
                <c:ptCount val="5"/>
                <c:pt idx="0">
                  <c:v>-0.29075062499999993</c:v>
                </c:pt>
                <c:pt idx="1">
                  <c:v>-0.29075062499999993</c:v>
                </c:pt>
                <c:pt idx="2">
                  <c:v>-0.19075062499999995</c:v>
                </c:pt>
                <c:pt idx="3">
                  <c:v>-0.19075062499999995</c:v>
                </c:pt>
                <c:pt idx="4">
                  <c:v>-0.29075062499999993</c:v>
                </c:pt>
              </c:numCache>
            </c:numRef>
          </c:yVal>
          <c:smooth val="0"/>
          <c:extLst>
            <c:ext xmlns:c16="http://schemas.microsoft.com/office/drawing/2014/chart" uri="{C3380CC4-5D6E-409C-BE32-E72D297353CC}">
              <c16:uniqueId val="{00000025-D895-4181-8EED-051A286E6B5A}"/>
            </c:ext>
          </c:extLst>
        </c:ser>
        <c:ser>
          <c:idx val="38"/>
          <c:order val="38"/>
          <c:tx>
            <c:v>Seat1L_armrest2</c:v>
          </c:tx>
          <c:spPr>
            <a:ln w="12700">
              <a:solidFill>
                <a:srgbClr val="0000FF"/>
              </a:solidFill>
              <a:prstDash val="solid"/>
            </a:ln>
          </c:spPr>
          <c:marker>
            <c:symbol val="none"/>
          </c:marker>
          <c:xVal>
            <c:numRef>
              <c:f>'Data Fuselage'!$D$130:$D$135</c:f>
              <c:numCache>
                <c:formatCode>General</c:formatCode>
                <c:ptCount val="6"/>
                <c:pt idx="0">
                  <c:v>-0.6599999999999997</c:v>
                </c:pt>
                <c:pt idx="1">
                  <c:v>-0.58999999999999964</c:v>
                </c:pt>
                <c:pt idx="2">
                  <c:v>-0.58999999999999964</c:v>
                </c:pt>
                <c:pt idx="3">
                  <c:v>-0.6599999999999997</c:v>
                </c:pt>
                <c:pt idx="4">
                  <c:v>-0.6599999999999997</c:v>
                </c:pt>
              </c:numCache>
            </c:numRef>
          </c:xVal>
          <c:yVal>
            <c:numRef>
              <c:f>'Data Fuselage'!$E$130:$E$135</c:f>
              <c:numCache>
                <c:formatCode>0.00</c:formatCode>
                <c:ptCount val="6"/>
                <c:pt idx="0">
                  <c:v>-0.29075062499999993</c:v>
                </c:pt>
                <c:pt idx="1">
                  <c:v>-0.29075062499999993</c:v>
                </c:pt>
                <c:pt idx="2">
                  <c:v>-0.19075062499999995</c:v>
                </c:pt>
                <c:pt idx="3">
                  <c:v>-0.19075062499999995</c:v>
                </c:pt>
                <c:pt idx="4">
                  <c:v>-0.29075062499999993</c:v>
                </c:pt>
              </c:numCache>
            </c:numRef>
          </c:yVal>
          <c:smooth val="0"/>
          <c:extLst>
            <c:ext xmlns:c16="http://schemas.microsoft.com/office/drawing/2014/chart" uri="{C3380CC4-5D6E-409C-BE32-E72D297353CC}">
              <c16:uniqueId val="{00000026-D895-4181-8EED-051A286E6B5A}"/>
            </c:ext>
          </c:extLst>
        </c:ser>
        <c:ser>
          <c:idx val="39"/>
          <c:order val="39"/>
          <c:tx>
            <c:v>Seat2L_1</c:v>
          </c:tx>
          <c:spPr>
            <a:ln w="12700">
              <a:solidFill>
                <a:srgbClr val="0000FF"/>
              </a:solidFill>
              <a:prstDash val="solid"/>
            </a:ln>
          </c:spPr>
          <c:marker>
            <c:symbol val="none"/>
          </c:marker>
          <c:xVal>
            <c:numRef>
              <c:f>'Data Fuselage'!$H$118:$H$122</c:f>
              <c:numCache>
                <c:formatCode>General</c:formatCode>
                <c:ptCount val="5"/>
                <c:pt idx="0">
                  <c:v>8888</c:v>
                </c:pt>
                <c:pt idx="1">
                  <c:v>8888</c:v>
                </c:pt>
                <c:pt idx="2">
                  <c:v>8888</c:v>
                </c:pt>
                <c:pt idx="3">
                  <c:v>8888</c:v>
                </c:pt>
                <c:pt idx="4">
                  <c:v>8888</c:v>
                </c:pt>
              </c:numCache>
            </c:numRef>
          </c:xVal>
          <c:yVal>
            <c:numRef>
              <c:f>'Data Fuselage'!$I$118:$I$122</c:f>
              <c:numCache>
                <c:formatCode>General</c:formatCode>
                <c:ptCount val="5"/>
                <c:pt idx="0">
                  <c:v>8888</c:v>
                </c:pt>
                <c:pt idx="1">
                  <c:v>8888</c:v>
                </c:pt>
                <c:pt idx="2">
                  <c:v>8888</c:v>
                </c:pt>
                <c:pt idx="3">
                  <c:v>8888</c:v>
                </c:pt>
                <c:pt idx="4">
                  <c:v>8888</c:v>
                </c:pt>
              </c:numCache>
            </c:numRef>
          </c:yVal>
          <c:smooth val="0"/>
          <c:extLst>
            <c:ext xmlns:c16="http://schemas.microsoft.com/office/drawing/2014/chart" uri="{C3380CC4-5D6E-409C-BE32-E72D297353CC}">
              <c16:uniqueId val="{00000027-D895-4181-8EED-051A286E6B5A}"/>
            </c:ext>
          </c:extLst>
        </c:ser>
        <c:ser>
          <c:idx val="40"/>
          <c:order val="40"/>
          <c:tx>
            <c:v>Seat2L_2</c:v>
          </c:tx>
          <c:spPr>
            <a:ln w="12700">
              <a:solidFill>
                <a:srgbClr val="0000FF"/>
              </a:solidFill>
              <a:prstDash val="solid"/>
            </a:ln>
          </c:spPr>
          <c:marker>
            <c:symbol val="none"/>
          </c:marker>
          <c:xVal>
            <c:numRef>
              <c:f>'Data Fuselage'!$H$128:$H$129</c:f>
              <c:numCache>
                <c:formatCode>General</c:formatCode>
                <c:ptCount val="2"/>
                <c:pt idx="0">
                  <c:v>8888</c:v>
                </c:pt>
                <c:pt idx="1">
                  <c:v>8888</c:v>
                </c:pt>
              </c:numCache>
            </c:numRef>
          </c:xVal>
          <c:yVal>
            <c:numRef>
              <c:f>'Data Fuselage'!$I$128:$I$129</c:f>
              <c:numCache>
                <c:formatCode>General</c:formatCode>
                <c:ptCount val="2"/>
                <c:pt idx="0">
                  <c:v>8888</c:v>
                </c:pt>
                <c:pt idx="1">
                  <c:v>8888</c:v>
                </c:pt>
              </c:numCache>
            </c:numRef>
          </c:yVal>
          <c:smooth val="0"/>
          <c:extLst>
            <c:ext xmlns:c16="http://schemas.microsoft.com/office/drawing/2014/chart" uri="{C3380CC4-5D6E-409C-BE32-E72D297353CC}">
              <c16:uniqueId val="{00000028-D895-4181-8EED-051A286E6B5A}"/>
            </c:ext>
          </c:extLst>
        </c:ser>
        <c:ser>
          <c:idx val="41"/>
          <c:order val="41"/>
          <c:tx>
            <c:v>Seat2L_armrest</c:v>
          </c:tx>
          <c:spPr>
            <a:ln w="12700">
              <a:solidFill>
                <a:srgbClr val="0000FF"/>
              </a:solidFill>
              <a:prstDash val="solid"/>
            </a:ln>
          </c:spPr>
          <c:marker>
            <c:symbol val="none"/>
          </c:marker>
          <c:xVal>
            <c:numRef>
              <c:f>'Data Fuselage'!$H$123:$H$127</c:f>
              <c:numCache>
                <c:formatCode>General</c:formatCode>
                <c:ptCount val="5"/>
                <c:pt idx="0">
                  <c:v>8888</c:v>
                </c:pt>
                <c:pt idx="1">
                  <c:v>8888</c:v>
                </c:pt>
                <c:pt idx="2">
                  <c:v>8888</c:v>
                </c:pt>
                <c:pt idx="3">
                  <c:v>8888</c:v>
                </c:pt>
                <c:pt idx="4">
                  <c:v>8888</c:v>
                </c:pt>
              </c:numCache>
            </c:numRef>
          </c:xVal>
          <c:yVal>
            <c:numRef>
              <c:f>'Data Fuselage'!$I$123:$I$127</c:f>
              <c:numCache>
                <c:formatCode>General</c:formatCode>
                <c:ptCount val="5"/>
                <c:pt idx="0">
                  <c:v>8888</c:v>
                </c:pt>
                <c:pt idx="1">
                  <c:v>8888</c:v>
                </c:pt>
                <c:pt idx="2">
                  <c:v>8888</c:v>
                </c:pt>
                <c:pt idx="3">
                  <c:v>8888</c:v>
                </c:pt>
                <c:pt idx="4" formatCode="0.00">
                  <c:v>8888</c:v>
                </c:pt>
              </c:numCache>
            </c:numRef>
          </c:yVal>
          <c:smooth val="0"/>
          <c:extLst>
            <c:ext xmlns:c16="http://schemas.microsoft.com/office/drawing/2014/chart" uri="{C3380CC4-5D6E-409C-BE32-E72D297353CC}">
              <c16:uniqueId val="{00000029-D895-4181-8EED-051A286E6B5A}"/>
            </c:ext>
          </c:extLst>
        </c:ser>
        <c:ser>
          <c:idx val="42"/>
          <c:order val="42"/>
          <c:tx>
            <c:v>Seat3L_1</c:v>
          </c:tx>
          <c:spPr>
            <a:ln w="12700">
              <a:solidFill>
                <a:srgbClr val="0000FF"/>
              </a:solidFill>
              <a:prstDash val="solid"/>
            </a:ln>
          </c:spPr>
          <c:marker>
            <c:symbol val="none"/>
          </c:marker>
          <c:xVal>
            <c:numRef>
              <c:f>'Data Fuselage'!$L$118:$L$122</c:f>
              <c:numCache>
                <c:formatCode>General</c:formatCode>
                <c:ptCount val="5"/>
                <c:pt idx="0">
                  <c:v>8888</c:v>
                </c:pt>
                <c:pt idx="1">
                  <c:v>8888</c:v>
                </c:pt>
                <c:pt idx="2">
                  <c:v>8888</c:v>
                </c:pt>
                <c:pt idx="3">
                  <c:v>8888</c:v>
                </c:pt>
                <c:pt idx="4">
                  <c:v>8888</c:v>
                </c:pt>
              </c:numCache>
            </c:numRef>
          </c:xVal>
          <c:yVal>
            <c:numRef>
              <c:f>'Data Fuselage'!$M$118:$M$122</c:f>
              <c:numCache>
                <c:formatCode>General</c:formatCode>
                <c:ptCount val="5"/>
                <c:pt idx="0">
                  <c:v>8888</c:v>
                </c:pt>
                <c:pt idx="1">
                  <c:v>8888</c:v>
                </c:pt>
                <c:pt idx="2">
                  <c:v>8888</c:v>
                </c:pt>
                <c:pt idx="3">
                  <c:v>8888</c:v>
                </c:pt>
                <c:pt idx="4">
                  <c:v>8888</c:v>
                </c:pt>
              </c:numCache>
            </c:numRef>
          </c:yVal>
          <c:smooth val="0"/>
          <c:extLst>
            <c:ext xmlns:c16="http://schemas.microsoft.com/office/drawing/2014/chart" uri="{C3380CC4-5D6E-409C-BE32-E72D297353CC}">
              <c16:uniqueId val="{0000002A-D895-4181-8EED-051A286E6B5A}"/>
            </c:ext>
          </c:extLst>
        </c:ser>
        <c:ser>
          <c:idx val="43"/>
          <c:order val="43"/>
          <c:tx>
            <c:v>Seat3L_2</c:v>
          </c:tx>
          <c:spPr>
            <a:ln w="12700">
              <a:solidFill>
                <a:srgbClr val="0000FF"/>
              </a:solidFill>
              <a:prstDash val="solid"/>
            </a:ln>
          </c:spPr>
          <c:marker>
            <c:symbol val="none"/>
          </c:marker>
          <c:xVal>
            <c:numRef>
              <c:f>'Data Fuselage'!$L$128:$L$129</c:f>
              <c:numCache>
                <c:formatCode>General</c:formatCode>
                <c:ptCount val="2"/>
                <c:pt idx="0">
                  <c:v>8888</c:v>
                </c:pt>
                <c:pt idx="1">
                  <c:v>8888</c:v>
                </c:pt>
              </c:numCache>
            </c:numRef>
          </c:xVal>
          <c:yVal>
            <c:numRef>
              <c:f>'Data Fuselage'!$M$128:$M$129</c:f>
              <c:numCache>
                <c:formatCode>General</c:formatCode>
                <c:ptCount val="2"/>
                <c:pt idx="0">
                  <c:v>8888</c:v>
                </c:pt>
                <c:pt idx="1">
                  <c:v>8888</c:v>
                </c:pt>
              </c:numCache>
            </c:numRef>
          </c:yVal>
          <c:smooth val="0"/>
          <c:extLst>
            <c:ext xmlns:c16="http://schemas.microsoft.com/office/drawing/2014/chart" uri="{C3380CC4-5D6E-409C-BE32-E72D297353CC}">
              <c16:uniqueId val="{0000002B-D895-4181-8EED-051A286E6B5A}"/>
            </c:ext>
          </c:extLst>
        </c:ser>
        <c:ser>
          <c:idx val="44"/>
          <c:order val="44"/>
          <c:tx>
            <c:v>Seat3L_armrest</c:v>
          </c:tx>
          <c:spPr>
            <a:ln w="12700">
              <a:solidFill>
                <a:srgbClr val="0000FF"/>
              </a:solidFill>
              <a:prstDash val="solid"/>
            </a:ln>
          </c:spPr>
          <c:marker>
            <c:symbol val="none"/>
          </c:marker>
          <c:xVal>
            <c:numRef>
              <c:f>'Data Fuselage'!$L$123:$L$127</c:f>
              <c:numCache>
                <c:formatCode>General</c:formatCode>
                <c:ptCount val="5"/>
                <c:pt idx="0">
                  <c:v>8888</c:v>
                </c:pt>
                <c:pt idx="1">
                  <c:v>8888</c:v>
                </c:pt>
                <c:pt idx="2">
                  <c:v>8888</c:v>
                </c:pt>
                <c:pt idx="3">
                  <c:v>8888</c:v>
                </c:pt>
                <c:pt idx="4">
                  <c:v>8888</c:v>
                </c:pt>
              </c:numCache>
            </c:numRef>
          </c:xVal>
          <c:yVal>
            <c:numRef>
              <c:f>'Data Fuselage'!$M$123:$M$127</c:f>
              <c:numCache>
                <c:formatCode>General</c:formatCode>
                <c:ptCount val="5"/>
                <c:pt idx="0">
                  <c:v>8888</c:v>
                </c:pt>
                <c:pt idx="1">
                  <c:v>8888</c:v>
                </c:pt>
                <c:pt idx="2">
                  <c:v>8888</c:v>
                </c:pt>
                <c:pt idx="3">
                  <c:v>8888</c:v>
                </c:pt>
                <c:pt idx="4" formatCode="0.00">
                  <c:v>8888</c:v>
                </c:pt>
              </c:numCache>
            </c:numRef>
          </c:yVal>
          <c:smooth val="0"/>
          <c:extLst>
            <c:ext xmlns:c16="http://schemas.microsoft.com/office/drawing/2014/chart" uri="{C3380CC4-5D6E-409C-BE32-E72D297353CC}">
              <c16:uniqueId val="{0000002C-D895-4181-8EED-051A286E6B5A}"/>
            </c:ext>
          </c:extLst>
        </c:ser>
        <c:ser>
          <c:idx val="45"/>
          <c:order val="45"/>
          <c:tx>
            <c:v>Hatracks</c:v>
          </c:tx>
          <c:spPr>
            <a:ln w="12700">
              <a:solidFill>
                <a:srgbClr val="FFFF00"/>
              </a:solidFill>
              <a:prstDash val="solid"/>
            </a:ln>
          </c:spPr>
          <c:marker>
            <c:symbol val="none"/>
          </c:marker>
          <c:xVal>
            <c:numRef>
              <c:f>'Data Fuselage'!$L$138:$L$147</c:f>
              <c:numCache>
                <c:formatCode>General</c:formatCode>
                <c:ptCount val="10"/>
                <c:pt idx="0">
                  <c:v>1.3547343545691899</c:v>
                </c:pt>
                <c:pt idx="1">
                  <c:v>0.50999999999999979</c:v>
                </c:pt>
                <c:pt idx="2">
                  <c:v>0.50999999999999979</c:v>
                </c:pt>
                <c:pt idx="3">
                  <c:v>-0.50999999999999979</c:v>
                </c:pt>
                <c:pt idx="4">
                  <c:v>-0.50999999999999979</c:v>
                </c:pt>
                <c:pt idx="5">
                  <c:v>-1.3547343545691899</c:v>
                </c:pt>
                <c:pt idx="6">
                  <c:v>-1.3547343545691899</c:v>
                </c:pt>
                <c:pt idx="7">
                  <c:v>-1.3547343545691899</c:v>
                </c:pt>
                <c:pt idx="8">
                  <c:v>-1.3547343545691899</c:v>
                </c:pt>
                <c:pt idx="9">
                  <c:v>-1.3547343545691899</c:v>
                </c:pt>
              </c:numCache>
            </c:numRef>
          </c:xVal>
          <c:yVal>
            <c:numRef>
              <c:f>'Data Fuselage'!$M$138:$M$147</c:f>
              <c:numCache>
                <c:formatCode>0.00</c:formatCode>
                <c:ptCount val="10"/>
                <c:pt idx="0">
                  <c:v>0.63472937499999993</c:v>
                </c:pt>
                <c:pt idx="1">
                  <c:v>0.63472937499999993</c:v>
                </c:pt>
                <c:pt idx="2">
                  <c:v>1.1092493750000001</c:v>
                </c:pt>
                <c:pt idx="3">
                  <c:v>1.1092493750000001</c:v>
                </c:pt>
                <c:pt idx="4">
                  <c:v>0.63472937499999993</c:v>
                </c:pt>
                <c:pt idx="5">
                  <c:v>0.63472937499999993</c:v>
                </c:pt>
                <c:pt idx="6">
                  <c:v>0.63472937499999993</c:v>
                </c:pt>
                <c:pt idx="7">
                  <c:v>0.63472937499999993</c:v>
                </c:pt>
                <c:pt idx="8">
                  <c:v>0.63472937499999993</c:v>
                </c:pt>
                <c:pt idx="9">
                  <c:v>0.63472937499999993</c:v>
                </c:pt>
              </c:numCache>
            </c:numRef>
          </c:yVal>
          <c:smooth val="1"/>
          <c:extLst>
            <c:ext xmlns:c16="http://schemas.microsoft.com/office/drawing/2014/chart" uri="{C3380CC4-5D6E-409C-BE32-E72D297353CC}">
              <c16:uniqueId val="{0000002D-D895-4181-8EED-051A286E6B5A}"/>
            </c:ext>
          </c:extLst>
        </c:ser>
        <c:ser>
          <c:idx val="46"/>
          <c:order val="46"/>
          <c:tx>
            <c:strRef>
              <c:f>'Data Fuselage'!$H$154:$I$154</c:f>
              <c:strCache>
                <c:ptCount val="1"/>
                <c:pt idx="0">
                  <c:v>Seatrail n°1</c:v>
                </c:pt>
              </c:strCache>
            </c:strRef>
          </c:tx>
          <c:spPr>
            <a:ln w="12700">
              <a:solidFill>
                <a:srgbClr val="FF0000"/>
              </a:solidFill>
              <a:prstDash val="solid"/>
            </a:ln>
          </c:spPr>
          <c:marker>
            <c:symbol val="none"/>
          </c:marker>
          <c:xVal>
            <c:numRef>
              <c:f>'Data Fuselage'!$H$156:$H$172</c:f>
              <c:numCache>
                <c:formatCode>General</c:formatCode>
                <c:ptCount val="17"/>
                <c:pt idx="0">
                  <c:v>0.40999999999999981</c:v>
                </c:pt>
                <c:pt idx="1">
                  <c:v>0.4589999999999998</c:v>
                </c:pt>
                <c:pt idx="2">
                  <c:v>0.4589999999999998</c:v>
                </c:pt>
                <c:pt idx="3">
                  <c:v>0.43499999999999978</c:v>
                </c:pt>
                <c:pt idx="4">
                  <c:v>0.43499999999999978</c:v>
                </c:pt>
                <c:pt idx="5">
                  <c:v>0.48499999999999982</c:v>
                </c:pt>
                <c:pt idx="6">
                  <c:v>0.48499999999999982</c:v>
                </c:pt>
                <c:pt idx="7">
                  <c:v>0.4609999999999998</c:v>
                </c:pt>
                <c:pt idx="8">
                  <c:v>0.4609999999999998</c:v>
                </c:pt>
                <c:pt idx="9">
                  <c:v>0.50999999999999979</c:v>
                </c:pt>
                <c:pt idx="10">
                  <c:v>0.50999999999999979</c:v>
                </c:pt>
                <c:pt idx="11">
                  <c:v>0.46999999999999981</c:v>
                </c:pt>
                <c:pt idx="12">
                  <c:v>0.46999999999999981</c:v>
                </c:pt>
                <c:pt idx="13">
                  <c:v>0.44999999999999979</c:v>
                </c:pt>
                <c:pt idx="14">
                  <c:v>0.44999999999999979</c:v>
                </c:pt>
                <c:pt idx="15">
                  <c:v>0.40999999999999981</c:v>
                </c:pt>
                <c:pt idx="16">
                  <c:v>0.40999999999999981</c:v>
                </c:pt>
              </c:numCache>
            </c:numRef>
          </c:xVal>
          <c:yVal>
            <c:numRef>
              <c:f>'Data Fuselage'!$I$156:$I$172</c:f>
              <c:numCache>
                <c:formatCode>0.00</c:formatCode>
                <c:ptCount val="17"/>
                <c:pt idx="0">
                  <c:v>-0.80275062499999994</c:v>
                </c:pt>
                <c:pt idx="1">
                  <c:v>-0.80275062499999994</c:v>
                </c:pt>
                <c:pt idx="2">
                  <c:v>-0.8827506249999999</c:v>
                </c:pt>
                <c:pt idx="3">
                  <c:v>-0.8827506249999999</c:v>
                </c:pt>
                <c:pt idx="4">
                  <c:v>-0.8867506249999999</c:v>
                </c:pt>
                <c:pt idx="5">
                  <c:v>-0.8867506249999999</c:v>
                </c:pt>
                <c:pt idx="6">
                  <c:v>-0.8827506249999999</c:v>
                </c:pt>
                <c:pt idx="7">
                  <c:v>-0.8827506249999999</c:v>
                </c:pt>
                <c:pt idx="8">
                  <c:v>-0.80275062499999994</c:v>
                </c:pt>
                <c:pt idx="9">
                  <c:v>-0.80275062499999994</c:v>
                </c:pt>
                <c:pt idx="10">
                  <c:v>-0.80075062499999994</c:v>
                </c:pt>
                <c:pt idx="11">
                  <c:v>-0.80075062499999994</c:v>
                </c:pt>
                <c:pt idx="12">
                  <c:v>-0.79075062499999993</c:v>
                </c:pt>
                <c:pt idx="13">
                  <c:v>-0.79075062499999993</c:v>
                </c:pt>
                <c:pt idx="14">
                  <c:v>-0.80075062499999994</c:v>
                </c:pt>
                <c:pt idx="15">
                  <c:v>-0.80075062499999994</c:v>
                </c:pt>
                <c:pt idx="16">
                  <c:v>-0.80275062499999994</c:v>
                </c:pt>
              </c:numCache>
            </c:numRef>
          </c:yVal>
          <c:smooth val="0"/>
          <c:extLst>
            <c:ext xmlns:c16="http://schemas.microsoft.com/office/drawing/2014/chart" uri="{C3380CC4-5D6E-409C-BE32-E72D297353CC}">
              <c16:uniqueId val="{0000002E-D895-4181-8EED-051A286E6B5A}"/>
            </c:ext>
          </c:extLst>
        </c:ser>
        <c:ser>
          <c:idx val="47"/>
          <c:order val="47"/>
          <c:tx>
            <c:strRef>
              <c:f>'Data Fuselage'!$L$154:$M$154</c:f>
              <c:strCache>
                <c:ptCount val="1"/>
                <c:pt idx="0">
                  <c:v>Seatrail n°2</c:v>
                </c:pt>
              </c:strCache>
            </c:strRef>
          </c:tx>
          <c:spPr>
            <a:ln w="12700">
              <a:solidFill>
                <a:srgbClr val="FF0000"/>
              </a:solidFill>
              <a:prstDash val="solid"/>
            </a:ln>
          </c:spPr>
          <c:marker>
            <c:symbol val="none"/>
          </c:marker>
          <c:xVal>
            <c:numRef>
              <c:f>'Data Fuselage'!$L$156:$L$172</c:f>
              <c:numCache>
                <c:formatCode>General</c:formatCode>
                <c:ptCount val="17"/>
                <c:pt idx="0">
                  <c:v>1.0699999999999998</c:v>
                </c:pt>
                <c:pt idx="1">
                  <c:v>1.119</c:v>
                </c:pt>
                <c:pt idx="2">
                  <c:v>1.119</c:v>
                </c:pt>
                <c:pt idx="3">
                  <c:v>1.095</c:v>
                </c:pt>
                <c:pt idx="4">
                  <c:v>1.095</c:v>
                </c:pt>
                <c:pt idx="5">
                  <c:v>1.1449999999999998</c:v>
                </c:pt>
                <c:pt idx="6">
                  <c:v>1.1449999999999998</c:v>
                </c:pt>
                <c:pt idx="7">
                  <c:v>1.1209999999999998</c:v>
                </c:pt>
                <c:pt idx="8">
                  <c:v>1.1209999999999998</c:v>
                </c:pt>
                <c:pt idx="9">
                  <c:v>1.17</c:v>
                </c:pt>
                <c:pt idx="10">
                  <c:v>1.17</c:v>
                </c:pt>
                <c:pt idx="11">
                  <c:v>1.1299999999999999</c:v>
                </c:pt>
                <c:pt idx="12">
                  <c:v>1.1299999999999999</c:v>
                </c:pt>
                <c:pt idx="13">
                  <c:v>1.1099999999999999</c:v>
                </c:pt>
                <c:pt idx="14">
                  <c:v>1.1099999999999999</c:v>
                </c:pt>
                <c:pt idx="15">
                  <c:v>1.0699999999999998</c:v>
                </c:pt>
                <c:pt idx="16">
                  <c:v>1.0699999999999998</c:v>
                </c:pt>
              </c:numCache>
            </c:numRef>
          </c:xVal>
          <c:yVal>
            <c:numRef>
              <c:f>'Data Fuselage'!$M$156:$M$172</c:f>
              <c:numCache>
                <c:formatCode>0.00</c:formatCode>
                <c:ptCount val="17"/>
                <c:pt idx="0">
                  <c:v>-0.80275062499999994</c:v>
                </c:pt>
                <c:pt idx="1">
                  <c:v>-0.80275062499999994</c:v>
                </c:pt>
                <c:pt idx="2">
                  <c:v>-0.8827506249999999</c:v>
                </c:pt>
                <c:pt idx="3">
                  <c:v>-0.8827506249999999</c:v>
                </c:pt>
                <c:pt idx="4">
                  <c:v>-0.8867506249999999</c:v>
                </c:pt>
                <c:pt idx="5">
                  <c:v>-0.8867506249999999</c:v>
                </c:pt>
                <c:pt idx="6">
                  <c:v>-0.8827506249999999</c:v>
                </c:pt>
                <c:pt idx="7">
                  <c:v>-0.8827506249999999</c:v>
                </c:pt>
                <c:pt idx="8">
                  <c:v>-0.80275062499999994</c:v>
                </c:pt>
                <c:pt idx="9">
                  <c:v>-0.80275062499999994</c:v>
                </c:pt>
                <c:pt idx="10">
                  <c:v>-0.80075062499999994</c:v>
                </c:pt>
                <c:pt idx="11">
                  <c:v>-0.80075062499999994</c:v>
                </c:pt>
                <c:pt idx="12">
                  <c:v>-0.79075062499999993</c:v>
                </c:pt>
                <c:pt idx="13">
                  <c:v>-0.79075062499999993</c:v>
                </c:pt>
                <c:pt idx="14">
                  <c:v>-0.80075062499999994</c:v>
                </c:pt>
                <c:pt idx="15">
                  <c:v>-0.80075062499999994</c:v>
                </c:pt>
                <c:pt idx="16">
                  <c:v>-0.80275062499999994</c:v>
                </c:pt>
              </c:numCache>
            </c:numRef>
          </c:yVal>
          <c:smooth val="0"/>
          <c:extLst>
            <c:ext xmlns:c16="http://schemas.microsoft.com/office/drawing/2014/chart" uri="{C3380CC4-5D6E-409C-BE32-E72D297353CC}">
              <c16:uniqueId val="{0000002F-D895-4181-8EED-051A286E6B5A}"/>
            </c:ext>
          </c:extLst>
        </c:ser>
        <c:ser>
          <c:idx val="48"/>
          <c:order val="48"/>
          <c:tx>
            <c:strRef>
              <c:f>'Data Fuselage'!$P$154:$Q$154</c:f>
              <c:strCache>
                <c:ptCount val="1"/>
                <c:pt idx="0">
                  <c:v>Seatrail n°3</c:v>
                </c:pt>
              </c:strCache>
            </c:strRef>
          </c:tx>
          <c:spPr>
            <a:ln w="12700">
              <a:solidFill>
                <a:srgbClr val="FF6600"/>
              </a:solidFill>
              <a:prstDash val="solid"/>
            </a:ln>
          </c:spPr>
          <c:marker>
            <c:symbol val="none"/>
          </c:marker>
          <c:xVal>
            <c:numRef>
              <c:f>'Data Fuselage'!$P$156:$P$172</c:f>
              <c:numCache>
                <c:formatCode>General</c:formatCode>
                <c:ptCount val="17"/>
                <c:pt idx="0">
                  <c:v>-0.51000000000000023</c:v>
                </c:pt>
                <c:pt idx="1">
                  <c:v>-0.46100000000000024</c:v>
                </c:pt>
                <c:pt idx="2">
                  <c:v>-0.46100000000000024</c:v>
                </c:pt>
                <c:pt idx="3">
                  <c:v>-0.48500000000000026</c:v>
                </c:pt>
                <c:pt idx="4">
                  <c:v>-0.48500000000000026</c:v>
                </c:pt>
                <c:pt idx="5">
                  <c:v>-0.43500000000000022</c:v>
                </c:pt>
                <c:pt idx="6">
                  <c:v>-0.43500000000000022</c:v>
                </c:pt>
                <c:pt idx="7">
                  <c:v>-0.45900000000000024</c:v>
                </c:pt>
                <c:pt idx="8">
                  <c:v>-0.45900000000000024</c:v>
                </c:pt>
                <c:pt idx="9">
                  <c:v>-0.41000000000000025</c:v>
                </c:pt>
                <c:pt idx="10">
                  <c:v>-0.41000000000000025</c:v>
                </c:pt>
                <c:pt idx="11">
                  <c:v>-0.45000000000000023</c:v>
                </c:pt>
                <c:pt idx="12">
                  <c:v>-0.45000000000000023</c:v>
                </c:pt>
                <c:pt idx="13">
                  <c:v>-0.47000000000000025</c:v>
                </c:pt>
                <c:pt idx="14">
                  <c:v>-0.47000000000000025</c:v>
                </c:pt>
                <c:pt idx="15">
                  <c:v>-0.51000000000000023</c:v>
                </c:pt>
                <c:pt idx="16">
                  <c:v>-0.51000000000000023</c:v>
                </c:pt>
              </c:numCache>
            </c:numRef>
          </c:xVal>
          <c:yVal>
            <c:numRef>
              <c:f>'Data Fuselage'!$Q$156:$Q$172</c:f>
              <c:numCache>
                <c:formatCode>0.00</c:formatCode>
                <c:ptCount val="17"/>
                <c:pt idx="0">
                  <c:v>-0.80275062499999994</c:v>
                </c:pt>
                <c:pt idx="1">
                  <c:v>-0.80275062499999994</c:v>
                </c:pt>
                <c:pt idx="2">
                  <c:v>-0.8827506249999999</c:v>
                </c:pt>
                <c:pt idx="3">
                  <c:v>-0.8827506249999999</c:v>
                </c:pt>
                <c:pt idx="4">
                  <c:v>-0.8867506249999999</c:v>
                </c:pt>
                <c:pt idx="5">
                  <c:v>-0.8867506249999999</c:v>
                </c:pt>
                <c:pt idx="6">
                  <c:v>-0.8827506249999999</c:v>
                </c:pt>
                <c:pt idx="7">
                  <c:v>-0.8827506249999999</c:v>
                </c:pt>
                <c:pt idx="8">
                  <c:v>-0.80275062499999994</c:v>
                </c:pt>
                <c:pt idx="9">
                  <c:v>-0.80275062499999994</c:v>
                </c:pt>
                <c:pt idx="10">
                  <c:v>-0.80075062499999994</c:v>
                </c:pt>
                <c:pt idx="11">
                  <c:v>-0.80075062499999994</c:v>
                </c:pt>
                <c:pt idx="12">
                  <c:v>-0.79075062499999993</c:v>
                </c:pt>
                <c:pt idx="13">
                  <c:v>-0.79075062499999993</c:v>
                </c:pt>
                <c:pt idx="14">
                  <c:v>-0.80075062499999994</c:v>
                </c:pt>
                <c:pt idx="15">
                  <c:v>-0.80075062499999994</c:v>
                </c:pt>
                <c:pt idx="16">
                  <c:v>-0.80275062499999994</c:v>
                </c:pt>
              </c:numCache>
            </c:numRef>
          </c:yVal>
          <c:smooth val="0"/>
          <c:extLst>
            <c:ext xmlns:c16="http://schemas.microsoft.com/office/drawing/2014/chart" uri="{C3380CC4-5D6E-409C-BE32-E72D297353CC}">
              <c16:uniqueId val="{00000030-D895-4181-8EED-051A286E6B5A}"/>
            </c:ext>
          </c:extLst>
        </c:ser>
        <c:ser>
          <c:idx val="49"/>
          <c:order val="49"/>
          <c:tx>
            <c:strRef>
              <c:f>'Data Fuselage'!$T$154:$U$154</c:f>
              <c:strCache>
                <c:ptCount val="1"/>
                <c:pt idx="0">
                  <c:v>Seatrail n°4</c:v>
                </c:pt>
              </c:strCache>
            </c:strRef>
          </c:tx>
          <c:spPr>
            <a:ln w="12700">
              <a:solidFill>
                <a:srgbClr val="FF0000"/>
              </a:solidFill>
              <a:prstDash val="solid"/>
            </a:ln>
          </c:spPr>
          <c:marker>
            <c:symbol val="none"/>
          </c:marker>
          <c:xVal>
            <c:numRef>
              <c:f>'Data Fuselage'!$T$156:$T$172</c:f>
              <c:numCache>
                <c:formatCode>General</c:formatCode>
                <c:ptCount val="17"/>
                <c:pt idx="0">
                  <c:v>-1.1700000000000004</c:v>
                </c:pt>
                <c:pt idx="1">
                  <c:v>-1.1210000000000002</c:v>
                </c:pt>
                <c:pt idx="2">
                  <c:v>-1.1210000000000002</c:v>
                </c:pt>
                <c:pt idx="3">
                  <c:v>-1.1450000000000002</c:v>
                </c:pt>
                <c:pt idx="4">
                  <c:v>-1.1450000000000002</c:v>
                </c:pt>
                <c:pt idx="5">
                  <c:v>-1.0950000000000004</c:v>
                </c:pt>
                <c:pt idx="6">
                  <c:v>-1.0950000000000004</c:v>
                </c:pt>
                <c:pt idx="7">
                  <c:v>-1.1190000000000004</c:v>
                </c:pt>
                <c:pt idx="8">
                  <c:v>-1.1190000000000004</c:v>
                </c:pt>
                <c:pt idx="9">
                  <c:v>-1.0700000000000003</c:v>
                </c:pt>
                <c:pt idx="10">
                  <c:v>-1.0700000000000003</c:v>
                </c:pt>
                <c:pt idx="11">
                  <c:v>-1.1100000000000003</c:v>
                </c:pt>
                <c:pt idx="12">
                  <c:v>-1.1100000000000003</c:v>
                </c:pt>
                <c:pt idx="13">
                  <c:v>-1.1300000000000003</c:v>
                </c:pt>
                <c:pt idx="14">
                  <c:v>-1.1300000000000003</c:v>
                </c:pt>
                <c:pt idx="15">
                  <c:v>-1.1700000000000004</c:v>
                </c:pt>
                <c:pt idx="16">
                  <c:v>-1.1700000000000004</c:v>
                </c:pt>
              </c:numCache>
            </c:numRef>
          </c:xVal>
          <c:yVal>
            <c:numRef>
              <c:f>'Data Fuselage'!$U$156:$U$172</c:f>
              <c:numCache>
                <c:formatCode>0.00</c:formatCode>
                <c:ptCount val="17"/>
                <c:pt idx="0">
                  <c:v>-0.80275062499999994</c:v>
                </c:pt>
                <c:pt idx="1">
                  <c:v>-0.80275062499999994</c:v>
                </c:pt>
                <c:pt idx="2">
                  <c:v>-0.8827506249999999</c:v>
                </c:pt>
                <c:pt idx="3">
                  <c:v>-0.8827506249999999</c:v>
                </c:pt>
                <c:pt idx="4">
                  <c:v>-0.8867506249999999</c:v>
                </c:pt>
                <c:pt idx="5">
                  <c:v>-0.8867506249999999</c:v>
                </c:pt>
                <c:pt idx="6">
                  <c:v>-0.8827506249999999</c:v>
                </c:pt>
                <c:pt idx="7">
                  <c:v>-0.8827506249999999</c:v>
                </c:pt>
                <c:pt idx="8">
                  <c:v>-0.80275062499999994</c:v>
                </c:pt>
                <c:pt idx="9">
                  <c:v>-0.80275062499999994</c:v>
                </c:pt>
                <c:pt idx="10">
                  <c:v>-0.80075062499999994</c:v>
                </c:pt>
                <c:pt idx="11">
                  <c:v>-0.80075062499999994</c:v>
                </c:pt>
                <c:pt idx="12">
                  <c:v>-0.79075062499999993</c:v>
                </c:pt>
                <c:pt idx="13">
                  <c:v>-0.79075062499999993</c:v>
                </c:pt>
                <c:pt idx="14">
                  <c:v>-0.80075062499999994</c:v>
                </c:pt>
                <c:pt idx="15">
                  <c:v>-0.80075062499999994</c:v>
                </c:pt>
                <c:pt idx="16">
                  <c:v>-0.80275062499999994</c:v>
                </c:pt>
              </c:numCache>
            </c:numRef>
          </c:yVal>
          <c:smooth val="0"/>
          <c:extLst>
            <c:ext xmlns:c16="http://schemas.microsoft.com/office/drawing/2014/chart" uri="{C3380CC4-5D6E-409C-BE32-E72D297353CC}">
              <c16:uniqueId val="{00000031-D895-4181-8EED-051A286E6B5A}"/>
            </c:ext>
          </c:extLst>
        </c:ser>
        <c:ser>
          <c:idx val="50"/>
          <c:order val="50"/>
          <c:tx>
            <c:strRef>
              <c:f>'Data Fuselage'!$X$154:$Y$154</c:f>
              <c:strCache>
                <c:ptCount val="1"/>
                <c:pt idx="0">
                  <c:v>Seatrail n°5</c:v>
                </c:pt>
              </c:strCache>
            </c:strRef>
          </c:tx>
          <c:spPr>
            <a:ln w="12700">
              <a:solidFill>
                <a:srgbClr val="FF6600"/>
              </a:solidFill>
              <a:prstDash val="solid"/>
            </a:ln>
          </c:spPr>
          <c:marker>
            <c:symbol val="none"/>
          </c:marker>
          <c:xVal>
            <c:numRef>
              <c:f>'Data Fuselage'!$X$156:$X$172</c:f>
              <c:numCache>
                <c:formatCode>General</c:formatCode>
                <c:ptCount val="17"/>
                <c:pt idx="0">
                  <c:v>8887.9500000000007</c:v>
                </c:pt>
                <c:pt idx="1">
                  <c:v>8887.9989999999998</c:v>
                </c:pt>
                <c:pt idx="2">
                  <c:v>8887.9989999999998</c:v>
                </c:pt>
                <c:pt idx="3">
                  <c:v>8887.9750000000004</c:v>
                </c:pt>
                <c:pt idx="4">
                  <c:v>8887.9750000000004</c:v>
                </c:pt>
                <c:pt idx="5">
                  <c:v>8888.0249999999996</c:v>
                </c:pt>
                <c:pt idx="6">
                  <c:v>8888.0249999999996</c:v>
                </c:pt>
                <c:pt idx="7">
                  <c:v>8888.0010000000002</c:v>
                </c:pt>
                <c:pt idx="8">
                  <c:v>8888.0010000000002</c:v>
                </c:pt>
                <c:pt idx="9">
                  <c:v>8888.0499999999993</c:v>
                </c:pt>
                <c:pt idx="10">
                  <c:v>8888.0499999999993</c:v>
                </c:pt>
                <c:pt idx="11">
                  <c:v>8888.01</c:v>
                </c:pt>
                <c:pt idx="12">
                  <c:v>8888.01</c:v>
                </c:pt>
                <c:pt idx="13">
                  <c:v>8887.99</c:v>
                </c:pt>
                <c:pt idx="14">
                  <c:v>8887.99</c:v>
                </c:pt>
                <c:pt idx="15">
                  <c:v>8887.9500000000007</c:v>
                </c:pt>
                <c:pt idx="16">
                  <c:v>8887.9500000000007</c:v>
                </c:pt>
              </c:numCache>
            </c:numRef>
          </c:xVal>
          <c:yVal>
            <c:numRef>
              <c:f>'Data Fuselage'!$Y$156:$Y$172</c:f>
              <c:numCache>
                <c:formatCode>0.00</c:formatCode>
                <c:ptCount val="17"/>
                <c:pt idx="0">
                  <c:v>-0.80275062499999994</c:v>
                </c:pt>
                <c:pt idx="1">
                  <c:v>-0.80275062499999994</c:v>
                </c:pt>
                <c:pt idx="2">
                  <c:v>-0.8827506249999999</c:v>
                </c:pt>
                <c:pt idx="3">
                  <c:v>-0.8827506249999999</c:v>
                </c:pt>
                <c:pt idx="4">
                  <c:v>-0.8867506249999999</c:v>
                </c:pt>
                <c:pt idx="5">
                  <c:v>-0.8867506249999999</c:v>
                </c:pt>
                <c:pt idx="6">
                  <c:v>-0.8827506249999999</c:v>
                </c:pt>
                <c:pt idx="7">
                  <c:v>-0.8827506249999999</c:v>
                </c:pt>
                <c:pt idx="8">
                  <c:v>-0.80275062499999994</c:v>
                </c:pt>
                <c:pt idx="9">
                  <c:v>-0.80275062499999994</c:v>
                </c:pt>
                <c:pt idx="10">
                  <c:v>-0.80075062499999994</c:v>
                </c:pt>
                <c:pt idx="11">
                  <c:v>-0.80075062499999994</c:v>
                </c:pt>
                <c:pt idx="12">
                  <c:v>-0.79075062499999993</c:v>
                </c:pt>
                <c:pt idx="13">
                  <c:v>-0.79075062499999993</c:v>
                </c:pt>
                <c:pt idx="14">
                  <c:v>-0.80075062499999994</c:v>
                </c:pt>
                <c:pt idx="15">
                  <c:v>-0.80075062499999994</c:v>
                </c:pt>
                <c:pt idx="16">
                  <c:v>-0.80275062499999994</c:v>
                </c:pt>
              </c:numCache>
            </c:numRef>
          </c:yVal>
          <c:smooth val="0"/>
          <c:extLst>
            <c:ext xmlns:c16="http://schemas.microsoft.com/office/drawing/2014/chart" uri="{C3380CC4-5D6E-409C-BE32-E72D297353CC}">
              <c16:uniqueId val="{00000032-D895-4181-8EED-051A286E6B5A}"/>
            </c:ext>
          </c:extLst>
        </c:ser>
        <c:ser>
          <c:idx val="51"/>
          <c:order val="51"/>
          <c:tx>
            <c:strRef>
              <c:f>'Data Fuselage'!$AB$154:$AC$154</c:f>
              <c:strCache>
                <c:ptCount val="1"/>
                <c:pt idx="0">
                  <c:v>Seatrail n°6</c:v>
                </c:pt>
              </c:strCache>
            </c:strRef>
          </c:tx>
          <c:spPr>
            <a:ln w="12700">
              <a:solidFill>
                <a:srgbClr val="FF0000"/>
              </a:solidFill>
              <a:prstDash val="solid"/>
            </a:ln>
          </c:spPr>
          <c:marker>
            <c:symbol val="none"/>
          </c:marker>
          <c:xVal>
            <c:numRef>
              <c:f>'Data Fuselage'!$AB$156:$AB$172</c:f>
              <c:numCache>
                <c:formatCode>General</c:formatCode>
                <c:ptCount val="17"/>
                <c:pt idx="0">
                  <c:v>8887.9500000000007</c:v>
                </c:pt>
                <c:pt idx="1">
                  <c:v>8887.9989999999998</c:v>
                </c:pt>
                <c:pt idx="2">
                  <c:v>8887.9989999999998</c:v>
                </c:pt>
                <c:pt idx="3">
                  <c:v>8887.9750000000004</c:v>
                </c:pt>
                <c:pt idx="4">
                  <c:v>8887.9750000000004</c:v>
                </c:pt>
                <c:pt idx="5">
                  <c:v>8888.0249999999996</c:v>
                </c:pt>
                <c:pt idx="6">
                  <c:v>8888.0249999999996</c:v>
                </c:pt>
                <c:pt idx="7">
                  <c:v>8888.0010000000002</c:v>
                </c:pt>
                <c:pt idx="8">
                  <c:v>8888.0010000000002</c:v>
                </c:pt>
                <c:pt idx="9">
                  <c:v>8888.0499999999993</c:v>
                </c:pt>
                <c:pt idx="10">
                  <c:v>8888.0499999999993</c:v>
                </c:pt>
                <c:pt idx="11">
                  <c:v>8888.01</c:v>
                </c:pt>
                <c:pt idx="12">
                  <c:v>8888.01</c:v>
                </c:pt>
                <c:pt idx="13">
                  <c:v>8887.99</c:v>
                </c:pt>
                <c:pt idx="14">
                  <c:v>8887.99</c:v>
                </c:pt>
                <c:pt idx="15">
                  <c:v>8887.9500000000007</c:v>
                </c:pt>
                <c:pt idx="16">
                  <c:v>8887.9500000000007</c:v>
                </c:pt>
              </c:numCache>
            </c:numRef>
          </c:xVal>
          <c:yVal>
            <c:numRef>
              <c:f>'Data Fuselage'!$AC$156:$AC$172</c:f>
              <c:numCache>
                <c:formatCode>0.00</c:formatCode>
                <c:ptCount val="17"/>
                <c:pt idx="0">
                  <c:v>-0.80275062499999994</c:v>
                </c:pt>
                <c:pt idx="1">
                  <c:v>-0.80275062499999994</c:v>
                </c:pt>
                <c:pt idx="2">
                  <c:v>-0.8827506249999999</c:v>
                </c:pt>
                <c:pt idx="3">
                  <c:v>-0.8827506249999999</c:v>
                </c:pt>
                <c:pt idx="4">
                  <c:v>-0.8867506249999999</c:v>
                </c:pt>
                <c:pt idx="5">
                  <c:v>-0.8867506249999999</c:v>
                </c:pt>
                <c:pt idx="6">
                  <c:v>-0.8827506249999999</c:v>
                </c:pt>
                <c:pt idx="7">
                  <c:v>-0.8827506249999999</c:v>
                </c:pt>
                <c:pt idx="8">
                  <c:v>-0.80275062499999994</c:v>
                </c:pt>
                <c:pt idx="9">
                  <c:v>-0.80275062499999994</c:v>
                </c:pt>
                <c:pt idx="10">
                  <c:v>-0.80075062499999994</c:v>
                </c:pt>
                <c:pt idx="11">
                  <c:v>-0.80075062499999994</c:v>
                </c:pt>
                <c:pt idx="12">
                  <c:v>-0.79075062499999993</c:v>
                </c:pt>
                <c:pt idx="13">
                  <c:v>-0.79075062499999993</c:v>
                </c:pt>
                <c:pt idx="14">
                  <c:v>-0.80075062499999994</c:v>
                </c:pt>
                <c:pt idx="15">
                  <c:v>-0.80075062499999994</c:v>
                </c:pt>
                <c:pt idx="16">
                  <c:v>-0.80275062499999994</c:v>
                </c:pt>
              </c:numCache>
            </c:numRef>
          </c:yVal>
          <c:smooth val="0"/>
          <c:extLst>
            <c:ext xmlns:c16="http://schemas.microsoft.com/office/drawing/2014/chart" uri="{C3380CC4-5D6E-409C-BE32-E72D297353CC}">
              <c16:uniqueId val="{00000033-D895-4181-8EED-051A286E6B5A}"/>
            </c:ext>
          </c:extLst>
        </c:ser>
        <c:ser>
          <c:idx val="52"/>
          <c:order val="52"/>
          <c:tx>
            <c:strRef>
              <c:f>'Data Fuselage'!$AF$154:$AG$154</c:f>
              <c:strCache>
                <c:ptCount val="1"/>
                <c:pt idx="0">
                  <c:v>Seatrail n°7</c:v>
                </c:pt>
              </c:strCache>
            </c:strRef>
          </c:tx>
          <c:spPr>
            <a:ln w="12700">
              <a:solidFill>
                <a:srgbClr val="FF0000"/>
              </a:solidFill>
              <a:prstDash val="solid"/>
            </a:ln>
          </c:spPr>
          <c:marker>
            <c:symbol val="none"/>
          </c:marker>
          <c:xVal>
            <c:numRef>
              <c:f>'Data Fuselage'!$AF$156:$AF$172</c:f>
              <c:numCache>
                <c:formatCode>General</c:formatCode>
                <c:ptCount val="17"/>
                <c:pt idx="0">
                  <c:v>8887.9500000000007</c:v>
                </c:pt>
                <c:pt idx="1">
                  <c:v>8887.9989999999998</c:v>
                </c:pt>
                <c:pt idx="2">
                  <c:v>8887.9989999999998</c:v>
                </c:pt>
                <c:pt idx="3">
                  <c:v>8887.9750000000004</c:v>
                </c:pt>
                <c:pt idx="4">
                  <c:v>8887.9750000000004</c:v>
                </c:pt>
                <c:pt idx="5">
                  <c:v>8888.0249999999996</c:v>
                </c:pt>
                <c:pt idx="6">
                  <c:v>8888.0249999999996</c:v>
                </c:pt>
                <c:pt idx="7">
                  <c:v>8888.0010000000002</c:v>
                </c:pt>
                <c:pt idx="8">
                  <c:v>8888.0010000000002</c:v>
                </c:pt>
                <c:pt idx="9">
                  <c:v>8888.0499999999993</c:v>
                </c:pt>
                <c:pt idx="10">
                  <c:v>8888.0499999999993</c:v>
                </c:pt>
                <c:pt idx="11">
                  <c:v>8888.01</c:v>
                </c:pt>
                <c:pt idx="12">
                  <c:v>8888.01</c:v>
                </c:pt>
                <c:pt idx="13">
                  <c:v>8887.99</c:v>
                </c:pt>
                <c:pt idx="14">
                  <c:v>8887.99</c:v>
                </c:pt>
                <c:pt idx="15">
                  <c:v>8887.9500000000007</c:v>
                </c:pt>
                <c:pt idx="16">
                  <c:v>8887.9500000000007</c:v>
                </c:pt>
              </c:numCache>
            </c:numRef>
          </c:xVal>
          <c:yVal>
            <c:numRef>
              <c:f>'Data Fuselage'!$AG$156:$AG$172</c:f>
              <c:numCache>
                <c:formatCode>0.00</c:formatCode>
                <c:ptCount val="17"/>
                <c:pt idx="0">
                  <c:v>-0.80275062499999994</c:v>
                </c:pt>
                <c:pt idx="1">
                  <c:v>-0.80275062499999994</c:v>
                </c:pt>
                <c:pt idx="2">
                  <c:v>-0.8827506249999999</c:v>
                </c:pt>
                <c:pt idx="3">
                  <c:v>-0.8827506249999999</c:v>
                </c:pt>
                <c:pt idx="4">
                  <c:v>-0.8867506249999999</c:v>
                </c:pt>
                <c:pt idx="5">
                  <c:v>-0.8867506249999999</c:v>
                </c:pt>
                <c:pt idx="6">
                  <c:v>-0.8827506249999999</c:v>
                </c:pt>
                <c:pt idx="7">
                  <c:v>-0.8827506249999999</c:v>
                </c:pt>
                <c:pt idx="8">
                  <c:v>-0.80275062499999994</c:v>
                </c:pt>
                <c:pt idx="9">
                  <c:v>-0.80275062499999994</c:v>
                </c:pt>
                <c:pt idx="10">
                  <c:v>-0.80075062499999994</c:v>
                </c:pt>
                <c:pt idx="11">
                  <c:v>-0.80075062499999994</c:v>
                </c:pt>
                <c:pt idx="12">
                  <c:v>-0.79075062499999993</c:v>
                </c:pt>
                <c:pt idx="13">
                  <c:v>-0.79075062499999993</c:v>
                </c:pt>
                <c:pt idx="14">
                  <c:v>-0.80075062499999994</c:v>
                </c:pt>
                <c:pt idx="15">
                  <c:v>-0.80075062499999994</c:v>
                </c:pt>
                <c:pt idx="16">
                  <c:v>-0.80275062499999994</c:v>
                </c:pt>
              </c:numCache>
            </c:numRef>
          </c:yVal>
          <c:smooth val="0"/>
          <c:extLst>
            <c:ext xmlns:c16="http://schemas.microsoft.com/office/drawing/2014/chart" uri="{C3380CC4-5D6E-409C-BE32-E72D297353CC}">
              <c16:uniqueId val="{00000034-D895-4181-8EED-051A286E6B5A}"/>
            </c:ext>
          </c:extLst>
        </c:ser>
        <c:ser>
          <c:idx val="53"/>
          <c:order val="53"/>
          <c:tx>
            <c:strRef>
              <c:f>'Data Fuselage'!$AJ$154:$AK$154</c:f>
              <c:strCache>
                <c:ptCount val="1"/>
                <c:pt idx="0">
                  <c:v>Seatrail n°8</c:v>
                </c:pt>
              </c:strCache>
            </c:strRef>
          </c:tx>
          <c:spPr>
            <a:ln w="12700">
              <a:solidFill>
                <a:srgbClr val="FF0000"/>
              </a:solidFill>
              <a:prstDash val="solid"/>
            </a:ln>
          </c:spPr>
          <c:marker>
            <c:symbol val="none"/>
          </c:marker>
          <c:xVal>
            <c:numRef>
              <c:f>'Data Fuselage'!$AJ$156:$AJ$172</c:f>
              <c:numCache>
                <c:formatCode>General</c:formatCode>
                <c:ptCount val="17"/>
                <c:pt idx="0">
                  <c:v>8887.9500000000007</c:v>
                </c:pt>
                <c:pt idx="1">
                  <c:v>8887.9989999999998</c:v>
                </c:pt>
                <c:pt idx="2">
                  <c:v>8887.9989999999998</c:v>
                </c:pt>
                <c:pt idx="3">
                  <c:v>8887.9750000000004</c:v>
                </c:pt>
                <c:pt idx="4">
                  <c:v>8887.9750000000004</c:v>
                </c:pt>
                <c:pt idx="5">
                  <c:v>8888.0249999999996</c:v>
                </c:pt>
                <c:pt idx="6">
                  <c:v>8888.0249999999996</c:v>
                </c:pt>
                <c:pt idx="7">
                  <c:v>8888.0010000000002</c:v>
                </c:pt>
                <c:pt idx="8">
                  <c:v>8888.0010000000002</c:v>
                </c:pt>
                <c:pt idx="9">
                  <c:v>8888.0499999999993</c:v>
                </c:pt>
                <c:pt idx="10">
                  <c:v>8888.0499999999993</c:v>
                </c:pt>
                <c:pt idx="11">
                  <c:v>8888.01</c:v>
                </c:pt>
                <c:pt idx="12">
                  <c:v>8888.01</c:v>
                </c:pt>
                <c:pt idx="13">
                  <c:v>8887.99</c:v>
                </c:pt>
                <c:pt idx="14">
                  <c:v>8887.99</c:v>
                </c:pt>
                <c:pt idx="15">
                  <c:v>8887.9500000000007</c:v>
                </c:pt>
                <c:pt idx="16">
                  <c:v>8887.9500000000007</c:v>
                </c:pt>
              </c:numCache>
            </c:numRef>
          </c:xVal>
          <c:yVal>
            <c:numRef>
              <c:f>'Data Fuselage'!$AK$156:$AK$172</c:f>
              <c:numCache>
                <c:formatCode>0.00</c:formatCode>
                <c:ptCount val="17"/>
                <c:pt idx="0">
                  <c:v>-0.80275062499999994</c:v>
                </c:pt>
                <c:pt idx="1">
                  <c:v>-0.80275062499999994</c:v>
                </c:pt>
                <c:pt idx="2">
                  <c:v>-0.8827506249999999</c:v>
                </c:pt>
                <c:pt idx="3">
                  <c:v>-0.8827506249999999</c:v>
                </c:pt>
                <c:pt idx="4">
                  <c:v>-0.8867506249999999</c:v>
                </c:pt>
                <c:pt idx="5">
                  <c:v>-0.8867506249999999</c:v>
                </c:pt>
                <c:pt idx="6">
                  <c:v>-0.8827506249999999</c:v>
                </c:pt>
                <c:pt idx="7">
                  <c:v>-0.8827506249999999</c:v>
                </c:pt>
                <c:pt idx="8">
                  <c:v>-0.80275062499999994</c:v>
                </c:pt>
                <c:pt idx="9">
                  <c:v>-0.80275062499999994</c:v>
                </c:pt>
                <c:pt idx="10">
                  <c:v>-0.80075062499999994</c:v>
                </c:pt>
                <c:pt idx="11">
                  <c:v>-0.80075062499999994</c:v>
                </c:pt>
                <c:pt idx="12">
                  <c:v>-0.79075062499999993</c:v>
                </c:pt>
                <c:pt idx="13">
                  <c:v>-0.79075062499999993</c:v>
                </c:pt>
                <c:pt idx="14">
                  <c:v>-0.80075062499999994</c:v>
                </c:pt>
                <c:pt idx="15">
                  <c:v>-0.80075062499999994</c:v>
                </c:pt>
                <c:pt idx="16">
                  <c:v>-0.80275062499999994</c:v>
                </c:pt>
              </c:numCache>
            </c:numRef>
          </c:yVal>
          <c:smooth val="0"/>
          <c:extLst>
            <c:ext xmlns:c16="http://schemas.microsoft.com/office/drawing/2014/chart" uri="{C3380CC4-5D6E-409C-BE32-E72D297353CC}">
              <c16:uniqueId val="{00000035-D895-4181-8EED-051A286E6B5A}"/>
            </c:ext>
          </c:extLst>
        </c:ser>
        <c:ser>
          <c:idx val="54"/>
          <c:order val="54"/>
          <c:tx>
            <c:strRef>
              <c:f>'Data Fuselage'!$AN$154:$AO$154</c:f>
              <c:strCache>
                <c:ptCount val="1"/>
                <c:pt idx="0">
                  <c:v>Seatrail n°9</c:v>
                </c:pt>
              </c:strCache>
            </c:strRef>
          </c:tx>
          <c:spPr>
            <a:ln w="12700">
              <a:solidFill>
                <a:srgbClr val="FF0000"/>
              </a:solidFill>
              <a:prstDash val="solid"/>
            </a:ln>
          </c:spPr>
          <c:marker>
            <c:symbol val="none"/>
          </c:marker>
          <c:xVal>
            <c:numRef>
              <c:f>'Data Fuselage'!$AN$156:$AN$172</c:f>
              <c:numCache>
                <c:formatCode>General</c:formatCode>
                <c:ptCount val="17"/>
                <c:pt idx="0">
                  <c:v>8887.9500000000007</c:v>
                </c:pt>
                <c:pt idx="1">
                  <c:v>8887.9989999999998</c:v>
                </c:pt>
                <c:pt idx="2">
                  <c:v>8887.9989999999998</c:v>
                </c:pt>
                <c:pt idx="3">
                  <c:v>8887.9750000000004</c:v>
                </c:pt>
                <c:pt idx="4">
                  <c:v>8887.9750000000004</c:v>
                </c:pt>
                <c:pt idx="5">
                  <c:v>8888.0249999999996</c:v>
                </c:pt>
                <c:pt idx="6">
                  <c:v>8888.0249999999996</c:v>
                </c:pt>
                <c:pt idx="7">
                  <c:v>8888.0010000000002</c:v>
                </c:pt>
                <c:pt idx="8">
                  <c:v>8888.0010000000002</c:v>
                </c:pt>
                <c:pt idx="9">
                  <c:v>8888.0499999999993</c:v>
                </c:pt>
                <c:pt idx="10">
                  <c:v>8888.0499999999993</c:v>
                </c:pt>
                <c:pt idx="11">
                  <c:v>8888.01</c:v>
                </c:pt>
                <c:pt idx="12">
                  <c:v>8888.01</c:v>
                </c:pt>
                <c:pt idx="13">
                  <c:v>8887.99</c:v>
                </c:pt>
                <c:pt idx="14">
                  <c:v>8887.99</c:v>
                </c:pt>
                <c:pt idx="15">
                  <c:v>8887.9500000000007</c:v>
                </c:pt>
                <c:pt idx="16">
                  <c:v>8887.9500000000007</c:v>
                </c:pt>
              </c:numCache>
            </c:numRef>
          </c:xVal>
          <c:yVal>
            <c:numRef>
              <c:f>'Data Fuselage'!$AO$156:$AO$172</c:f>
              <c:numCache>
                <c:formatCode>0.00</c:formatCode>
                <c:ptCount val="17"/>
                <c:pt idx="0">
                  <c:v>-0.80275062499999994</c:v>
                </c:pt>
                <c:pt idx="1">
                  <c:v>-0.80275062499999994</c:v>
                </c:pt>
                <c:pt idx="2">
                  <c:v>-0.8827506249999999</c:v>
                </c:pt>
                <c:pt idx="3">
                  <c:v>-0.8827506249999999</c:v>
                </c:pt>
                <c:pt idx="4">
                  <c:v>-0.8867506249999999</c:v>
                </c:pt>
                <c:pt idx="5">
                  <c:v>-0.8867506249999999</c:v>
                </c:pt>
                <c:pt idx="6">
                  <c:v>-0.8827506249999999</c:v>
                </c:pt>
                <c:pt idx="7">
                  <c:v>-0.8827506249999999</c:v>
                </c:pt>
                <c:pt idx="8">
                  <c:v>-0.80275062499999994</c:v>
                </c:pt>
                <c:pt idx="9">
                  <c:v>-0.80275062499999994</c:v>
                </c:pt>
                <c:pt idx="10">
                  <c:v>-0.80075062499999994</c:v>
                </c:pt>
                <c:pt idx="11">
                  <c:v>-0.80075062499999994</c:v>
                </c:pt>
                <c:pt idx="12">
                  <c:v>-0.79075062499999993</c:v>
                </c:pt>
                <c:pt idx="13">
                  <c:v>-0.79075062499999993</c:v>
                </c:pt>
                <c:pt idx="14">
                  <c:v>-0.80075062499999994</c:v>
                </c:pt>
                <c:pt idx="15">
                  <c:v>-0.80075062499999994</c:v>
                </c:pt>
                <c:pt idx="16">
                  <c:v>-0.80275062499999994</c:v>
                </c:pt>
              </c:numCache>
            </c:numRef>
          </c:yVal>
          <c:smooth val="0"/>
          <c:extLst>
            <c:ext xmlns:c16="http://schemas.microsoft.com/office/drawing/2014/chart" uri="{C3380CC4-5D6E-409C-BE32-E72D297353CC}">
              <c16:uniqueId val="{00000036-D895-4181-8EED-051A286E6B5A}"/>
            </c:ext>
          </c:extLst>
        </c:ser>
        <c:ser>
          <c:idx val="55"/>
          <c:order val="55"/>
          <c:tx>
            <c:strRef>
              <c:f>'Data Fuselage'!$AR$154:$AS$154</c:f>
              <c:strCache>
                <c:ptCount val="1"/>
                <c:pt idx="0">
                  <c:v>Seatrail n°10</c:v>
                </c:pt>
              </c:strCache>
            </c:strRef>
          </c:tx>
          <c:spPr>
            <a:ln w="12700">
              <a:solidFill>
                <a:srgbClr val="FF0000"/>
              </a:solidFill>
              <a:prstDash val="solid"/>
            </a:ln>
          </c:spPr>
          <c:marker>
            <c:symbol val="none"/>
          </c:marker>
          <c:xVal>
            <c:numRef>
              <c:f>'Data Fuselage'!$AR$156:$AR$172</c:f>
              <c:numCache>
                <c:formatCode>General</c:formatCode>
                <c:ptCount val="17"/>
                <c:pt idx="0">
                  <c:v>8887.9500000000007</c:v>
                </c:pt>
                <c:pt idx="1">
                  <c:v>8887.9989999999998</c:v>
                </c:pt>
                <c:pt idx="2">
                  <c:v>8887.9989999999998</c:v>
                </c:pt>
                <c:pt idx="3">
                  <c:v>8887.9750000000004</c:v>
                </c:pt>
                <c:pt idx="4">
                  <c:v>8887.9750000000004</c:v>
                </c:pt>
                <c:pt idx="5">
                  <c:v>8888.0249999999996</c:v>
                </c:pt>
                <c:pt idx="6">
                  <c:v>8888.0249999999996</c:v>
                </c:pt>
                <c:pt idx="7">
                  <c:v>8888.0010000000002</c:v>
                </c:pt>
                <c:pt idx="8">
                  <c:v>8888.0010000000002</c:v>
                </c:pt>
                <c:pt idx="9">
                  <c:v>8888.0499999999993</c:v>
                </c:pt>
                <c:pt idx="10">
                  <c:v>8888.0499999999993</c:v>
                </c:pt>
                <c:pt idx="11">
                  <c:v>8888.01</c:v>
                </c:pt>
                <c:pt idx="12">
                  <c:v>8888.01</c:v>
                </c:pt>
                <c:pt idx="13">
                  <c:v>8887.99</c:v>
                </c:pt>
                <c:pt idx="14">
                  <c:v>8887.99</c:v>
                </c:pt>
                <c:pt idx="15">
                  <c:v>8887.9500000000007</c:v>
                </c:pt>
                <c:pt idx="16">
                  <c:v>8887.9500000000007</c:v>
                </c:pt>
              </c:numCache>
            </c:numRef>
          </c:xVal>
          <c:yVal>
            <c:numRef>
              <c:f>'Data Fuselage'!$AS$156:$AS$172</c:f>
              <c:numCache>
                <c:formatCode>0.00</c:formatCode>
                <c:ptCount val="17"/>
                <c:pt idx="0">
                  <c:v>-0.80275062499999994</c:v>
                </c:pt>
                <c:pt idx="1">
                  <c:v>-0.80275062499999994</c:v>
                </c:pt>
                <c:pt idx="2">
                  <c:v>-0.8827506249999999</c:v>
                </c:pt>
                <c:pt idx="3">
                  <c:v>-0.8827506249999999</c:v>
                </c:pt>
                <c:pt idx="4">
                  <c:v>-0.8867506249999999</c:v>
                </c:pt>
                <c:pt idx="5">
                  <c:v>-0.8867506249999999</c:v>
                </c:pt>
                <c:pt idx="6">
                  <c:v>-0.8827506249999999</c:v>
                </c:pt>
                <c:pt idx="7">
                  <c:v>-0.8827506249999999</c:v>
                </c:pt>
                <c:pt idx="8">
                  <c:v>-0.80275062499999994</c:v>
                </c:pt>
                <c:pt idx="9">
                  <c:v>-0.80275062499999994</c:v>
                </c:pt>
                <c:pt idx="10">
                  <c:v>-0.80075062499999994</c:v>
                </c:pt>
                <c:pt idx="11">
                  <c:v>-0.80075062499999994</c:v>
                </c:pt>
                <c:pt idx="12">
                  <c:v>-0.79075062499999993</c:v>
                </c:pt>
                <c:pt idx="13">
                  <c:v>-0.79075062499999993</c:v>
                </c:pt>
                <c:pt idx="14">
                  <c:v>-0.80075062499999994</c:v>
                </c:pt>
                <c:pt idx="15">
                  <c:v>-0.80075062499999994</c:v>
                </c:pt>
                <c:pt idx="16">
                  <c:v>-0.80275062499999994</c:v>
                </c:pt>
              </c:numCache>
            </c:numRef>
          </c:yVal>
          <c:smooth val="0"/>
          <c:extLst>
            <c:ext xmlns:c16="http://schemas.microsoft.com/office/drawing/2014/chart" uri="{C3380CC4-5D6E-409C-BE32-E72D297353CC}">
              <c16:uniqueId val="{00000037-D895-4181-8EED-051A286E6B5A}"/>
            </c:ext>
          </c:extLst>
        </c:ser>
        <c:ser>
          <c:idx val="56"/>
          <c:order val="56"/>
          <c:tx>
            <c:v>Seat_leg_1</c:v>
          </c:tx>
          <c:spPr>
            <a:ln w="12700">
              <a:solidFill>
                <a:srgbClr val="0000FF"/>
              </a:solidFill>
              <a:prstDash val="solid"/>
            </a:ln>
          </c:spPr>
          <c:marker>
            <c:symbol val="none"/>
          </c:marker>
          <c:xVal>
            <c:numRef>
              <c:f>'Data Fuselage'!$H$173:$H$175</c:f>
              <c:numCache>
                <c:formatCode>General</c:formatCode>
                <c:ptCount val="3"/>
                <c:pt idx="0">
                  <c:v>0.46999999999999981</c:v>
                </c:pt>
                <c:pt idx="1">
                  <c:v>0.4599999999999998</c:v>
                </c:pt>
                <c:pt idx="2">
                  <c:v>0.44999999999999979</c:v>
                </c:pt>
              </c:numCache>
            </c:numRef>
          </c:xVal>
          <c:yVal>
            <c:numRef>
              <c:f>'Data Fuselage'!$I$173:$I$175</c:f>
              <c:numCache>
                <c:formatCode>General</c:formatCode>
                <c:ptCount val="3"/>
                <c:pt idx="0">
                  <c:v>-0.79075062499999993</c:v>
                </c:pt>
                <c:pt idx="1">
                  <c:v>-0.50722062499999998</c:v>
                </c:pt>
                <c:pt idx="2">
                  <c:v>-0.79075062499999993</c:v>
                </c:pt>
              </c:numCache>
            </c:numRef>
          </c:yVal>
          <c:smooth val="0"/>
          <c:extLst>
            <c:ext xmlns:c16="http://schemas.microsoft.com/office/drawing/2014/chart" uri="{C3380CC4-5D6E-409C-BE32-E72D297353CC}">
              <c16:uniqueId val="{00000038-D895-4181-8EED-051A286E6B5A}"/>
            </c:ext>
          </c:extLst>
        </c:ser>
        <c:ser>
          <c:idx val="57"/>
          <c:order val="57"/>
          <c:tx>
            <c:v>Seat_leg_2</c:v>
          </c:tx>
          <c:spPr>
            <a:ln w="12700">
              <a:solidFill>
                <a:srgbClr val="0000FF"/>
              </a:solidFill>
              <a:prstDash val="solid"/>
            </a:ln>
          </c:spPr>
          <c:marker>
            <c:symbol val="none"/>
          </c:marker>
          <c:xVal>
            <c:numRef>
              <c:f>'Data Fuselage'!$L$173:$L$175</c:f>
              <c:numCache>
                <c:formatCode>General</c:formatCode>
                <c:ptCount val="3"/>
                <c:pt idx="0">
                  <c:v>1.1299999999999999</c:v>
                </c:pt>
                <c:pt idx="1">
                  <c:v>1.1199999999999999</c:v>
                </c:pt>
                <c:pt idx="2">
                  <c:v>1.1099999999999999</c:v>
                </c:pt>
              </c:numCache>
            </c:numRef>
          </c:xVal>
          <c:yVal>
            <c:numRef>
              <c:f>'Data Fuselage'!$M$173:$M$175</c:f>
              <c:numCache>
                <c:formatCode>General</c:formatCode>
                <c:ptCount val="3"/>
                <c:pt idx="0">
                  <c:v>-0.79075062499999993</c:v>
                </c:pt>
                <c:pt idx="1">
                  <c:v>-0.50722062499999998</c:v>
                </c:pt>
                <c:pt idx="2">
                  <c:v>-0.79075062499999993</c:v>
                </c:pt>
              </c:numCache>
            </c:numRef>
          </c:yVal>
          <c:smooth val="0"/>
          <c:extLst>
            <c:ext xmlns:c16="http://schemas.microsoft.com/office/drawing/2014/chart" uri="{C3380CC4-5D6E-409C-BE32-E72D297353CC}">
              <c16:uniqueId val="{00000039-D895-4181-8EED-051A286E6B5A}"/>
            </c:ext>
          </c:extLst>
        </c:ser>
        <c:ser>
          <c:idx val="58"/>
          <c:order val="58"/>
          <c:tx>
            <c:v>Seat_leg_3</c:v>
          </c:tx>
          <c:spPr>
            <a:ln w="12700">
              <a:solidFill>
                <a:srgbClr val="0000FF"/>
              </a:solidFill>
              <a:prstDash val="solid"/>
            </a:ln>
          </c:spPr>
          <c:marker>
            <c:symbol val="none"/>
          </c:marker>
          <c:xVal>
            <c:numRef>
              <c:f>'Data Fuselage'!$P$173:$P$175</c:f>
              <c:numCache>
                <c:formatCode>General</c:formatCode>
                <c:ptCount val="3"/>
                <c:pt idx="0">
                  <c:v>8888</c:v>
                </c:pt>
                <c:pt idx="1">
                  <c:v>8888</c:v>
                </c:pt>
                <c:pt idx="2">
                  <c:v>8888</c:v>
                </c:pt>
              </c:numCache>
            </c:numRef>
          </c:xVal>
          <c:yVal>
            <c:numRef>
              <c:f>'Data Fuselage'!$Q$173:$Q$175</c:f>
              <c:numCache>
                <c:formatCode>General</c:formatCode>
                <c:ptCount val="3"/>
                <c:pt idx="0">
                  <c:v>8888</c:v>
                </c:pt>
                <c:pt idx="1">
                  <c:v>8888</c:v>
                </c:pt>
                <c:pt idx="2">
                  <c:v>8888</c:v>
                </c:pt>
              </c:numCache>
            </c:numRef>
          </c:yVal>
          <c:smooth val="0"/>
          <c:extLst>
            <c:ext xmlns:c16="http://schemas.microsoft.com/office/drawing/2014/chart" uri="{C3380CC4-5D6E-409C-BE32-E72D297353CC}">
              <c16:uniqueId val="{0000003A-D895-4181-8EED-051A286E6B5A}"/>
            </c:ext>
          </c:extLst>
        </c:ser>
        <c:ser>
          <c:idx val="59"/>
          <c:order val="59"/>
          <c:tx>
            <c:v>Seat_leg_4</c:v>
          </c:tx>
          <c:spPr>
            <a:ln w="12700">
              <a:solidFill>
                <a:srgbClr val="0000FF"/>
              </a:solidFill>
              <a:prstDash val="solid"/>
            </a:ln>
          </c:spPr>
          <c:marker>
            <c:symbol val="none"/>
          </c:marker>
          <c:xVal>
            <c:numRef>
              <c:f>'Data Fuselage'!$T$173:$T$175</c:f>
              <c:numCache>
                <c:formatCode>General</c:formatCode>
                <c:ptCount val="3"/>
                <c:pt idx="0">
                  <c:v>-1.1100000000000003</c:v>
                </c:pt>
                <c:pt idx="1">
                  <c:v>-1.1200000000000003</c:v>
                </c:pt>
                <c:pt idx="2">
                  <c:v>-1.1300000000000003</c:v>
                </c:pt>
              </c:numCache>
            </c:numRef>
          </c:xVal>
          <c:yVal>
            <c:numRef>
              <c:f>'Data Fuselage'!$U$173:$U$175</c:f>
              <c:numCache>
                <c:formatCode>General</c:formatCode>
                <c:ptCount val="3"/>
                <c:pt idx="0">
                  <c:v>-0.79075062499999993</c:v>
                </c:pt>
                <c:pt idx="1">
                  <c:v>-0.50722062499999998</c:v>
                </c:pt>
                <c:pt idx="2">
                  <c:v>-0.79075062499999993</c:v>
                </c:pt>
              </c:numCache>
            </c:numRef>
          </c:yVal>
          <c:smooth val="0"/>
          <c:extLst>
            <c:ext xmlns:c16="http://schemas.microsoft.com/office/drawing/2014/chart" uri="{C3380CC4-5D6E-409C-BE32-E72D297353CC}">
              <c16:uniqueId val="{0000003B-D895-4181-8EED-051A286E6B5A}"/>
            </c:ext>
          </c:extLst>
        </c:ser>
        <c:ser>
          <c:idx val="60"/>
          <c:order val="60"/>
          <c:tx>
            <c:v>Seat_leg_5</c:v>
          </c:tx>
          <c:spPr>
            <a:ln w="12700">
              <a:solidFill>
                <a:srgbClr val="0000FF"/>
              </a:solidFill>
              <a:prstDash val="solid"/>
            </a:ln>
          </c:spPr>
          <c:marker>
            <c:symbol val="none"/>
          </c:marker>
          <c:xVal>
            <c:numRef>
              <c:f>'Data Fuselage'!$X$173:$X$175</c:f>
              <c:numCache>
                <c:formatCode>General</c:formatCode>
                <c:ptCount val="3"/>
                <c:pt idx="0">
                  <c:v>8888</c:v>
                </c:pt>
                <c:pt idx="1">
                  <c:v>8888</c:v>
                </c:pt>
                <c:pt idx="2">
                  <c:v>8888</c:v>
                </c:pt>
              </c:numCache>
            </c:numRef>
          </c:xVal>
          <c:yVal>
            <c:numRef>
              <c:f>'Data Fuselage'!$Y$173:$Y$175</c:f>
              <c:numCache>
                <c:formatCode>General</c:formatCode>
                <c:ptCount val="3"/>
                <c:pt idx="0">
                  <c:v>8888</c:v>
                </c:pt>
                <c:pt idx="1">
                  <c:v>8888</c:v>
                </c:pt>
                <c:pt idx="2">
                  <c:v>8888</c:v>
                </c:pt>
              </c:numCache>
            </c:numRef>
          </c:yVal>
          <c:smooth val="0"/>
          <c:extLst>
            <c:ext xmlns:c16="http://schemas.microsoft.com/office/drawing/2014/chart" uri="{C3380CC4-5D6E-409C-BE32-E72D297353CC}">
              <c16:uniqueId val="{0000003C-D895-4181-8EED-051A286E6B5A}"/>
            </c:ext>
          </c:extLst>
        </c:ser>
        <c:ser>
          <c:idx val="61"/>
          <c:order val="61"/>
          <c:tx>
            <c:v>Seat_leg_6</c:v>
          </c:tx>
          <c:spPr>
            <a:ln w="12700">
              <a:solidFill>
                <a:srgbClr val="0000FF"/>
              </a:solidFill>
              <a:prstDash val="solid"/>
            </a:ln>
          </c:spPr>
          <c:marker>
            <c:symbol val="none"/>
          </c:marker>
          <c:xVal>
            <c:numRef>
              <c:f>'Data Fuselage'!$AB$173:$AB$175</c:f>
              <c:numCache>
                <c:formatCode>General</c:formatCode>
                <c:ptCount val="3"/>
                <c:pt idx="0">
                  <c:v>8888</c:v>
                </c:pt>
                <c:pt idx="1">
                  <c:v>8888</c:v>
                </c:pt>
                <c:pt idx="2">
                  <c:v>8888</c:v>
                </c:pt>
              </c:numCache>
            </c:numRef>
          </c:xVal>
          <c:yVal>
            <c:numRef>
              <c:f>'Data Fuselage'!$AC$173:$AC$175</c:f>
              <c:numCache>
                <c:formatCode>General</c:formatCode>
                <c:ptCount val="3"/>
                <c:pt idx="0">
                  <c:v>8888</c:v>
                </c:pt>
                <c:pt idx="1">
                  <c:v>8888</c:v>
                </c:pt>
                <c:pt idx="2">
                  <c:v>8888</c:v>
                </c:pt>
              </c:numCache>
            </c:numRef>
          </c:yVal>
          <c:smooth val="0"/>
          <c:extLst>
            <c:ext xmlns:c16="http://schemas.microsoft.com/office/drawing/2014/chart" uri="{C3380CC4-5D6E-409C-BE32-E72D297353CC}">
              <c16:uniqueId val="{0000003D-D895-4181-8EED-051A286E6B5A}"/>
            </c:ext>
          </c:extLst>
        </c:ser>
        <c:ser>
          <c:idx val="62"/>
          <c:order val="62"/>
          <c:tx>
            <c:v>Seat_leg_7</c:v>
          </c:tx>
          <c:spPr>
            <a:ln w="12700">
              <a:solidFill>
                <a:srgbClr val="0000FF"/>
              </a:solidFill>
              <a:prstDash val="solid"/>
            </a:ln>
          </c:spPr>
          <c:marker>
            <c:symbol val="none"/>
          </c:marker>
          <c:xVal>
            <c:numRef>
              <c:f>'Data Fuselage'!$AF$173:$AF$175</c:f>
              <c:numCache>
                <c:formatCode>General</c:formatCode>
                <c:ptCount val="3"/>
                <c:pt idx="0">
                  <c:v>8888</c:v>
                </c:pt>
                <c:pt idx="1">
                  <c:v>8888</c:v>
                </c:pt>
                <c:pt idx="2">
                  <c:v>8888</c:v>
                </c:pt>
              </c:numCache>
            </c:numRef>
          </c:xVal>
          <c:yVal>
            <c:numRef>
              <c:f>'Data Fuselage'!$AG$173:$AG$175</c:f>
              <c:numCache>
                <c:formatCode>General</c:formatCode>
                <c:ptCount val="3"/>
                <c:pt idx="0">
                  <c:v>8888</c:v>
                </c:pt>
                <c:pt idx="1">
                  <c:v>8888</c:v>
                </c:pt>
                <c:pt idx="2">
                  <c:v>8888</c:v>
                </c:pt>
              </c:numCache>
            </c:numRef>
          </c:yVal>
          <c:smooth val="0"/>
          <c:extLst>
            <c:ext xmlns:c16="http://schemas.microsoft.com/office/drawing/2014/chart" uri="{C3380CC4-5D6E-409C-BE32-E72D297353CC}">
              <c16:uniqueId val="{0000003E-D895-4181-8EED-051A286E6B5A}"/>
            </c:ext>
          </c:extLst>
        </c:ser>
        <c:ser>
          <c:idx val="63"/>
          <c:order val="63"/>
          <c:tx>
            <c:v>Seat_leg_8</c:v>
          </c:tx>
          <c:spPr>
            <a:ln w="12700">
              <a:solidFill>
                <a:srgbClr val="0000FF"/>
              </a:solidFill>
              <a:prstDash val="solid"/>
            </a:ln>
          </c:spPr>
          <c:marker>
            <c:symbol val="none"/>
          </c:marker>
          <c:xVal>
            <c:numRef>
              <c:f>'Data Fuselage'!$AJ$173:$AJ$175</c:f>
              <c:numCache>
                <c:formatCode>General</c:formatCode>
                <c:ptCount val="3"/>
                <c:pt idx="0">
                  <c:v>8888</c:v>
                </c:pt>
                <c:pt idx="1">
                  <c:v>8888</c:v>
                </c:pt>
                <c:pt idx="2">
                  <c:v>8888</c:v>
                </c:pt>
              </c:numCache>
            </c:numRef>
          </c:xVal>
          <c:yVal>
            <c:numRef>
              <c:f>'Data Fuselage'!$AK$173:$AK$175</c:f>
              <c:numCache>
                <c:formatCode>General</c:formatCode>
                <c:ptCount val="3"/>
                <c:pt idx="0">
                  <c:v>8888</c:v>
                </c:pt>
                <c:pt idx="1">
                  <c:v>8888</c:v>
                </c:pt>
                <c:pt idx="2">
                  <c:v>8888</c:v>
                </c:pt>
              </c:numCache>
            </c:numRef>
          </c:yVal>
          <c:smooth val="0"/>
          <c:extLst>
            <c:ext xmlns:c16="http://schemas.microsoft.com/office/drawing/2014/chart" uri="{C3380CC4-5D6E-409C-BE32-E72D297353CC}">
              <c16:uniqueId val="{0000003F-D895-4181-8EED-051A286E6B5A}"/>
            </c:ext>
          </c:extLst>
        </c:ser>
        <c:ser>
          <c:idx val="64"/>
          <c:order val="64"/>
          <c:tx>
            <c:v>Seat_leg_9</c:v>
          </c:tx>
          <c:spPr>
            <a:ln w="12700">
              <a:solidFill>
                <a:srgbClr val="0000FF"/>
              </a:solidFill>
              <a:prstDash val="solid"/>
            </a:ln>
          </c:spPr>
          <c:marker>
            <c:symbol val="none"/>
          </c:marker>
          <c:xVal>
            <c:numRef>
              <c:f>'Data Fuselage'!$AN$173:$AN$175</c:f>
              <c:numCache>
                <c:formatCode>General</c:formatCode>
                <c:ptCount val="3"/>
                <c:pt idx="0">
                  <c:v>8888</c:v>
                </c:pt>
                <c:pt idx="1">
                  <c:v>8888</c:v>
                </c:pt>
                <c:pt idx="2">
                  <c:v>8888</c:v>
                </c:pt>
              </c:numCache>
            </c:numRef>
          </c:xVal>
          <c:yVal>
            <c:numRef>
              <c:f>'Data Fuselage'!$AO$173:$AO$175</c:f>
              <c:numCache>
                <c:formatCode>General</c:formatCode>
                <c:ptCount val="3"/>
                <c:pt idx="0">
                  <c:v>8888</c:v>
                </c:pt>
                <c:pt idx="1">
                  <c:v>8888</c:v>
                </c:pt>
                <c:pt idx="2">
                  <c:v>8888</c:v>
                </c:pt>
              </c:numCache>
            </c:numRef>
          </c:yVal>
          <c:smooth val="0"/>
          <c:extLst>
            <c:ext xmlns:c16="http://schemas.microsoft.com/office/drawing/2014/chart" uri="{C3380CC4-5D6E-409C-BE32-E72D297353CC}">
              <c16:uniqueId val="{00000040-D895-4181-8EED-051A286E6B5A}"/>
            </c:ext>
          </c:extLst>
        </c:ser>
        <c:ser>
          <c:idx val="65"/>
          <c:order val="65"/>
          <c:tx>
            <c:v>Seat_leg_10</c:v>
          </c:tx>
          <c:spPr>
            <a:ln w="12700">
              <a:solidFill>
                <a:srgbClr val="0000FF"/>
              </a:solidFill>
              <a:prstDash val="solid"/>
            </a:ln>
          </c:spPr>
          <c:marker>
            <c:symbol val="none"/>
          </c:marker>
          <c:xVal>
            <c:numRef>
              <c:f>'Data Fuselage'!$AR$173:$AR$175</c:f>
              <c:numCache>
                <c:formatCode>General</c:formatCode>
                <c:ptCount val="3"/>
                <c:pt idx="0">
                  <c:v>8888</c:v>
                </c:pt>
                <c:pt idx="1">
                  <c:v>8888</c:v>
                </c:pt>
                <c:pt idx="2">
                  <c:v>8888</c:v>
                </c:pt>
              </c:numCache>
            </c:numRef>
          </c:xVal>
          <c:yVal>
            <c:numRef>
              <c:f>'Data Fuselage'!$AS$173:$AS$175</c:f>
              <c:numCache>
                <c:formatCode>General</c:formatCode>
                <c:ptCount val="3"/>
                <c:pt idx="0">
                  <c:v>8888</c:v>
                </c:pt>
                <c:pt idx="1">
                  <c:v>8888</c:v>
                </c:pt>
                <c:pt idx="2">
                  <c:v>8888</c:v>
                </c:pt>
              </c:numCache>
            </c:numRef>
          </c:yVal>
          <c:smooth val="0"/>
          <c:extLst>
            <c:ext xmlns:c16="http://schemas.microsoft.com/office/drawing/2014/chart" uri="{C3380CC4-5D6E-409C-BE32-E72D297353CC}">
              <c16:uniqueId val="{00000041-D895-4181-8EED-051A286E6B5A}"/>
            </c:ext>
          </c:extLst>
        </c:ser>
        <c:ser>
          <c:idx val="66"/>
          <c:order val="66"/>
          <c:tx>
            <c:strRef>
              <c:f>'Data Fuselage'!$D$182:$E$182</c:f>
              <c:strCache>
                <c:ptCount val="1"/>
                <c:pt idx="0">
                  <c:v>Transversal tube Right</c:v>
                </c:pt>
              </c:strCache>
            </c:strRef>
          </c:tx>
          <c:spPr>
            <a:ln w="12700">
              <a:solidFill>
                <a:srgbClr val="0000FF"/>
              </a:solidFill>
              <a:prstDash val="solid"/>
            </a:ln>
          </c:spPr>
          <c:marker>
            <c:symbol val="none"/>
          </c:marker>
          <c:xVal>
            <c:numRef>
              <c:f>'Data Fuselage'!$D$184:$D$185</c:f>
              <c:numCache>
                <c:formatCode>General</c:formatCode>
                <c:ptCount val="2"/>
                <c:pt idx="0">
                  <c:v>0.4599999999999998</c:v>
                </c:pt>
                <c:pt idx="1">
                  <c:v>1.1199999999999999</c:v>
                </c:pt>
              </c:numCache>
            </c:numRef>
          </c:xVal>
          <c:yVal>
            <c:numRef>
              <c:f>'Data Fuselage'!$E$184:$E$185</c:f>
              <c:numCache>
                <c:formatCode>0.00</c:formatCode>
                <c:ptCount val="2"/>
                <c:pt idx="0">
                  <c:v>-0.6489856249999999</c:v>
                </c:pt>
                <c:pt idx="1">
                  <c:v>-0.6489856249999999</c:v>
                </c:pt>
              </c:numCache>
            </c:numRef>
          </c:yVal>
          <c:smooth val="0"/>
          <c:extLst>
            <c:ext xmlns:c16="http://schemas.microsoft.com/office/drawing/2014/chart" uri="{C3380CC4-5D6E-409C-BE32-E72D297353CC}">
              <c16:uniqueId val="{00000042-D895-4181-8EED-051A286E6B5A}"/>
            </c:ext>
          </c:extLst>
        </c:ser>
        <c:ser>
          <c:idx val="67"/>
          <c:order val="67"/>
          <c:tx>
            <c:strRef>
              <c:f>'Data Fuselage'!$H$182:$I$182</c:f>
              <c:strCache>
                <c:ptCount val="1"/>
                <c:pt idx="0">
                  <c:v>Transversal tube Middle</c:v>
                </c:pt>
              </c:strCache>
            </c:strRef>
          </c:tx>
          <c:spPr>
            <a:ln w="12700">
              <a:solidFill>
                <a:srgbClr val="0000FF"/>
              </a:solidFill>
              <a:prstDash val="solid"/>
            </a:ln>
          </c:spPr>
          <c:marker>
            <c:symbol val="none"/>
          </c:marker>
          <c:xVal>
            <c:numRef>
              <c:f>'Data Fuselage'!$H$184:$H$185</c:f>
              <c:numCache>
                <c:formatCode>General</c:formatCode>
                <c:ptCount val="2"/>
                <c:pt idx="0">
                  <c:v>8888</c:v>
                </c:pt>
                <c:pt idx="1">
                  <c:v>8888</c:v>
                </c:pt>
              </c:numCache>
            </c:numRef>
          </c:xVal>
          <c:yVal>
            <c:numRef>
              <c:f>'Data Fuselage'!$I$184:$I$185</c:f>
              <c:numCache>
                <c:formatCode>0.00</c:formatCode>
                <c:ptCount val="2"/>
                <c:pt idx="0">
                  <c:v>-0.6489856249999999</c:v>
                </c:pt>
                <c:pt idx="1">
                  <c:v>-0.6489856249999999</c:v>
                </c:pt>
              </c:numCache>
            </c:numRef>
          </c:yVal>
          <c:smooth val="0"/>
          <c:extLst>
            <c:ext xmlns:c16="http://schemas.microsoft.com/office/drawing/2014/chart" uri="{C3380CC4-5D6E-409C-BE32-E72D297353CC}">
              <c16:uniqueId val="{00000043-D895-4181-8EED-051A286E6B5A}"/>
            </c:ext>
          </c:extLst>
        </c:ser>
        <c:ser>
          <c:idx val="68"/>
          <c:order val="68"/>
          <c:tx>
            <c:strRef>
              <c:f>'Data Fuselage'!$L$182:$M$182</c:f>
              <c:strCache>
                <c:ptCount val="1"/>
                <c:pt idx="0">
                  <c:v>Transversal tube Left</c:v>
                </c:pt>
              </c:strCache>
            </c:strRef>
          </c:tx>
          <c:spPr>
            <a:ln w="12700">
              <a:solidFill>
                <a:srgbClr val="0000FF"/>
              </a:solidFill>
              <a:prstDash val="solid"/>
            </a:ln>
          </c:spPr>
          <c:marker>
            <c:symbol val="none"/>
          </c:marker>
          <c:xVal>
            <c:numRef>
              <c:f>'Data Fuselage'!$L$184:$L$185</c:f>
              <c:numCache>
                <c:formatCode>General</c:formatCode>
                <c:ptCount val="2"/>
                <c:pt idx="0">
                  <c:v>-1.1200000000000003</c:v>
                </c:pt>
                <c:pt idx="1">
                  <c:v>-1.1200000000000003</c:v>
                </c:pt>
              </c:numCache>
            </c:numRef>
          </c:xVal>
          <c:yVal>
            <c:numRef>
              <c:f>'Data Fuselage'!$M$184:$M$185</c:f>
              <c:numCache>
                <c:formatCode>0.00</c:formatCode>
                <c:ptCount val="2"/>
                <c:pt idx="0">
                  <c:v>-0.6489856249999999</c:v>
                </c:pt>
                <c:pt idx="1">
                  <c:v>-0.6489856249999999</c:v>
                </c:pt>
              </c:numCache>
            </c:numRef>
          </c:yVal>
          <c:smooth val="0"/>
          <c:extLst>
            <c:ext xmlns:c16="http://schemas.microsoft.com/office/drawing/2014/chart" uri="{C3380CC4-5D6E-409C-BE32-E72D297353CC}">
              <c16:uniqueId val="{00000044-D895-4181-8EED-051A286E6B5A}"/>
            </c:ext>
          </c:extLst>
        </c:ser>
        <c:ser>
          <c:idx val="69"/>
          <c:order val="69"/>
          <c:tx>
            <c:strRef>
              <c:f>'Data Fuselage'!$AV$154:$AW$154</c:f>
              <c:strCache>
                <c:ptCount val="1"/>
                <c:pt idx="0">
                  <c:v>Right SideSeatrail </c:v>
                </c:pt>
              </c:strCache>
            </c:strRef>
          </c:tx>
          <c:spPr>
            <a:ln w="12700">
              <a:solidFill>
                <a:srgbClr val="FF0000"/>
              </a:solidFill>
              <a:prstDash val="solid"/>
            </a:ln>
          </c:spPr>
          <c:marker>
            <c:symbol val="none"/>
          </c:marker>
          <c:xVal>
            <c:numRef>
              <c:f>'Data Fuselage'!$AV$156:$AV$160</c:f>
              <c:numCache>
                <c:formatCode>General</c:formatCode>
                <c:ptCount val="5"/>
                <c:pt idx="0">
                  <c:v>8888</c:v>
                </c:pt>
                <c:pt idx="1">
                  <c:v>8888</c:v>
                </c:pt>
                <c:pt idx="2">
                  <c:v>8888</c:v>
                </c:pt>
                <c:pt idx="3">
                  <c:v>8888</c:v>
                </c:pt>
              </c:numCache>
            </c:numRef>
          </c:xVal>
          <c:yVal>
            <c:numRef>
              <c:f>'Data Fuselage'!$AW$156:$AW$160</c:f>
              <c:numCache>
                <c:formatCode>0.00</c:formatCode>
                <c:ptCount val="5"/>
                <c:pt idx="0">
                  <c:v>8888</c:v>
                </c:pt>
                <c:pt idx="1">
                  <c:v>8888</c:v>
                </c:pt>
                <c:pt idx="2">
                  <c:v>8888</c:v>
                </c:pt>
                <c:pt idx="3">
                  <c:v>8888</c:v>
                </c:pt>
              </c:numCache>
            </c:numRef>
          </c:yVal>
          <c:smooth val="0"/>
          <c:extLst>
            <c:ext xmlns:c16="http://schemas.microsoft.com/office/drawing/2014/chart" uri="{C3380CC4-5D6E-409C-BE32-E72D297353CC}">
              <c16:uniqueId val="{00000045-D895-4181-8EED-051A286E6B5A}"/>
            </c:ext>
          </c:extLst>
        </c:ser>
        <c:ser>
          <c:idx val="70"/>
          <c:order val="70"/>
          <c:tx>
            <c:strRef>
              <c:f>'Data Fuselage'!$AZ$154:$BA$154</c:f>
              <c:strCache>
                <c:ptCount val="1"/>
                <c:pt idx="0">
                  <c:v>Left SideSeatrail </c:v>
                </c:pt>
              </c:strCache>
            </c:strRef>
          </c:tx>
          <c:spPr>
            <a:ln w="12700">
              <a:solidFill>
                <a:srgbClr val="FF0000"/>
              </a:solidFill>
              <a:prstDash val="solid"/>
            </a:ln>
          </c:spPr>
          <c:marker>
            <c:symbol val="none"/>
          </c:marker>
          <c:xVal>
            <c:numRef>
              <c:f>'Data Fuselage'!$AZ$156:$AZ$159</c:f>
              <c:numCache>
                <c:formatCode>General</c:formatCode>
                <c:ptCount val="4"/>
                <c:pt idx="0">
                  <c:v>8888</c:v>
                </c:pt>
                <c:pt idx="1">
                  <c:v>8888</c:v>
                </c:pt>
                <c:pt idx="2">
                  <c:v>8888</c:v>
                </c:pt>
                <c:pt idx="3">
                  <c:v>8888</c:v>
                </c:pt>
              </c:numCache>
            </c:numRef>
          </c:xVal>
          <c:yVal>
            <c:numRef>
              <c:f>'Data Fuselage'!$BA$156:$BA$159</c:f>
              <c:numCache>
                <c:formatCode>0.00</c:formatCode>
                <c:ptCount val="4"/>
                <c:pt idx="0">
                  <c:v>8888</c:v>
                </c:pt>
                <c:pt idx="1">
                  <c:v>8888</c:v>
                </c:pt>
                <c:pt idx="2">
                  <c:v>8888</c:v>
                </c:pt>
                <c:pt idx="3">
                  <c:v>8888</c:v>
                </c:pt>
              </c:numCache>
            </c:numRef>
          </c:yVal>
          <c:smooth val="0"/>
          <c:extLst>
            <c:ext xmlns:c16="http://schemas.microsoft.com/office/drawing/2014/chart" uri="{C3380CC4-5D6E-409C-BE32-E72D297353CC}">
              <c16:uniqueId val="{00000046-D895-4181-8EED-051A286E6B5A}"/>
            </c:ext>
          </c:extLst>
        </c:ser>
        <c:dLbls>
          <c:showLegendKey val="0"/>
          <c:showVal val="0"/>
          <c:showCatName val="0"/>
          <c:showSerName val="0"/>
          <c:showPercent val="0"/>
          <c:showBubbleSize val="0"/>
        </c:dLbls>
        <c:axId val="659867680"/>
        <c:axId val="1"/>
      </c:scatterChart>
      <c:valAx>
        <c:axId val="659867680"/>
        <c:scaling>
          <c:orientation val="maxMin"/>
          <c:max val="2"/>
          <c:min val="-2"/>
        </c:scaling>
        <c:delete val="0"/>
        <c:axPos val="b"/>
        <c:numFmt formatCode="General" sourceLinked="1"/>
        <c:majorTickMark val="out"/>
        <c:minorTickMark val="none"/>
        <c:tickLblPos val="nextTo"/>
        <c:spPr>
          <a:ln w="3175">
            <a:solidFill>
              <a:srgbClr val="000000"/>
            </a:solidFill>
            <a:prstDash val="lgDashDotDot"/>
          </a:ln>
        </c:spPr>
        <c:txPr>
          <a:bodyPr rot="0" vert="horz"/>
          <a:lstStyle/>
          <a:p>
            <a:pPr>
              <a:defRPr sz="825" b="0" i="0" u="none" strike="noStrike" baseline="0">
                <a:solidFill>
                  <a:srgbClr val="000000"/>
                </a:solidFill>
                <a:latin typeface="Arial"/>
                <a:ea typeface="Arial"/>
                <a:cs typeface="Arial"/>
              </a:defRPr>
            </a:pPr>
            <a:endParaRPr lang="zh-TW"/>
          </a:p>
        </c:txPr>
        <c:crossAx val="1"/>
        <c:crosses val="autoZero"/>
        <c:crossBetween val="midCat"/>
      </c:valAx>
      <c:valAx>
        <c:axId val="1"/>
        <c:scaling>
          <c:orientation val="minMax"/>
          <c:max val="2"/>
          <c:min val="-2"/>
        </c:scaling>
        <c:delete val="0"/>
        <c:axPos val="r"/>
        <c:numFmt formatCode="General" sourceLinked="1"/>
        <c:majorTickMark val="out"/>
        <c:minorTickMark val="none"/>
        <c:tickLblPos val="nextTo"/>
        <c:spPr>
          <a:ln w="3175">
            <a:solidFill>
              <a:srgbClr val="000000"/>
            </a:solidFill>
            <a:prstDash val="lgDashDotDot"/>
          </a:ln>
        </c:spPr>
        <c:txPr>
          <a:bodyPr rot="0" vert="horz"/>
          <a:lstStyle/>
          <a:p>
            <a:pPr>
              <a:defRPr sz="825" b="0" i="0" u="none" strike="noStrike" baseline="0">
                <a:solidFill>
                  <a:srgbClr val="000000"/>
                </a:solidFill>
                <a:latin typeface="Arial"/>
                <a:ea typeface="Arial"/>
                <a:cs typeface="Arial"/>
              </a:defRPr>
            </a:pPr>
            <a:endParaRPr lang="zh-TW"/>
          </a:p>
        </c:txPr>
        <c:crossAx val="659867680"/>
        <c:crosses val="autoZero"/>
        <c:crossBetween val="midCat"/>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825" b="0" i="0" u="none" strike="noStrike" baseline="0">
          <a:solidFill>
            <a:srgbClr val="000000"/>
          </a:solidFill>
          <a:latin typeface="Arial"/>
          <a:ea typeface="Arial"/>
          <a:cs typeface="Arial"/>
        </a:defRPr>
      </a:pPr>
      <a:endParaRPr lang="zh-TW"/>
    </a:p>
  </c:txPr>
  <c:printSettings>
    <c:headerFooter alignWithMargins="0"/>
    <c:pageMargins b="1" l="0.75" r="0.75" t="1" header="0.4921259845" footer="0.4921259845"/>
    <c:pageSetup paperSize="9" orientation="landscape" verticalDpi="300"/>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1.9529114227436254E-2"/>
          <c:y val="9.5719822501825536E-2"/>
          <c:w val="0.96618857757736731"/>
          <c:h val="0.84483326780130685"/>
        </c:manualLayout>
      </c:layout>
      <c:scatterChart>
        <c:scatterStyle val="lineMarker"/>
        <c:varyColors val="0"/>
        <c:ser>
          <c:idx val="0"/>
          <c:order val="0"/>
          <c:tx>
            <c:strRef>
              <c:f>'Data Fuselage'!$AB$208</c:f>
              <c:strCache>
                <c:ptCount val="1"/>
                <c:pt idx="0">
                  <c:v>Galley YC</c:v>
                </c:pt>
              </c:strCache>
            </c:strRef>
          </c:tx>
          <c:spPr>
            <a:ln w="12700">
              <a:solidFill>
                <a:srgbClr val="008000"/>
              </a:solidFill>
              <a:prstDash val="solid"/>
            </a:ln>
          </c:spPr>
          <c:marker>
            <c:symbol val="none"/>
          </c:marker>
          <c:xVal>
            <c:numRef>
              <c:f>'Data Fuselage'!$AB$210:$AB$222</c:f>
              <c:numCache>
                <c:formatCode>General</c:formatCode>
                <c:ptCount val="13"/>
                <c:pt idx="0">
                  <c:v>-1</c:v>
                </c:pt>
                <c:pt idx="1">
                  <c:v>-9.9999999999999978E-2</c:v>
                </c:pt>
                <c:pt idx="2">
                  <c:v>-9.9999999999999978E-2</c:v>
                </c:pt>
                <c:pt idx="3">
                  <c:v>-1</c:v>
                </c:pt>
                <c:pt idx="4">
                  <c:v>-1</c:v>
                </c:pt>
                <c:pt idx="5">
                  <c:v>-1</c:v>
                </c:pt>
                <c:pt idx="6">
                  <c:v>-1</c:v>
                </c:pt>
                <c:pt idx="7">
                  <c:v>-1</c:v>
                </c:pt>
                <c:pt idx="8">
                  <c:v>-1</c:v>
                </c:pt>
                <c:pt idx="9">
                  <c:v>-1</c:v>
                </c:pt>
                <c:pt idx="10">
                  <c:v>-1</c:v>
                </c:pt>
                <c:pt idx="11">
                  <c:v>-1</c:v>
                </c:pt>
                <c:pt idx="12">
                  <c:v>-1</c:v>
                </c:pt>
              </c:numCache>
            </c:numRef>
          </c:xVal>
          <c:yVal>
            <c:numRef>
              <c:f>'Data Fuselage'!$AC$210:$AC$222</c:f>
              <c:numCache>
                <c:formatCode>General</c:formatCode>
                <c:ptCount val="13"/>
                <c:pt idx="0">
                  <c:v>1.3399999999999999</c:v>
                </c:pt>
                <c:pt idx="1">
                  <c:v>1.3399999999999999</c:v>
                </c:pt>
                <c:pt idx="2">
                  <c:v>0.23999999999999977</c:v>
                </c:pt>
                <c:pt idx="3">
                  <c:v>0.23999999999999977</c:v>
                </c:pt>
                <c:pt idx="4">
                  <c:v>1.3399999999999999</c:v>
                </c:pt>
                <c:pt idx="5">
                  <c:v>1.3399999999999999</c:v>
                </c:pt>
                <c:pt idx="6">
                  <c:v>1.3399999999999999</c:v>
                </c:pt>
                <c:pt idx="7">
                  <c:v>1.3399999999999999</c:v>
                </c:pt>
                <c:pt idx="8">
                  <c:v>1.3399999999999999</c:v>
                </c:pt>
                <c:pt idx="9">
                  <c:v>1.3399999999999999</c:v>
                </c:pt>
                <c:pt idx="10">
                  <c:v>1.3399999999999999</c:v>
                </c:pt>
                <c:pt idx="11">
                  <c:v>1.3399999999999999</c:v>
                </c:pt>
                <c:pt idx="12">
                  <c:v>1.3399999999999999</c:v>
                </c:pt>
              </c:numCache>
            </c:numRef>
          </c:yVal>
          <c:smooth val="0"/>
          <c:extLst>
            <c:ext xmlns:c16="http://schemas.microsoft.com/office/drawing/2014/chart" uri="{C3380CC4-5D6E-409C-BE32-E72D297353CC}">
              <c16:uniqueId val="{00000000-819C-4C0B-B4D9-7F526BD4C7F7}"/>
            </c:ext>
          </c:extLst>
        </c:ser>
        <c:ser>
          <c:idx val="1"/>
          <c:order val="1"/>
          <c:tx>
            <c:strRef>
              <c:f>'Data Fuselage'!$AF$208</c:f>
              <c:strCache>
                <c:ptCount val="1"/>
                <c:pt idx="0">
                  <c:v>Nothing</c:v>
                </c:pt>
              </c:strCache>
            </c:strRef>
          </c:tx>
          <c:spPr>
            <a:ln w="12700">
              <a:solidFill>
                <a:srgbClr val="0000FF"/>
              </a:solidFill>
              <a:prstDash val="solid"/>
            </a:ln>
          </c:spPr>
          <c:marker>
            <c:symbol val="none"/>
          </c:marker>
          <c:xVal>
            <c:numRef>
              <c:f>'Data Fuselage'!$AF$210:$AF$234</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xVal>
          <c:yVal>
            <c:numRef>
              <c:f>'Data Fuselage'!$AG$210:$AG$234</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yVal>
          <c:smooth val="0"/>
          <c:extLst>
            <c:ext xmlns:c16="http://schemas.microsoft.com/office/drawing/2014/chart" uri="{C3380CC4-5D6E-409C-BE32-E72D297353CC}">
              <c16:uniqueId val="{00000001-819C-4C0B-B4D9-7F526BD4C7F7}"/>
            </c:ext>
          </c:extLst>
        </c:ser>
        <c:ser>
          <c:idx val="2"/>
          <c:order val="2"/>
          <c:tx>
            <c:strRef>
              <c:f>'Data Fuselage'!$AJ$208</c:f>
              <c:strCache>
                <c:ptCount val="1"/>
                <c:pt idx="0">
                  <c:v>Lavatory</c:v>
                </c:pt>
              </c:strCache>
            </c:strRef>
          </c:tx>
          <c:spPr>
            <a:ln w="25400">
              <a:solidFill>
                <a:srgbClr val="FFFFCC"/>
              </a:solidFill>
              <a:prstDash val="solid"/>
            </a:ln>
          </c:spPr>
          <c:marker>
            <c:symbol val="none"/>
          </c:marker>
          <c:xVal>
            <c:numRef>
              <c:f>'Data Fuselage'!$AJ$210:$AJ$222</c:f>
              <c:numCache>
                <c:formatCode>General</c:formatCode>
                <c:ptCount val="13"/>
                <c:pt idx="0">
                  <c:v>-1</c:v>
                </c:pt>
                <c:pt idx="1">
                  <c:v>0</c:v>
                </c:pt>
                <c:pt idx="2">
                  <c:v>0</c:v>
                </c:pt>
                <c:pt idx="3">
                  <c:v>-1</c:v>
                </c:pt>
                <c:pt idx="4">
                  <c:v>-1</c:v>
                </c:pt>
                <c:pt idx="5">
                  <c:v>-1</c:v>
                </c:pt>
                <c:pt idx="6">
                  <c:v>-1</c:v>
                </c:pt>
                <c:pt idx="7">
                  <c:v>-1</c:v>
                </c:pt>
                <c:pt idx="8">
                  <c:v>-1</c:v>
                </c:pt>
                <c:pt idx="9">
                  <c:v>-1</c:v>
                </c:pt>
                <c:pt idx="10">
                  <c:v>-1</c:v>
                </c:pt>
                <c:pt idx="11">
                  <c:v>-1</c:v>
                </c:pt>
                <c:pt idx="12">
                  <c:v>-1</c:v>
                </c:pt>
              </c:numCache>
            </c:numRef>
          </c:xVal>
          <c:yVal>
            <c:numRef>
              <c:f>'Data Fuselage'!$AK$210:$AK$222</c:f>
              <c:numCache>
                <c:formatCode>General</c:formatCode>
                <c:ptCount val="13"/>
                <c:pt idx="0">
                  <c:v>-1.3899999999999997</c:v>
                </c:pt>
                <c:pt idx="1">
                  <c:v>-1.3899999999999997</c:v>
                </c:pt>
                <c:pt idx="2">
                  <c:v>-0.18999999999999972</c:v>
                </c:pt>
                <c:pt idx="3">
                  <c:v>-0.18999999999999972</c:v>
                </c:pt>
                <c:pt idx="4">
                  <c:v>-1.3899999999999997</c:v>
                </c:pt>
                <c:pt idx="5">
                  <c:v>-1.3899999999999997</c:v>
                </c:pt>
                <c:pt idx="6">
                  <c:v>-1.3899999999999997</c:v>
                </c:pt>
                <c:pt idx="7">
                  <c:v>-1.3899999999999997</c:v>
                </c:pt>
                <c:pt idx="8">
                  <c:v>-1.3899999999999997</c:v>
                </c:pt>
                <c:pt idx="9">
                  <c:v>-1.3899999999999997</c:v>
                </c:pt>
                <c:pt idx="10">
                  <c:v>-1.3899999999999997</c:v>
                </c:pt>
                <c:pt idx="11">
                  <c:v>-1.3899999999999997</c:v>
                </c:pt>
                <c:pt idx="12">
                  <c:v>-1.3899999999999997</c:v>
                </c:pt>
              </c:numCache>
            </c:numRef>
          </c:yVal>
          <c:smooth val="0"/>
          <c:extLst>
            <c:ext xmlns:c16="http://schemas.microsoft.com/office/drawing/2014/chart" uri="{C3380CC4-5D6E-409C-BE32-E72D297353CC}">
              <c16:uniqueId val="{00000002-819C-4C0B-B4D9-7F526BD4C7F7}"/>
            </c:ext>
          </c:extLst>
        </c:ser>
        <c:ser>
          <c:idx val="3"/>
          <c:order val="3"/>
          <c:tx>
            <c:strRef>
              <c:f>'Data Fuselage'!$AB$244</c:f>
              <c:strCache>
                <c:ptCount val="1"/>
                <c:pt idx="0">
                  <c:v>FC</c:v>
                </c:pt>
              </c:strCache>
            </c:strRef>
          </c:tx>
          <c:spPr>
            <a:ln w="38100">
              <a:solidFill>
                <a:srgbClr val="339966"/>
              </a:solidFill>
              <a:prstDash val="solid"/>
            </a:ln>
          </c:spPr>
          <c:marker>
            <c:symbol val="none"/>
          </c:marker>
          <c:xVal>
            <c:numRef>
              <c:f>'Data Fuselage'!$AB$246:$AB$258</c:f>
              <c:numCache>
                <c:formatCode>General</c:formatCode>
                <c:ptCount val="13"/>
                <c:pt idx="0">
                  <c:v>-2.762</c:v>
                </c:pt>
                <c:pt idx="1">
                  <c:v>-2.302</c:v>
                </c:pt>
                <c:pt idx="2">
                  <c:v>-2.302</c:v>
                </c:pt>
                <c:pt idx="3">
                  <c:v>-2.762</c:v>
                </c:pt>
                <c:pt idx="4">
                  <c:v>-2.762</c:v>
                </c:pt>
                <c:pt idx="5">
                  <c:v>-2.302</c:v>
                </c:pt>
                <c:pt idx="6">
                  <c:v>-2.302</c:v>
                </c:pt>
                <c:pt idx="7">
                  <c:v>-2.762</c:v>
                </c:pt>
                <c:pt idx="8">
                  <c:v>-2.762</c:v>
                </c:pt>
                <c:pt idx="9">
                  <c:v>-2.762</c:v>
                </c:pt>
                <c:pt idx="10">
                  <c:v>-2.762</c:v>
                </c:pt>
                <c:pt idx="11">
                  <c:v>-2.762</c:v>
                </c:pt>
                <c:pt idx="12">
                  <c:v>-2.762</c:v>
                </c:pt>
              </c:numCache>
            </c:numRef>
          </c:xVal>
          <c:yVal>
            <c:numRef>
              <c:f>'Data Fuselage'!$AC$246:$AC$258</c:f>
              <c:numCache>
                <c:formatCode>General</c:formatCode>
                <c:ptCount val="13"/>
                <c:pt idx="0">
                  <c:v>1.3099999999999998</c:v>
                </c:pt>
                <c:pt idx="1">
                  <c:v>1.3099999999999998</c:v>
                </c:pt>
                <c:pt idx="2">
                  <c:v>0.65999999999999981</c:v>
                </c:pt>
                <c:pt idx="3">
                  <c:v>0.65999999999999981</c:v>
                </c:pt>
                <c:pt idx="4">
                  <c:v>0.58999999999999986</c:v>
                </c:pt>
                <c:pt idx="5">
                  <c:v>0.58999999999999986</c:v>
                </c:pt>
                <c:pt idx="6">
                  <c:v>-6.0000000000000164E-2</c:v>
                </c:pt>
                <c:pt idx="7">
                  <c:v>-6.0000000000000164E-2</c:v>
                </c:pt>
                <c:pt idx="8">
                  <c:v>-6.0000000000000164E-2</c:v>
                </c:pt>
                <c:pt idx="9">
                  <c:v>-6.0000000000000164E-2</c:v>
                </c:pt>
                <c:pt idx="10">
                  <c:v>-6.0000000000000164E-2</c:v>
                </c:pt>
                <c:pt idx="11">
                  <c:v>-6.0000000000000164E-2</c:v>
                </c:pt>
                <c:pt idx="12">
                  <c:v>1.3099999999999998</c:v>
                </c:pt>
              </c:numCache>
            </c:numRef>
          </c:yVal>
          <c:smooth val="0"/>
          <c:extLst>
            <c:ext xmlns:c16="http://schemas.microsoft.com/office/drawing/2014/chart" uri="{C3380CC4-5D6E-409C-BE32-E72D297353CC}">
              <c16:uniqueId val="{00000003-819C-4C0B-B4D9-7F526BD4C7F7}"/>
            </c:ext>
          </c:extLst>
        </c:ser>
        <c:ser>
          <c:idx val="5"/>
          <c:order val="4"/>
          <c:tx>
            <c:strRef>
              <c:f>'Data Fuselage'!$AJ$244</c:f>
              <c:strCache>
                <c:ptCount val="1"/>
                <c:pt idx="0">
                  <c:v>FC</c:v>
                </c:pt>
              </c:strCache>
            </c:strRef>
          </c:tx>
          <c:spPr>
            <a:ln w="38100">
              <a:solidFill>
                <a:srgbClr val="339966"/>
              </a:solidFill>
              <a:prstDash val="solid"/>
            </a:ln>
          </c:spPr>
          <c:marker>
            <c:symbol val="none"/>
          </c:marker>
          <c:xVal>
            <c:numRef>
              <c:f>'Data Fuselage'!$AJ$246:$AJ$258</c:f>
              <c:numCache>
                <c:formatCode>General</c:formatCode>
                <c:ptCount val="13"/>
                <c:pt idx="0">
                  <c:v>-2.762</c:v>
                </c:pt>
                <c:pt idx="1">
                  <c:v>-2.302</c:v>
                </c:pt>
                <c:pt idx="2">
                  <c:v>-2.302</c:v>
                </c:pt>
                <c:pt idx="3">
                  <c:v>-2.762</c:v>
                </c:pt>
                <c:pt idx="4">
                  <c:v>-2.762</c:v>
                </c:pt>
                <c:pt idx="5">
                  <c:v>-2.762</c:v>
                </c:pt>
                <c:pt idx="6">
                  <c:v>-2.762</c:v>
                </c:pt>
                <c:pt idx="7">
                  <c:v>-2.762</c:v>
                </c:pt>
                <c:pt idx="8">
                  <c:v>-2.762</c:v>
                </c:pt>
                <c:pt idx="9">
                  <c:v>-2.762</c:v>
                </c:pt>
                <c:pt idx="10">
                  <c:v>-2.762</c:v>
                </c:pt>
                <c:pt idx="11">
                  <c:v>-2.762</c:v>
                </c:pt>
                <c:pt idx="12">
                  <c:v>-2.762</c:v>
                </c:pt>
              </c:numCache>
            </c:numRef>
          </c:xVal>
          <c:yVal>
            <c:numRef>
              <c:f>'Data Fuselage'!$AK$246:$AK$258</c:f>
              <c:numCache>
                <c:formatCode>General</c:formatCode>
                <c:ptCount val="13"/>
                <c:pt idx="0">
                  <c:v>-0.65999999999999981</c:v>
                </c:pt>
                <c:pt idx="1">
                  <c:v>-0.65999999999999981</c:v>
                </c:pt>
                <c:pt idx="2">
                  <c:v>-1.3099999999999998</c:v>
                </c:pt>
                <c:pt idx="3">
                  <c:v>-1.3099999999999998</c:v>
                </c:pt>
                <c:pt idx="4">
                  <c:v>-1.3099999999999998</c:v>
                </c:pt>
                <c:pt idx="5">
                  <c:v>-1.3099999999999998</c:v>
                </c:pt>
                <c:pt idx="6">
                  <c:v>-1.3099999999999998</c:v>
                </c:pt>
                <c:pt idx="7">
                  <c:v>-1.3099999999999998</c:v>
                </c:pt>
                <c:pt idx="8">
                  <c:v>-1.3099999999999998</c:v>
                </c:pt>
                <c:pt idx="9">
                  <c:v>-1.3099999999999998</c:v>
                </c:pt>
                <c:pt idx="10">
                  <c:v>-1.3099999999999998</c:v>
                </c:pt>
                <c:pt idx="11">
                  <c:v>-1.3099999999999998</c:v>
                </c:pt>
                <c:pt idx="12">
                  <c:v>-0.65999999999999981</c:v>
                </c:pt>
              </c:numCache>
            </c:numRef>
          </c:yVal>
          <c:smooth val="0"/>
          <c:extLst>
            <c:ext xmlns:c16="http://schemas.microsoft.com/office/drawing/2014/chart" uri="{C3380CC4-5D6E-409C-BE32-E72D297353CC}">
              <c16:uniqueId val="{00000004-819C-4C0B-B4D9-7F526BD4C7F7}"/>
            </c:ext>
          </c:extLst>
        </c:ser>
        <c:ser>
          <c:idx val="6"/>
          <c:order val="5"/>
          <c:tx>
            <c:strRef>
              <c:f>'Data Fuselage'!$AB$280</c:f>
              <c:strCache>
                <c:ptCount val="1"/>
                <c:pt idx="0">
                  <c:v>FC</c:v>
                </c:pt>
              </c:strCache>
            </c:strRef>
          </c:tx>
          <c:spPr>
            <a:ln w="38100">
              <a:solidFill>
                <a:srgbClr val="339966"/>
              </a:solidFill>
              <a:prstDash val="solid"/>
            </a:ln>
          </c:spPr>
          <c:marker>
            <c:symbol val="none"/>
          </c:marker>
          <c:xVal>
            <c:numRef>
              <c:f>'Data Fuselage'!$AB$282:$AB$294</c:f>
              <c:numCache>
                <c:formatCode>General</c:formatCode>
                <c:ptCount val="13"/>
                <c:pt idx="0">
                  <c:v>-3.762</c:v>
                </c:pt>
                <c:pt idx="1">
                  <c:v>-3.302</c:v>
                </c:pt>
                <c:pt idx="2">
                  <c:v>-3.302</c:v>
                </c:pt>
                <c:pt idx="3">
                  <c:v>-3.762</c:v>
                </c:pt>
                <c:pt idx="4">
                  <c:v>-3.762</c:v>
                </c:pt>
                <c:pt idx="5">
                  <c:v>-3.302</c:v>
                </c:pt>
                <c:pt idx="6">
                  <c:v>-3.302</c:v>
                </c:pt>
                <c:pt idx="7">
                  <c:v>-3.762</c:v>
                </c:pt>
                <c:pt idx="8">
                  <c:v>-3.762</c:v>
                </c:pt>
                <c:pt idx="9">
                  <c:v>-3.762</c:v>
                </c:pt>
                <c:pt idx="10">
                  <c:v>-3.762</c:v>
                </c:pt>
                <c:pt idx="11">
                  <c:v>-3.762</c:v>
                </c:pt>
                <c:pt idx="12">
                  <c:v>-3.762</c:v>
                </c:pt>
              </c:numCache>
            </c:numRef>
          </c:xVal>
          <c:yVal>
            <c:numRef>
              <c:f>'Data Fuselage'!$AC$282:$AC$294</c:f>
              <c:numCache>
                <c:formatCode>General</c:formatCode>
                <c:ptCount val="13"/>
                <c:pt idx="0">
                  <c:v>1.3099999999999998</c:v>
                </c:pt>
                <c:pt idx="1">
                  <c:v>1.3099999999999998</c:v>
                </c:pt>
                <c:pt idx="2">
                  <c:v>0.65999999999999981</c:v>
                </c:pt>
                <c:pt idx="3">
                  <c:v>0.65999999999999981</c:v>
                </c:pt>
                <c:pt idx="4">
                  <c:v>0.58999999999999986</c:v>
                </c:pt>
                <c:pt idx="5">
                  <c:v>0.58999999999999986</c:v>
                </c:pt>
                <c:pt idx="6">
                  <c:v>-6.0000000000000164E-2</c:v>
                </c:pt>
                <c:pt idx="7">
                  <c:v>-6.0000000000000164E-2</c:v>
                </c:pt>
                <c:pt idx="8">
                  <c:v>-6.0000000000000164E-2</c:v>
                </c:pt>
                <c:pt idx="9">
                  <c:v>-6.0000000000000164E-2</c:v>
                </c:pt>
                <c:pt idx="10">
                  <c:v>-6.0000000000000164E-2</c:v>
                </c:pt>
                <c:pt idx="11">
                  <c:v>-6.0000000000000164E-2</c:v>
                </c:pt>
                <c:pt idx="12">
                  <c:v>1.3099999999999998</c:v>
                </c:pt>
              </c:numCache>
            </c:numRef>
          </c:yVal>
          <c:smooth val="0"/>
          <c:extLst>
            <c:ext xmlns:c16="http://schemas.microsoft.com/office/drawing/2014/chart" uri="{C3380CC4-5D6E-409C-BE32-E72D297353CC}">
              <c16:uniqueId val="{00000005-819C-4C0B-B4D9-7F526BD4C7F7}"/>
            </c:ext>
          </c:extLst>
        </c:ser>
        <c:ser>
          <c:idx val="7"/>
          <c:order val="6"/>
          <c:tx>
            <c:strRef>
              <c:f>'Data Fuselage'!$AF$280</c:f>
              <c:strCache>
                <c:ptCount val="1"/>
                <c:pt idx="0">
                  <c:v>FC</c:v>
                </c:pt>
              </c:strCache>
            </c:strRef>
          </c:tx>
          <c:spPr>
            <a:ln w="38100">
              <a:solidFill>
                <a:srgbClr val="339966"/>
              </a:solidFill>
              <a:prstDash val="solid"/>
            </a:ln>
          </c:spPr>
          <c:marker>
            <c:symbol val="none"/>
          </c:marker>
          <c:xVal>
            <c:numRef>
              <c:f>'Data Fuselage'!$AF$282:$AF$306</c:f>
              <c:numCache>
                <c:formatCode>General</c:formatCode>
                <c:ptCount val="25"/>
                <c:pt idx="0">
                  <c:v>8888</c:v>
                </c:pt>
                <c:pt idx="1">
                  <c:v>8888.4599999999991</c:v>
                </c:pt>
                <c:pt idx="2">
                  <c:v>8888.4599999999991</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xVal>
          <c:yVal>
            <c:numRef>
              <c:f>'Data Fuselage'!$AG$282:$AG$306</c:f>
              <c:numCache>
                <c:formatCode>General</c:formatCode>
                <c:ptCount val="25"/>
                <c:pt idx="0">
                  <c:v>8888</c:v>
                </c:pt>
                <c:pt idx="1">
                  <c:v>8888</c:v>
                </c:pt>
                <c:pt idx="2">
                  <c:v>8887.35</c:v>
                </c:pt>
                <c:pt idx="3">
                  <c:v>8887.35</c:v>
                </c:pt>
                <c:pt idx="4">
                  <c:v>8887.35</c:v>
                </c:pt>
                <c:pt idx="5">
                  <c:v>8887.35</c:v>
                </c:pt>
                <c:pt idx="6">
                  <c:v>8887.35</c:v>
                </c:pt>
                <c:pt idx="7">
                  <c:v>8887.35</c:v>
                </c:pt>
                <c:pt idx="8">
                  <c:v>8887.35</c:v>
                </c:pt>
                <c:pt idx="9">
                  <c:v>8887.35</c:v>
                </c:pt>
                <c:pt idx="10">
                  <c:v>8887.35</c:v>
                </c:pt>
                <c:pt idx="11">
                  <c:v>8887.35</c:v>
                </c:pt>
                <c:pt idx="12">
                  <c:v>8887.35</c:v>
                </c:pt>
                <c:pt idx="13">
                  <c:v>8887.35</c:v>
                </c:pt>
                <c:pt idx="14">
                  <c:v>8887.35</c:v>
                </c:pt>
                <c:pt idx="15">
                  <c:v>8887.35</c:v>
                </c:pt>
                <c:pt idx="16">
                  <c:v>8887.35</c:v>
                </c:pt>
                <c:pt idx="17">
                  <c:v>8887.35</c:v>
                </c:pt>
                <c:pt idx="18">
                  <c:v>8887.35</c:v>
                </c:pt>
                <c:pt idx="19">
                  <c:v>8887.35</c:v>
                </c:pt>
                <c:pt idx="20">
                  <c:v>8887.35</c:v>
                </c:pt>
                <c:pt idx="21">
                  <c:v>8887.35</c:v>
                </c:pt>
                <c:pt idx="22">
                  <c:v>8887.35</c:v>
                </c:pt>
                <c:pt idx="23">
                  <c:v>8887.35</c:v>
                </c:pt>
                <c:pt idx="24">
                  <c:v>8888</c:v>
                </c:pt>
              </c:numCache>
            </c:numRef>
          </c:yVal>
          <c:smooth val="0"/>
          <c:extLst>
            <c:ext xmlns:c16="http://schemas.microsoft.com/office/drawing/2014/chart" uri="{C3380CC4-5D6E-409C-BE32-E72D297353CC}">
              <c16:uniqueId val="{00000006-819C-4C0B-B4D9-7F526BD4C7F7}"/>
            </c:ext>
          </c:extLst>
        </c:ser>
        <c:ser>
          <c:idx val="8"/>
          <c:order val="7"/>
          <c:tx>
            <c:strRef>
              <c:f>'Data Fuselage'!$AJ$280</c:f>
              <c:strCache>
                <c:ptCount val="1"/>
                <c:pt idx="0">
                  <c:v>FC</c:v>
                </c:pt>
              </c:strCache>
            </c:strRef>
          </c:tx>
          <c:spPr>
            <a:ln w="38100">
              <a:solidFill>
                <a:srgbClr val="339966"/>
              </a:solidFill>
              <a:prstDash val="solid"/>
            </a:ln>
          </c:spPr>
          <c:marker>
            <c:symbol val="none"/>
          </c:marker>
          <c:xVal>
            <c:numRef>
              <c:f>'Data Fuselage'!$AJ$282:$AJ$294</c:f>
              <c:numCache>
                <c:formatCode>General</c:formatCode>
                <c:ptCount val="13"/>
                <c:pt idx="0">
                  <c:v>-3.762</c:v>
                </c:pt>
                <c:pt idx="1">
                  <c:v>-3.302</c:v>
                </c:pt>
                <c:pt idx="2">
                  <c:v>-3.302</c:v>
                </c:pt>
                <c:pt idx="3">
                  <c:v>-3.762</c:v>
                </c:pt>
                <c:pt idx="4">
                  <c:v>-3.762</c:v>
                </c:pt>
                <c:pt idx="5">
                  <c:v>-3.762</c:v>
                </c:pt>
                <c:pt idx="6">
                  <c:v>-3.762</c:v>
                </c:pt>
                <c:pt idx="7">
                  <c:v>-3.762</c:v>
                </c:pt>
                <c:pt idx="8">
                  <c:v>-3.762</c:v>
                </c:pt>
                <c:pt idx="9">
                  <c:v>-3.762</c:v>
                </c:pt>
                <c:pt idx="10">
                  <c:v>-3.762</c:v>
                </c:pt>
                <c:pt idx="11">
                  <c:v>-3.762</c:v>
                </c:pt>
                <c:pt idx="12">
                  <c:v>-3.762</c:v>
                </c:pt>
              </c:numCache>
            </c:numRef>
          </c:xVal>
          <c:yVal>
            <c:numRef>
              <c:f>'Data Fuselage'!$AK$282:$AK$294</c:f>
              <c:numCache>
                <c:formatCode>General</c:formatCode>
                <c:ptCount val="13"/>
                <c:pt idx="0">
                  <c:v>-0.65999999999999981</c:v>
                </c:pt>
                <c:pt idx="1">
                  <c:v>-0.65999999999999981</c:v>
                </c:pt>
                <c:pt idx="2">
                  <c:v>-1.3099999999999998</c:v>
                </c:pt>
                <c:pt idx="3">
                  <c:v>-1.3099999999999998</c:v>
                </c:pt>
                <c:pt idx="4">
                  <c:v>-1.3099999999999998</c:v>
                </c:pt>
                <c:pt idx="5">
                  <c:v>-1.3099999999999998</c:v>
                </c:pt>
                <c:pt idx="6">
                  <c:v>-1.3099999999999998</c:v>
                </c:pt>
                <c:pt idx="7">
                  <c:v>-1.3099999999999998</c:v>
                </c:pt>
                <c:pt idx="8">
                  <c:v>-1.3099999999999998</c:v>
                </c:pt>
                <c:pt idx="9">
                  <c:v>-1.3099999999999998</c:v>
                </c:pt>
                <c:pt idx="10">
                  <c:v>-1.3099999999999998</c:v>
                </c:pt>
                <c:pt idx="11">
                  <c:v>-1.3099999999999998</c:v>
                </c:pt>
                <c:pt idx="12">
                  <c:v>-0.65999999999999981</c:v>
                </c:pt>
              </c:numCache>
            </c:numRef>
          </c:yVal>
          <c:smooth val="0"/>
          <c:extLst>
            <c:ext xmlns:c16="http://schemas.microsoft.com/office/drawing/2014/chart" uri="{C3380CC4-5D6E-409C-BE32-E72D297353CC}">
              <c16:uniqueId val="{00000007-819C-4C0B-B4D9-7F526BD4C7F7}"/>
            </c:ext>
          </c:extLst>
        </c:ser>
        <c:ser>
          <c:idx val="9"/>
          <c:order val="8"/>
          <c:tx>
            <c:strRef>
              <c:f>'Data Fuselage'!$AB$316</c:f>
              <c:strCache>
                <c:ptCount val="1"/>
                <c:pt idx="0">
                  <c:v>YC</c:v>
                </c:pt>
              </c:strCache>
            </c:strRef>
          </c:tx>
          <c:spPr>
            <a:ln w="12700">
              <a:solidFill>
                <a:srgbClr val="0000FF"/>
              </a:solidFill>
              <a:prstDash val="solid"/>
            </a:ln>
          </c:spPr>
          <c:marker>
            <c:symbol val="none"/>
          </c:marker>
          <c:xVal>
            <c:numRef>
              <c:f>'Data Fuselage'!$AB$318:$AB$330</c:f>
              <c:numCache>
                <c:formatCode>General</c:formatCode>
                <c:ptCount val="13"/>
                <c:pt idx="0">
                  <c:v>-4.5620000000000003</c:v>
                </c:pt>
                <c:pt idx="1">
                  <c:v>-4.1320000000000006</c:v>
                </c:pt>
                <c:pt idx="2">
                  <c:v>-4.1320000000000006</c:v>
                </c:pt>
                <c:pt idx="3">
                  <c:v>-4.5620000000000003</c:v>
                </c:pt>
                <c:pt idx="4">
                  <c:v>-4.5620000000000003</c:v>
                </c:pt>
                <c:pt idx="5">
                  <c:v>-4.1320000000000006</c:v>
                </c:pt>
                <c:pt idx="6">
                  <c:v>-4.1320000000000006</c:v>
                </c:pt>
                <c:pt idx="7">
                  <c:v>-4.5620000000000003</c:v>
                </c:pt>
                <c:pt idx="8">
                  <c:v>-4.5620000000000003</c:v>
                </c:pt>
                <c:pt idx="9">
                  <c:v>-4.5620000000000003</c:v>
                </c:pt>
                <c:pt idx="10">
                  <c:v>-4.5620000000000003</c:v>
                </c:pt>
                <c:pt idx="11">
                  <c:v>-4.5620000000000003</c:v>
                </c:pt>
                <c:pt idx="12">
                  <c:v>-4.5620000000000003</c:v>
                </c:pt>
              </c:numCache>
            </c:numRef>
          </c:xVal>
          <c:yVal>
            <c:numRef>
              <c:f>'Data Fuselage'!$AC$318:$AC$330</c:f>
              <c:numCache>
                <c:formatCode>General</c:formatCode>
                <c:ptCount val="13"/>
                <c:pt idx="0">
                  <c:v>1.3199999999999998</c:v>
                </c:pt>
                <c:pt idx="1">
                  <c:v>1.3199999999999998</c:v>
                </c:pt>
                <c:pt idx="2">
                  <c:v>0.81999999999999984</c:v>
                </c:pt>
                <c:pt idx="3">
                  <c:v>0.81999999999999984</c:v>
                </c:pt>
                <c:pt idx="4">
                  <c:v>0.75999999999999979</c:v>
                </c:pt>
                <c:pt idx="5">
                  <c:v>0.75999999999999979</c:v>
                </c:pt>
                <c:pt idx="6">
                  <c:v>0.25999999999999979</c:v>
                </c:pt>
                <c:pt idx="7">
                  <c:v>0.25999999999999979</c:v>
                </c:pt>
                <c:pt idx="8">
                  <c:v>0.25999999999999979</c:v>
                </c:pt>
                <c:pt idx="9">
                  <c:v>0.25999999999999979</c:v>
                </c:pt>
                <c:pt idx="10">
                  <c:v>0.25999999999999979</c:v>
                </c:pt>
                <c:pt idx="11">
                  <c:v>0.25999999999999979</c:v>
                </c:pt>
                <c:pt idx="12">
                  <c:v>1.3199999999999998</c:v>
                </c:pt>
              </c:numCache>
            </c:numRef>
          </c:yVal>
          <c:smooth val="0"/>
          <c:extLst>
            <c:ext xmlns:c16="http://schemas.microsoft.com/office/drawing/2014/chart" uri="{C3380CC4-5D6E-409C-BE32-E72D297353CC}">
              <c16:uniqueId val="{00000008-819C-4C0B-B4D9-7F526BD4C7F7}"/>
            </c:ext>
          </c:extLst>
        </c:ser>
        <c:ser>
          <c:idx val="10"/>
          <c:order val="9"/>
          <c:tx>
            <c:strRef>
              <c:f>'Data Fuselage'!$AF$316</c:f>
              <c:strCache>
                <c:ptCount val="1"/>
                <c:pt idx="0">
                  <c:v>YC</c:v>
                </c:pt>
              </c:strCache>
            </c:strRef>
          </c:tx>
          <c:spPr>
            <a:ln w="12700">
              <a:solidFill>
                <a:srgbClr val="0000FF"/>
              </a:solidFill>
              <a:prstDash val="solid"/>
            </a:ln>
          </c:spPr>
          <c:marker>
            <c:symbol val="none"/>
          </c:marker>
          <c:xVal>
            <c:numRef>
              <c:f>'Data Fuselage'!$AF$318:$AF$342</c:f>
              <c:numCache>
                <c:formatCode>General</c:formatCode>
                <c:ptCount val="25"/>
                <c:pt idx="0">
                  <c:v>8888</c:v>
                </c:pt>
                <c:pt idx="1">
                  <c:v>8888.43</c:v>
                </c:pt>
                <c:pt idx="2">
                  <c:v>8888.43</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xVal>
          <c:yVal>
            <c:numRef>
              <c:f>'Data Fuselage'!$AG$318:$AG$342</c:f>
              <c:numCache>
                <c:formatCode>General</c:formatCode>
                <c:ptCount val="25"/>
                <c:pt idx="0">
                  <c:v>8888</c:v>
                </c:pt>
                <c:pt idx="1">
                  <c:v>8888</c:v>
                </c:pt>
                <c:pt idx="2">
                  <c:v>8887.5</c:v>
                </c:pt>
                <c:pt idx="3">
                  <c:v>8887.5</c:v>
                </c:pt>
                <c:pt idx="4">
                  <c:v>8887.5</c:v>
                </c:pt>
                <c:pt idx="5">
                  <c:v>8887.5</c:v>
                </c:pt>
                <c:pt idx="6">
                  <c:v>8887.5</c:v>
                </c:pt>
                <c:pt idx="7">
                  <c:v>8887.5</c:v>
                </c:pt>
                <c:pt idx="8">
                  <c:v>8887.5</c:v>
                </c:pt>
                <c:pt idx="9">
                  <c:v>8887.5</c:v>
                </c:pt>
                <c:pt idx="10">
                  <c:v>8887.5</c:v>
                </c:pt>
                <c:pt idx="11">
                  <c:v>8887.5</c:v>
                </c:pt>
                <c:pt idx="12">
                  <c:v>8887.5</c:v>
                </c:pt>
                <c:pt idx="13">
                  <c:v>8887.5</c:v>
                </c:pt>
                <c:pt idx="14">
                  <c:v>8887.5</c:v>
                </c:pt>
                <c:pt idx="15">
                  <c:v>8887.5</c:v>
                </c:pt>
                <c:pt idx="16">
                  <c:v>8887.5</c:v>
                </c:pt>
                <c:pt idx="17">
                  <c:v>8887.5</c:v>
                </c:pt>
                <c:pt idx="18">
                  <c:v>8887.5</c:v>
                </c:pt>
                <c:pt idx="19">
                  <c:v>8887.5</c:v>
                </c:pt>
                <c:pt idx="20">
                  <c:v>8887.5</c:v>
                </c:pt>
                <c:pt idx="21">
                  <c:v>8887.5</c:v>
                </c:pt>
                <c:pt idx="22">
                  <c:v>8887.5</c:v>
                </c:pt>
                <c:pt idx="23">
                  <c:v>8887.5</c:v>
                </c:pt>
                <c:pt idx="24">
                  <c:v>8888</c:v>
                </c:pt>
              </c:numCache>
            </c:numRef>
          </c:yVal>
          <c:smooth val="0"/>
          <c:extLst>
            <c:ext xmlns:c16="http://schemas.microsoft.com/office/drawing/2014/chart" uri="{C3380CC4-5D6E-409C-BE32-E72D297353CC}">
              <c16:uniqueId val="{00000009-819C-4C0B-B4D9-7F526BD4C7F7}"/>
            </c:ext>
          </c:extLst>
        </c:ser>
        <c:ser>
          <c:idx val="11"/>
          <c:order val="10"/>
          <c:tx>
            <c:strRef>
              <c:f>'Data Fuselage'!$AJ$316</c:f>
              <c:strCache>
                <c:ptCount val="1"/>
                <c:pt idx="0">
                  <c:v>YC</c:v>
                </c:pt>
              </c:strCache>
            </c:strRef>
          </c:tx>
          <c:spPr>
            <a:ln w="12700">
              <a:solidFill>
                <a:srgbClr val="0000FF"/>
              </a:solidFill>
              <a:prstDash val="solid"/>
            </a:ln>
          </c:spPr>
          <c:marker>
            <c:symbol val="none"/>
          </c:marker>
          <c:xVal>
            <c:numRef>
              <c:f>'Data Fuselage'!$AJ$318:$AJ$330</c:f>
              <c:numCache>
                <c:formatCode>General</c:formatCode>
                <c:ptCount val="13"/>
                <c:pt idx="0">
                  <c:v>-4.5620000000000003</c:v>
                </c:pt>
                <c:pt idx="1">
                  <c:v>-4.1320000000000006</c:v>
                </c:pt>
                <c:pt idx="2">
                  <c:v>-4.1320000000000006</c:v>
                </c:pt>
                <c:pt idx="3">
                  <c:v>-4.5620000000000003</c:v>
                </c:pt>
                <c:pt idx="4">
                  <c:v>-4.5620000000000003</c:v>
                </c:pt>
                <c:pt idx="5">
                  <c:v>-4.1320000000000006</c:v>
                </c:pt>
                <c:pt idx="6">
                  <c:v>-4.1320000000000006</c:v>
                </c:pt>
                <c:pt idx="7">
                  <c:v>-4.5620000000000003</c:v>
                </c:pt>
                <c:pt idx="8">
                  <c:v>-4.5620000000000003</c:v>
                </c:pt>
                <c:pt idx="9">
                  <c:v>-4.5620000000000003</c:v>
                </c:pt>
                <c:pt idx="10">
                  <c:v>-4.5620000000000003</c:v>
                </c:pt>
                <c:pt idx="11">
                  <c:v>-4.5620000000000003</c:v>
                </c:pt>
                <c:pt idx="12">
                  <c:v>-4.5620000000000003</c:v>
                </c:pt>
              </c:numCache>
            </c:numRef>
          </c:xVal>
          <c:yVal>
            <c:numRef>
              <c:f>'Data Fuselage'!$AK$318:$AK$330</c:f>
              <c:numCache>
                <c:formatCode>General</c:formatCode>
                <c:ptCount val="13"/>
                <c:pt idx="0">
                  <c:v>-0.25999999999999979</c:v>
                </c:pt>
                <c:pt idx="1">
                  <c:v>-0.25999999999999979</c:v>
                </c:pt>
                <c:pt idx="2">
                  <c:v>-0.75999999999999979</c:v>
                </c:pt>
                <c:pt idx="3">
                  <c:v>-0.75999999999999979</c:v>
                </c:pt>
                <c:pt idx="4">
                  <c:v>-0.81999999999999984</c:v>
                </c:pt>
                <c:pt idx="5">
                  <c:v>-0.81999999999999984</c:v>
                </c:pt>
                <c:pt idx="6">
                  <c:v>-1.3199999999999998</c:v>
                </c:pt>
                <c:pt idx="7">
                  <c:v>-1.3199999999999998</c:v>
                </c:pt>
                <c:pt idx="8">
                  <c:v>-1.3199999999999998</c:v>
                </c:pt>
                <c:pt idx="9">
                  <c:v>-1.3199999999999998</c:v>
                </c:pt>
                <c:pt idx="10">
                  <c:v>-1.3199999999999998</c:v>
                </c:pt>
                <c:pt idx="11">
                  <c:v>-1.3199999999999998</c:v>
                </c:pt>
                <c:pt idx="12">
                  <c:v>-0.25999999999999979</c:v>
                </c:pt>
              </c:numCache>
            </c:numRef>
          </c:yVal>
          <c:smooth val="0"/>
          <c:extLst>
            <c:ext xmlns:c16="http://schemas.microsoft.com/office/drawing/2014/chart" uri="{C3380CC4-5D6E-409C-BE32-E72D297353CC}">
              <c16:uniqueId val="{0000000A-819C-4C0B-B4D9-7F526BD4C7F7}"/>
            </c:ext>
          </c:extLst>
        </c:ser>
        <c:ser>
          <c:idx val="12"/>
          <c:order val="11"/>
          <c:tx>
            <c:strRef>
              <c:f>'Data Fuselage'!$AB$352</c:f>
              <c:strCache>
                <c:ptCount val="1"/>
                <c:pt idx="0">
                  <c:v>YC</c:v>
                </c:pt>
              </c:strCache>
            </c:strRef>
          </c:tx>
          <c:spPr>
            <a:ln w="12700">
              <a:solidFill>
                <a:srgbClr val="0000FF"/>
              </a:solidFill>
              <a:prstDash val="solid"/>
            </a:ln>
          </c:spPr>
          <c:marker>
            <c:symbol val="none"/>
          </c:marker>
          <c:xVal>
            <c:numRef>
              <c:f>'Data Fuselage'!$AB$354:$AB$366</c:f>
              <c:numCache>
                <c:formatCode>General</c:formatCode>
                <c:ptCount val="13"/>
                <c:pt idx="0">
                  <c:v>-5.3620000000000001</c:v>
                </c:pt>
                <c:pt idx="1">
                  <c:v>-4.9320000000000004</c:v>
                </c:pt>
                <c:pt idx="2">
                  <c:v>-4.9320000000000004</c:v>
                </c:pt>
                <c:pt idx="3">
                  <c:v>-5.3620000000000001</c:v>
                </c:pt>
                <c:pt idx="4">
                  <c:v>-5.3620000000000001</c:v>
                </c:pt>
                <c:pt idx="5">
                  <c:v>-4.9320000000000004</c:v>
                </c:pt>
                <c:pt idx="6">
                  <c:v>-4.9320000000000004</c:v>
                </c:pt>
                <c:pt idx="7">
                  <c:v>-5.3620000000000001</c:v>
                </c:pt>
                <c:pt idx="8">
                  <c:v>-5.3620000000000001</c:v>
                </c:pt>
                <c:pt idx="9">
                  <c:v>-5.3620000000000001</c:v>
                </c:pt>
                <c:pt idx="10">
                  <c:v>-5.3620000000000001</c:v>
                </c:pt>
                <c:pt idx="11">
                  <c:v>-5.3620000000000001</c:v>
                </c:pt>
                <c:pt idx="12">
                  <c:v>-5.3620000000000001</c:v>
                </c:pt>
              </c:numCache>
            </c:numRef>
          </c:xVal>
          <c:yVal>
            <c:numRef>
              <c:f>'Data Fuselage'!$AC$354:$AC$366</c:f>
              <c:numCache>
                <c:formatCode>General</c:formatCode>
                <c:ptCount val="13"/>
                <c:pt idx="0">
                  <c:v>1.3199999999999998</c:v>
                </c:pt>
                <c:pt idx="1">
                  <c:v>1.3199999999999998</c:v>
                </c:pt>
                <c:pt idx="2">
                  <c:v>0.81999999999999984</c:v>
                </c:pt>
                <c:pt idx="3">
                  <c:v>0.81999999999999984</c:v>
                </c:pt>
                <c:pt idx="4">
                  <c:v>0.75999999999999979</c:v>
                </c:pt>
                <c:pt idx="5">
                  <c:v>0.75999999999999979</c:v>
                </c:pt>
                <c:pt idx="6">
                  <c:v>0.25999999999999979</c:v>
                </c:pt>
                <c:pt idx="7">
                  <c:v>0.25999999999999979</c:v>
                </c:pt>
                <c:pt idx="8">
                  <c:v>0.25999999999999979</c:v>
                </c:pt>
                <c:pt idx="9">
                  <c:v>0.25999999999999979</c:v>
                </c:pt>
                <c:pt idx="10">
                  <c:v>0.25999999999999979</c:v>
                </c:pt>
                <c:pt idx="11">
                  <c:v>0.25999999999999979</c:v>
                </c:pt>
                <c:pt idx="12">
                  <c:v>1.3199999999999998</c:v>
                </c:pt>
              </c:numCache>
            </c:numRef>
          </c:yVal>
          <c:smooth val="0"/>
          <c:extLst>
            <c:ext xmlns:c16="http://schemas.microsoft.com/office/drawing/2014/chart" uri="{C3380CC4-5D6E-409C-BE32-E72D297353CC}">
              <c16:uniqueId val="{0000000B-819C-4C0B-B4D9-7F526BD4C7F7}"/>
            </c:ext>
          </c:extLst>
        </c:ser>
        <c:ser>
          <c:idx val="13"/>
          <c:order val="12"/>
          <c:tx>
            <c:strRef>
              <c:f>'Data Fuselage'!$AF$352</c:f>
              <c:strCache>
                <c:ptCount val="1"/>
                <c:pt idx="0">
                  <c:v>YC</c:v>
                </c:pt>
              </c:strCache>
            </c:strRef>
          </c:tx>
          <c:spPr>
            <a:ln w="12700">
              <a:solidFill>
                <a:srgbClr val="0000FF"/>
              </a:solidFill>
              <a:prstDash val="solid"/>
            </a:ln>
          </c:spPr>
          <c:marker>
            <c:symbol val="none"/>
          </c:marker>
          <c:xVal>
            <c:numRef>
              <c:f>'Data Fuselage'!$AF$354:$AF$378</c:f>
              <c:numCache>
                <c:formatCode>General</c:formatCode>
                <c:ptCount val="25"/>
                <c:pt idx="0">
                  <c:v>8888</c:v>
                </c:pt>
                <c:pt idx="1">
                  <c:v>8888.43</c:v>
                </c:pt>
                <c:pt idx="2">
                  <c:v>8888.43</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xVal>
          <c:yVal>
            <c:numRef>
              <c:f>'Data Fuselage'!$AG$354:$AG$378</c:f>
              <c:numCache>
                <c:formatCode>General</c:formatCode>
                <c:ptCount val="25"/>
                <c:pt idx="0">
                  <c:v>8888</c:v>
                </c:pt>
                <c:pt idx="1">
                  <c:v>8888</c:v>
                </c:pt>
                <c:pt idx="2">
                  <c:v>8887.5</c:v>
                </c:pt>
                <c:pt idx="3">
                  <c:v>8887.5</c:v>
                </c:pt>
                <c:pt idx="4">
                  <c:v>8887.5</c:v>
                </c:pt>
                <c:pt idx="5">
                  <c:v>8887.5</c:v>
                </c:pt>
                <c:pt idx="6">
                  <c:v>8887.5</c:v>
                </c:pt>
                <c:pt idx="7">
                  <c:v>8887.5</c:v>
                </c:pt>
                <c:pt idx="8">
                  <c:v>8887.5</c:v>
                </c:pt>
                <c:pt idx="9">
                  <c:v>8887.5</c:v>
                </c:pt>
                <c:pt idx="10">
                  <c:v>8887.5</c:v>
                </c:pt>
                <c:pt idx="11">
                  <c:v>8887.5</c:v>
                </c:pt>
                <c:pt idx="12">
                  <c:v>8887.5</c:v>
                </c:pt>
                <c:pt idx="13">
                  <c:v>8887.5</c:v>
                </c:pt>
                <c:pt idx="14">
                  <c:v>8887.5</c:v>
                </c:pt>
                <c:pt idx="15">
                  <c:v>8887.5</c:v>
                </c:pt>
                <c:pt idx="16">
                  <c:v>8887.5</c:v>
                </c:pt>
                <c:pt idx="17">
                  <c:v>8887.5</c:v>
                </c:pt>
                <c:pt idx="18">
                  <c:v>8887.5</c:v>
                </c:pt>
                <c:pt idx="19">
                  <c:v>8887.5</c:v>
                </c:pt>
                <c:pt idx="20">
                  <c:v>8887.5</c:v>
                </c:pt>
                <c:pt idx="21">
                  <c:v>8887.5</c:v>
                </c:pt>
                <c:pt idx="22">
                  <c:v>8887.5</c:v>
                </c:pt>
                <c:pt idx="23">
                  <c:v>8887.5</c:v>
                </c:pt>
                <c:pt idx="24">
                  <c:v>8888</c:v>
                </c:pt>
              </c:numCache>
            </c:numRef>
          </c:yVal>
          <c:smooth val="0"/>
          <c:extLst>
            <c:ext xmlns:c16="http://schemas.microsoft.com/office/drawing/2014/chart" uri="{C3380CC4-5D6E-409C-BE32-E72D297353CC}">
              <c16:uniqueId val="{0000000C-819C-4C0B-B4D9-7F526BD4C7F7}"/>
            </c:ext>
          </c:extLst>
        </c:ser>
        <c:ser>
          <c:idx val="14"/>
          <c:order val="13"/>
          <c:tx>
            <c:strRef>
              <c:f>'Data Fuselage'!$AJ$352</c:f>
              <c:strCache>
                <c:ptCount val="1"/>
                <c:pt idx="0">
                  <c:v>YC</c:v>
                </c:pt>
              </c:strCache>
            </c:strRef>
          </c:tx>
          <c:spPr>
            <a:ln w="12700">
              <a:solidFill>
                <a:srgbClr val="0000FF"/>
              </a:solidFill>
              <a:prstDash val="solid"/>
            </a:ln>
          </c:spPr>
          <c:marker>
            <c:symbol val="none"/>
          </c:marker>
          <c:xVal>
            <c:numRef>
              <c:f>'Data Fuselage'!$AJ$354:$AJ$366</c:f>
              <c:numCache>
                <c:formatCode>General</c:formatCode>
                <c:ptCount val="13"/>
                <c:pt idx="0">
                  <c:v>-5.3620000000000001</c:v>
                </c:pt>
                <c:pt idx="1">
                  <c:v>-4.9320000000000004</c:v>
                </c:pt>
                <c:pt idx="2">
                  <c:v>-4.9320000000000004</c:v>
                </c:pt>
                <c:pt idx="3">
                  <c:v>-5.3620000000000001</c:v>
                </c:pt>
                <c:pt idx="4">
                  <c:v>-5.3620000000000001</c:v>
                </c:pt>
                <c:pt idx="5">
                  <c:v>-4.9320000000000004</c:v>
                </c:pt>
                <c:pt idx="6">
                  <c:v>-4.9320000000000004</c:v>
                </c:pt>
                <c:pt idx="7">
                  <c:v>-5.3620000000000001</c:v>
                </c:pt>
                <c:pt idx="8">
                  <c:v>-5.3620000000000001</c:v>
                </c:pt>
                <c:pt idx="9">
                  <c:v>-5.3620000000000001</c:v>
                </c:pt>
                <c:pt idx="10">
                  <c:v>-5.3620000000000001</c:v>
                </c:pt>
                <c:pt idx="11">
                  <c:v>-5.3620000000000001</c:v>
                </c:pt>
                <c:pt idx="12">
                  <c:v>-5.3620000000000001</c:v>
                </c:pt>
              </c:numCache>
            </c:numRef>
          </c:xVal>
          <c:yVal>
            <c:numRef>
              <c:f>'Data Fuselage'!$AK$354:$AK$366</c:f>
              <c:numCache>
                <c:formatCode>General</c:formatCode>
                <c:ptCount val="13"/>
                <c:pt idx="0">
                  <c:v>-0.25999999999999979</c:v>
                </c:pt>
                <c:pt idx="1">
                  <c:v>-0.25999999999999979</c:v>
                </c:pt>
                <c:pt idx="2">
                  <c:v>-0.75999999999999979</c:v>
                </c:pt>
                <c:pt idx="3">
                  <c:v>-0.75999999999999979</c:v>
                </c:pt>
                <c:pt idx="4">
                  <c:v>-0.81999999999999984</c:v>
                </c:pt>
                <c:pt idx="5">
                  <c:v>-0.81999999999999984</c:v>
                </c:pt>
                <c:pt idx="6">
                  <c:v>-1.3199999999999998</c:v>
                </c:pt>
                <c:pt idx="7">
                  <c:v>-1.3199999999999998</c:v>
                </c:pt>
                <c:pt idx="8">
                  <c:v>-1.3199999999999998</c:v>
                </c:pt>
                <c:pt idx="9">
                  <c:v>-1.3199999999999998</c:v>
                </c:pt>
                <c:pt idx="10">
                  <c:v>-1.3199999999999998</c:v>
                </c:pt>
                <c:pt idx="11">
                  <c:v>-1.3199999999999998</c:v>
                </c:pt>
                <c:pt idx="12">
                  <c:v>-0.25999999999999979</c:v>
                </c:pt>
              </c:numCache>
            </c:numRef>
          </c:yVal>
          <c:smooth val="0"/>
          <c:extLst>
            <c:ext xmlns:c16="http://schemas.microsoft.com/office/drawing/2014/chart" uri="{C3380CC4-5D6E-409C-BE32-E72D297353CC}">
              <c16:uniqueId val="{0000000D-819C-4C0B-B4D9-7F526BD4C7F7}"/>
            </c:ext>
          </c:extLst>
        </c:ser>
        <c:ser>
          <c:idx val="15"/>
          <c:order val="14"/>
          <c:tx>
            <c:strRef>
              <c:f>'Data Fuselage'!$AB$388</c:f>
              <c:strCache>
                <c:ptCount val="1"/>
                <c:pt idx="0">
                  <c:v>YC</c:v>
                </c:pt>
              </c:strCache>
            </c:strRef>
          </c:tx>
          <c:spPr>
            <a:ln w="12700">
              <a:solidFill>
                <a:srgbClr val="0000FF"/>
              </a:solidFill>
              <a:prstDash val="solid"/>
            </a:ln>
          </c:spPr>
          <c:marker>
            <c:symbol val="none"/>
          </c:marker>
          <c:xVal>
            <c:numRef>
              <c:f>'Data Fuselage'!$AB$390:$AB$402</c:f>
              <c:numCache>
                <c:formatCode>General</c:formatCode>
                <c:ptCount val="13"/>
                <c:pt idx="0">
                  <c:v>-6.1619999999999999</c:v>
                </c:pt>
                <c:pt idx="1">
                  <c:v>-5.7320000000000002</c:v>
                </c:pt>
                <c:pt idx="2">
                  <c:v>-5.7320000000000002</c:v>
                </c:pt>
                <c:pt idx="3">
                  <c:v>-6.1619999999999999</c:v>
                </c:pt>
                <c:pt idx="4">
                  <c:v>-6.1619999999999999</c:v>
                </c:pt>
                <c:pt idx="5">
                  <c:v>-5.7320000000000002</c:v>
                </c:pt>
                <c:pt idx="6">
                  <c:v>-5.7320000000000002</c:v>
                </c:pt>
                <c:pt idx="7">
                  <c:v>-6.1619999999999999</c:v>
                </c:pt>
                <c:pt idx="8">
                  <c:v>-6.1619999999999999</c:v>
                </c:pt>
                <c:pt idx="9">
                  <c:v>-6.1619999999999999</c:v>
                </c:pt>
                <c:pt idx="10">
                  <c:v>-6.1619999999999999</c:v>
                </c:pt>
                <c:pt idx="11">
                  <c:v>-6.1619999999999999</c:v>
                </c:pt>
                <c:pt idx="12">
                  <c:v>-6.1619999999999999</c:v>
                </c:pt>
              </c:numCache>
            </c:numRef>
          </c:xVal>
          <c:yVal>
            <c:numRef>
              <c:f>'Data Fuselage'!$AC$390:$AC$402</c:f>
              <c:numCache>
                <c:formatCode>General</c:formatCode>
                <c:ptCount val="13"/>
                <c:pt idx="0">
                  <c:v>1.3199999999999998</c:v>
                </c:pt>
                <c:pt idx="1">
                  <c:v>1.3199999999999998</c:v>
                </c:pt>
                <c:pt idx="2">
                  <c:v>0.81999999999999984</c:v>
                </c:pt>
                <c:pt idx="3">
                  <c:v>0.81999999999999984</c:v>
                </c:pt>
                <c:pt idx="4">
                  <c:v>0.75999999999999979</c:v>
                </c:pt>
                <c:pt idx="5">
                  <c:v>0.75999999999999979</c:v>
                </c:pt>
                <c:pt idx="6">
                  <c:v>0.25999999999999979</c:v>
                </c:pt>
                <c:pt idx="7">
                  <c:v>0.25999999999999979</c:v>
                </c:pt>
                <c:pt idx="8">
                  <c:v>0.25999999999999979</c:v>
                </c:pt>
                <c:pt idx="9">
                  <c:v>0.25999999999999979</c:v>
                </c:pt>
                <c:pt idx="10">
                  <c:v>0.25999999999999979</c:v>
                </c:pt>
                <c:pt idx="11">
                  <c:v>0.25999999999999979</c:v>
                </c:pt>
                <c:pt idx="12">
                  <c:v>1.3199999999999998</c:v>
                </c:pt>
              </c:numCache>
            </c:numRef>
          </c:yVal>
          <c:smooth val="0"/>
          <c:extLst>
            <c:ext xmlns:c16="http://schemas.microsoft.com/office/drawing/2014/chart" uri="{C3380CC4-5D6E-409C-BE32-E72D297353CC}">
              <c16:uniqueId val="{0000000E-819C-4C0B-B4D9-7F526BD4C7F7}"/>
            </c:ext>
          </c:extLst>
        </c:ser>
        <c:ser>
          <c:idx val="16"/>
          <c:order val="15"/>
          <c:tx>
            <c:strRef>
              <c:f>'Data Fuselage'!$AF$388</c:f>
              <c:strCache>
                <c:ptCount val="1"/>
                <c:pt idx="0">
                  <c:v>YC</c:v>
                </c:pt>
              </c:strCache>
            </c:strRef>
          </c:tx>
          <c:spPr>
            <a:ln w="12700">
              <a:solidFill>
                <a:srgbClr val="0000FF"/>
              </a:solidFill>
              <a:prstDash val="solid"/>
            </a:ln>
          </c:spPr>
          <c:marker>
            <c:symbol val="none"/>
          </c:marker>
          <c:xVal>
            <c:numRef>
              <c:f>'Data Fuselage'!$AF$390:$AF$414</c:f>
              <c:numCache>
                <c:formatCode>General</c:formatCode>
                <c:ptCount val="25"/>
                <c:pt idx="0">
                  <c:v>8888</c:v>
                </c:pt>
                <c:pt idx="1">
                  <c:v>8888.43</c:v>
                </c:pt>
                <c:pt idx="2">
                  <c:v>8888.43</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xVal>
          <c:yVal>
            <c:numRef>
              <c:f>'Data Fuselage'!$AG$390:$AG$414</c:f>
              <c:numCache>
                <c:formatCode>General</c:formatCode>
                <c:ptCount val="25"/>
                <c:pt idx="0">
                  <c:v>8888</c:v>
                </c:pt>
                <c:pt idx="1">
                  <c:v>8888</c:v>
                </c:pt>
                <c:pt idx="2">
                  <c:v>8887.5</c:v>
                </c:pt>
                <c:pt idx="3">
                  <c:v>8887.5</c:v>
                </c:pt>
                <c:pt idx="4">
                  <c:v>8887.5</c:v>
                </c:pt>
                <c:pt idx="5">
                  <c:v>8887.5</c:v>
                </c:pt>
                <c:pt idx="6">
                  <c:v>8887.5</c:v>
                </c:pt>
                <c:pt idx="7">
                  <c:v>8887.5</c:v>
                </c:pt>
                <c:pt idx="8">
                  <c:v>8887.5</c:v>
                </c:pt>
                <c:pt idx="9">
                  <c:v>8887.5</c:v>
                </c:pt>
                <c:pt idx="10">
                  <c:v>8887.5</c:v>
                </c:pt>
                <c:pt idx="11">
                  <c:v>8887.5</c:v>
                </c:pt>
                <c:pt idx="12">
                  <c:v>8887.5</c:v>
                </c:pt>
                <c:pt idx="13">
                  <c:v>8887.5</c:v>
                </c:pt>
                <c:pt idx="14">
                  <c:v>8887.5</c:v>
                </c:pt>
                <c:pt idx="15">
                  <c:v>8887.5</c:v>
                </c:pt>
                <c:pt idx="16">
                  <c:v>8887.5</c:v>
                </c:pt>
                <c:pt idx="17">
                  <c:v>8887.5</c:v>
                </c:pt>
                <c:pt idx="18">
                  <c:v>8887.5</c:v>
                </c:pt>
                <c:pt idx="19">
                  <c:v>8887.5</c:v>
                </c:pt>
                <c:pt idx="20">
                  <c:v>8887.5</c:v>
                </c:pt>
                <c:pt idx="21">
                  <c:v>8887.5</c:v>
                </c:pt>
                <c:pt idx="22">
                  <c:v>8887.5</c:v>
                </c:pt>
                <c:pt idx="23">
                  <c:v>8887.5</c:v>
                </c:pt>
                <c:pt idx="24">
                  <c:v>8888</c:v>
                </c:pt>
              </c:numCache>
            </c:numRef>
          </c:yVal>
          <c:smooth val="0"/>
          <c:extLst>
            <c:ext xmlns:c16="http://schemas.microsoft.com/office/drawing/2014/chart" uri="{C3380CC4-5D6E-409C-BE32-E72D297353CC}">
              <c16:uniqueId val="{0000000F-819C-4C0B-B4D9-7F526BD4C7F7}"/>
            </c:ext>
          </c:extLst>
        </c:ser>
        <c:ser>
          <c:idx val="17"/>
          <c:order val="16"/>
          <c:tx>
            <c:strRef>
              <c:f>'Data Fuselage'!$AJ$388</c:f>
              <c:strCache>
                <c:ptCount val="1"/>
                <c:pt idx="0">
                  <c:v>YC</c:v>
                </c:pt>
              </c:strCache>
            </c:strRef>
          </c:tx>
          <c:spPr>
            <a:ln w="12700">
              <a:solidFill>
                <a:srgbClr val="0000FF"/>
              </a:solidFill>
              <a:prstDash val="solid"/>
            </a:ln>
          </c:spPr>
          <c:marker>
            <c:symbol val="none"/>
          </c:marker>
          <c:xVal>
            <c:numRef>
              <c:f>'Data Fuselage'!$AJ$390:$AJ$402</c:f>
              <c:numCache>
                <c:formatCode>General</c:formatCode>
                <c:ptCount val="13"/>
                <c:pt idx="0">
                  <c:v>-6.1619999999999999</c:v>
                </c:pt>
                <c:pt idx="1">
                  <c:v>-5.7320000000000002</c:v>
                </c:pt>
                <c:pt idx="2">
                  <c:v>-5.7320000000000002</c:v>
                </c:pt>
                <c:pt idx="3">
                  <c:v>-6.1619999999999999</c:v>
                </c:pt>
                <c:pt idx="4">
                  <c:v>-6.1619999999999999</c:v>
                </c:pt>
                <c:pt idx="5">
                  <c:v>-5.7320000000000002</c:v>
                </c:pt>
                <c:pt idx="6">
                  <c:v>-5.7320000000000002</c:v>
                </c:pt>
                <c:pt idx="7">
                  <c:v>-6.1619999999999999</c:v>
                </c:pt>
                <c:pt idx="8">
                  <c:v>-6.1619999999999999</c:v>
                </c:pt>
                <c:pt idx="9">
                  <c:v>-6.1619999999999999</c:v>
                </c:pt>
                <c:pt idx="10">
                  <c:v>-6.1619999999999999</c:v>
                </c:pt>
                <c:pt idx="11">
                  <c:v>-6.1619999999999999</c:v>
                </c:pt>
                <c:pt idx="12">
                  <c:v>-6.1619999999999999</c:v>
                </c:pt>
              </c:numCache>
            </c:numRef>
          </c:xVal>
          <c:yVal>
            <c:numRef>
              <c:f>'Data Fuselage'!$AK$390:$AK$402</c:f>
              <c:numCache>
                <c:formatCode>General</c:formatCode>
                <c:ptCount val="13"/>
                <c:pt idx="0">
                  <c:v>-0.25999999999999979</c:v>
                </c:pt>
                <c:pt idx="1">
                  <c:v>-0.25999999999999979</c:v>
                </c:pt>
                <c:pt idx="2">
                  <c:v>-0.75999999999999979</c:v>
                </c:pt>
                <c:pt idx="3">
                  <c:v>-0.75999999999999979</c:v>
                </c:pt>
                <c:pt idx="4">
                  <c:v>-0.81999999999999984</c:v>
                </c:pt>
                <c:pt idx="5">
                  <c:v>-0.81999999999999984</c:v>
                </c:pt>
                <c:pt idx="6">
                  <c:v>-1.3199999999999998</c:v>
                </c:pt>
                <c:pt idx="7">
                  <c:v>-1.3199999999999998</c:v>
                </c:pt>
                <c:pt idx="8">
                  <c:v>-1.3199999999999998</c:v>
                </c:pt>
                <c:pt idx="9">
                  <c:v>-1.3199999999999998</c:v>
                </c:pt>
                <c:pt idx="10">
                  <c:v>-1.3199999999999998</c:v>
                </c:pt>
                <c:pt idx="11">
                  <c:v>-1.3199999999999998</c:v>
                </c:pt>
                <c:pt idx="12">
                  <c:v>-0.25999999999999979</c:v>
                </c:pt>
              </c:numCache>
            </c:numRef>
          </c:yVal>
          <c:smooth val="0"/>
          <c:extLst>
            <c:ext xmlns:c16="http://schemas.microsoft.com/office/drawing/2014/chart" uri="{C3380CC4-5D6E-409C-BE32-E72D297353CC}">
              <c16:uniqueId val="{00000010-819C-4C0B-B4D9-7F526BD4C7F7}"/>
            </c:ext>
          </c:extLst>
        </c:ser>
        <c:ser>
          <c:idx val="18"/>
          <c:order val="17"/>
          <c:tx>
            <c:strRef>
              <c:f>'Data Fuselage'!$AB$424</c:f>
              <c:strCache>
                <c:ptCount val="1"/>
                <c:pt idx="0">
                  <c:v>YC</c:v>
                </c:pt>
              </c:strCache>
            </c:strRef>
          </c:tx>
          <c:spPr>
            <a:ln w="12700">
              <a:solidFill>
                <a:srgbClr val="0000FF"/>
              </a:solidFill>
              <a:prstDash val="solid"/>
            </a:ln>
          </c:spPr>
          <c:marker>
            <c:symbol val="none"/>
          </c:marker>
          <c:xVal>
            <c:numRef>
              <c:f>'Data Fuselage'!$AB$426:$AB$438</c:f>
              <c:numCache>
                <c:formatCode>General</c:formatCode>
                <c:ptCount val="13"/>
                <c:pt idx="0">
                  <c:v>-6.9619999999999997</c:v>
                </c:pt>
                <c:pt idx="1">
                  <c:v>-6.532</c:v>
                </c:pt>
                <c:pt idx="2">
                  <c:v>-6.532</c:v>
                </c:pt>
                <c:pt idx="3">
                  <c:v>-6.9619999999999997</c:v>
                </c:pt>
                <c:pt idx="4">
                  <c:v>-6.9619999999999997</c:v>
                </c:pt>
                <c:pt idx="5">
                  <c:v>-6.532</c:v>
                </c:pt>
                <c:pt idx="6">
                  <c:v>-6.532</c:v>
                </c:pt>
                <c:pt idx="7">
                  <c:v>-6.9619999999999997</c:v>
                </c:pt>
                <c:pt idx="8">
                  <c:v>-6.9619999999999997</c:v>
                </c:pt>
                <c:pt idx="9">
                  <c:v>-6.9619999999999997</c:v>
                </c:pt>
                <c:pt idx="10">
                  <c:v>-6.9619999999999997</c:v>
                </c:pt>
                <c:pt idx="11">
                  <c:v>-6.9619999999999997</c:v>
                </c:pt>
                <c:pt idx="12">
                  <c:v>-6.9619999999999997</c:v>
                </c:pt>
              </c:numCache>
            </c:numRef>
          </c:xVal>
          <c:yVal>
            <c:numRef>
              <c:f>'Data Fuselage'!$AC$426:$AC$438</c:f>
              <c:numCache>
                <c:formatCode>General</c:formatCode>
                <c:ptCount val="13"/>
                <c:pt idx="0">
                  <c:v>1.3199999999999998</c:v>
                </c:pt>
                <c:pt idx="1">
                  <c:v>1.3199999999999998</c:v>
                </c:pt>
                <c:pt idx="2">
                  <c:v>0.81999999999999984</c:v>
                </c:pt>
                <c:pt idx="3">
                  <c:v>0.81999999999999984</c:v>
                </c:pt>
                <c:pt idx="4">
                  <c:v>0.75999999999999979</c:v>
                </c:pt>
                <c:pt idx="5">
                  <c:v>0.75999999999999979</c:v>
                </c:pt>
                <c:pt idx="6">
                  <c:v>0.25999999999999979</c:v>
                </c:pt>
                <c:pt idx="7">
                  <c:v>0.25999999999999979</c:v>
                </c:pt>
                <c:pt idx="8">
                  <c:v>0.25999999999999979</c:v>
                </c:pt>
                <c:pt idx="9">
                  <c:v>0.25999999999999979</c:v>
                </c:pt>
                <c:pt idx="10">
                  <c:v>0.25999999999999979</c:v>
                </c:pt>
                <c:pt idx="11">
                  <c:v>0.25999999999999979</c:v>
                </c:pt>
                <c:pt idx="12">
                  <c:v>1.3199999999999998</c:v>
                </c:pt>
              </c:numCache>
            </c:numRef>
          </c:yVal>
          <c:smooth val="0"/>
          <c:extLst>
            <c:ext xmlns:c16="http://schemas.microsoft.com/office/drawing/2014/chart" uri="{C3380CC4-5D6E-409C-BE32-E72D297353CC}">
              <c16:uniqueId val="{00000011-819C-4C0B-B4D9-7F526BD4C7F7}"/>
            </c:ext>
          </c:extLst>
        </c:ser>
        <c:ser>
          <c:idx val="19"/>
          <c:order val="18"/>
          <c:tx>
            <c:strRef>
              <c:f>'Data Fuselage'!$AF$424</c:f>
              <c:strCache>
                <c:ptCount val="1"/>
                <c:pt idx="0">
                  <c:v>YC</c:v>
                </c:pt>
              </c:strCache>
            </c:strRef>
          </c:tx>
          <c:spPr>
            <a:ln w="12700">
              <a:solidFill>
                <a:srgbClr val="0000FF"/>
              </a:solidFill>
              <a:prstDash val="solid"/>
            </a:ln>
          </c:spPr>
          <c:marker>
            <c:symbol val="none"/>
          </c:marker>
          <c:xVal>
            <c:numRef>
              <c:f>'Data Fuselage'!$AF$426:$AF$450</c:f>
              <c:numCache>
                <c:formatCode>General</c:formatCode>
                <c:ptCount val="25"/>
                <c:pt idx="0">
                  <c:v>8888</c:v>
                </c:pt>
                <c:pt idx="1">
                  <c:v>8888.43</c:v>
                </c:pt>
                <c:pt idx="2">
                  <c:v>8888.43</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xVal>
          <c:yVal>
            <c:numRef>
              <c:f>'Data Fuselage'!$AG$426:$AG$450</c:f>
              <c:numCache>
                <c:formatCode>General</c:formatCode>
                <c:ptCount val="25"/>
                <c:pt idx="0">
                  <c:v>8888</c:v>
                </c:pt>
                <c:pt idx="1">
                  <c:v>8888</c:v>
                </c:pt>
                <c:pt idx="2">
                  <c:v>8887.5</c:v>
                </c:pt>
                <c:pt idx="3">
                  <c:v>8887.5</c:v>
                </c:pt>
                <c:pt idx="4">
                  <c:v>8887.5</c:v>
                </c:pt>
                <c:pt idx="5">
                  <c:v>8887.5</c:v>
                </c:pt>
                <c:pt idx="6">
                  <c:v>8887.5</c:v>
                </c:pt>
                <c:pt idx="7">
                  <c:v>8887.5</c:v>
                </c:pt>
                <c:pt idx="8">
                  <c:v>8887.5</c:v>
                </c:pt>
                <c:pt idx="9">
                  <c:v>8887.5</c:v>
                </c:pt>
                <c:pt idx="10">
                  <c:v>8887.5</c:v>
                </c:pt>
                <c:pt idx="11">
                  <c:v>8887.5</c:v>
                </c:pt>
                <c:pt idx="12">
                  <c:v>8887.5</c:v>
                </c:pt>
                <c:pt idx="13">
                  <c:v>8887.5</c:v>
                </c:pt>
                <c:pt idx="14">
                  <c:v>8887.5</c:v>
                </c:pt>
                <c:pt idx="15">
                  <c:v>8887.5</c:v>
                </c:pt>
                <c:pt idx="16">
                  <c:v>8887.5</c:v>
                </c:pt>
                <c:pt idx="17">
                  <c:v>8887.5</c:v>
                </c:pt>
                <c:pt idx="18">
                  <c:v>8887.5</c:v>
                </c:pt>
                <c:pt idx="19">
                  <c:v>8887.5</c:v>
                </c:pt>
                <c:pt idx="20">
                  <c:v>8887.5</c:v>
                </c:pt>
                <c:pt idx="21">
                  <c:v>8887.5</c:v>
                </c:pt>
                <c:pt idx="22">
                  <c:v>8887.5</c:v>
                </c:pt>
                <c:pt idx="23">
                  <c:v>8887.5</c:v>
                </c:pt>
                <c:pt idx="24">
                  <c:v>8888</c:v>
                </c:pt>
              </c:numCache>
            </c:numRef>
          </c:yVal>
          <c:smooth val="0"/>
          <c:extLst>
            <c:ext xmlns:c16="http://schemas.microsoft.com/office/drawing/2014/chart" uri="{C3380CC4-5D6E-409C-BE32-E72D297353CC}">
              <c16:uniqueId val="{00000012-819C-4C0B-B4D9-7F526BD4C7F7}"/>
            </c:ext>
          </c:extLst>
        </c:ser>
        <c:ser>
          <c:idx val="20"/>
          <c:order val="19"/>
          <c:tx>
            <c:strRef>
              <c:f>'Data Fuselage'!$AJ$424</c:f>
              <c:strCache>
                <c:ptCount val="1"/>
                <c:pt idx="0">
                  <c:v>YC</c:v>
                </c:pt>
              </c:strCache>
            </c:strRef>
          </c:tx>
          <c:spPr>
            <a:ln w="12700">
              <a:solidFill>
                <a:srgbClr val="0000FF"/>
              </a:solidFill>
              <a:prstDash val="solid"/>
            </a:ln>
          </c:spPr>
          <c:marker>
            <c:symbol val="none"/>
          </c:marker>
          <c:xVal>
            <c:numRef>
              <c:f>'Data Fuselage'!$AJ$426:$AJ$438</c:f>
              <c:numCache>
                <c:formatCode>General</c:formatCode>
                <c:ptCount val="13"/>
                <c:pt idx="0">
                  <c:v>-6.9619999999999997</c:v>
                </c:pt>
                <c:pt idx="1">
                  <c:v>-6.532</c:v>
                </c:pt>
                <c:pt idx="2">
                  <c:v>-6.532</c:v>
                </c:pt>
                <c:pt idx="3">
                  <c:v>-6.9619999999999997</c:v>
                </c:pt>
                <c:pt idx="4">
                  <c:v>-6.9619999999999997</c:v>
                </c:pt>
                <c:pt idx="5">
                  <c:v>-6.532</c:v>
                </c:pt>
                <c:pt idx="6">
                  <c:v>-6.532</c:v>
                </c:pt>
                <c:pt idx="7">
                  <c:v>-6.9619999999999997</c:v>
                </c:pt>
                <c:pt idx="8">
                  <c:v>-6.9619999999999997</c:v>
                </c:pt>
                <c:pt idx="9">
                  <c:v>-6.9619999999999997</c:v>
                </c:pt>
                <c:pt idx="10">
                  <c:v>-6.9619999999999997</c:v>
                </c:pt>
                <c:pt idx="11">
                  <c:v>-6.9619999999999997</c:v>
                </c:pt>
                <c:pt idx="12">
                  <c:v>-6.9619999999999997</c:v>
                </c:pt>
              </c:numCache>
            </c:numRef>
          </c:xVal>
          <c:yVal>
            <c:numRef>
              <c:f>'Data Fuselage'!$AK$426:$AK$438</c:f>
              <c:numCache>
                <c:formatCode>General</c:formatCode>
                <c:ptCount val="13"/>
                <c:pt idx="0">
                  <c:v>-0.25999999999999979</c:v>
                </c:pt>
                <c:pt idx="1">
                  <c:v>-0.25999999999999979</c:v>
                </c:pt>
                <c:pt idx="2">
                  <c:v>-0.75999999999999979</c:v>
                </c:pt>
                <c:pt idx="3">
                  <c:v>-0.75999999999999979</c:v>
                </c:pt>
                <c:pt idx="4">
                  <c:v>-0.81999999999999984</c:v>
                </c:pt>
                <c:pt idx="5">
                  <c:v>-0.81999999999999984</c:v>
                </c:pt>
                <c:pt idx="6">
                  <c:v>-1.3199999999999998</c:v>
                </c:pt>
                <c:pt idx="7">
                  <c:v>-1.3199999999999998</c:v>
                </c:pt>
                <c:pt idx="8">
                  <c:v>-1.3199999999999998</c:v>
                </c:pt>
                <c:pt idx="9">
                  <c:v>-1.3199999999999998</c:v>
                </c:pt>
                <c:pt idx="10">
                  <c:v>-1.3199999999999998</c:v>
                </c:pt>
                <c:pt idx="11">
                  <c:v>-1.3199999999999998</c:v>
                </c:pt>
                <c:pt idx="12">
                  <c:v>-0.25999999999999979</c:v>
                </c:pt>
              </c:numCache>
            </c:numRef>
          </c:yVal>
          <c:smooth val="0"/>
          <c:extLst>
            <c:ext xmlns:c16="http://schemas.microsoft.com/office/drawing/2014/chart" uri="{C3380CC4-5D6E-409C-BE32-E72D297353CC}">
              <c16:uniqueId val="{00000013-819C-4C0B-B4D9-7F526BD4C7F7}"/>
            </c:ext>
          </c:extLst>
        </c:ser>
        <c:ser>
          <c:idx val="21"/>
          <c:order val="20"/>
          <c:tx>
            <c:strRef>
              <c:f>'Data Fuselage'!$AB$460</c:f>
              <c:strCache>
                <c:ptCount val="1"/>
                <c:pt idx="0">
                  <c:v>YC</c:v>
                </c:pt>
              </c:strCache>
            </c:strRef>
          </c:tx>
          <c:spPr>
            <a:ln w="12700">
              <a:solidFill>
                <a:srgbClr val="0000FF"/>
              </a:solidFill>
              <a:prstDash val="solid"/>
            </a:ln>
          </c:spPr>
          <c:marker>
            <c:symbol val="none"/>
          </c:marker>
          <c:xVal>
            <c:numRef>
              <c:f>'Data Fuselage'!$AB$462:$AB$474</c:f>
              <c:numCache>
                <c:formatCode>General</c:formatCode>
                <c:ptCount val="13"/>
                <c:pt idx="0">
                  <c:v>-7.7619999999999996</c:v>
                </c:pt>
                <c:pt idx="1">
                  <c:v>-7.3319999999999999</c:v>
                </c:pt>
                <c:pt idx="2">
                  <c:v>-7.3319999999999999</c:v>
                </c:pt>
                <c:pt idx="3">
                  <c:v>-7.7619999999999996</c:v>
                </c:pt>
                <c:pt idx="4">
                  <c:v>-7.7619999999999996</c:v>
                </c:pt>
                <c:pt idx="5">
                  <c:v>-7.3319999999999999</c:v>
                </c:pt>
                <c:pt idx="6">
                  <c:v>-7.3319999999999999</c:v>
                </c:pt>
                <c:pt idx="7">
                  <c:v>-7.7619999999999996</c:v>
                </c:pt>
                <c:pt idx="8">
                  <c:v>-7.7619999999999996</c:v>
                </c:pt>
                <c:pt idx="9">
                  <c:v>-7.7619999999999996</c:v>
                </c:pt>
                <c:pt idx="10">
                  <c:v>-7.7619999999999996</c:v>
                </c:pt>
                <c:pt idx="11">
                  <c:v>-7.7619999999999996</c:v>
                </c:pt>
                <c:pt idx="12">
                  <c:v>-7.7619999999999996</c:v>
                </c:pt>
              </c:numCache>
            </c:numRef>
          </c:xVal>
          <c:yVal>
            <c:numRef>
              <c:f>'Data Fuselage'!$AC$462:$AC$474</c:f>
              <c:numCache>
                <c:formatCode>General</c:formatCode>
                <c:ptCount val="13"/>
                <c:pt idx="0">
                  <c:v>1.3199999999999998</c:v>
                </c:pt>
                <c:pt idx="1">
                  <c:v>1.3199999999999998</c:v>
                </c:pt>
                <c:pt idx="2">
                  <c:v>0.81999999999999984</c:v>
                </c:pt>
                <c:pt idx="3">
                  <c:v>0.81999999999999984</c:v>
                </c:pt>
                <c:pt idx="4">
                  <c:v>0.75999999999999979</c:v>
                </c:pt>
                <c:pt idx="5">
                  <c:v>0.75999999999999979</c:v>
                </c:pt>
                <c:pt idx="6">
                  <c:v>0.25999999999999979</c:v>
                </c:pt>
                <c:pt idx="7">
                  <c:v>0.25999999999999979</c:v>
                </c:pt>
                <c:pt idx="8">
                  <c:v>0.25999999999999979</c:v>
                </c:pt>
                <c:pt idx="9">
                  <c:v>0.25999999999999979</c:v>
                </c:pt>
                <c:pt idx="10">
                  <c:v>0.25999999999999979</c:v>
                </c:pt>
                <c:pt idx="11">
                  <c:v>0.25999999999999979</c:v>
                </c:pt>
                <c:pt idx="12">
                  <c:v>1.3199999999999998</c:v>
                </c:pt>
              </c:numCache>
            </c:numRef>
          </c:yVal>
          <c:smooth val="0"/>
          <c:extLst>
            <c:ext xmlns:c16="http://schemas.microsoft.com/office/drawing/2014/chart" uri="{C3380CC4-5D6E-409C-BE32-E72D297353CC}">
              <c16:uniqueId val="{00000014-819C-4C0B-B4D9-7F526BD4C7F7}"/>
            </c:ext>
          </c:extLst>
        </c:ser>
        <c:ser>
          <c:idx val="22"/>
          <c:order val="21"/>
          <c:tx>
            <c:strRef>
              <c:f>'Data Fuselage'!$AF$460</c:f>
              <c:strCache>
                <c:ptCount val="1"/>
                <c:pt idx="0">
                  <c:v>YC</c:v>
                </c:pt>
              </c:strCache>
            </c:strRef>
          </c:tx>
          <c:spPr>
            <a:ln w="12700">
              <a:solidFill>
                <a:srgbClr val="0000FF"/>
              </a:solidFill>
              <a:prstDash val="solid"/>
            </a:ln>
          </c:spPr>
          <c:marker>
            <c:symbol val="none"/>
          </c:marker>
          <c:xVal>
            <c:numRef>
              <c:f>'Data Fuselage'!$AF$462:$AF$486</c:f>
              <c:numCache>
                <c:formatCode>General</c:formatCode>
                <c:ptCount val="25"/>
                <c:pt idx="0">
                  <c:v>8888</c:v>
                </c:pt>
                <c:pt idx="1">
                  <c:v>8888.43</c:v>
                </c:pt>
                <c:pt idx="2">
                  <c:v>8888.43</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xVal>
          <c:yVal>
            <c:numRef>
              <c:f>'Data Fuselage'!$AG$462:$AG$486</c:f>
              <c:numCache>
                <c:formatCode>General</c:formatCode>
                <c:ptCount val="25"/>
                <c:pt idx="0">
                  <c:v>8888</c:v>
                </c:pt>
                <c:pt idx="1">
                  <c:v>8888</c:v>
                </c:pt>
                <c:pt idx="2">
                  <c:v>8887.5</c:v>
                </c:pt>
                <c:pt idx="3">
                  <c:v>8887.5</c:v>
                </c:pt>
                <c:pt idx="4">
                  <c:v>8887.5</c:v>
                </c:pt>
                <c:pt idx="5">
                  <c:v>8887.5</c:v>
                </c:pt>
                <c:pt idx="6">
                  <c:v>8887.5</c:v>
                </c:pt>
                <c:pt idx="7">
                  <c:v>8887.5</c:v>
                </c:pt>
                <c:pt idx="8">
                  <c:v>8887.5</c:v>
                </c:pt>
                <c:pt idx="9">
                  <c:v>8887.5</c:v>
                </c:pt>
                <c:pt idx="10">
                  <c:v>8887.5</c:v>
                </c:pt>
                <c:pt idx="11">
                  <c:v>8887.5</c:v>
                </c:pt>
                <c:pt idx="12">
                  <c:v>8887.5</c:v>
                </c:pt>
                <c:pt idx="13">
                  <c:v>8887.5</c:v>
                </c:pt>
                <c:pt idx="14">
                  <c:v>8887.5</c:v>
                </c:pt>
                <c:pt idx="15">
                  <c:v>8887.5</c:v>
                </c:pt>
                <c:pt idx="16">
                  <c:v>8887.5</c:v>
                </c:pt>
                <c:pt idx="17">
                  <c:v>8887.5</c:v>
                </c:pt>
                <c:pt idx="18">
                  <c:v>8887.5</c:v>
                </c:pt>
                <c:pt idx="19">
                  <c:v>8887.5</c:v>
                </c:pt>
                <c:pt idx="20">
                  <c:v>8887.5</c:v>
                </c:pt>
                <c:pt idx="21">
                  <c:v>8887.5</c:v>
                </c:pt>
                <c:pt idx="22">
                  <c:v>8887.5</c:v>
                </c:pt>
                <c:pt idx="23">
                  <c:v>8887.5</c:v>
                </c:pt>
                <c:pt idx="24">
                  <c:v>8888</c:v>
                </c:pt>
              </c:numCache>
            </c:numRef>
          </c:yVal>
          <c:smooth val="0"/>
          <c:extLst>
            <c:ext xmlns:c16="http://schemas.microsoft.com/office/drawing/2014/chart" uri="{C3380CC4-5D6E-409C-BE32-E72D297353CC}">
              <c16:uniqueId val="{00000015-819C-4C0B-B4D9-7F526BD4C7F7}"/>
            </c:ext>
          </c:extLst>
        </c:ser>
        <c:ser>
          <c:idx val="23"/>
          <c:order val="22"/>
          <c:tx>
            <c:strRef>
              <c:f>'Data Fuselage'!$AJ$460</c:f>
              <c:strCache>
                <c:ptCount val="1"/>
                <c:pt idx="0">
                  <c:v>YC</c:v>
                </c:pt>
              </c:strCache>
            </c:strRef>
          </c:tx>
          <c:spPr>
            <a:ln w="12700">
              <a:solidFill>
                <a:srgbClr val="0000FF"/>
              </a:solidFill>
              <a:prstDash val="solid"/>
            </a:ln>
          </c:spPr>
          <c:marker>
            <c:symbol val="none"/>
          </c:marker>
          <c:xVal>
            <c:numRef>
              <c:f>'Data Fuselage'!$AJ$462:$AJ$474</c:f>
              <c:numCache>
                <c:formatCode>General</c:formatCode>
                <c:ptCount val="13"/>
                <c:pt idx="0">
                  <c:v>-7.7619999999999996</c:v>
                </c:pt>
                <c:pt idx="1">
                  <c:v>-7.3319999999999999</c:v>
                </c:pt>
                <c:pt idx="2">
                  <c:v>-7.3319999999999999</c:v>
                </c:pt>
                <c:pt idx="3">
                  <c:v>-7.7619999999999996</c:v>
                </c:pt>
                <c:pt idx="4">
                  <c:v>-7.7619999999999996</c:v>
                </c:pt>
                <c:pt idx="5">
                  <c:v>-7.3319999999999999</c:v>
                </c:pt>
                <c:pt idx="6">
                  <c:v>-7.3319999999999999</c:v>
                </c:pt>
                <c:pt idx="7">
                  <c:v>-7.7619999999999996</c:v>
                </c:pt>
                <c:pt idx="8">
                  <c:v>-7.7619999999999996</c:v>
                </c:pt>
                <c:pt idx="9">
                  <c:v>-7.7619999999999996</c:v>
                </c:pt>
                <c:pt idx="10">
                  <c:v>-7.7619999999999996</c:v>
                </c:pt>
                <c:pt idx="11">
                  <c:v>-7.7619999999999996</c:v>
                </c:pt>
                <c:pt idx="12">
                  <c:v>-7.7619999999999996</c:v>
                </c:pt>
              </c:numCache>
            </c:numRef>
          </c:xVal>
          <c:yVal>
            <c:numRef>
              <c:f>'Data Fuselage'!$AK$462:$AK$474</c:f>
              <c:numCache>
                <c:formatCode>General</c:formatCode>
                <c:ptCount val="13"/>
                <c:pt idx="0">
                  <c:v>-0.25999999999999979</c:v>
                </c:pt>
                <c:pt idx="1">
                  <c:v>-0.25999999999999979</c:v>
                </c:pt>
                <c:pt idx="2">
                  <c:v>-0.75999999999999979</c:v>
                </c:pt>
                <c:pt idx="3">
                  <c:v>-0.75999999999999979</c:v>
                </c:pt>
                <c:pt idx="4">
                  <c:v>-0.81999999999999984</c:v>
                </c:pt>
                <c:pt idx="5">
                  <c:v>-0.81999999999999984</c:v>
                </c:pt>
                <c:pt idx="6">
                  <c:v>-1.3199999999999998</c:v>
                </c:pt>
                <c:pt idx="7">
                  <c:v>-1.3199999999999998</c:v>
                </c:pt>
                <c:pt idx="8">
                  <c:v>-1.3199999999999998</c:v>
                </c:pt>
                <c:pt idx="9">
                  <c:v>-1.3199999999999998</c:v>
                </c:pt>
                <c:pt idx="10">
                  <c:v>-1.3199999999999998</c:v>
                </c:pt>
                <c:pt idx="11">
                  <c:v>-1.3199999999999998</c:v>
                </c:pt>
                <c:pt idx="12">
                  <c:v>-0.25999999999999979</c:v>
                </c:pt>
              </c:numCache>
            </c:numRef>
          </c:yVal>
          <c:smooth val="0"/>
          <c:extLst>
            <c:ext xmlns:c16="http://schemas.microsoft.com/office/drawing/2014/chart" uri="{C3380CC4-5D6E-409C-BE32-E72D297353CC}">
              <c16:uniqueId val="{00000016-819C-4C0B-B4D9-7F526BD4C7F7}"/>
            </c:ext>
          </c:extLst>
        </c:ser>
        <c:ser>
          <c:idx val="24"/>
          <c:order val="23"/>
          <c:tx>
            <c:strRef>
              <c:f>'Data Fuselage'!$AB$496</c:f>
              <c:strCache>
                <c:ptCount val="1"/>
                <c:pt idx="0">
                  <c:v>YC</c:v>
                </c:pt>
              </c:strCache>
            </c:strRef>
          </c:tx>
          <c:spPr>
            <a:ln w="12700">
              <a:solidFill>
                <a:srgbClr val="0000FF"/>
              </a:solidFill>
              <a:prstDash val="solid"/>
            </a:ln>
          </c:spPr>
          <c:marker>
            <c:symbol val="none"/>
          </c:marker>
          <c:xVal>
            <c:numRef>
              <c:f>'Data Fuselage'!$AB$498:$AB$510</c:f>
              <c:numCache>
                <c:formatCode>General</c:formatCode>
                <c:ptCount val="13"/>
                <c:pt idx="0">
                  <c:v>-8.5619999999999994</c:v>
                </c:pt>
                <c:pt idx="1">
                  <c:v>-8.1319999999999997</c:v>
                </c:pt>
                <c:pt idx="2">
                  <c:v>-8.1319999999999997</c:v>
                </c:pt>
                <c:pt idx="3">
                  <c:v>-8.5619999999999994</c:v>
                </c:pt>
                <c:pt idx="4">
                  <c:v>-8.5619999999999994</c:v>
                </c:pt>
                <c:pt idx="5">
                  <c:v>-8.1319999999999997</c:v>
                </c:pt>
                <c:pt idx="6">
                  <c:v>-8.1319999999999997</c:v>
                </c:pt>
                <c:pt idx="7">
                  <c:v>-8.5619999999999994</c:v>
                </c:pt>
                <c:pt idx="8">
                  <c:v>-8.5619999999999994</c:v>
                </c:pt>
                <c:pt idx="9">
                  <c:v>-8.5619999999999994</c:v>
                </c:pt>
                <c:pt idx="10">
                  <c:v>-8.5619999999999994</c:v>
                </c:pt>
                <c:pt idx="11">
                  <c:v>-8.5619999999999994</c:v>
                </c:pt>
                <c:pt idx="12">
                  <c:v>-8.5619999999999994</c:v>
                </c:pt>
              </c:numCache>
            </c:numRef>
          </c:xVal>
          <c:yVal>
            <c:numRef>
              <c:f>'Data Fuselage'!$AC$498:$AC$510</c:f>
              <c:numCache>
                <c:formatCode>General</c:formatCode>
                <c:ptCount val="13"/>
                <c:pt idx="0">
                  <c:v>1.3199999999999998</c:v>
                </c:pt>
                <c:pt idx="1">
                  <c:v>1.3199999999999998</c:v>
                </c:pt>
                <c:pt idx="2">
                  <c:v>0.81999999999999984</c:v>
                </c:pt>
                <c:pt idx="3">
                  <c:v>0.81999999999999984</c:v>
                </c:pt>
                <c:pt idx="4">
                  <c:v>0.75999999999999979</c:v>
                </c:pt>
                <c:pt idx="5">
                  <c:v>0.75999999999999979</c:v>
                </c:pt>
                <c:pt idx="6">
                  <c:v>0.25999999999999979</c:v>
                </c:pt>
                <c:pt idx="7">
                  <c:v>0.25999999999999979</c:v>
                </c:pt>
                <c:pt idx="8">
                  <c:v>0.25999999999999979</c:v>
                </c:pt>
                <c:pt idx="9">
                  <c:v>0.25999999999999979</c:v>
                </c:pt>
                <c:pt idx="10">
                  <c:v>0.25999999999999979</c:v>
                </c:pt>
                <c:pt idx="11">
                  <c:v>0.25999999999999979</c:v>
                </c:pt>
                <c:pt idx="12">
                  <c:v>1.3199999999999998</c:v>
                </c:pt>
              </c:numCache>
            </c:numRef>
          </c:yVal>
          <c:smooth val="0"/>
          <c:extLst>
            <c:ext xmlns:c16="http://schemas.microsoft.com/office/drawing/2014/chart" uri="{C3380CC4-5D6E-409C-BE32-E72D297353CC}">
              <c16:uniqueId val="{00000017-819C-4C0B-B4D9-7F526BD4C7F7}"/>
            </c:ext>
          </c:extLst>
        </c:ser>
        <c:ser>
          <c:idx val="25"/>
          <c:order val="24"/>
          <c:tx>
            <c:strRef>
              <c:f>'Data Fuselage'!$AF$496</c:f>
              <c:strCache>
                <c:ptCount val="1"/>
                <c:pt idx="0">
                  <c:v>YC</c:v>
                </c:pt>
              </c:strCache>
            </c:strRef>
          </c:tx>
          <c:spPr>
            <a:ln w="12700">
              <a:solidFill>
                <a:srgbClr val="0000FF"/>
              </a:solidFill>
              <a:prstDash val="solid"/>
            </a:ln>
          </c:spPr>
          <c:marker>
            <c:symbol val="none"/>
          </c:marker>
          <c:xVal>
            <c:numRef>
              <c:f>'Data Fuselage'!$AF$498:$AF$522</c:f>
              <c:numCache>
                <c:formatCode>General</c:formatCode>
                <c:ptCount val="25"/>
                <c:pt idx="0">
                  <c:v>8888</c:v>
                </c:pt>
                <c:pt idx="1">
                  <c:v>8888.43</c:v>
                </c:pt>
                <c:pt idx="2">
                  <c:v>8888.43</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xVal>
          <c:yVal>
            <c:numRef>
              <c:f>'Data Fuselage'!$AG$498:$AG$522</c:f>
              <c:numCache>
                <c:formatCode>General</c:formatCode>
                <c:ptCount val="25"/>
                <c:pt idx="0">
                  <c:v>8888</c:v>
                </c:pt>
                <c:pt idx="1">
                  <c:v>8888</c:v>
                </c:pt>
                <c:pt idx="2">
                  <c:v>8887.5</c:v>
                </c:pt>
                <c:pt idx="3">
                  <c:v>8887.5</c:v>
                </c:pt>
                <c:pt idx="4">
                  <c:v>8887.5</c:v>
                </c:pt>
                <c:pt idx="5">
                  <c:v>8887.5</c:v>
                </c:pt>
                <c:pt idx="6">
                  <c:v>8887.5</c:v>
                </c:pt>
                <c:pt idx="7">
                  <c:v>8887.5</c:v>
                </c:pt>
                <c:pt idx="8">
                  <c:v>8887.5</c:v>
                </c:pt>
                <c:pt idx="9">
                  <c:v>8887.5</c:v>
                </c:pt>
                <c:pt idx="10">
                  <c:v>8887.5</c:v>
                </c:pt>
                <c:pt idx="11">
                  <c:v>8887.5</c:v>
                </c:pt>
                <c:pt idx="12">
                  <c:v>8887.5</c:v>
                </c:pt>
                <c:pt idx="13">
                  <c:v>8887.5</c:v>
                </c:pt>
                <c:pt idx="14">
                  <c:v>8887.5</c:v>
                </c:pt>
                <c:pt idx="15">
                  <c:v>8887.5</c:v>
                </c:pt>
                <c:pt idx="16">
                  <c:v>8887.5</c:v>
                </c:pt>
                <c:pt idx="17">
                  <c:v>8887.5</c:v>
                </c:pt>
                <c:pt idx="18">
                  <c:v>8887.5</c:v>
                </c:pt>
                <c:pt idx="19">
                  <c:v>8887.5</c:v>
                </c:pt>
                <c:pt idx="20">
                  <c:v>8887.5</c:v>
                </c:pt>
                <c:pt idx="21">
                  <c:v>8887.5</c:v>
                </c:pt>
                <c:pt idx="22">
                  <c:v>8887.5</c:v>
                </c:pt>
                <c:pt idx="23">
                  <c:v>8887.5</c:v>
                </c:pt>
                <c:pt idx="24">
                  <c:v>8888</c:v>
                </c:pt>
              </c:numCache>
            </c:numRef>
          </c:yVal>
          <c:smooth val="0"/>
          <c:extLst>
            <c:ext xmlns:c16="http://schemas.microsoft.com/office/drawing/2014/chart" uri="{C3380CC4-5D6E-409C-BE32-E72D297353CC}">
              <c16:uniqueId val="{00000018-819C-4C0B-B4D9-7F526BD4C7F7}"/>
            </c:ext>
          </c:extLst>
        </c:ser>
        <c:ser>
          <c:idx val="26"/>
          <c:order val="25"/>
          <c:tx>
            <c:strRef>
              <c:f>'Data Fuselage'!$AJ$496</c:f>
              <c:strCache>
                <c:ptCount val="1"/>
                <c:pt idx="0">
                  <c:v>YC</c:v>
                </c:pt>
              </c:strCache>
            </c:strRef>
          </c:tx>
          <c:spPr>
            <a:ln w="12700">
              <a:solidFill>
                <a:srgbClr val="0000FF"/>
              </a:solidFill>
              <a:prstDash val="solid"/>
            </a:ln>
          </c:spPr>
          <c:marker>
            <c:symbol val="none"/>
          </c:marker>
          <c:xVal>
            <c:numRef>
              <c:f>'Data Fuselage'!$AJ$498:$AJ$510</c:f>
              <c:numCache>
                <c:formatCode>General</c:formatCode>
                <c:ptCount val="13"/>
                <c:pt idx="0">
                  <c:v>-8.5619999999999994</c:v>
                </c:pt>
                <c:pt idx="1">
                  <c:v>-8.1319999999999997</c:v>
                </c:pt>
                <c:pt idx="2">
                  <c:v>-8.1319999999999997</c:v>
                </c:pt>
                <c:pt idx="3">
                  <c:v>-8.5619999999999994</c:v>
                </c:pt>
                <c:pt idx="4">
                  <c:v>-8.5619999999999994</c:v>
                </c:pt>
                <c:pt idx="5">
                  <c:v>-8.1319999999999997</c:v>
                </c:pt>
                <c:pt idx="6">
                  <c:v>-8.1319999999999997</c:v>
                </c:pt>
                <c:pt idx="7">
                  <c:v>-8.5619999999999994</c:v>
                </c:pt>
                <c:pt idx="8">
                  <c:v>-8.5619999999999994</c:v>
                </c:pt>
                <c:pt idx="9">
                  <c:v>-8.5619999999999994</c:v>
                </c:pt>
                <c:pt idx="10">
                  <c:v>-8.5619999999999994</c:v>
                </c:pt>
                <c:pt idx="11">
                  <c:v>-8.5619999999999994</c:v>
                </c:pt>
                <c:pt idx="12">
                  <c:v>-8.5619999999999994</c:v>
                </c:pt>
              </c:numCache>
            </c:numRef>
          </c:xVal>
          <c:yVal>
            <c:numRef>
              <c:f>'Data Fuselage'!$AK$498:$AK$510</c:f>
              <c:numCache>
                <c:formatCode>General</c:formatCode>
                <c:ptCount val="13"/>
                <c:pt idx="0">
                  <c:v>-0.25999999999999979</c:v>
                </c:pt>
                <c:pt idx="1">
                  <c:v>-0.25999999999999979</c:v>
                </c:pt>
                <c:pt idx="2">
                  <c:v>-0.75999999999999979</c:v>
                </c:pt>
                <c:pt idx="3">
                  <c:v>-0.75999999999999979</c:v>
                </c:pt>
                <c:pt idx="4">
                  <c:v>-0.81999999999999984</c:v>
                </c:pt>
                <c:pt idx="5">
                  <c:v>-0.81999999999999984</c:v>
                </c:pt>
                <c:pt idx="6">
                  <c:v>-1.3199999999999998</c:v>
                </c:pt>
                <c:pt idx="7">
                  <c:v>-1.3199999999999998</c:v>
                </c:pt>
                <c:pt idx="8">
                  <c:v>-1.3199999999999998</c:v>
                </c:pt>
                <c:pt idx="9">
                  <c:v>-1.3199999999999998</c:v>
                </c:pt>
                <c:pt idx="10">
                  <c:v>-1.3199999999999998</c:v>
                </c:pt>
                <c:pt idx="11">
                  <c:v>-1.3199999999999998</c:v>
                </c:pt>
                <c:pt idx="12">
                  <c:v>-0.25999999999999979</c:v>
                </c:pt>
              </c:numCache>
            </c:numRef>
          </c:yVal>
          <c:smooth val="0"/>
          <c:extLst>
            <c:ext xmlns:c16="http://schemas.microsoft.com/office/drawing/2014/chart" uri="{C3380CC4-5D6E-409C-BE32-E72D297353CC}">
              <c16:uniqueId val="{00000019-819C-4C0B-B4D9-7F526BD4C7F7}"/>
            </c:ext>
          </c:extLst>
        </c:ser>
        <c:ser>
          <c:idx val="27"/>
          <c:order val="26"/>
          <c:tx>
            <c:strRef>
              <c:f>'Data Fuselage'!$AB$532</c:f>
              <c:strCache>
                <c:ptCount val="1"/>
                <c:pt idx="0">
                  <c:v>YC</c:v>
                </c:pt>
              </c:strCache>
            </c:strRef>
          </c:tx>
          <c:spPr>
            <a:ln w="12700">
              <a:solidFill>
                <a:srgbClr val="0000FF"/>
              </a:solidFill>
              <a:prstDash val="solid"/>
            </a:ln>
          </c:spPr>
          <c:marker>
            <c:symbol val="none"/>
          </c:marker>
          <c:xVal>
            <c:numRef>
              <c:f>'Data Fuselage'!$AB$534:$AB$546</c:f>
              <c:numCache>
                <c:formatCode>General</c:formatCode>
                <c:ptCount val="13"/>
                <c:pt idx="0">
                  <c:v>-9.3620000000000001</c:v>
                </c:pt>
                <c:pt idx="1">
                  <c:v>-8.9320000000000004</c:v>
                </c:pt>
                <c:pt idx="2">
                  <c:v>-8.9320000000000004</c:v>
                </c:pt>
                <c:pt idx="3">
                  <c:v>-9.3620000000000001</c:v>
                </c:pt>
                <c:pt idx="4">
                  <c:v>-9.3620000000000001</c:v>
                </c:pt>
                <c:pt idx="5">
                  <c:v>-8.9320000000000004</c:v>
                </c:pt>
                <c:pt idx="6">
                  <c:v>-8.9320000000000004</c:v>
                </c:pt>
                <c:pt idx="7">
                  <c:v>-9.3620000000000001</c:v>
                </c:pt>
                <c:pt idx="8">
                  <c:v>-9.3620000000000001</c:v>
                </c:pt>
                <c:pt idx="9">
                  <c:v>-9.3620000000000001</c:v>
                </c:pt>
                <c:pt idx="10">
                  <c:v>-9.3620000000000001</c:v>
                </c:pt>
                <c:pt idx="11">
                  <c:v>-9.3620000000000001</c:v>
                </c:pt>
                <c:pt idx="12">
                  <c:v>-9.3620000000000001</c:v>
                </c:pt>
              </c:numCache>
            </c:numRef>
          </c:xVal>
          <c:yVal>
            <c:numRef>
              <c:f>'Data Fuselage'!$AC$534:$AC$546</c:f>
              <c:numCache>
                <c:formatCode>General</c:formatCode>
                <c:ptCount val="13"/>
                <c:pt idx="0">
                  <c:v>1.3199999999999998</c:v>
                </c:pt>
                <c:pt idx="1">
                  <c:v>1.3199999999999998</c:v>
                </c:pt>
                <c:pt idx="2">
                  <c:v>0.81999999999999984</c:v>
                </c:pt>
                <c:pt idx="3">
                  <c:v>0.81999999999999984</c:v>
                </c:pt>
                <c:pt idx="4">
                  <c:v>0.75999999999999979</c:v>
                </c:pt>
                <c:pt idx="5">
                  <c:v>0.75999999999999979</c:v>
                </c:pt>
                <c:pt idx="6">
                  <c:v>0.25999999999999979</c:v>
                </c:pt>
                <c:pt idx="7">
                  <c:v>0.25999999999999979</c:v>
                </c:pt>
                <c:pt idx="8">
                  <c:v>0.25999999999999979</c:v>
                </c:pt>
                <c:pt idx="9">
                  <c:v>0.25999999999999979</c:v>
                </c:pt>
                <c:pt idx="10">
                  <c:v>0.25999999999999979</c:v>
                </c:pt>
                <c:pt idx="11">
                  <c:v>0.25999999999999979</c:v>
                </c:pt>
                <c:pt idx="12">
                  <c:v>1.3199999999999998</c:v>
                </c:pt>
              </c:numCache>
            </c:numRef>
          </c:yVal>
          <c:smooth val="0"/>
          <c:extLst>
            <c:ext xmlns:c16="http://schemas.microsoft.com/office/drawing/2014/chart" uri="{C3380CC4-5D6E-409C-BE32-E72D297353CC}">
              <c16:uniqueId val="{0000001A-819C-4C0B-B4D9-7F526BD4C7F7}"/>
            </c:ext>
          </c:extLst>
        </c:ser>
        <c:ser>
          <c:idx val="28"/>
          <c:order val="27"/>
          <c:tx>
            <c:strRef>
              <c:f>'Data Fuselage'!$AF$532</c:f>
              <c:strCache>
                <c:ptCount val="1"/>
                <c:pt idx="0">
                  <c:v>YC</c:v>
                </c:pt>
              </c:strCache>
            </c:strRef>
          </c:tx>
          <c:spPr>
            <a:ln w="12700">
              <a:solidFill>
                <a:srgbClr val="0000FF"/>
              </a:solidFill>
              <a:prstDash val="solid"/>
            </a:ln>
          </c:spPr>
          <c:marker>
            <c:symbol val="none"/>
          </c:marker>
          <c:xVal>
            <c:numRef>
              <c:f>'Data Fuselage'!$AF$534:$AF$558</c:f>
              <c:numCache>
                <c:formatCode>General</c:formatCode>
                <c:ptCount val="25"/>
                <c:pt idx="0">
                  <c:v>8888</c:v>
                </c:pt>
                <c:pt idx="1">
                  <c:v>8888.43</c:v>
                </c:pt>
                <c:pt idx="2">
                  <c:v>8888.43</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xVal>
          <c:yVal>
            <c:numRef>
              <c:f>'Data Fuselage'!$AG$534:$AG$558</c:f>
              <c:numCache>
                <c:formatCode>General</c:formatCode>
                <c:ptCount val="25"/>
                <c:pt idx="0">
                  <c:v>8888</c:v>
                </c:pt>
                <c:pt idx="1">
                  <c:v>8888</c:v>
                </c:pt>
                <c:pt idx="2">
                  <c:v>8887.5</c:v>
                </c:pt>
                <c:pt idx="3">
                  <c:v>8887.5</c:v>
                </c:pt>
                <c:pt idx="4">
                  <c:v>8887.5</c:v>
                </c:pt>
                <c:pt idx="5">
                  <c:v>8887.5</c:v>
                </c:pt>
                <c:pt idx="6">
                  <c:v>8887.5</c:v>
                </c:pt>
                <c:pt idx="7">
                  <c:v>8887.5</c:v>
                </c:pt>
                <c:pt idx="8">
                  <c:v>8887.5</c:v>
                </c:pt>
                <c:pt idx="9">
                  <c:v>8887.5</c:v>
                </c:pt>
                <c:pt idx="10">
                  <c:v>8887.5</c:v>
                </c:pt>
                <c:pt idx="11">
                  <c:v>8887.5</c:v>
                </c:pt>
                <c:pt idx="12">
                  <c:v>8887.5</c:v>
                </c:pt>
                <c:pt idx="13">
                  <c:v>8887.5</c:v>
                </c:pt>
                <c:pt idx="14">
                  <c:v>8887.5</c:v>
                </c:pt>
                <c:pt idx="15">
                  <c:v>8887.5</c:v>
                </c:pt>
                <c:pt idx="16">
                  <c:v>8887.5</c:v>
                </c:pt>
                <c:pt idx="17">
                  <c:v>8887.5</c:v>
                </c:pt>
                <c:pt idx="18">
                  <c:v>8887.5</c:v>
                </c:pt>
                <c:pt idx="19">
                  <c:v>8887.5</c:v>
                </c:pt>
                <c:pt idx="20">
                  <c:v>8887.5</c:v>
                </c:pt>
                <c:pt idx="21">
                  <c:v>8887.5</c:v>
                </c:pt>
                <c:pt idx="22">
                  <c:v>8887.5</c:v>
                </c:pt>
                <c:pt idx="23">
                  <c:v>8887.5</c:v>
                </c:pt>
                <c:pt idx="24">
                  <c:v>8888</c:v>
                </c:pt>
              </c:numCache>
            </c:numRef>
          </c:yVal>
          <c:smooth val="0"/>
          <c:extLst>
            <c:ext xmlns:c16="http://schemas.microsoft.com/office/drawing/2014/chart" uri="{C3380CC4-5D6E-409C-BE32-E72D297353CC}">
              <c16:uniqueId val="{0000001B-819C-4C0B-B4D9-7F526BD4C7F7}"/>
            </c:ext>
          </c:extLst>
        </c:ser>
        <c:ser>
          <c:idx val="29"/>
          <c:order val="28"/>
          <c:tx>
            <c:strRef>
              <c:f>'Data Fuselage'!$AJ$532</c:f>
              <c:strCache>
                <c:ptCount val="1"/>
                <c:pt idx="0">
                  <c:v>YC</c:v>
                </c:pt>
              </c:strCache>
            </c:strRef>
          </c:tx>
          <c:spPr>
            <a:ln w="12700">
              <a:solidFill>
                <a:srgbClr val="0000FF"/>
              </a:solidFill>
              <a:prstDash val="solid"/>
            </a:ln>
          </c:spPr>
          <c:marker>
            <c:symbol val="none"/>
          </c:marker>
          <c:xVal>
            <c:numRef>
              <c:f>'Data Fuselage'!$AJ$534:$AJ$546</c:f>
              <c:numCache>
                <c:formatCode>General</c:formatCode>
                <c:ptCount val="13"/>
                <c:pt idx="0">
                  <c:v>-9.3620000000000001</c:v>
                </c:pt>
                <c:pt idx="1">
                  <c:v>-8.9320000000000004</c:v>
                </c:pt>
                <c:pt idx="2">
                  <c:v>-8.9320000000000004</c:v>
                </c:pt>
                <c:pt idx="3">
                  <c:v>-9.3620000000000001</c:v>
                </c:pt>
                <c:pt idx="4">
                  <c:v>-9.3620000000000001</c:v>
                </c:pt>
                <c:pt idx="5">
                  <c:v>-8.9320000000000004</c:v>
                </c:pt>
                <c:pt idx="6">
                  <c:v>-8.9320000000000004</c:v>
                </c:pt>
                <c:pt idx="7">
                  <c:v>-9.3620000000000001</c:v>
                </c:pt>
                <c:pt idx="8">
                  <c:v>-9.3620000000000001</c:v>
                </c:pt>
                <c:pt idx="9">
                  <c:v>-9.3620000000000001</c:v>
                </c:pt>
                <c:pt idx="10">
                  <c:v>-9.3620000000000001</c:v>
                </c:pt>
                <c:pt idx="11">
                  <c:v>-9.3620000000000001</c:v>
                </c:pt>
                <c:pt idx="12">
                  <c:v>-9.3620000000000001</c:v>
                </c:pt>
              </c:numCache>
            </c:numRef>
          </c:xVal>
          <c:yVal>
            <c:numRef>
              <c:f>'Data Fuselage'!$AK$534:$AK$546</c:f>
              <c:numCache>
                <c:formatCode>General</c:formatCode>
                <c:ptCount val="13"/>
                <c:pt idx="0">
                  <c:v>-0.25999999999999979</c:v>
                </c:pt>
                <c:pt idx="1">
                  <c:v>-0.25999999999999979</c:v>
                </c:pt>
                <c:pt idx="2">
                  <c:v>-0.75999999999999979</c:v>
                </c:pt>
                <c:pt idx="3">
                  <c:v>-0.75999999999999979</c:v>
                </c:pt>
                <c:pt idx="4">
                  <c:v>-0.81999999999999984</c:v>
                </c:pt>
                <c:pt idx="5">
                  <c:v>-0.81999999999999984</c:v>
                </c:pt>
                <c:pt idx="6">
                  <c:v>-1.3199999999999998</c:v>
                </c:pt>
                <c:pt idx="7">
                  <c:v>-1.3199999999999998</c:v>
                </c:pt>
                <c:pt idx="8">
                  <c:v>-1.3199999999999998</c:v>
                </c:pt>
                <c:pt idx="9">
                  <c:v>-1.3199999999999998</c:v>
                </c:pt>
                <c:pt idx="10">
                  <c:v>-1.3199999999999998</c:v>
                </c:pt>
                <c:pt idx="11">
                  <c:v>-1.3199999999999998</c:v>
                </c:pt>
                <c:pt idx="12">
                  <c:v>-0.25999999999999979</c:v>
                </c:pt>
              </c:numCache>
            </c:numRef>
          </c:yVal>
          <c:smooth val="0"/>
          <c:extLst>
            <c:ext xmlns:c16="http://schemas.microsoft.com/office/drawing/2014/chart" uri="{C3380CC4-5D6E-409C-BE32-E72D297353CC}">
              <c16:uniqueId val="{0000001C-819C-4C0B-B4D9-7F526BD4C7F7}"/>
            </c:ext>
          </c:extLst>
        </c:ser>
        <c:ser>
          <c:idx val="30"/>
          <c:order val="29"/>
          <c:tx>
            <c:strRef>
              <c:f>'Data Fuselage'!$AB$568</c:f>
              <c:strCache>
                <c:ptCount val="1"/>
                <c:pt idx="0">
                  <c:v>YC</c:v>
                </c:pt>
              </c:strCache>
            </c:strRef>
          </c:tx>
          <c:spPr>
            <a:ln w="12700">
              <a:solidFill>
                <a:srgbClr val="0000FF"/>
              </a:solidFill>
              <a:prstDash val="solid"/>
            </a:ln>
          </c:spPr>
          <c:marker>
            <c:symbol val="none"/>
          </c:marker>
          <c:xVal>
            <c:numRef>
              <c:f>'Data Fuselage'!$AB$570:$AB$582</c:f>
              <c:numCache>
                <c:formatCode>General</c:formatCode>
                <c:ptCount val="13"/>
                <c:pt idx="0">
                  <c:v>-10.162000000000001</c:v>
                </c:pt>
                <c:pt idx="1">
                  <c:v>-9.7320000000000011</c:v>
                </c:pt>
                <c:pt idx="2">
                  <c:v>-9.7320000000000011</c:v>
                </c:pt>
                <c:pt idx="3">
                  <c:v>-10.162000000000001</c:v>
                </c:pt>
                <c:pt idx="4">
                  <c:v>-10.162000000000001</c:v>
                </c:pt>
                <c:pt idx="5">
                  <c:v>-9.7320000000000011</c:v>
                </c:pt>
                <c:pt idx="6">
                  <c:v>-9.7320000000000011</c:v>
                </c:pt>
                <c:pt idx="7">
                  <c:v>-10.162000000000001</c:v>
                </c:pt>
                <c:pt idx="8">
                  <c:v>-10.162000000000001</c:v>
                </c:pt>
                <c:pt idx="9">
                  <c:v>-10.162000000000001</c:v>
                </c:pt>
                <c:pt idx="10">
                  <c:v>-10.162000000000001</c:v>
                </c:pt>
                <c:pt idx="11">
                  <c:v>-10.162000000000001</c:v>
                </c:pt>
                <c:pt idx="12">
                  <c:v>-10.162000000000001</c:v>
                </c:pt>
              </c:numCache>
            </c:numRef>
          </c:xVal>
          <c:yVal>
            <c:numRef>
              <c:f>'Data Fuselage'!$AC$570:$AC$582</c:f>
              <c:numCache>
                <c:formatCode>General</c:formatCode>
                <c:ptCount val="13"/>
                <c:pt idx="0">
                  <c:v>1.3199999999999998</c:v>
                </c:pt>
                <c:pt idx="1">
                  <c:v>1.3199999999999998</c:v>
                </c:pt>
                <c:pt idx="2">
                  <c:v>0.81999999999999984</c:v>
                </c:pt>
                <c:pt idx="3">
                  <c:v>0.81999999999999984</c:v>
                </c:pt>
                <c:pt idx="4">
                  <c:v>0.75999999999999979</c:v>
                </c:pt>
                <c:pt idx="5">
                  <c:v>0.75999999999999979</c:v>
                </c:pt>
                <c:pt idx="6">
                  <c:v>0.25999999999999979</c:v>
                </c:pt>
                <c:pt idx="7">
                  <c:v>0.25999999999999979</c:v>
                </c:pt>
                <c:pt idx="8">
                  <c:v>0.25999999999999979</c:v>
                </c:pt>
                <c:pt idx="9">
                  <c:v>0.25999999999999979</c:v>
                </c:pt>
                <c:pt idx="10">
                  <c:v>0.25999999999999979</c:v>
                </c:pt>
                <c:pt idx="11">
                  <c:v>0.25999999999999979</c:v>
                </c:pt>
                <c:pt idx="12">
                  <c:v>1.3199999999999998</c:v>
                </c:pt>
              </c:numCache>
            </c:numRef>
          </c:yVal>
          <c:smooth val="0"/>
          <c:extLst>
            <c:ext xmlns:c16="http://schemas.microsoft.com/office/drawing/2014/chart" uri="{C3380CC4-5D6E-409C-BE32-E72D297353CC}">
              <c16:uniqueId val="{0000001D-819C-4C0B-B4D9-7F526BD4C7F7}"/>
            </c:ext>
          </c:extLst>
        </c:ser>
        <c:ser>
          <c:idx val="31"/>
          <c:order val="30"/>
          <c:tx>
            <c:strRef>
              <c:f>'Data Fuselage'!$AF$568</c:f>
              <c:strCache>
                <c:ptCount val="1"/>
                <c:pt idx="0">
                  <c:v>YC</c:v>
                </c:pt>
              </c:strCache>
            </c:strRef>
          </c:tx>
          <c:spPr>
            <a:ln w="12700">
              <a:solidFill>
                <a:srgbClr val="0000FF"/>
              </a:solidFill>
              <a:prstDash val="solid"/>
            </a:ln>
          </c:spPr>
          <c:marker>
            <c:symbol val="none"/>
          </c:marker>
          <c:xVal>
            <c:numRef>
              <c:f>'Data Fuselage'!$AF$570:$AF$594</c:f>
              <c:numCache>
                <c:formatCode>General</c:formatCode>
                <c:ptCount val="25"/>
                <c:pt idx="0">
                  <c:v>8888</c:v>
                </c:pt>
                <c:pt idx="1">
                  <c:v>8888.43</c:v>
                </c:pt>
                <c:pt idx="2">
                  <c:v>8888.43</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xVal>
          <c:yVal>
            <c:numRef>
              <c:f>'Data Fuselage'!$AG$570:$AG$594</c:f>
              <c:numCache>
                <c:formatCode>General</c:formatCode>
                <c:ptCount val="25"/>
                <c:pt idx="0">
                  <c:v>8888</c:v>
                </c:pt>
                <c:pt idx="1">
                  <c:v>8888</c:v>
                </c:pt>
                <c:pt idx="2">
                  <c:v>8887.5</c:v>
                </c:pt>
                <c:pt idx="3">
                  <c:v>8887.5</c:v>
                </c:pt>
                <c:pt idx="4">
                  <c:v>8887.5</c:v>
                </c:pt>
                <c:pt idx="5">
                  <c:v>8887.5</c:v>
                </c:pt>
                <c:pt idx="6">
                  <c:v>8887.5</c:v>
                </c:pt>
                <c:pt idx="7">
                  <c:v>8887.5</c:v>
                </c:pt>
                <c:pt idx="8">
                  <c:v>8887.5</c:v>
                </c:pt>
                <c:pt idx="9">
                  <c:v>8887.5</c:v>
                </c:pt>
                <c:pt idx="10">
                  <c:v>8887.5</c:v>
                </c:pt>
                <c:pt idx="11">
                  <c:v>8887.5</c:v>
                </c:pt>
                <c:pt idx="12">
                  <c:v>8887.5</c:v>
                </c:pt>
                <c:pt idx="13">
                  <c:v>8887.5</c:v>
                </c:pt>
                <c:pt idx="14">
                  <c:v>8887.5</c:v>
                </c:pt>
                <c:pt idx="15">
                  <c:v>8887.5</c:v>
                </c:pt>
                <c:pt idx="16">
                  <c:v>8887.5</c:v>
                </c:pt>
                <c:pt idx="17">
                  <c:v>8887.5</c:v>
                </c:pt>
                <c:pt idx="18">
                  <c:v>8887.5</c:v>
                </c:pt>
                <c:pt idx="19">
                  <c:v>8887.5</c:v>
                </c:pt>
                <c:pt idx="20">
                  <c:v>8887.5</c:v>
                </c:pt>
                <c:pt idx="21">
                  <c:v>8887.5</c:v>
                </c:pt>
                <c:pt idx="22">
                  <c:v>8887.5</c:v>
                </c:pt>
                <c:pt idx="23">
                  <c:v>8887.5</c:v>
                </c:pt>
                <c:pt idx="24">
                  <c:v>8888</c:v>
                </c:pt>
              </c:numCache>
            </c:numRef>
          </c:yVal>
          <c:smooth val="0"/>
          <c:extLst>
            <c:ext xmlns:c16="http://schemas.microsoft.com/office/drawing/2014/chart" uri="{C3380CC4-5D6E-409C-BE32-E72D297353CC}">
              <c16:uniqueId val="{0000001E-819C-4C0B-B4D9-7F526BD4C7F7}"/>
            </c:ext>
          </c:extLst>
        </c:ser>
        <c:ser>
          <c:idx val="32"/>
          <c:order val="31"/>
          <c:tx>
            <c:strRef>
              <c:f>'Data Fuselage'!$AJ$568</c:f>
              <c:strCache>
                <c:ptCount val="1"/>
                <c:pt idx="0">
                  <c:v>YC</c:v>
                </c:pt>
              </c:strCache>
            </c:strRef>
          </c:tx>
          <c:spPr>
            <a:ln w="12700">
              <a:solidFill>
                <a:srgbClr val="0000FF"/>
              </a:solidFill>
              <a:prstDash val="solid"/>
            </a:ln>
          </c:spPr>
          <c:marker>
            <c:symbol val="none"/>
          </c:marker>
          <c:xVal>
            <c:numRef>
              <c:f>'Data Fuselage'!$AJ$570:$AJ$582</c:f>
              <c:numCache>
                <c:formatCode>General</c:formatCode>
                <c:ptCount val="13"/>
                <c:pt idx="0">
                  <c:v>-10.162000000000001</c:v>
                </c:pt>
                <c:pt idx="1">
                  <c:v>-9.7320000000000011</c:v>
                </c:pt>
                <c:pt idx="2">
                  <c:v>-9.7320000000000011</c:v>
                </c:pt>
                <c:pt idx="3">
                  <c:v>-10.162000000000001</c:v>
                </c:pt>
                <c:pt idx="4">
                  <c:v>-10.162000000000001</c:v>
                </c:pt>
                <c:pt idx="5">
                  <c:v>-9.7320000000000011</c:v>
                </c:pt>
                <c:pt idx="6">
                  <c:v>-9.7320000000000011</c:v>
                </c:pt>
                <c:pt idx="7">
                  <c:v>-10.162000000000001</c:v>
                </c:pt>
                <c:pt idx="8">
                  <c:v>-10.162000000000001</c:v>
                </c:pt>
                <c:pt idx="9">
                  <c:v>-10.162000000000001</c:v>
                </c:pt>
                <c:pt idx="10">
                  <c:v>-10.162000000000001</c:v>
                </c:pt>
                <c:pt idx="11">
                  <c:v>-10.162000000000001</c:v>
                </c:pt>
                <c:pt idx="12">
                  <c:v>-10.162000000000001</c:v>
                </c:pt>
              </c:numCache>
            </c:numRef>
          </c:xVal>
          <c:yVal>
            <c:numRef>
              <c:f>'Data Fuselage'!$AK$570:$AK$582</c:f>
              <c:numCache>
                <c:formatCode>General</c:formatCode>
                <c:ptCount val="13"/>
                <c:pt idx="0">
                  <c:v>-0.25999999999999979</c:v>
                </c:pt>
                <c:pt idx="1">
                  <c:v>-0.25999999999999979</c:v>
                </c:pt>
                <c:pt idx="2">
                  <c:v>-0.75999999999999979</c:v>
                </c:pt>
                <c:pt idx="3">
                  <c:v>-0.75999999999999979</c:v>
                </c:pt>
                <c:pt idx="4">
                  <c:v>-0.81999999999999984</c:v>
                </c:pt>
                <c:pt idx="5">
                  <c:v>-0.81999999999999984</c:v>
                </c:pt>
                <c:pt idx="6">
                  <c:v>-1.3199999999999998</c:v>
                </c:pt>
                <c:pt idx="7">
                  <c:v>-1.3199999999999998</c:v>
                </c:pt>
                <c:pt idx="8">
                  <c:v>-1.3199999999999998</c:v>
                </c:pt>
                <c:pt idx="9">
                  <c:v>-1.3199999999999998</c:v>
                </c:pt>
                <c:pt idx="10">
                  <c:v>-1.3199999999999998</c:v>
                </c:pt>
                <c:pt idx="11">
                  <c:v>-1.3199999999999998</c:v>
                </c:pt>
                <c:pt idx="12">
                  <c:v>-0.25999999999999979</c:v>
                </c:pt>
              </c:numCache>
            </c:numRef>
          </c:yVal>
          <c:smooth val="0"/>
          <c:extLst>
            <c:ext xmlns:c16="http://schemas.microsoft.com/office/drawing/2014/chart" uri="{C3380CC4-5D6E-409C-BE32-E72D297353CC}">
              <c16:uniqueId val="{0000001F-819C-4C0B-B4D9-7F526BD4C7F7}"/>
            </c:ext>
          </c:extLst>
        </c:ser>
        <c:ser>
          <c:idx val="33"/>
          <c:order val="32"/>
          <c:tx>
            <c:strRef>
              <c:f>'Data Fuselage'!$AB$604</c:f>
              <c:strCache>
                <c:ptCount val="1"/>
                <c:pt idx="0">
                  <c:v>YC</c:v>
                </c:pt>
              </c:strCache>
            </c:strRef>
          </c:tx>
          <c:spPr>
            <a:ln w="12700">
              <a:solidFill>
                <a:srgbClr val="0000FF"/>
              </a:solidFill>
              <a:prstDash val="solid"/>
            </a:ln>
          </c:spPr>
          <c:marker>
            <c:symbol val="none"/>
          </c:marker>
          <c:xVal>
            <c:numRef>
              <c:f>'Data Fuselage'!$AB$606:$AB$618</c:f>
              <c:numCache>
                <c:formatCode>General</c:formatCode>
                <c:ptCount val="13"/>
                <c:pt idx="0">
                  <c:v>-10.962000000000002</c:v>
                </c:pt>
                <c:pt idx="1">
                  <c:v>-10.532000000000002</c:v>
                </c:pt>
                <c:pt idx="2">
                  <c:v>-10.532000000000002</c:v>
                </c:pt>
                <c:pt idx="3">
                  <c:v>-10.962000000000002</c:v>
                </c:pt>
                <c:pt idx="4">
                  <c:v>-10.962000000000002</c:v>
                </c:pt>
                <c:pt idx="5">
                  <c:v>-10.532000000000002</c:v>
                </c:pt>
                <c:pt idx="6">
                  <c:v>-10.532000000000002</c:v>
                </c:pt>
                <c:pt idx="7">
                  <c:v>-10.962000000000002</c:v>
                </c:pt>
                <c:pt idx="8">
                  <c:v>-10.962000000000002</c:v>
                </c:pt>
                <c:pt idx="9">
                  <c:v>-10.962000000000002</c:v>
                </c:pt>
                <c:pt idx="10">
                  <c:v>-10.962000000000002</c:v>
                </c:pt>
                <c:pt idx="11">
                  <c:v>-10.962000000000002</c:v>
                </c:pt>
                <c:pt idx="12">
                  <c:v>-10.962000000000002</c:v>
                </c:pt>
              </c:numCache>
            </c:numRef>
          </c:xVal>
          <c:yVal>
            <c:numRef>
              <c:f>'Data Fuselage'!$AC$606:$AC$618</c:f>
              <c:numCache>
                <c:formatCode>General</c:formatCode>
                <c:ptCount val="13"/>
                <c:pt idx="0">
                  <c:v>1.3199999999999998</c:v>
                </c:pt>
                <c:pt idx="1">
                  <c:v>1.3199999999999998</c:v>
                </c:pt>
                <c:pt idx="2">
                  <c:v>0.81999999999999984</c:v>
                </c:pt>
                <c:pt idx="3">
                  <c:v>0.81999999999999984</c:v>
                </c:pt>
                <c:pt idx="4">
                  <c:v>0.75999999999999979</c:v>
                </c:pt>
                <c:pt idx="5">
                  <c:v>0.75999999999999979</c:v>
                </c:pt>
                <c:pt idx="6">
                  <c:v>0.25999999999999979</c:v>
                </c:pt>
                <c:pt idx="7">
                  <c:v>0.25999999999999979</c:v>
                </c:pt>
                <c:pt idx="8">
                  <c:v>0.25999999999999979</c:v>
                </c:pt>
                <c:pt idx="9">
                  <c:v>0.25999999999999979</c:v>
                </c:pt>
                <c:pt idx="10">
                  <c:v>0.25999999999999979</c:v>
                </c:pt>
                <c:pt idx="11">
                  <c:v>0.25999999999999979</c:v>
                </c:pt>
                <c:pt idx="12">
                  <c:v>1.3199999999999998</c:v>
                </c:pt>
              </c:numCache>
            </c:numRef>
          </c:yVal>
          <c:smooth val="0"/>
          <c:extLst>
            <c:ext xmlns:c16="http://schemas.microsoft.com/office/drawing/2014/chart" uri="{C3380CC4-5D6E-409C-BE32-E72D297353CC}">
              <c16:uniqueId val="{00000020-819C-4C0B-B4D9-7F526BD4C7F7}"/>
            </c:ext>
          </c:extLst>
        </c:ser>
        <c:ser>
          <c:idx val="34"/>
          <c:order val="33"/>
          <c:tx>
            <c:strRef>
              <c:f>'Data Fuselage'!$AF$604</c:f>
              <c:strCache>
                <c:ptCount val="1"/>
                <c:pt idx="0">
                  <c:v>YC</c:v>
                </c:pt>
              </c:strCache>
            </c:strRef>
          </c:tx>
          <c:spPr>
            <a:ln w="12700">
              <a:solidFill>
                <a:srgbClr val="0000FF"/>
              </a:solidFill>
              <a:prstDash val="solid"/>
            </a:ln>
          </c:spPr>
          <c:marker>
            <c:symbol val="none"/>
          </c:marker>
          <c:xVal>
            <c:numRef>
              <c:f>'Data Fuselage'!$AF$606:$AF$630</c:f>
              <c:numCache>
                <c:formatCode>General</c:formatCode>
                <c:ptCount val="25"/>
                <c:pt idx="0">
                  <c:v>8888</c:v>
                </c:pt>
                <c:pt idx="1">
                  <c:v>8888.43</c:v>
                </c:pt>
                <c:pt idx="2">
                  <c:v>8888.43</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xVal>
          <c:yVal>
            <c:numRef>
              <c:f>'Data Fuselage'!$AG$606:$AG$630</c:f>
              <c:numCache>
                <c:formatCode>General</c:formatCode>
                <c:ptCount val="25"/>
                <c:pt idx="0">
                  <c:v>8888</c:v>
                </c:pt>
                <c:pt idx="1">
                  <c:v>8888</c:v>
                </c:pt>
                <c:pt idx="2">
                  <c:v>8887.5</c:v>
                </c:pt>
                <c:pt idx="3">
                  <c:v>8887.5</c:v>
                </c:pt>
                <c:pt idx="4">
                  <c:v>8887.5</c:v>
                </c:pt>
                <c:pt idx="5">
                  <c:v>8887.5</c:v>
                </c:pt>
                <c:pt idx="6">
                  <c:v>8887.5</c:v>
                </c:pt>
                <c:pt idx="7">
                  <c:v>8887.5</c:v>
                </c:pt>
                <c:pt idx="8">
                  <c:v>8887.5</c:v>
                </c:pt>
                <c:pt idx="9">
                  <c:v>8887.5</c:v>
                </c:pt>
                <c:pt idx="10">
                  <c:v>8887.5</c:v>
                </c:pt>
                <c:pt idx="11">
                  <c:v>8887.5</c:v>
                </c:pt>
                <c:pt idx="12">
                  <c:v>8887.5</c:v>
                </c:pt>
                <c:pt idx="13">
                  <c:v>8887.5</c:v>
                </c:pt>
                <c:pt idx="14">
                  <c:v>8887.5</c:v>
                </c:pt>
                <c:pt idx="15">
                  <c:v>8887.5</c:v>
                </c:pt>
                <c:pt idx="16">
                  <c:v>8887.5</c:v>
                </c:pt>
                <c:pt idx="17">
                  <c:v>8887.5</c:v>
                </c:pt>
                <c:pt idx="18">
                  <c:v>8887.5</c:v>
                </c:pt>
                <c:pt idx="19">
                  <c:v>8887.5</c:v>
                </c:pt>
                <c:pt idx="20">
                  <c:v>8887.5</c:v>
                </c:pt>
                <c:pt idx="21">
                  <c:v>8887.5</c:v>
                </c:pt>
                <c:pt idx="22">
                  <c:v>8887.5</c:v>
                </c:pt>
                <c:pt idx="23">
                  <c:v>8887.5</c:v>
                </c:pt>
                <c:pt idx="24">
                  <c:v>8888</c:v>
                </c:pt>
              </c:numCache>
            </c:numRef>
          </c:yVal>
          <c:smooth val="0"/>
          <c:extLst>
            <c:ext xmlns:c16="http://schemas.microsoft.com/office/drawing/2014/chart" uri="{C3380CC4-5D6E-409C-BE32-E72D297353CC}">
              <c16:uniqueId val="{00000021-819C-4C0B-B4D9-7F526BD4C7F7}"/>
            </c:ext>
          </c:extLst>
        </c:ser>
        <c:ser>
          <c:idx val="35"/>
          <c:order val="34"/>
          <c:tx>
            <c:strRef>
              <c:f>'Data Fuselage'!$AJ$604</c:f>
              <c:strCache>
                <c:ptCount val="1"/>
                <c:pt idx="0">
                  <c:v>YC</c:v>
                </c:pt>
              </c:strCache>
            </c:strRef>
          </c:tx>
          <c:spPr>
            <a:ln w="12700">
              <a:solidFill>
                <a:srgbClr val="0000FF"/>
              </a:solidFill>
              <a:prstDash val="solid"/>
            </a:ln>
          </c:spPr>
          <c:marker>
            <c:symbol val="none"/>
          </c:marker>
          <c:xVal>
            <c:numRef>
              <c:f>'Data Fuselage'!$AJ$606:$AJ$618</c:f>
              <c:numCache>
                <c:formatCode>General</c:formatCode>
                <c:ptCount val="13"/>
                <c:pt idx="0">
                  <c:v>-10.962000000000002</c:v>
                </c:pt>
                <c:pt idx="1">
                  <c:v>-10.532000000000002</c:v>
                </c:pt>
                <c:pt idx="2">
                  <c:v>-10.532000000000002</c:v>
                </c:pt>
                <c:pt idx="3">
                  <c:v>-10.962000000000002</c:v>
                </c:pt>
                <c:pt idx="4">
                  <c:v>-10.962000000000002</c:v>
                </c:pt>
                <c:pt idx="5">
                  <c:v>-10.532000000000002</c:v>
                </c:pt>
                <c:pt idx="6">
                  <c:v>-10.532000000000002</c:v>
                </c:pt>
                <c:pt idx="7">
                  <c:v>-10.962000000000002</c:v>
                </c:pt>
                <c:pt idx="8">
                  <c:v>-10.962000000000002</c:v>
                </c:pt>
                <c:pt idx="9">
                  <c:v>-10.962000000000002</c:v>
                </c:pt>
                <c:pt idx="10">
                  <c:v>-10.962000000000002</c:v>
                </c:pt>
                <c:pt idx="11">
                  <c:v>-10.962000000000002</c:v>
                </c:pt>
                <c:pt idx="12">
                  <c:v>-10.962000000000002</c:v>
                </c:pt>
              </c:numCache>
            </c:numRef>
          </c:xVal>
          <c:yVal>
            <c:numRef>
              <c:f>'Data Fuselage'!$AK$606:$AK$618</c:f>
              <c:numCache>
                <c:formatCode>General</c:formatCode>
                <c:ptCount val="13"/>
                <c:pt idx="0">
                  <c:v>-0.25999999999999979</c:v>
                </c:pt>
                <c:pt idx="1">
                  <c:v>-0.25999999999999979</c:v>
                </c:pt>
                <c:pt idx="2">
                  <c:v>-0.75999999999999979</c:v>
                </c:pt>
                <c:pt idx="3">
                  <c:v>-0.75999999999999979</c:v>
                </c:pt>
                <c:pt idx="4">
                  <c:v>-0.81999999999999984</c:v>
                </c:pt>
                <c:pt idx="5">
                  <c:v>-0.81999999999999984</c:v>
                </c:pt>
                <c:pt idx="6">
                  <c:v>-1.3199999999999998</c:v>
                </c:pt>
                <c:pt idx="7">
                  <c:v>-1.3199999999999998</c:v>
                </c:pt>
                <c:pt idx="8">
                  <c:v>-1.3199999999999998</c:v>
                </c:pt>
                <c:pt idx="9">
                  <c:v>-1.3199999999999998</c:v>
                </c:pt>
                <c:pt idx="10">
                  <c:v>-1.3199999999999998</c:v>
                </c:pt>
                <c:pt idx="11">
                  <c:v>-1.3199999999999998</c:v>
                </c:pt>
                <c:pt idx="12">
                  <c:v>-0.25999999999999979</c:v>
                </c:pt>
              </c:numCache>
            </c:numRef>
          </c:yVal>
          <c:smooth val="0"/>
          <c:extLst>
            <c:ext xmlns:c16="http://schemas.microsoft.com/office/drawing/2014/chart" uri="{C3380CC4-5D6E-409C-BE32-E72D297353CC}">
              <c16:uniqueId val="{00000022-819C-4C0B-B4D9-7F526BD4C7F7}"/>
            </c:ext>
          </c:extLst>
        </c:ser>
        <c:ser>
          <c:idx val="36"/>
          <c:order val="35"/>
          <c:tx>
            <c:strRef>
              <c:f>'Data Fuselage'!$AB$640</c:f>
              <c:strCache>
                <c:ptCount val="1"/>
                <c:pt idx="0">
                  <c:v>YC</c:v>
                </c:pt>
              </c:strCache>
            </c:strRef>
          </c:tx>
          <c:spPr>
            <a:ln w="12700">
              <a:solidFill>
                <a:srgbClr val="0000FF"/>
              </a:solidFill>
              <a:prstDash val="solid"/>
            </a:ln>
          </c:spPr>
          <c:marker>
            <c:symbol val="none"/>
          </c:marker>
          <c:xVal>
            <c:numRef>
              <c:f>'Data Fuselage'!$AB$642:$AB$654</c:f>
              <c:numCache>
                <c:formatCode>General</c:formatCode>
                <c:ptCount val="13"/>
                <c:pt idx="0">
                  <c:v>-11.762000000000002</c:v>
                </c:pt>
                <c:pt idx="1">
                  <c:v>-11.332000000000003</c:v>
                </c:pt>
                <c:pt idx="2">
                  <c:v>-11.332000000000003</c:v>
                </c:pt>
                <c:pt idx="3">
                  <c:v>-11.762000000000002</c:v>
                </c:pt>
                <c:pt idx="4">
                  <c:v>-11.762000000000002</c:v>
                </c:pt>
                <c:pt idx="5">
                  <c:v>-11.332000000000003</c:v>
                </c:pt>
                <c:pt idx="6">
                  <c:v>-11.332000000000003</c:v>
                </c:pt>
                <c:pt idx="7">
                  <c:v>-11.762000000000002</c:v>
                </c:pt>
                <c:pt idx="8">
                  <c:v>-11.762000000000002</c:v>
                </c:pt>
                <c:pt idx="9">
                  <c:v>-11.762000000000002</c:v>
                </c:pt>
                <c:pt idx="10">
                  <c:v>-11.762000000000002</c:v>
                </c:pt>
                <c:pt idx="11">
                  <c:v>-11.762000000000002</c:v>
                </c:pt>
                <c:pt idx="12">
                  <c:v>-11.762000000000002</c:v>
                </c:pt>
              </c:numCache>
            </c:numRef>
          </c:xVal>
          <c:yVal>
            <c:numRef>
              <c:f>'Data Fuselage'!$AC$642:$AC$654</c:f>
              <c:numCache>
                <c:formatCode>General</c:formatCode>
                <c:ptCount val="13"/>
                <c:pt idx="0">
                  <c:v>1.3199999999999998</c:v>
                </c:pt>
                <c:pt idx="1">
                  <c:v>1.3199999999999998</c:v>
                </c:pt>
                <c:pt idx="2">
                  <c:v>0.81999999999999984</c:v>
                </c:pt>
                <c:pt idx="3">
                  <c:v>0.81999999999999984</c:v>
                </c:pt>
                <c:pt idx="4">
                  <c:v>0.75999999999999979</c:v>
                </c:pt>
                <c:pt idx="5">
                  <c:v>0.75999999999999979</c:v>
                </c:pt>
                <c:pt idx="6">
                  <c:v>0.25999999999999979</c:v>
                </c:pt>
                <c:pt idx="7">
                  <c:v>0.25999999999999979</c:v>
                </c:pt>
                <c:pt idx="8">
                  <c:v>0.25999999999999979</c:v>
                </c:pt>
                <c:pt idx="9">
                  <c:v>0.25999999999999979</c:v>
                </c:pt>
                <c:pt idx="10">
                  <c:v>0.25999999999999979</c:v>
                </c:pt>
                <c:pt idx="11">
                  <c:v>0.25999999999999979</c:v>
                </c:pt>
                <c:pt idx="12">
                  <c:v>1.3199999999999998</c:v>
                </c:pt>
              </c:numCache>
            </c:numRef>
          </c:yVal>
          <c:smooth val="0"/>
          <c:extLst>
            <c:ext xmlns:c16="http://schemas.microsoft.com/office/drawing/2014/chart" uri="{C3380CC4-5D6E-409C-BE32-E72D297353CC}">
              <c16:uniqueId val="{00000023-819C-4C0B-B4D9-7F526BD4C7F7}"/>
            </c:ext>
          </c:extLst>
        </c:ser>
        <c:ser>
          <c:idx val="37"/>
          <c:order val="36"/>
          <c:tx>
            <c:strRef>
              <c:f>'Data Fuselage'!$AF$640</c:f>
              <c:strCache>
                <c:ptCount val="1"/>
                <c:pt idx="0">
                  <c:v>YC</c:v>
                </c:pt>
              </c:strCache>
            </c:strRef>
          </c:tx>
          <c:spPr>
            <a:ln w="12700">
              <a:solidFill>
                <a:srgbClr val="0000FF"/>
              </a:solidFill>
              <a:prstDash val="solid"/>
            </a:ln>
          </c:spPr>
          <c:marker>
            <c:symbol val="none"/>
          </c:marker>
          <c:xVal>
            <c:numRef>
              <c:f>'Data Fuselage'!$AF$642:$AF$666</c:f>
              <c:numCache>
                <c:formatCode>General</c:formatCode>
                <c:ptCount val="25"/>
                <c:pt idx="0">
                  <c:v>8888</c:v>
                </c:pt>
                <c:pt idx="1">
                  <c:v>8888.43</c:v>
                </c:pt>
                <c:pt idx="2">
                  <c:v>8888.43</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xVal>
          <c:yVal>
            <c:numRef>
              <c:f>'Data Fuselage'!$AG$642:$AG$666</c:f>
              <c:numCache>
                <c:formatCode>General</c:formatCode>
                <c:ptCount val="25"/>
                <c:pt idx="0">
                  <c:v>8888</c:v>
                </c:pt>
                <c:pt idx="1">
                  <c:v>8888</c:v>
                </c:pt>
                <c:pt idx="2">
                  <c:v>8887.5</c:v>
                </c:pt>
                <c:pt idx="3">
                  <c:v>8887.5</c:v>
                </c:pt>
                <c:pt idx="4">
                  <c:v>8887.5</c:v>
                </c:pt>
                <c:pt idx="5">
                  <c:v>8887.5</c:v>
                </c:pt>
                <c:pt idx="6">
                  <c:v>8887.5</c:v>
                </c:pt>
                <c:pt idx="7">
                  <c:v>8887.5</c:v>
                </c:pt>
                <c:pt idx="8">
                  <c:v>8887.5</c:v>
                </c:pt>
                <c:pt idx="9">
                  <c:v>8887.5</c:v>
                </c:pt>
                <c:pt idx="10">
                  <c:v>8887.5</c:v>
                </c:pt>
                <c:pt idx="11">
                  <c:v>8887.5</c:v>
                </c:pt>
                <c:pt idx="12">
                  <c:v>8887.5</c:v>
                </c:pt>
                <c:pt idx="13">
                  <c:v>8887.5</c:v>
                </c:pt>
                <c:pt idx="14">
                  <c:v>8887.5</c:v>
                </c:pt>
                <c:pt idx="15">
                  <c:v>8887.5</c:v>
                </c:pt>
                <c:pt idx="16">
                  <c:v>8887.5</c:v>
                </c:pt>
                <c:pt idx="17">
                  <c:v>8887.5</c:v>
                </c:pt>
                <c:pt idx="18">
                  <c:v>8887.5</c:v>
                </c:pt>
                <c:pt idx="19">
                  <c:v>8887.5</c:v>
                </c:pt>
                <c:pt idx="20">
                  <c:v>8887.5</c:v>
                </c:pt>
                <c:pt idx="21">
                  <c:v>8887.5</c:v>
                </c:pt>
                <c:pt idx="22">
                  <c:v>8887.5</c:v>
                </c:pt>
                <c:pt idx="23">
                  <c:v>8887.5</c:v>
                </c:pt>
                <c:pt idx="24">
                  <c:v>8888</c:v>
                </c:pt>
              </c:numCache>
            </c:numRef>
          </c:yVal>
          <c:smooth val="0"/>
          <c:extLst>
            <c:ext xmlns:c16="http://schemas.microsoft.com/office/drawing/2014/chart" uri="{C3380CC4-5D6E-409C-BE32-E72D297353CC}">
              <c16:uniqueId val="{00000024-819C-4C0B-B4D9-7F526BD4C7F7}"/>
            </c:ext>
          </c:extLst>
        </c:ser>
        <c:ser>
          <c:idx val="38"/>
          <c:order val="37"/>
          <c:tx>
            <c:strRef>
              <c:f>'Data Fuselage'!$AJ$640</c:f>
              <c:strCache>
                <c:ptCount val="1"/>
                <c:pt idx="0">
                  <c:v>YC</c:v>
                </c:pt>
              </c:strCache>
            </c:strRef>
          </c:tx>
          <c:spPr>
            <a:ln w="12700">
              <a:solidFill>
                <a:srgbClr val="0000FF"/>
              </a:solidFill>
              <a:prstDash val="solid"/>
            </a:ln>
          </c:spPr>
          <c:marker>
            <c:symbol val="none"/>
          </c:marker>
          <c:xVal>
            <c:numRef>
              <c:f>'Data Fuselage'!$AJ$642:$AJ$654</c:f>
              <c:numCache>
                <c:formatCode>General</c:formatCode>
                <c:ptCount val="13"/>
                <c:pt idx="0">
                  <c:v>-11.762000000000002</c:v>
                </c:pt>
                <c:pt idx="1">
                  <c:v>-11.332000000000003</c:v>
                </c:pt>
                <c:pt idx="2">
                  <c:v>-11.332000000000003</c:v>
                </c:pt>
                <c:pt idx="3">
                  <c:v>-11.762000000000002</c:v>
                </c:pt>
                <c:pt idx="4">
                  <c:v>-11.762000000000002</c:v>
                </c:pt>
                <c:pt idx="5">
                  <c:v>-11.332000000000003</c:v>
                </c:pt>
                <c:pt idx="6">
                  <c:v>-11.332000000000003</c:v>
                </c:pt>
                <c:pt idx="7">
                  <c:v>-11.762000000000002</c:v>
                </c:pt>
                <c:pt idx="8">
                  <c:v>-11.762000000000002</c:v>
                </c:pt>
                <c:pt idx="9">
                  <c:v>-11.762000000000002</c:v>
                </c:pt>
                <c:pt idx="10">
                  <c:v>-11.762000000000002</c:v>
                </c:pt>
                <c:pt idx="11">
                  <c:v>-11.762000000000002</c:v>
                </c:pt>
                <c:pt idx="12">
                  <c:v>-11.762000000000002</c:v>
                </c:pt>
              </c:numCache>
            </c:numRef>
          </c:xVal>
          <c:yVal>
            <c:numRef>
              <c:f>'Data Fuselage'!$AK$642:$AK$654</c:f>
              <c:numCache>
                <c:formatCode>General</c:formatCode>
                <c:ptCount val="13"/>
                <c:pt idx="0">
                  <c:v>-0.25999999999999979</c:v>
                </c:pt>
                <c:pt idx="1">
                  <c:v>-0.25999999999999979</c:v>
                </c:pt>
                <c:pt idx="2">
                  <c:v>-0.75999999999999979</c:v>
                </c:pt>
                <c:pt idx="3">
                  <c:v>-0.75999999999999979</c:v>
                </c:pt>
                <c:pt idx="4">
                  <c:v>-0.81999999999999984</c:v>
                </c:pt>
                <c:pt idx="5">
                  <c:v>-0.81999999999999984</c:v>
                </c:pt>
                <c:pt idx="6">
                  <c:v>-1.3199999999999998</c:v>
                </c:pt>
                <c:pt idx="7">
                  <c:v>-1.3199999999999998</c:v>
                </c:pt>
                <c:pt idx="8">
                  <c:v>-1.3199999999999998</c:v>
                </c:pt>
                <c:pt idx="9">
                  <c:v>-1.3199999999999998</c:v>
                </c:pt>
                <c:pt idx="10">
                  <c:v>-1.3199999999999998</c:v>
                </c:pt>
                <c:pt idx="11">
                  <c:v>-1.3199999999999998</c:v>
                </c:pt>
                <c:pt idx="12">
                  <c:v>-0.25999999999999979</c:v>
                </c:pt>
              </c:numCache>
            </c:numRef>
          </c:yVal>
          <c:smooth val="0"/>
          <c:extLst>
            <c:ext xmlns:c16="http://schemas.microsoft.com/office/drawing/2014/chart" uri="{C3380CC4-5D6E-409C-BE32-E72D297353CC}">
              <c16:uniqueId val="{00000025-819C-4C0B-B4D9-7F526BD4C7F7}"/>
            </c:ext>
          </c:extLst>
        </c:ser>
        <c:ser>
          <c:idx val="39"/>
          <c:order val="38"/>
          <c:tx>
            <c:strRef>
              <c:f>'Data Fuselage'!$AB$676</c:f>
              <c:strCache>
                <c:ptCount val="1"/>
                <c:pt idx="0">
                  <c:v>YC</c:v>
                </c:pt>
              </c:strCache>
            </c:strRef>
          </c:tx>
          <c:spPr>
            <a:ln w="12700">
              <a:solidFill>
                <a:srgbClr val="0000FF"/>
              </a:solidFill>
              <a:prstDash val="solid"/>
            </a:ln>
          </c:spPr>
          <c:marker>
            <c:symbol val="none"/>
          </c:marker>
          <c:xVal>
            <c:numRef>
              <c:f>'Data Fuselage'!$AB$678:$AB$690</c:f>
              <c:numCache>
                <c:formatCode>General</c:formatCode>
                <c:ptCount val="13"/>
                <c:pt idx="0">
                  <c:v>-12.562000000000003</c:v>
                </c:pt>
                <c:pt idx="1">
                  <c:v>-12.132000000000003</c:v>
                </c:pt>
                <c:pt idx="2">
                  <c:v>-12.132000000000003</c:v>
                </c:pt>
                <c:pt idx="3">
                  <c:v>-12.562000000000003</c:v>
                </c:pt>
                <c:pt idx="4">
                  <c:v>-12.562000000000003</c:v>
                </c:pt>
                <c:pt idx="5">
                  <c:v>-12.132000000000003</c:v>
                </c:pt>
                <c:pt idx="6">
                  <c:v>-12.132000000000003</c:v>
                </c:pt>
                <c:pt idx="7">
                  <c:v>-12.562000000000003</c:v>
                </c:pt>
                <c:pt idx="8">
                  <c:v>-12.562000000000003</c:v>
                </c:pt>
                <c:pt idx="9">
                  <c:v>-12.562000000000003</c:v>
                </c:pt>
                <c:pt idx="10">
                  <c:v>-12.562000000000003</c:v>
                </c:pt>
                <c:pt idx="11">
                  <c:v>-12.562000000000003</c:v>
                </c:pt>
                <c:pt idx="12">
                  <c:v>-12.562000000000003</c:v>
                </c:pt>
              </c:numCache>
            </c:numRef>
          </c:xVal>
          <c:yVal>
            <c:numRef>
              <c:f>'Data Fuselage'!$AC$678:$AC$690</c:f>
              <c:numCache>
                <c:formatCode>General</c:formatCode>
                <c:ptCount val="13"/>
                <c:pt idx="0">
                  <c:v>1.3199999999999998</c:v>
                </c:pt>
                <c:pt idx="1">
                  <c:v>1.3199999999999998</c:v>
                </c:pt>
                <c:pt idx="2">
                  <c:v>0.81999999999999984</c:v>
                </c:pt>
                <c:pt idx="3">
                  <c:v>0.81999999999999984</c:v>
                </c:pt>
                <c:pt idx="4">
                  <c:v>0.75999999999999979</c:v>
                </c:pt>
                <c:pt idx="5">
                  <c:v>0.75999999999999979</c:v>
                </c:pt>
                <c:pt idx="6">
                  <c:v>0.25999999999999979</c:v>
                </c:pt>
                <c:pt idx="7">
                  <c:v>0.25999999999999979</c:v>
                </c:pt>
                <c:pt idx="8">
                  <c:v>0.25999999999999979</c:v>
                </c:pt>
                <c:pt idx="9">
                  <c:v>0.25999999999999979</c:v>
                </c:pt>
                <c:pt idx="10">
                  <c:v>0.25999999999999979</c:v>
                </c:pt>
                <c:pt idx="11">
                  <c:v>0.25999999999999979</c:v>
                </c:pt>
                <c:pt idx="12">
                  <c:v>1.3199999999999998</c:v>
                </c:pt>
              </c:numCache>
            </c:numRef>
          </c:yVal>
          <c:smooth val="0"/>
          <c:extLst>
            <c:ext xmlns:c16="http://schemas.microsoft.com/office/drawing/2014/chart" uri="{C3380CC4-5D6E-409C-BE32-E72D297353CC}">
              <c16:uniqueId val="{00000026-819C-4C0B-B4D9-7F526BD4C7F7}"/>
            </c:ext>
          </c:extLst>
        </c:ser>
        <c:ser>
          <c:idx val="40"/>
          <c:order val="39"/>
          <c:tx>
            <c:strRef>
              <c:f>'Data Fuselage'!$AF$676</c:f>
              <c:strCache>
                <c:ptCount val="1"/>
                <c:pt idx="0">
                  <c:v>YC</c:v>
                </c:pt>
              </c:strCache>
            </c:strRef>
          </c:tx>
          <c:spPr>
            <a:ln w="12700">
              <a:solidFill>
                <a:srgbClr val="0000FF"/>
              </a:solidFill>
              <a:prstDash val="solid"/>
            </a:ln>
          </c:spPr>
          <c:marker>
            <c:symbol val="none"/>
          </c:marker>
          <c:xVal>
            <c:numRef>
              <c:f>'Data Fuselage'!$AF$678:$AF$702</c:f>
              <c:numCache>
                <c:formatCode>General</c:formatCode>
                <c:ptCount val="25"/>
                <c:pt idx="0">
                  <c:v>8888</c:v>
                </c:pt>
                <c:pt idx="1">
                  <c:v>8888.43</c:v>
                </c:pt>
                <c:pt idx="2">
                  <c:v>8888.43</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xVal>
          <c:yVal>
            <c:numRef>
              <c:f>'Data Fuselage'!$AG$678:$AG$702</c:f>
              <c:numCache>
                <c:formatCode>General</c:formatCode>
                <c:ptCount val="25"/>
                <c:pt idx="0">
                  <c:v>8888</c:v>
                </c:pt>
                <c:pt idx="1">
                  <c:v>8888</c:v>
                </c:pt>
                <c:pt idx="2">
                  <c:v>8887.5</c:v>
                </c:pt>
                <c:pt idx="3">
                  <c:v>8887.5</c:v>
                </c:pt>
                <c:pt idx="4">
                  <c:v>8887.5</c:v>
                </c:pt>
                <c:pt idx="5">
                  <c:v>8887.5</c:v>
                </c:pt>
                <c:pt idx="6">
                  <c:v>8887.5</c:v>
                </c:pt>
                <c:pt idx="7">
                  <c:v>8887.5</c:v>
                </c:pt>
                <c:pt idx="8">
                  <c:v>8887.5</c:v>
                </c:pt>
                <c:pt idx="9">
                  <c:v>8887.5</c:v>
                </c:pt>
                <c:pt idx="10">
                  <c:v>8887.5</c:v>
                </c:pt>
                <c:pt idx="11">
                  <c:v>8887.5</c:v>
                </c:pt>
                <c:pt idx="12">
                  <c:v>8887.5</c:v>
                </c:pt>
                <c:pt idx="13">
                  <c:v>8887.5</c:v>
                </c:pt>
                <c:pt idx="14">
                  <c:v>8887.5</c:v>
                </c:pt>
                <c:pt idx="15">
                  <c:v>8887.5</c:v>
                </c:pt>
                <c:pt idx="16">
                  <c:v>8887.5</c:v>
                </c:pt>
                <c:pt idx="17">
                  <c:v>8887.5</c:v>
                </c:pt>
                <c:pt idx="18">
                  <c:v>8887.5</c:v>
                </c:pt>
                <c:pt idx="19">
                  <c:v>8887.5</c:v>
                </c:pt>
                <c:pt idx="20">
                  <c:v>8887.5</c:v>
                </c:pt>
                <c:pt idx="21">
                  <c:v>8887.5</c:v>
                </c:pt>
                <c:pt idx="22">
                  <c:v>8887.5</c:v>
                </c:pt>
                <c:pt idx="23">
                  <c:v>8887.5</c:v>
                </c:pt>
                <c:pt idx="24">
                  <c:v>8888</c:v>
                </c:pt>
              </c:numCache>
            </c:numRef>
          </c:yVal>
          <c:smooth val="0"/>
          <c:extLst>
            <c:ext xmlns:c16="http://schemas.microsoft.com/office/drawing/2014/chart" uri="{C3380CC4-5D6E-409C-BE32-E72D297353CC}">
              <c16:uniqueId val="{00000027-819C-4C0B-B4D9-7F526BD4C7F7}"/>
            </c:ext>
          </c:extLst>
        </c:ser>
        <c:ser>
          <c:idx val="41"/>
          <c:order val="40"/>
          <c:tx>
            <c:strRef>
              <c:f>'Data Fuselage'!$AJ$676</c:f>
              <c:strCache>
                <c:ptCount val="1"/>
                <c:pt idx="0">
                  <c:v>YC</c:v>
                </c:pt>
              </c:strCache>
            </c:strRef>
          </c:tx>
          <c:spPr>
            <a:ln w="12700">
              <a:solidFill>
                <a:srgbClr val="0000FF"/>
              </a:solidFill>
              <a:prstDash val="solid"/>
            </a:ln>
          </c:spPr>
          <c:marker>
            <c:symbol val="none"/>
          </c:marker>
          <c:xVal>
            <c:numRef>
              <c:f>'Data Fuselage'!$AJ$678:$AJ$690</c:f>
              <c:numCache>
                <c:formatCode>General</c:formatCode>
                <c:ptCount val="13"/>
                <c:pt idx="0">
                  <c:v>-12.562000000000003</c:v>
                </c:pt>
                <c:pt idx="1">
                  <c:v>-12.132000000000003</c:v>
                </c:pt>
                <c:pt idx="2">
                  <c:v>-12.132000000000003</c:v>
                </c:pt>
                <c:pt idx="3">
                  <c:v>-12.562000000000003</c:v>
                </c:pt>
                <c:pt idx="4">
                  <c:v>-12.562000000000003</c:v>
                </c:pt>
                <c:pt idx="5">
                  <c:v>-12.132000000000003</c:v>
                </c:pt>
                <c:pt idx="6">
                  <c:v>-12.132000000000003</c:v>
                </c:pt>
                <c:pt idx="7">
                  <c:v>-12.562000000000003</c:v>
                </c:pt>
                <c:pt idx="8">
                  <c:v>-12.562000000000003</c:v>
                </c:pt>
                <c:pt idx="9">
                  <c:v>-12.562000000000003</c:v>
                </c:pt>
                <c:pt idx="10">
                  <c:v>-12.562000000000003</c:v>
                </c:pt>
                <c:pt idx="11">
                  <c:v>-12.562000000000003</c:v>
                </c:pt>
                <c:pt idx="12">
                  <c:v>-12.562000000000003</c:v>
                </c:pt>
              </c:numCache>
            </c:numRef>
          </c:xVal>
          <c:yVal>
            <c:numRef>
              <c:f>'Data Fuselage'!$AK$678:$AK$690</c:f>
              <c:numCache>
                <c:formatCode>General</c:formatCode>
                <c:ptCount val="13"/>
                <c:pt idx="0">
                  <c:v>-0.25999999999999979</c:v>
                </c:pt>
                <c:pt idx="1">
                  <c:v>-0.25999999999999979</c:v>
                </c:pt>
                <c:pt idx="2">
                  <c:v>-0.75999999999999979</c:v>
                </c:pt>
                <c:pt idx="3">
                  <c:v>-0.75999999999999979</c:v>
                </c:pt>
                <c:pt idx="4">
                  <c:v>-0.81999999999999984</c:v>
                </c:pt>
                <c:pt idx="5">
                  <c:v>-0.81999999999999984</c:v>
                </c:pt>
                <c:pt idx="6">
                  <c:v>-1.3199999999999998</c:v>
                </c:pt>
                <c:pt idx="7">
                  <c:v>-1.3199999999999998</c:v>
                </c:pt>
                <c:pt idx="8">
                  <c:v>-1.3199999999999998</c:v>
                </c:pt>
                <c:pt idx="9">
                  <c:v>-1.3199999999999998</c:v>
                </c:pt>
                <c:pt idx="10">
                  <c:v>-1.3199999999999998</c:v>
                </c:pt>
                <c:pt idx="11">
                  <c:v>-1.3199999999999998</c:v>
                </c:pt>
                <c:pt idx="12">
                  <c:v>-0.25999999999999979</c:v>
                </c:pt>
              </c:numCache>
            </c:numRef>
          </c:yVal>
          <c:smooth val="0"/>
          <c:extLst>
            <c:ext xmlns:c16="http://schemas.microsoft.com/office/drawing/2014/chart" uri="{C3380CC4-5D6E-409C-BE32-E72D297353CC}">
              <c16:uniqueId val="{00000028-819C-4C0B-B4D9-7F526BD4C7F7}"/>
            </c:ext>
          </c:extLst>
        </c:ser>
        <c:ser>
          <c:idx val="42"/>
          <c:order val="41"/>
          <c:tx>
            <c:strRef>
              <c:f>'Data Fuselage'!$AB$712</c:f>
              <c:strCache>
                <c:ptCount val="1"/>
                <c:pt idx="0">
                  <c:v>YC</c:v>
                </c:pt>
              </c:strCache>
            </c:strRef>
          </c:tx>
          <c:spPr>
            <a:ln w="12700">
              <a:solidFill>
                <a:srgbClr val="0000FF"/>
              </a:solidFill>
              <a:prstDash val="solid"/>
            </a:ln>
          </c:spPr>
          <c:marker>
            <c:symbol val="none"/>
          </c:marker>
          <c:xVal>
            <c:numRef>
              <c:f>'Data Fuselage'!$AB$714:$AB$726</c:f>
              <c:numCache>
                <c:formatCode>General</c:formatCode>
                <c:ptCount val="13"/>
                <c:pt idx="0">
                  <c:v>-13.362000000000004</c:v>
                </c:pt>
                <c:pt idx="1">
                  <c:v>-12.932000000000004</c:v>
                </c:pt>
                <c:pt idx="2">
                  <c:v>-12.932000000000004</c:v>
                </c:pt>
                <c:pt idx="3">
                  <c:v>-13.362000000000004</c:v>
                </c:pt>
                <c:pt idx="4">
                  <c:v>-13.362000000000004</c:v>
                </c:pt>
                <c:pt idx="5">
                  <c:v>-12.932000000000004</c:v>
                </c:pt>
                <c:pt idx="6">
                  <c:v>-12.932000000000004</c:v>
                </c:pt>
                <c:pt idx="7">
                  <c:v>-13.362000000000004</c:v>
                </c:pt>
                <c:pt idx="8">
                  <c:v>-13.362000000000004</c:v>
                </c:pt>
                <c:pt idx="9">
                  <c:v>-13.362000000000004</c:v>
                </c:pt>
                <c:pt idx="10">
                  <c:v>-13.362000000000004</c:v>
                </c:pt>
                <c:pt idx="11">
                  <c:v>-13.362000000000004</c:v>
                </c:pt>
                <c:pt idx="12">
                  <c:v>-13.362000000000004</c:v>
                </c:pt>
              </c:numCache>
            </c:numRef>
          </c:xVal>
          <c:yVal>
            <c:numRef>
              <c:f>'Data Fuselage'!$AC$714:$AC$726</c:f>
              <c:numCache>
                <c:formatCode>General</c:formatCode>
                <c:ptCount val="13"/>
                <c:pt idx="0">
                  <c:v>1.3199999999999998</c:v>
                </c:pt>
                <c:pt idx="1">
                  <c:v>1.3199999999999998</c:v>
                </c:pt>
                <c:pt idx="2">
                  <c:v>0.81999999999999984</c:v>
                </c:pt>
                <c:pt idx="3">
                  <c:v>0.81999999999999984</c:v>
                </c:pt>
                <c:pt idx="4">
                  <c:v>0.75999999999999979</c:v>
                </c:pt>
                <c:pt idx="5">
                  <c:v>0.75999999999999979</c:v>
                </c:pt>
                <c:pt idx="6">
                  <c:v>0.25999999999999979</c:v>
                </c:pt>
                <c:pt idx="7">
                  <c:v>0.25999999999999979</c:v>
                </c:pt>
                <c:pt idx="8">
                  <c:v>0.25999999999999979</c:v>
                </c:pt>
                <c:pt idx="9">
                  <c:v>0.25999999999999979</c:v>
                </c:pt>
                <c:pt idx="10">
                  <c:v>0.25999999999999979</c:v>
                </c:pt>
                <c:pt idx="11">
                  <c:v>0.25999999999999979</c:v>
                </c:pt>
                <c:pt idx="12">
                  <c:v>1.3199999999999998</c:v>
                </c:pt>
              </c:numCache>
            </c:numRef>
          </c:yVal>
          <c:smooth val="0"/>
          <c:extLst>
            <c:ext xmlns:c16="http://schemas.microsoft.com/office/drawing/2014/chart" uri="{C3380CC4-5D6E-409C-BE32-E72D297353CC}">
              <c16:uniqueId val="{00000029-819C-4C0B-B4D9-7F526BD4C7F7}"/>
            </c:ext>
          </c:extLst>
        </c:ser>
        <c:ser>
          <c:idx val="43"/>
          <c:order val="42"/>
          <c:tx>
            <c:strRef>
              <c:f>'Data Fuselage'!$AF$712</c:f>
              <c:strCache>
                <c:ptCount val="1"/>
                <c:pt idx="0">
                  <c:v>YC</c:v>
                </c:pt>
              </c:strCache>
            </c:strRef>
          </c:tx>
          <c:spPr>
            <a:ln w="12700">
              <a:solidFill>
                <a:srgbClr val="0000FF"/>
              </a:solidFill>
              <a:prstDash val="solid"/>
            </a:ln>
          </c:spPr>
          <c:marker>
            <c:symbol val="none"/>
          </c:marker>
          <c:xVal>
            <c:numRef>
              <c:f>'Data Fuselage'!$AF$714:$AF$738</c:f>
              <c:numCache>
                <c:formatCode>General</c:formatCode>
                <c:ptCount val="25"/>
                <c:pt idx="0">
                  <c:v>8888</c:v>
                </c:pt>
                <c:pt idx="1">
                  <c:v>8888.43</c:v>
                </c:pt>
                <c:pt idx="2">
                  <c:v>8888.43</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xVal>
          <c:yVal>
            <c:numRef>
              <c:f>'Data Fuselage'!$AG$714:$AG$738</c:f>
              <c:numCache>
                <c:formatCode>General</c:formatCode>
                <c:ptCount val="25"/>
                <c:pt idx="0">
                  <c:v>8888</c:v>
                </c:pt>
                <c:pt idx="1">
                  <c:v>8888</c:v>
                </c:pt>
                <c:pt idx="2">
                  <c:v>8887.5</c:v>
                </c:pt>
                <c:pt idx="3">
                  <c:v>8887.5</c:v>
                </c:pt>
                <c:pt idx="4">
                  <c:v>8887.5</c:v>
                </c:pt>
                <c:pt idx="5">
                  <c:v>8887.5</c:v>
                </c:pt>
                <c:pt idx="6">
                  <c:v>8887.5</c:v>
                </c:pt>
                <c:pt idx="7">
                  <c:v>8887.5</c:v>
                </c:pt>
                <c:pt idx="8">
                  <c:v>8887.5</c:v>
                </c:pt>
                <c:pt idx="9">
                  <c:v>8887.5</c:v>
                </c:pt>
                <c:pt idx="10">
                  <c:v>8887.5</c:v>
                </c:pt>
                <c:pt idx="11">
                  <c:v>8887.5</c:v>
                </c:pt>
                <c:pt idx="12">
                  <c:v>8887.5</c:v>
                </c:pt>
                <c:pt idx="13">
                  <c:v>8887.5</c:v>
                </c:pt>
                <c:pt idx="14">
                  <c:v>8887.5</c:v>
                </c:pt>
                <c:pt idx="15">
                  <c:v>8887.5</c:v>
                </c:pt>
                <c:pt idx="16">
                  <c:v>8887.5</c:v>
                </c:pt>
                <c:pt idx="17">
                  <c:v>8887.5</c:v>
                </c:pt>
                <c:pt idx="18">
                  <c:v>8887.5</c:v>
                </c:pt>
                <c:pt idx="19">
                  <c:v>8887.5</c:v>
                </c:pt>
                <c:pt idx="20">
                  <c:v>8887.5</c:v>
                </c:pt>
                <c:pt idx="21">
                  <c:v>8887.5</c:v>
                </c:pt>
                <c:pt idx="22">
                  <c:v>8887.5</c:v>
                </c:pt>
                <c:pt idx="23">
                  <c:v>8887.5</c:v>
                </c:pt>
                <c:pt idx="24">
                  <c:v>8888</c:v>
                </c:pt>
              </c:numCache>
            </c:numRef>
          </c:yVal>
          <c:smooth val="0"/>
          <c:extLst>
            <c:ext xmlns:c16="http://schemas.microsoft.com/office/drawing/2014/chart" uri="{C3380CC4-5D6E-409C-BE32-E72D297353CC}">
              <c16:uniqueId val="{0000002A-819C-4C0B-B4D9-7F526BD4C7F7}"/>
            </c:ext>
          </c:extLst>
        </c:ser>
        <c:ser>
          <c:idx val="44"/>
          <c:order val="43"/>
          <c:tx>
            <c:strRef>
              <c:f>'Data Fuselage'!$AJ$712</c:f>
              <c:strCache>
                <c:ptCount val="1"/>
                <c:pt idx="0">
                  <c:v>YC</c:v>
                </c:pt>
              </c:strCache>
            </c:strRef>
          </c:tx>
          <c:spPr>
            <a:ln w="12700">
              <a:solidFill>
                <a:srgbClr val="0000FF"/>
              </a:solidFill>
              <a:prstDash val="solid"/>
            </a:ln>
          </c:spPr>
          <c:marker>
            <c:symbol val="none"/>
          </c:marker>
          <c:xVal>
            <c:numRef>
              <c:f>'Data Fuselage'!$AJ$714:$AJ$726</c:f>
              <c:numCache>
                <c:formatCode>General</c:formatCode>
                <c:ptCount val="13"/>
                <c:pt idx="0">
                  <c:v>-13.362000000000004</c:v>
                </c:pt>
                <c:pt idx="1">
                  <c:v>-12.932000000000004</c:v>
                </c:pt>
                <c:pt idx="2">
                  <c:v>-12.932000000000004</c:v>
                </c:pt>
                <c:pt idx="3">
                  <c:v>-13.362000000000004</c:v>
                </c:pt>
                <c:pt idx="4">
                  <c:v>-13.362000000000004</c:v>
                </c:pt>
                <c:pt idx="5">
                  <c:v>-12.932000000000004</c:v>
                </c:pt>
                <c:pt idx="6">
                  <c:v>-12.932000000000004</c:v>
                </c:pt>
                <c:pt idx="7">
                  <c:v>-13.362000000000004</c:v>
                </c:pt>
                <c:pt idx="8">
                  <c:v>-13.362000000000004</c:v>
                </c:pt>
                <c:pt idx="9">
                  <c:v>-13.362000000000004</c:v>
                </c:pt>
                <c:pt idx="10">
                  <c:v>-13.362000000000004</c:v>
                </c:pt>
                <c:pt idx="11">
                  <c:v>-13.362000000000004</c:v>
                </c:pt>
                <c:pt idx="12">
                  <c:v>-13.362000000000004</c:v>
                </c:pt>
              </c:numCache>
            </c:numRef>
          </c:xVal>
          <c:yVal>
            <c:numRef>
              <c:f>'Data Fuselage'!$AK$714:$AK$726</c:f>
              <c:numCache>
                <c:formatCode>General</c:formatCode>
                <c:ptCount val="13"/>
                <c:pt idx="0">
                  <c:v>-0.25999999999999979</c:v>
                </c:pt>
                <c:pt idx="1">
                  <c:v>-0.25999999999999979</c:v>
                </c:pt>
                <c:pt idx="2">
                  <c:v>-0.75999999999999979</c:v>
                </c:pt>
                <c:pt idx="3">
                  <c:v>-0.75999999999999979</c:v>
                </c:pt>
                <c:pt idx="4">
                  <c:v>-0.81999999999999984</c:v>
                </c:pt>
                <c:pt idx="5">
                  <c:v>-0.81999999999999984</c:v>
                </c:pt>
                <c:pt idx="6">
                  <c:v>-1.3199999999999998</c:v>
                </c:pt>
                <c:pt idx="7">
                  <c:v>-1.3199999999999998</c:v>
                </c:pt>
                <c:pt idx="8">
                  <c:v>-1.3199999999999998</c:v>
                </c:pt>
                <c:pt idx="9">
                  <c:v>-1.3199999999999998</c:v>
                </c:pt>
                <c:pt idx="10">
                  <c:v>-1.3199999999999998</c:v>
                </c:pt>
                <c:pt idx="11">
                  <c:v>-1.3199999999999998</c:v>
                </c:pt>
                <c:pt idx="12">
                  <c:v>-0.25999999999999979</c:v>
                </c:pt>
              </c:numCache>
            </c:numRef>
          </c:yVal>
          <c:smooth val="0"/>
          <c:extLst>
            <c:ext xmlns:c16="http://schemas.microsoft.com/office/drawing/2014/chart" uri="{C3380CC4-5D6E-409C-BE32-E72D297353CC}">
              <c16:uniqueId val="{0000002B-819C-4C0B-B4D9-7F526BD4C7F7}"/>
            </c:ext>
          </c:extLst>
        </c:ser>
        <c:ser>
          <c:idx val="45"/>
          <c:order val="44"/>
          <c:tx>
            <c:strRef>
              <c:f>'Data Fuselage'!$AB$748</c:f>
              <c:strCache>
                <c:ptCount val="1"/>
                <c:pt idx="0">
                  <c:v>YC</c:v>
                </c:pt>
              </c:strCache>
            </c:strRef>
          </c:tx>
          <c:spPr>
            <a:ln w="12700">
              <a:solidFill>
                <a:srgbClr val="0000FF"/>
              </a:solidFill>
              <a:prstDash val="solid"/>
            </a:ln>
          </c:spPr>
          <c:marker>
            <c:symbol val="none"/>
          </c:marker>
          <c:xVal>
            <c:numRef>
              <c:f>'Data Fuselage'!$AB$750:$AB$762</c:f>
              <c:numCache>
                <c:formatCode>General</c:formatCode>
                <c:ptCount val="13"/>
                <c:pt idx="0">
                  <c:v>-14.162000000000004</c:v>
                </c:pt>
                <c:pt idx="1">
                  <c:v>-13.732000000000005</c:v>
                </c:pt>
                <c:pt idx="2">
                  <c:v>-13.732000000000005</c:v>
                </c:pt>
                <c:pt idx="3">
                  <c:v>-14.162000000000004</c:v>
                </c:pt>
                <c:pt idx="4">
                  <c:v>-14.162000000000004</c:v>
                </c:pt>
                <c:pt idx="5">
                  <c:v>-13.732000000000005</c:v>
                </c:pt>
                <c:pt idx="6">
                  <c:v>-13.732000000000005</c:v>
                </c:pt>
                <c:pt idx="7">
                  <c:v>-14.162000000000004</c:v>
                </c:pt>
                <c:pt idx="8">
                  <c:v>-14.162000000000004</c:v>
                </c:pt>
                <c:pt idx="9">
                  <c:v>-14.162000000000004</c:v>
                </c:pt>
                <c:pt idx="10">
                  <c:v>-14.162000000000004</c:v>
                </c:pt>
                <c:pt idx="11">
                  <c:v>-14.162000000000004</c:v>
                </c:pt>
                <c:pt idx="12">
                  <c:v>-14.162000000000004</c:v>
                </c:pt>
              </c:numCache>
            </c:numRef>
          </c:xVal>
          <c:yVal>
            <c:numRef>
              <c:f>'Data Fuselage'!$AC$750:$AC$762</c:f>
              <c:numCache>
                <c:formatCode>General</c:formatCode>
                <c:ptCount val="13"/>
                <c:pt idx="0">
                  <c:v>1.3199999999999998</c:v>
                </c:pt>
                <c:pt idx="1">
                  <c:v>1.3199999999999998</c:v>
                </c:pt>
                <c:pt idx="2">
                  <c:v>0.81999999999999984</c:v>
                </c:pt>
                <c:pt idx="3">
                  <c:v>0.81999999999999984</c:v>
                </c:pt>
                <c:pt idx="4">
                  <c:v>0.75999999999999979</c:v>
                </c:pt>
                <c:pt idx="5">
                  <c:v>0.75999999999999979</c:v>
                </c:pt>
                <c:pt idx="6">
                  <c:v>0.25999999999999979</c:v>
                </c:pt>
                <c:pt idx="7">
                  <c:v>0.25999999999999979</c:v>
                </c:pt>
                <c:pt idx="8">
                  <c:v>0.25999999999999979</c:v>
                </c:pt>
                <c:pt idx="9">
                  <c:v>0.25999999999999979</c:v>
                </c:pt>
                <c:pt idx="10">
                  <c:v>0.25999999999999979</c:v>
                </c:pt>
                <c:pt idx="11">
                  <c:v>0.25999999999999979</c:v>
                </c:pt>
                <c:pt idx="12">
                  <c:v>1.3199999999999998</c:v>
                </c:pt>
              </c:numCache>
            </c:numRef>
          </c:yVal>
          <c:smooth val="0"/>
          <c:extLst>
            <c:ext xmlns:c16="http://schemas.microsoft.com/office/drawing/2014/chart" uri="{C3380CC4-5D6E-409C-BE32-E72D297353CC}">
              <c16:uniqueId val="{0000002C-819C-4C0B-B4D9-7F526BD4C7F7}"/>
            </c:ext>
          </c:extLst>
        </c:ser>
        <c:ser>
          <c:idx val="46"/>
          <c:order val="45"/>
          <c:tx>
            <c:strRef>
              <c:f>'Data Fuselage'!$AF$748</c:f>
              <c:strCache>
                <c:ptCount val="1"/>
                <c:pt idx="0">
                  <c:v>YC</c:v>
                </c:pt>
              </c:strCache>
            </c:strRef>
          </c:tx>
          <c:spPr>
            <a:ln w="12700">
              <a:solidFill>
                <a:srgbClr val="0000FF"/>
              </a:solidFill>
              <a:prstDash val="solid"/>
            </a:ln>
          </c:spPr>
          <c:marker>
            <c:symbol val="none"/>
          </c:marker>
          <c:xVal>
            <c:numRef>
              <c:f>'Data Fuselage'!$AF$750:$AF$774</c:f>
              <c:numCache>
                <c:formatCode>General</c:formatCode>
                <c:ptCount val="25"/>
                <c:pt idx="0">
                  <c:v>8888</c:v>
                </c:pt>
                <c:pt idx="1">
                  <c:v>8888.43</c:v>
                </c:pt>
                <c:pt idx="2">
                  <c:v>8888.43</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xVal>
          <c:yVal>
            <c:numRef>
              <c:f>'Data Fuselage'!$AG$750:$AG$774</c:f>
              <c:numCache>
                <c:formatCode>General</c:formatCode>
                <c:ptCount val="25"/>
                <c:pt idx="0">
                  <c:v>8888</c:v>
                </c:pt>
                <c:pt idx="1">
                  <c:v>8888</c:v>
                </c:pt>
                <c:pt idx="2">
                  <c:v>8887.5</c:v>
                </c:pt>
                <c:pt idx="3">
                  <c:v>8887.5</c:v>
                </c:pt>
                <c:pt idx="4">
                  <c:v>8887.5</c:v>
                </c:pt>
                <c:pt idx="5">
                  <c:v>8887.5</c:v>
                </c:pt>
                <c:pt idx="6">
                  <c:v>8887.5</c:v>
                </c:pt>
                <c:pt idx="7">
                  <c:v>8887.5</c:v>
                </c:pt>
                <c:pt idx="8">
                  <c:v>8887.5</c:v>
                </c:pt>
                <c:pt idx="9">
                  <c:v>8887.5</c:v>
                </c:pt>
                <c:pt idx="10">
                  <c:v>8887.5</c:v>
                </c:pt>
                <c:pt idx="11">
                  <c:v>8887.5</c:v>
                </c:pt>
                <c:pt idx="12">
                  <c:v>8887.5</c:v>
                </c:pt>
                <c:pt idx="13">
                  <c:v>8887.5</c:v>
                </c:pt>
                <c:pt idx="14">
                  <c:v>8887.5</c:v>
                </c:pt>
                <c:pt idx="15">
                  <c:v>8887.5</c:v>
                </c:pt>
                <c:pt idx="16">
                  <c:v>8887.5</c:v>
                </c:pt>
                <c:pt idx="17">
                  <c:v>8887.5</c:v>
                </c:pt>
                <c:pt idx="18">
                  <c:v>8887.5</c:v>
                </c:pt>
                <c:pt idx="19">
                  <c:v>8887.5</c:v>
                </c:pt>
                <c:pt idx="20">
                  <c:v>8887.5</c:v>
                </c:pt>
                <c:pt idx="21">
                  <c:v>8887.5</c:v>
                </c:pt>
                <c:pt idx="22">
                  <c:v>8887.5</c:v>
                </c:pt>
                <c:pt idx="23">
                  <c:v>8887.5</c:v>
                </c:pt>
                <c:pt idx="24">
                  <c:v>8888</c:v>
                </c:pt>
              </c:numCache>
            </c:numRef>
          </c:yVal>
          <c:smooth val="0"/>
          <c:extLst>
            <c:ext xmlns:c16="http://schemas.microsoft.com/office/drawing/2014/chart" uri="{C3380CC4-5D6E-409C-BE32-E72D297353CC}">
              <c16:uniqueId val="{0000002D-819C-4C0B-B4D9-7F526BD4C7F7}"/>
            </c:ext>
          </c:extLst>
        </c:ser>
        <c:ser>
          <c:idx val="47"/>
          <c:order val="46"/>
          <c:tx>
            <c:strRef>
              <c:f>'Data Fuselage'!$AJ$748</c:f>
              <c:strCache>
                <c:ptCount val="1"/>
                <c:pt idx="0">
                  <c:v>YC</c:v>
                </c:pt>
              </c:strCache>
            </c:strRef>
          </c:tx>
          <c:spPr>
            <a:ln w="12700">
              <a:solidFill>
                <a:srgbClr val="0000FF"/>
              </a:solidFill>
              <a:prstDash val="solid"/>
            </a:ln>
          </c:spPr>
          <c:marker>
            <c:symbol val="none"/>
          </c:marker>
          <c:xVal>
            <c:numRef>
              <c:f>'Data Fuselage'!$AJ$750:$AJ$762</c:f>
              <c:numCache>
                <c:formatCode>General</c:formatCode>
                <c:ptCount val="13"/>
                <c:pt idx="0">
                  <c:v>-14.162000000000004</c:v>
                </c:pt>
                <c:pt idx="1">
                  <c:v>-13.732000000000005</c:v>
                </c:pt>
                <c:pt idx="2">
                  <c:v>-13.732000000000005</c:v>
                </c:pt>
                <c:pt idx="3">
                  <c:v>-14.162000000000004</c:v>
                </c:pt>
                <c:pt idx="4">
                  <c:v>-14.162000000000004</c:v>
                </c:pt>
                <c:pt idx="5">
                  <c:v>-13.732000000000005</c:v>
                </c:pt>
                <c:pt idx="6">
                  <c:v>-13.732000000000005</c:v>
                </c:pt>
                <c:pt idx="7">
                  <c:v>-14.162000000000004</c:v>
                </c:pt>
                <c:pt idx="8">
                  <c:v>-14.162000000000004</c:v>
                </c:pt>
                <c:pt idx="9">
                  <c:v>-14.162000000000004</c:v>
                </c:pt>
                <c:pt idx="10">
                  <c:v>-14.162000000000004</c:v>
                </c:pt>
                <c:pt idx="11">
                  <c:v>-14.162000000000004</c:v>
                </c:pt>
                <c:pt idx="12">
                  <c:v>-14.162000000000004</c:v>
                </c:pt>
              </c:numCache>
            </c:numRef>
          </c:xVal>
          <c:yVal>
            <c:numRef>
              <c:f>'Data Fuselage'!$AK$750:$AK$762</c:f>
              <c:numCache>
                <c:formatCode>General</c:formatCode>
                <c:ptCount val="13"/>
                <c:pt idx="0">
                  <c:v>-0.25999999999999979</c:v>
                </c:pt>
                <c:pt idx="1">
                  <c:v>-0.25999999999999979</c:v>
                </c:pt>
                <c:pt idx="2">
                  <c:v>-0.75999999999999979</c:v>
                </c:pt>
                <c:pt idx="3">
                  <c:v>-0.75999999999999979</c:v>
                </c:pt>
                <c:pt idx="4">
                  <c:v>-0.81999999999999984</c:v>
                </c:pt>
                <c:pt idx="5">
                  <c:v>-0.81999999999999984</c:v>
                </c:pt>
                <c:pt idx="6">
                  <c:v>-1.3199999999999998</c:v>
                </c:pt>
                <c:pt idx="7">
                  <c:v>-1.3199999999999998</c:v>
                </c:pt>
                <c:pt idx="8">
                  <c:v>-1.3199999999999998</c:v>
                </c:pt>
                <c:pt idx="9">
                  <c:v>-1.3199999999999998</c:v>
                </c:pt>
                <c:pt idx="10">
                  <c:v>-1.3199999999999998</c:v>
                </c:pt>
                <c:pt idx="11">
                  <c:v>-1.3199999999999998</c:v>
                </c:pt>
                <c:pt idx="12">
                  <c:v>-0.25999999999999979</c:v>
                </c:pt>
              </c:numCache>
            </c:numRef>
          </c:yVal>
          <c:smooth val="0"/>
          <c:extLst>
            <c:ext xmlns:c16="http://schemas.microsoft.com/office/drawing/2014/chart" uri="{C3380CC4-5D6E-409C-BE32-E72D297353CC}">
              <c16:uniqueId val="{0000002E-819C-4C0B-B4D9-7F526BD4C7F7}"/>
            </c:ext>
          </c:extLst>
        </c:ser>
        <c:ser>
          <c:idx val="48"/>
          <c:order val="47"/>
          <c:tx>
            <c:strRef>
              <c:f>'Data Fuselage'!$AB$784</c:f>
              <c:strCache>
                <c:ptCount val="1"/>
                <c:pt idx="0">
                  <c:v>YC</c:v>
                </c:pt>
              </c:strCache>
            </c:strRef>
          </c:tx>
          <c:spPr>
            <a:ln w="12700">
              <a:solidFill>
                <a:srgbClr val="0000FF"/>
              </a:solidFill>
              <a:prstDash val="solid"/>
            </a:ln>
          </c:spPr>
          <c:marker>
            <c:symbol val="none"/>
          </c:marker>
          <c:xVal>
            <c:numRef>
              <c:f>'Data Fuselage'!$AB$786:$AB$798</c:f>
              <c:numCache>
                <c:formatCode>General</c:formatCode>
                <c:ptCount val="13"/>
                <c:pt idx="0">
                  <c:v>-14.962000000000005</c:v>
                </c:pt>
                <c:pt idx="1">
                  <c:v>-14.532000000000005</c:v>
                </c:pt>
                <c:pt idx="2">
                  <c:v>-14.532000000000005</c:v>
                </c:pt>
                <c:pt idx="3">
                  <c:v>-14.962000000000005</c:v>
                </c:pt>
                <c:pt idx="4">
                  <c:v>-14.962000000000005</c:v>
                </c:pt>
                <c:pt idx="5">
                  <c:v>-14.532000000000005</c:v>
                </c:pt>
                <c:pt idx="6">
                  <c:v>-14.532000000000005</c:v>
                </c:pt>
                <c:pt idx="7">
                  <c:v>-14.962000000000005</c:v>
                </c:pt>
                <c:pt idx="8">
                  <c:v>-14.962000000000005</c:v>
                </c:pt>
                <c:pt idx="9">
                  <c:v>-14.962000000000005</c:v>
                </c:pt>
                <c:pt idx="10">
                  <c:v>-14.962000000000005</c:v>
                </c:pt>
                <c:pt idx="11">
                  <c:v>-14.962000000000005</c:v>
                </c:pt>
                <c:pt idx="12">
                  <c:v>-14.962000000000005</c:v>
                </c:pt>
              </c:numCache>
            </c:numRef>
          </c:xVal>
          <c:yVal>
            <c:numRef>
              <c:f>'Data Fuselage'!$AC$786:$AC$798</c:f>
              <c:numCache>
                <c:formatCode>General</c:formatCode>
                <c:ptCount val="13"/>
                <c:pt idx="0">
                  <c:v>1.3199999999999998</c:v>
                </c:pt>
                <c:pt idx="1">
                  <c:v>1.3199999999999998</c:v>
                </c:pt>
                <c:pt idx="2">
                  <c:v>0.81999999999999984</c:v>
                </c:pt>
                <c:pt idx="3">
                  <c:v>0.81999999999999984</c:v>
                </c:pt>
                <c:pt idx="4">
                  <c:v>0.75999999999999979</c:v>
                </c:pt>
                <c:pt idx="5">
                  <c:v>0.75999999999999979</c:v>
                </c:pt>
                <c:pt idx="6">
                  <c:v>0.25999999999999979</c:v>
                </c:pt>
                <c:pt idx="7">
                  <c:v>0.25999999999999979</c:v>
                </c:pt>
                <c:pt idx="8">
                  <c:v>0.25999999999999979</c:v>
                </c:pt>
                <c:pt idx="9">
                  <c:v>0.25999999999999979</c:v>
                </c:pt>
                <c:pt idx="10">
                  <c:v>0.25999999999999979</c:v>
                </c:pt>
                <c:pt idx="11">
                  <c:v>0.25999999999999979</c:v>
                </c:pt>
                <c:pt idx="12">
                  <c:v>1.3199999999999998</c:v>
                </c:pt>
              </c:numCache>
            </c:numRef>
          </c:yVal>
          <c:smooth val="0"/>
          <c:extLst>
            <c:ext xmlns:c16="http://schemas.microsoft.com/office/drawing/2014/chart" uri="{C3380CC4-5D6E-409C-BE32-E72D297353CC}">
              <c16:uniqueId val="{0000002F-819C-4C0B-B4D9-7F526BD4C7F7}"/>
            </c:ext>
          </c:extLst>
        </c:ser>
        <c:ser>
          <c:idx val="49"/>
          <c:order val="48"/>
          <c:tx>
            <c:strRef>
              <c:f>'Data Fuselage'!$AF$784</c:f>
              <c:strCache>
                <c:ptCount val="1"/>
                <c:pt idx="0">
                  <c:v>YC</c:v>
                </c:pt>
              </c:strCache>
            </c:strRef>
          </c:tx>
          <c:spPr>
            <a:ln w="12700">
              <a:solidFill>
                <a:srgbClr val="0000FF"/>
              </a:solidFill>
              <a:prstDash val="solid"/>
            </a:ln>
          </c:spPr>
          <c:marker>
            <c:symbol val="none"/>
          </c:marker>
          <c:xVal>
            <c:numRef>
              <c:f>'Data Fuselage'!$AF$786:$AF$810</c:f>
              <c:numCache>
                <c:formatCode>General</c:formatCode>
                <c:ptCount val="25"/>
                <c:pt idx="0">
                  <c:v>8888</c:v>
                </c:pt>
                <c:pt idx="1">
                  <c:v>8888.43</c:v>
                </c:pt>
                <c:pt idx="2">
                  <c:v>8888.43</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xVal>
          <c:yVal>
            <c:numRef>
              <c:f>'Data Fuselage'!$AG$786:$AG$810</c:f>
              <c:numCache>
                <c:formatCode>General</c:formatCode>
                <c:ptCount val="25"/>
                <c:pt idx="0">
                  <c:v>8888</c:v>
                </c:pt>
                <c:pt idx="1">
                  <c:v>8888</c:v>
                </c:pt>
                <c:pt idx="2">
                  <c:v>8887.5</c:v>
                </c:pt>
                <c:pt idx="3">
                  <c:v>8887.5</c:v>
                </c:pt>
                <c:pt idx="4">
                  <c:v>8887.5</c:v>
                </c:pt>
                <c:pt idx="5">
                  <c:v>8887.5</c:v>
                </c:pt>
                <c:pt idx="6">
                  <c:v>8887.5</c:v>
                </c:pt>
                <c:pt idx="7">
                  <c:v>8887.5</c:v>
                </c:pt>
                <c:pt idx="8">
                  <c:v>8887.5</c:v>
                </c:pt>
                <c:pt idx="9">
                  <c:v>8887.5</c:v>
                </c:pt>
                <c:pt idx="10">
                  <c:v>8887.5</c:v>
                </c:pt>
                <c:pt idx="11">
                  <c:v>8887.5</c:v>
                </c:pt>
                <c:pt idx="12">
                  <c:v>8887.5</c:v>
                </c:pt>
                <c:pt idx="13">
                  <c:v>8887.5</c:v>
                </c:pt>
                <c:pt idx="14">
                  <c:v>8887.5</c:v>
                </c:pt>
                <c:pt idx="15">
                  <c:v>8887.5</c:v>
                </c:pt>
                <c:pt idx="16">
                  <c:v>8887.5</c:v>
                </c:pt>
                <c:pt idx="17">
                  <c:v>8887.5</c:v>
                </c:pt>
                <c:pt idx="18">
                  <c:v>8887.5</c:v>
                </c:pt>
                <c:pt idx="19">
                  <c:v>8887.5</c:v>
                </c:pt>
                <c:pt idx="20">
                  <c:v>8887.5</c:v>
                </c:pt>
                <c:pt idx="21">
                  <c:v>8887.5</c:v>
                </c:pt>
                <c:pt idx="22">
                  <c:v>8887.5</c:v>
                </c:pt>
                <c:pt idx="23">
                  <c:v>8887.5</c:v>
                </c:pt>
                <c:pt idx="24">
                  <c:v>8888</c:v>
                </c:pt>
              </c:numCache>
            </c:numRef>
          </c:yVal>
          <c:smooth val="0"/>
          <c:extLst>
            <c:ext xmlns:c16="http://schemas.microsoft.com/office/drawing/2014/chart" uri="{C3380CC4-5D6E-409C-BE32-E72D297353CC}">
              <c16:uniqueId val="{00000030-819C-4C0B-B4D9-7F526BD4C7F7}"/>
            </c:ext>
          </c:extLst>
        </c:ser>
        <c:ser>
          <c:idx val="50"/>
          <c:order val="49"/>
          <c:tx>
            <c:strRef>
              <c:f>'Data Fuselage'!$AJ$784</c:f>
              <c:strCache>
                <c:ptCount val="1"/>
                <c:pt idx="0">
                  <c:v>YC</c:v>
                </c:pt>
              </c:strCache>
            </c:strRef>
          </c:tx>
          <c:spPr>
            <a:ln w="12700">
              <a:solidFill>
                <a:srgbClr val="0000FF"/>
              </a:solidFill>
              <a:prstDash val="solid"/>
            </a:ln>
          </c:spPr>
          <c:marker>
            <c:symbol val="none"/>
          </c:marker>
          <c:xVal>
            <c:numRef>
              <c:f>'Data Fuselage'!$AJ$786:$AJ$798</c:f>
              <c:numCache>
                <c:formatCode>General</c:formatCode>
                <c:ptCount val="13"/>
                <c:pt idx="0">
                  <c:v>-14.962000000000005</c:v>
                </c:pt>
                <c:pt idx="1">
                  <c:v>-14.532000000000005</c:v>
                </c:pt>
                <c:pt idx="2">
                  <c:v>-14.532000000000005</c:v>
                </c:pt>
                <c:pt idx="3">
                  <c:v>-14.962000000000005</c:v>
                </c:pt>
                <c:pt idx="4">
                  <c:v>-14.962000000000005</c:v>
                </c:pt>
                <c:pt idx="5">
                  <c:v>-14.532000000000005</c:v>
                </c:pt>
                <c:pt idx="6">
                  <c:v>-14.532000000000005</c:v>
                </c:pt>
                <c:pt idx="7">
                  <c:v>-14.962000000000005</c:v>
                </c:pt>
                <c:pt idx="8">
                  <c:v>-14.962000000000005</c:v>
                </c:pt>
                <c:pt idx="9">
                  <c:v>-14.962000000000005</c:v>
                </c:pt>
                <c:pt idx="10">
                  <c:v>-14.962000000000005</c:v>
                </c:pt>
                <c:pt idx="11">
                  <c:v>-14.962000000000005</c:v>
                </c:pt>
                <c:pt idx="12">
                  <c:v>-14.962000000000005</c:v>
                </c:pt>
              </c:numCache>
            </c:numRef>
          </c:xVal>
          <c:yVal>
            <c:numRef>
              <c:f>'Data Fuselage'!$AK$786:$AK$798</c:f>
              <c:numCache>
                <c:formatCode>General</c:formatCode>
                <c:ptCount val="13"/>
                <c:pt idx="0">
                  <c:v>-0.25999999999999979</c:v>
                </c:pt>
                <c:pt idx="1">
                  <c:v>-0.25999999999999979</c:v>
                </c:pt>
                <c:pt idx="2">
                  <c:v>-0.75999999999999979</c:v>
                </c:pt>
                <c:pt idx="3">
                  <c:v>-0.75999999999999979</c:v>
                </c:pt>
                <c:pt idx="4">
                  <c:v>-0.81999999999999984</c:v>
                </c:pt>
                <c:pt idx="5">
                  <c:v>-0.81999999999999984</c:v>
                </c:pt>
                <c:pt idx="6">
                  <c:v>-1.3199999999999998</c:v>
                </c:pt>
                <c:pt idx="7">
                  <c:v>-1.3199999999999998</c:v>
                </c:pt>
                <c:pt idx="8">
                  <c:v>-1.3199999999999998</c:v>
                </c:pt>
                <c:pt idx="9">
                  <c:v>-1.3199999999999998</c:v>
                </c:pt>
                <c:pt idx="10">
                  <c:v>-1.3199999999999998</c:v>
                </c:pt>
                <c:pt idx="11">
                  <c:v>-1.3199999999999998</c:v>
                </c:pt>
                <c:pt idx="12">
                  <c:v>-0.25999999999999979</c:v>
                </c:pt>
              </c:numCache>
            </c:numRef>
          </c:yVal>
          <c:smooth val="0"/>
          <c:extLst>
            <c:ext xmlns:c16="http://schemas.microsoft.com/office/drawing/2014/chart" uri="{C3380CC4-5D6E-409C-BE32-E72D297353CC}">
              <c16:uniqueId val="{00000031-819C-4C0B-B4D9-7F526BD4C7F7}"/>
            </c:ext>
          </c:extLst>
        </c:ser>
        <c:ser>
          <c:idx val="51"/>
          <c:order val="50"/>
          <c:tx>
            <c:strRef>
              <c:f>'Data Fuselage'!$AB$820</c:f>
              <c:strCache>
                <c:ptCount val="1"/>
                <c:pt idx="0">
                  <c:v>YC</c:v>
                </c:pt>
              </c:strCache>
            </c:strRef>
          </c:tx>
          <c:spPr>
            <a:ln w="12700">
              <a:solidFill>
                <a:srgbClr val="0000FF"/>
              </a:solidFill>
              <a:prstDash val="solid"/>
            </a:ln>
          </c:spPr>
          <c:marker>
            <c:symbol val="none"/>
          </c:marker>
          <c:xVal>
            <c:numRef>
              <c:f>'Data Fuselage'!$AB$822:$AB$834</c:f>
              <c:numCache>
                <c:formatCode>General</c:formatCode>
                <c:ptCount val="13"/>
                <c:pt idx="0">
                  <c:v>-15.762000000000006</c:v>
                </c:pt>
                <c:pt idx="1">
                  <c:v>-15.332000000000006</c:v>
                </c:pt>
                <c:pt idx="2">
                  <c:v>-15.332000000000006</c:v>
                </c:pt>
                <c:pt idx="3">
                  <c:v>-15.762000000000006</c:v>
                </c:pt>
                <c:pt idx="4">
                  <c:v>-15.762000000000006</c:v>
                </c:pt>
                <c:pt idx="5">
                  <c:v>-15.332000000000006</c:v>
                </c:pt>
                <c:pt idx="6">
                  <c:v>-15.332000000000006</c:v>
                </c:pt>
                <c:pt idx="7">
                  <c:v>-15.762000000000006</c:v>
                </c:pt>
                <c:pt idx="8">
                  <c:v>-15.762000000000006</c:v>
                </c:pt>
                <c:pt idx="9">
                  <c:v>-15.762000000000006</c:v>
                </c:pt>
                <c:pt idx="10">
                  <c:v>-15.762000000000006</c:v>
                </c:pt>
                <c:pt idx="11">
                  <c:v>-15.762000000000006</c:v>
                </c:pt>
                <c:pt idx="12">
                  <c:v>-15.762000000000006</c:v>
                </c:pt>
              </c:numCache>
            </c:numRef>
          </c:xVal>
          <c:yVal>
            <c:numRef>
              <c:f>'Data Fuselage'!$AC$822:$AC$834</c:f>
              <c:numCache>
                <c:formatCode>General</c:formatCode>
                <c:ptCount val="13"/>
                <c:pt idx="0">
                  <c:v>1.3199999999999998</c:v>
                </c:pt>
                <c:pt idx="1">
                  <c:v>1.3199999999999998</c:v>
                </c:pt>
                <c:pt idx="2">
                  <c:v>0.81999999999999984</c:v>
                </c:pt>
                <c:pt idx="3">
                  <c:v>0.81999999999999984</c:v>
                </c:pt>
                <c:pt idx="4">
                  <c:v>0.75999999999999979</c:v>
                </c:pt>
                <c:pt idx="5">
                  <c:v>0.75999999999999979</c:v>
                </c:pt>
                <c:pt idx="6">
                  <c:v>0.25999999999999979</c:v>
                </c:pt>
                <c:pt idx="7">
                  <c:v>0.25999999999999979</c:v>
                </c:pt>
                <c:pt idx="8">
                  <c:v>0.25999999999999979</c:v>
                </c:pt>
                <c:pt idx="9">
                  <c:v>0.25999999999999979</c:v>
                </c:pt>
                <c:pt idx="10">
                  <c:v>0.25999999999999979</c:v>
                </c:pt>
                <c:pt idx="11">
                  <c:v>0.25999999999999979</c:v>
                </c:pt>
                <c:pt idx="12">
                  <c:v>1.3199999999999998</c:v>
                </c:pt>
              </c:numCache>
            </c:numRef>
          </c:yVal>
          <c:smooth val="0"/>
          <c:extLst>
            <c:ext xmlns:c16="http://schemas.microsoft.com/office/drawing/2014/chart" uri="{C3380CC4-5D6E-409C-BE32-E72D297353CC}">
              <c16:uniqueId val="{00000032-819C-4C0B-B4D9-7F526BD4C7F7}"/>
            </c:ext>
          </c:extLst>
        </c:ser>
        <c:ser>
          <c:idx val="52"/>
          <c:order val="51"/>
          <c:tx>
            <c:strRef>
              <c:f>'Data Fuselage'!$AF$820</c:f>
              <c:strCache>
                <c:ptCount val="1"/>
                <c:pt idx="0">
                  <c:v>YC</c:v>
                </c:pt>
              </c:strCache>
            </c:strRef>
          </c:tx>
          <c:spPr>
            <a:ln w="12700">
              <a:solidFill>
                <a:srgbClr val="0000FF"/>
              </a:solidFill>
              <a:prstDash val="solid"/>
            </a:ln>
          </c:spPr>
          <c:marker>
            <c:symbol val="none"/>
          </c:marker>
          <c:xVal>
            <c:numRef>
              <c:f>'Data Fuselage'!$AF$822:$AF$846</c:f>
              <c:numCache>
                <c:formatCode>General</c:formatCode>
                <c:ptCount val="25"/>
                <c:pt idx="0">
                  <c:v>8888</c:v>
                </c:pt>
                <c:pt idx="1">
                  <c:v>8888.43</c:v>
                </c:pt>
                <c:pt idx="2">
                  <c:v>8888.43</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xVal>
          <c:yVal>
            <c:numRef>
              <c:f>'Data Fuselage'!$AG$822:$AG$846</c:f>
              <c:numCache>
                <c:formatCode>General</c:formatCode>
                <c:ptCount val="25"/>
                <c:pt idx="0">
                  <c:v>8888</c:v>
                </c:pt>
                <c:pt idx="1">
                  <c:v>8888</c:v>
                </c:pt>
                <c:pt idx="2">
                  <c:v>8887.5</c:v>
                </c:pt>
                <c:pt idx="3">
                  <c:v>8887.5</c:v>
                </c:pt>
                <c:pt idx="4">
                  <c:v>8887.5</c:v>
                </c:pt>
                <c:pt idx="5">
                  <c:v>8887.5</c:v>
                </c:pt>
                <c:pt idx="6">
                  <c:v>8887.5</c:v>
                </c:pt>
                <c:pt idx="7">
                  <c:v>8887.5</c:v>
                </c:pt>
                <c:pt idx="8">
                  <c:v>8887.5</c:v>
                </c:pt>
                <c:pt idx="9">
                  <c:v>8887.5</c:v>
                </c:pt>
                <c:pt idx="10">
                  <c:v>8887.5</c:v>
                </c:pt>
                <c:pt idx="11">
                  <c:v>8887.5</c:v>
                </c:pt>
                <c:pt idx="12">
                  <c:v>8887.5</c:v>
                </c:pt>
                <c:pt idx="13">
                  <c:v>8887.5</c:v>
                </c:pt>
                <c:pt idx="14">
                  <c:v>8887.5</c:v>
                </c:pt>
                <c:pt idx="15">
                  <c:v>8887.5</c:v>
                </c:pt>
                <c:pt idx="16">
                  <c:v>8887.5</c:v>
                </c:pt>
                <c:pt idx="17">
                  <c:v>8887.5</c:v>
                </c:pt>
                <c:pt idx="18">
                  <c:v>8887.5</c:v>
                </c:pt>
                <c:pt idx="19">
                  <c:v>8887.5</c:v>
                </c:pt>
                <c:pt idx="20">
                  <c:v>8887.5</c:v>
                </c:pt>
                <c:pt idx="21">
                  <c:v>8887.5</c:v>
                </c:pt>
                <c:pt idx="22">
                  <c:v>8887.5</c:v>
                </c:pt>
                <c:pt idx="23">
                  <c:v>8887.5</c:v>
                </c:pt>
                <c:pt idx="24">
                  <c:v>8888</c:v>
                </c:pt>
              </c:numCache>
            </c:numRef>
          </c:yVal>
          <c:smooth val="0"/>
          <c:extLst>
            <c:ext xmlns:c16="http://schemas.microsoft.com/office/drawing/2014/chart" uri="{C3380CC4-5D6E-409C-BE32-E72D297353CC}">
              <c16:uniqueId val="{00000033-819C-4C0B-B4D9-7F526BD4C7F7}"/>
            </c:ext>
          </c:extLst>
        </c:ser>
        <c:ser>
          <c:idx val="53"/>
          <c:order val="52"/>
          <c:tx>
            <c:strRef>
              <c:f>'Data Fuselage'!$AJ$820</c:f>
              <c:strCache>
                <c:ptCount val="1"/>
                <c:pt idx="0">
                  <c:v>YC</c:v>
                </c:pt>
              </c:strCache>
            </c:strRef>
          </c:tx>
          <c:spPr>
            <a:ln w="12700">
              <a:solidFill>
                <a:srgbClr val="0000FF"/>
              </a:solidFill>
              <a:prstDash val="solid"/>
            </a:ln>
          </c:spPr>
          <c:marker>
            <c:symbol val="none"/>
          </c:marker>
          <c:xVal>
            <c:numRef>
              <c:f>'Data Fuselage'!$AJ$822:$AJ$834</c:f>
              <c:numCache>
                <c:formatCode>General</c:formatCode>
                <c:ptCount val="13"/>
                <c:pt idx="0">
                  <c:v>-15.762000000000006</c:v>
                </c:pt>
                <c:pt idx="1">
                  <c:v>-15.332000000000006</c:v>
                </c:pt>
                <c:pt idx="2">
                  <c:v>-15.332000000000006</c:v>
                </c:pt>
                <c:pt idx="3">
                  <c:v>-15.762000000000006</c:v>
                </c:pt>
                <c:pt idx="4">
                  <c:v>-15.762000000000006</c:v>
                </c:pt>
                <c:pt idx="5">
                  <c:v>-15.332000000000006</c:v>
                </c:pt>
                <c:pt idx="6">
                  <c:v>-15.332000000000006</c:v>
                </c:pt>
                <c:pt idx="7">
                  <c:v>-15.762000000000006</c:v>
                </c:pt>
                <c:pt idx="8">
                  <c:v>-15.762000000000006</c:v>
                </c:pt>
                <c:pt idx="9">
                  <c:v>-15.762000000000006</c:v>
                </c:pt>
                <c:pt idx="10">
                  <c:v>-15.762000000000006</c:v>
                </c:pt>
                <c:pt idx="11">
                  <c:v>-15.762000000000006</c:v>
                </c:pt>
                <c:pt idx="12">
                  <c:v>-15.762000000000006</c:v>
                </c:pt>
              </c:numCache>
            </c:numRef>
          </c:xVal>
          <c:yVal>
            <c:numRef>
              <c:f>'Data Fuselage'!$AK$822:$AK$834</c:f>
              <c:numCache>
                <c:formatCode>General</c:formatCode>
                <c:ptCount val="13"/>
                <c:pt idx="0">
                  <c:v>-0.25999999999999979</c:v>
                </c:pt>
                <c:pt idx="1">
                  <c:v>-0.25999999999999979</c:v>
                </c:pt>
                <c:pt idx="2">
                  <c:v>-0.75999999999999979</c:v>
                </c:pt>
                <c:pt idx="3">
                  <c:v>-0.75999999999999979</c:v>
                </c:pt>
                <c:pt idx="4">
                  <c:v>-0.81999999999999984</c:v>
                </c:pt>
                <c:pt idx="5">
                  <c:v>-0.81999999999999984</c:v>
                </c:pt>
                <c:pt idx="6">
                  <c:v>-1.3199999999999998</c:v>
                </c:pt>
                <c:pt idx="7">
                  <c:v>-1.3199999999999998</c:v>
                </c:pt>
                <c:pt idx="8">
                  <c:v>-1.3199999999999998</c:v>
                </c:pt>
                <c:pt idx="9">
                  <c:v>-1.3199999999999998</c:v>
                </c:pt>
                <c:pt idx="10">
                  <c:v>-1.3199999999999998</c:v>
                </c:pt>
                <c:pt idx="11">
                  <c:v>-1.3199999999999998</c:v>
                </c:pt>
                <c:pt idx="12">
                  <c:v>-0.25999999999999979</c:v>
                </c:pt>
              </c:numCache>
            </c:numRef>
          </c:yVal>
          <c:smooth val="0"/>
          <c:extLst>
            <c:ext xmlns:c16="http://schemas.microsoft.com/office/drawing/2014/chart" uri="{C3380CC4-5D6E-409C-BE32-E72D297353CC}">
              <c16:uniqueId val="{00000034-819C-4C0B-B4D9-7F526BD4C7F7}"/>
            </c:ext>
          </c:extLst>
        </c:ser>
        <c:ser>
          <c:idx val="54"/>
          <c:order val="53"/>
          <c:tx>
            <c:strRef>
              <c:f>'Data Fuselage'!$AB$856</c:f>
              <c:strCache>
                <c:ptCount val="1"/>
                <c:pt idx="0">
                  <c:v>YC</c:v>
                </c:pt>
              </c:strCache>
            </c:strRef>
          </c:tx>
          <c:spPr>
            <a:ln w="12700">
              <a:solidFill>
                <a:srgbClr val="0000FF"/>
              </a:solidFill>
              <a:prstDash val="solid"/>
            </a:ln>
          </c:spPr>
          <c:marker>
            <c:symbol val="none"/>
          </c:marker>
          <c:xVal>
            <c:numRef>
              <c:f>'Data Fuselage'!$AB$858:$AB$870</c:f>
              <c:numCache>
                <c:formatCode>General</c:formatCode>
                <c:ptCount val="13"/>
                <c:pt idx="0">
                  <c:v>-16.562000000000005</c:v>
                </c:pt>
                <c:pt idx="1">
                  <c:v>-16.132000000000005</c:v>
                </c:pt>
                <c:pt idx="2">
                  <c:v>-16.132000000000005</c:v>
                </c:pt>
                <c:pt idx="3">
                  <c:v>-16.562000000000005</c:v>
                </c:pt>
                <c:pt idx="4">
                  <c:v>-16.562000000000005</c:v>
                </c:pt>
                <c:pt idx="5">
                  <c:v>-16.132000000000005</c:v>
                </c:pt>
                <c:pt idx="6">
                  <c:v>-16.132000000000005</c:v>
                </c:pt>
                <c:pt idx="7">
                  <c:v>-16.562000000000005</c:v>
                </c:pt>
                <c:pt idx="8">
                  <c:v>-16.562000000000005</c:v>
                </c:pt>
                <c:pt idx="9">
                  <c:v>-16.562000000000005</c:v>
                </c:pt>
                <c:pt idx="10">
                  <c:v>-16.562000000000005</c:v>
                </c:pt>
                <c:pt idx="11">
                  <c:v>-16.562000000000005</c:v>
                </c:pt>
                <c:pt idx="12">
                  <c:v>-16.562000000000005</c:v>
                </c:pt>
              </c:numCache>
            </c:numRef>
          </c:xVal>
          <c:yVal>
            <c:numRef>
              <c:f>'Data Fuselage'!$AC$858:$AC$870</c:f>
              <c:numCache>
                <c:formatCode>General</c:formatCode>
                <c:ptCount val="13"/>
                <c:pt idx="0">
                  <c:v>1.3199999999999998</c:v>
                </c:pt>
                <c:pt idx="1">
                  <c:v>1.3199999999999998</c:v>
                </c:pt>
                <c:pt idx="2">
                  <c:v>0.81999999999999984</c:v>
                </c:pt>
                <c:pt idx="3">
                  <c:v>0.81999999999999984</c:v>
                </c:pt>
                <c:pt idx="4">
                  <c:v>0.75999999999999979</c:v>
                </c:pt>
                <c:pt idx="5">
                  <c:v>0.75999999999999979</c:v>
                </c:pt>
                <c:pt idx="6">
                  <c:v>0.25999999999999979</c:v>
                </c:pt>
                <c:pt idx="7">
                  <c:v>0.25999999999999979</c:v>
                </c:pt>
                <c:pt idx="8">
                  <c:v>0.25999999999999979</c:v>
                </c:pt>
                <c:pt idx="9">
                  <c:v>0.25999999999999979</c:v>
                </c:pt>
                <c:pt idx="10">
                  <c:v>0.25999999999999979</c:v>
                </c:pt>
                <c:pt idx="11">
                  <c:v>0.25999999999999979</c:v>
                </c:pt>
                <c:pt idx="12">
                  <c:v>1.3199999999999998</c:v>
                </c:pt>
              </c:numCache>
            </c:numRef>
          </c:yVal>
          <c:smooth val="0"/>
          <c:extLst>
            <c:ext xmlns:c16="http://schemas.microsoft.com/office/drawing/2014/chart" uri="{C3380CC4-5D6E-409C-BE32-E72D297353CC}">
              <c16:uniqueId val="{00000035-819C-4C0B-B4D9-7F526BD4C7F7}"/>
            </c:ext>
          </c:extLst>
        </c:ser>
        <c:ser>
          <c:idx val="55"/>
          <c:order val="54"/>
          <c:tx>
            <c:strRef>
              <c:f>'Data Fuselage'!$AF$856</c:f>
              <c:strCache>
                <c:ptCount val="1"/>
                <c:pt idx="0">
                  <c:v>YC</c:v>
                </c:pt>
              </c:strCache>
            </c:strRef>
          </c:tx>
          <c:spPr>
            <a:ln w="12700">
              <a:solidFill>
                <a:srgbClr val="0000FF"/>
              </a:solidFill>
              <a:prstDash val="solid"/>
            </a:ln>
          </c:spPr>
          <c:marker>
            <c:symbol val="none"/>
          </c:marker>
          <c:xVal>
            <c:numRef>
              <c:f>'Data Fuselage'!$AF$858:$AF$882</c:f>
              <c:numCache>
                <c:formatCode>General</c:formatCode>
                <c:ptCount val="25"/>
                <c:pt idx="0">
                  <c:v>8888</c:v>
                </c:pt>
                <c:pt idx="1">
                  <c:v>8888.43</c:v>
                </c:pt>
                <c:pt idx="2">
                  <c:v>8888.43</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xVal>
          <c:yVal>
            <c:numRef>
              <c:f>'Data Fuselage'!$AG$858:$AG$882</c:f>
              <c:numCache>
                <c:formatCode>General</c:formatCode>
                <c:ptCount val="25"/>
                <c:pt idx="0">
                  <c:v>8888</c:v>
                </c:pt>
                <c:pt idx="1">
                  <c:v>8888</c:v>
                </c:pt>
                <c:pt idx="2">
                  <c:v>8887.5</c:v>
                </c:pt>
                <c:pt idx="3">
                  <c:v>8887.5</c:v>
                </c:pt>
                <c:pt idx="4">
                  <c:v>8887.5</c:v>
                </c:pt>
                <c:pt idx="5">
                  <c:v>8887.5</c:v>
                </c:pt>
                <c:pt idx="6">
                  <c:v>8887.5</c:v>
                </c:pt>
                <c:pt idx="7">
                  <c:v>8887.5</c:v>
                </c:pt>
                <c:pt idx="8">
                  <c:v>8887.5</c:v>
                </c:pt>
                <c:pt idx="9">
                  <c:v>8887.5</c:v>
                </c:pt>
                <c:pt idx="10">
                  <c:v>8887.5</c:v>
                </c:pt>
                <c:pt idx="11">
                  <c:v>8887.5</c:v>
                </c:pt>
                <c:pt idx="12">
                  <c:v>8887.5</c:v>
                </c:pt>
                <c:pt idx="13">
                  <c:v>8887.5</c:v>
                </c:pt>
                <c:pt idx="14">
                  <c:v>8887.5</c:v>
                </c:pt>
                <c:pt idx="15">
                  <c:v>8887.5</c:v>
                </c:pt>
                <c:pt idx="16">
                  <c:v>8887.5</c:v>
                </c:pt>
                <c:pt idx="17">
                  <c:v>8887.5</c:v>
                </c:pt>
                <c:pt idx="18">
                  <c:v>8887.5</c:v>
                </c:pt>
                <c:pt idx="19">
                  <c:v>8887.5</c:v>
                </c:pt>
                <c:pt idx="20">
                  <c:v>8887.5</c:v>
                </c:pt>
                <c:pt idx="21">
                  <c:v>8887.5</c:v>
                </c:pt>
                <c:pt idx="22">
                  <c:v>8887.5</c:v>
                </c:pt>
                <c:pt idx="23">
                  <c:v>8887.5</c:v>
                </c:pt>
                <c:pt idx="24">
                  <c:v>8888</c:v>
                </c:pt>
              </c:numCache>
            </c:numRef>
          </c:yVal>
          <c:smooth val="0"/>
          <c:extLst>
            <c:ext xmlns:c16="http://schemas.microsoft.com/office/drawing/2014/chart" uri="{C3380CC4-5D6E-409C-BE32-E72D297353CC}">
              <c16:uniqueId val="{00000036-819C-4C0B-B4D9-7F526BD4C7F7}"/>
            </c:ext>
          </c:extLst>
        </c:ser>
        <c:ser>
          <c:idx val="56"/>
          <c:order val="55"/>
          <c:tx>
            <c:strRef>
              <c:f>'Data Fuselage'!$AJ$856</c:f>
              <c:strCache>
                <c:ptCount val="1"/>
                <c:pt idx="0">
                  <c:v>YC</c:v>
                </c:pt>
              </c:strCache>
            </c:strRef>
          </c:tx>
          <c:spPr>
            <a:ln w="12700">
              <a:solidFill>
                <a:srgbClr val="0000FF"/>
              </a:solidFill>
              <a:prstDash val="solid"/>
            </a:ln>
          </c:spPr>
          <c:marker>
            <c:symbol val="none"/>
          </c:marker>
          <c:xVal>
            <c:numRef>
              <c:f>'Data Fuselage'!$AJ$858:$AJ$870</c:f>
              <c:numCache>
                <c:formatCode>General</c:formatCode>
                <c:ptCount val="13"/>
                <c:pt idx="0">
                  <c:v>-16.562000000000005</c:v>
                </c:pt>
                <c:pt idx="1">
                  <c:v>-16.132000000000005</c:v>
                </c:pt>
                <c:pt idx="2">
                  <c:v>-16.132000000000005</c:v>
                </c:pt>
                <c:pt idx="3">
                  <c:v>-16.562000000000005</c:v>
                </c:pt>
                <c:pt idx="4">
                  <c:v>-16.562000000000005</c:v>
                </c:pt>
                <c:pt idx="5">
                  <c:v>-16.132000000000005</c:v>
                </c:pt>
                <c:pt idx="6">
                  <c:v>-16.132000000000005</c:v>
                </c:pt>
                <c:pt idx="7">
                  <c:v>-16.562000000000005</c:v>
                </c:pt>
                <c:pt idx="8">
                  <c:v>-16.562000000000005</c:v>
                </c:pt>
                <c:pt idx="9">
                  <c:v>-16.562000000000005</c:v>
                </c:pt>
                <c:pt idx="10">
                  <c:v>-16.562000000000005</c:v>
                </c:pt>
                <c:pt idx="11">
                  <c:v>-16.562000000000005</c:v>
                </c:pt>
                <c:pt idx="12">
                  <c:v>-16.562000000000005</c:v>
                </c:pt>
              </c:numCache>
            </c:numRef>
          </c:xVal>
          <c:yVal>
            <c:numRef>
              <c:f>'Data Fuselage'!$AK$858:$AK$870</c:f>
              <c:numCache>
                <c:formatCode>General</c:formatCode>
                <c:ptCount val="13"/>
                <c:pt idx="0">
                  <c:v>-0.25999999999999979</c:v>
                </c:pt>
                <c:pt idx="1">
                  <c:v>-0.25999999999999979</c:v>
                </c:pt>
                <c:pt idx="2">
                  <c:v>-0.75999999999999979</c:v>
                </c:pt>
                <c:pt idx="3">
                  <c:v>-0.75999999999999979</c:v>
                </c:pt>
                <c:pt idx="4">
                  <c:v>-0.81999999999999984</c:v>
                </c:pt>
                <c:pt idx="5">
                  <c:v>-0.81999999999999984</c:v>
                </c:pt>
                <c:pt idx="6">
                  <c:v>-1.3199999999999998</c:v>
                </c:pt>
                <c:pt idx="7">
                  <c:v>-1.3199999999999998</c:v>
                </c:pt>
                <c:pt idx="8">
                  <c:v>-1.3199999999999998</c:v>
                </c:pt>
                <c:pt idx="9">
                  <c:v>-1.3199999999999998</c:v>
                </c:pt>
                <c:pt idx="10">
                  <c:v>-1.3199999999999998</c:v>
                </c:pt>
                <c:pt idx="11">
                  <c:v>-1.3199999999999998</c:v>
                </c:pt>
                <c:pt idx="12">
                  <c:v>-0.25999999999999979</c:v>
                </c:pt>
              </c:numCache>
            </c:numRef>
          </c:yVal>
          <c:smooth val="0"/>
          <c:extLst>
            <c:ext xmlns:c16="http://schemas.microsoft.com/office/drawing/2014/chart" uri="{C3380CC4-5D6E-409C-BE32-E72D297353CC}">
              <c16:uniqueId val="{00000037-819C-4C0B-B4D9-7F526BD4C7F7}"/>
            </c:ext>
          </c:extLst>
        </c:ser>
        <c:ser>
          <c:idx val="57"/>
          <c:order val="56"/>
          <c:tx>
            <c:strRef>
              <c:f>'Data Fuselage'!$AB$892</c:f>
              <c:strCache>
                <c:ptCount val="1"/>
                <c:pt idx="0">
                  <c:v>Nothing</c:v>
                </c:pt>
              </c:strCache>
            </c:strRef>
          </c:tx>
          <c:spPr>
            <a:ln w="12700">
              <a:solidFill>
                <a:srgbClr val="0000FF"/>
              </a:solidFill>
              <a:prstDash val="solid"/>
            </a:ln>
          </c:spPr>
          <c:marker>
            <c:symbol val="none"/>
          </c:marker>
          <c:xVal>
            <c:numRef>
              <c:f>'Data Fuselage'!$AB$894:$AB$906</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Fuselage'!$AC$894:$AC$906</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38-819C-4C0B-B4D9-7F526BD4C7F7}"/>
            </c:ext>
          </c:extLst>
        </c:ser>
        <c:ser>
          <c:idx val="58"/>
          <c:order val="57"/>
          <c:tx>
            <c:strRef>
              <c:f>'Data Fuselage'!$AF$892</c:f>
              <c:strCache>
                <c:ptCount val="1"/>
                <c:pt idx="0">
                  <c:v>Nothing</c:v>
                </c:pt>
              </c:strCache>
            </c:strRef>
          </c:tx>
          <c:spPr>
            <a:ln w="12700">
              <a:solidFill>
                <a:srgbClr val="0000FF"/>
              </a:solidFill>
              <a:prstDash val="solid"/>
            </a:ln>
          </c:spPr>
          <c:marker>
            <c:symbol val="none"/>
          </c:marker>
          <c:xVal>
            <c:numRef>
              <c:f>'Data Fuselage'!$AF$894:$AF$918</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xVal>
          <c:yVal>
            <c:numRef>
              <c:f>'Data Fuselage'!$AG$894:$AG$918</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yVal>
          <c:smooth val="0"/>
          <c:extLst>
            <c:ext xmlns:c16="http://schemas.microsoft.com/office/drawing/2014/chart" uri="{C3380CC4-5D6E-409C-BE32-E72D297353CC}">
              <c16:uniqueId val="{00000039-819C-4C0B-B4D9-7F526BD4C7F7}"/>
            </c:ext>
          </c:extLst>
        </c:ser>
        <c:ser>
          <c:idx val="59"/>
          <c:order val="58"/>
          <c:tx>
            <c:strRef>
              <c:f>'Data Fuselage'!$AJ$892</c:f>
              <c:strCache>
                <c:ptCount val="1"/>
                <c:pt idx="0">
                  <c:v>Nothing</c:v>
                </c:pt>
              </c:strCache>
            </c:strRef>
          </c:tx>
          <c:spPr>
            <a:ln w="12700">
              <a:solidFill>
                <a:srgbClr val="0000FF"/>
              </a:solidFill>
              <a:prstDash val="solid"/>
            </a:ln>
          </c:spPr>
          <c:marker>
            <c:symbol val="none"/>
          </c:marker>
          <c:xVal>
            <c:numRef>
              <c:f>'Data Fuselage'!$AJ$894:$AJ$906</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Fuselage'!$AK$894:$AK$906</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3A-819C-4C0B-B4D9-7F526BD4C7F7}"/>
            </c:ext>
          </c:extLst>
        </c:ser>
        <c:ser>
          <c:idx val="60"/>
          <c:order val="59"/>
          <c:tx>
            <c:strRef>
              <c:f>'Data Fuselage'!$AB$928</c:f>
              <c:strCache>
                <c:ptCount val="1"/>
                <c:pt idx="0">
                  <c:v>Nothing</c:v>
                </c:pt>
              </c:strCache>
            </c:strRef>
          </c:tx>
          <c:spPr>
            <a:ln w="12700">
              <a:solidFill>
                <a:srgbClr val="0000FF"/>
              </a:solidFill>
              <a:prstDash val="solid"/>
            </a:ln>
          </c:spPr>
          <c:marker>
            <c:symbol val="none"/>
          </c:marker>
          <c:xVal>
            <c:numRef>
              <c:f>'Data Fuselage'!$AB$930:$AB$942</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Fuselage'!$AC$930:$AC$942</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3B-819C-4C0B-B4D9-7F526BD4C7F7}"/>
            </c:ext>
          </c:extLst>
        </c:ser>
        <c:ser>
          <c:idx val="61"/>
          <c:order val="60"/>
          <c:tx>
            <c:strRef>
              <c:f>'Data Fuselage'!$AF$928</c:f>
              <c:strCache>
                <c:ptCount val="1"/>
                <c:pt idx="0">
                  <c:v>Nothing</c:v>
                </c:pt>
              </c:strCache>
            </c:strRef>
          </c:tx>
          <c:spPr>
            <a:ln w="12700">
              <a:solidFill>
                <a:srgbClr val="0000FF"/>
              </a:solidFill>
              <a:prstDash val="solid"/>
            </a:ln>
          </c:spPr>
          <c:marker>
            <c:symbol val="none"/>
          </c:marker>
          <c:xVal>
            <c:numRef>
              <c:f>'Data Fuselage'!$AF$930:$AF$954</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xVal>
          <c:yVal>
            <c:numRef>
              <c:f>'Data Fuselage'!$AG$930:$AG$954</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yVal>
          <c:smooth val="0"/>
          <c:extLst>
            <c:ext xmlns:c16="http://schemas.microsoft.com/office/drawing/2014/chart" uri="{C3380CC4-5D6E-409C-BE32-E72D297353CC}">
              <c16:uniqueId val="{0000003C-819C-4C0B-B4D9-7F526BD4C7F7}"/>
            </c:ext>
          </c:extLst>
        </c:ser>
        <c:ser>
          <c:idx val="62"/>
          <c:order val="61"/>
          <c:tx>
            <c:strRef>
              <c:f>'Data Fuselage'!$AJ$928</c:f>
              <c:strCache>
                <c:ptCount val="1"/>
                <c:pt idx="0">
                  <c:v>Nothing</c:v>
                </c:pt>
              </c:strCache>
            </c:strRef>
          </c:tx>
          <c:spPr>
            <a:ln w="12700">
              <a:solidFill>
                <a:srgbClr val="0000FF"/>
              </a:solidFill>
              <a:prstDash val="solid"/>
            </a:ln>
          </c:spPr>
          <c:marker>
            <c:symbol val="none"/>
          </c:marker>
          <c:xVal>
            <c:numRef>
              <c:f>'Data Fuselage'!$AJ$930:$AJ$942</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Fuselage'!$AK$930:$AK$942</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3D-819C-4C0B-B4D9-7F526BD4C7F7}"/>
            </c:ext>
          </c:extLst>
        </c:ser>
        <c:ser>
          <c:idx val="63"/>
          <c:order val="62"/>
          <c:tx>
            <c:strRef>
              <c:f>'Data Fuselage'!$AB$964</c:f>
              <c:strCache>
                <c:ptCount val="1"/>
                <c:pt idx="0">
                  <c:v>Nothing</c:v>
                </c:pt>
              </c:strCache>
            </c:strRef>
          </c:tx>
          <c:spPr>
            <a:ln w="12700">
              <a:solidFill>
                <a:srgbClr val="0000FF"/>
              </a:solidFill>
              <a:prstDash val="solid"/>
            </a:ln>
          </c:spPr>
          <c:marker>
            <c:symbol val="none"/>
          </c:marker>
          <c:xVal>
            <c:numRef>
              <c:f>'Data Fuselage'!$AB$966:$AB$978</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Fuselage'!$AC$966:$AC$978</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3E-819C-4C0B-B4D9-7F526BD4C7F7}"/>
            </c:ext>
          </c:extLst>
        </c:ser>
        <c:ser>
          <c:idx val="64"/>
          <c:order val="63"/>
          <c:tx>
            <c:strRef>
              <c:f>'Data Fuselage'!$AF$964</c:f>
              <c:strCache>
                <c:ptCount val="1"/>
                <c:pt idx="0">
                  <c:v>Nothing</c:v>
                </c:pt>
              </c:strCache>
            </c:strRef>
          </c:tx>
          <c:spPr>
            <a:ln w="12700">
              <a:solidFill>
                <a:srgbClr val="0000FF"/>
              </a:solidFill>
              <a:prstDash val="solid"/>
            </a:ln>
          </c:spPr>
          <c:marker>
            <c:symbol val="none"/>
          </c:marker>
          <c:xVal>
            <c:numRef>
              <c:f>'Data Fuselage'!$AF$966:$AF$990</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xVal>
          <c:yVal>
            <c:numRef>
              <c:f>'Data Fuselage'!$AG$966:$AG$990</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yVal>
          <c:smooth val="0"/>
          <c:extLst>
            <c:ext xmlns:c16="http://schemas.microsoft.com/office/drawing/2014/chart" uri="{C3380CC4-5D6E-409C-BE32-E72D297353CC}">
              <c16:uniqueId val="{0000003F-819C-4C0B-B4D9-7F526BD4C7F7}"/>
            </c:ext>
          </c:extLst>
        </c:ser>
        <c:ser>
          <c:idx val="65"/>
          <c:order val="64"/>
          <c:tx>
            <c:strRef>
              <c:f>'Data Fuselage'!$AJ$964</c:f>
              <c:strCache>
                <c:ptCount val="1"/>
                <c:pt idx="0">
                  <c:v>Nothing</c:v>
                </c:pt>
              </c:strCache>
            </c:strRef>
          </c:tx>
          <c:spPr>
            <a:ln w="12700">
              <a:solidFill>
                <a:srgbClr val="0000FF"/>
              </a:solidFill>
              <a:prstDash val="solid"/>
            </a:ln>
          </c:spPr>
          <c:marker>
            <c:symbol val="none"/>
          </c:marker>
          <c:xVal>
            <c:numRef>
              <c:f>'Data Fuselage'!$AJ$966:$AJ$978</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Fuselage'!$AK$966:$AK$978</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40-819C-4C0B-B4D9-7F526BD4C7F7}"/>
            </c:ext>
          </c:extLst>
        </c:ser>
        <c:ser>
          <c:idx val="66"/>
          <c:order val="65"/>
          <c:tx>
            <c:strRef>
              <c:f>'Data Fuselage'!$AB$1000</c:f>
              <c:strCache>
                <c:ptCount val="1"/>
                <c:pt idx="0">
                  <c:v>Nothing</c:v>
                </c:pt>
              </c:strCache>
            </c:strRef>
          </c:tx>
          <c:spPr>
            <a:ln w="12700">
              <a:solidFill>
                <a:srgbClr val="0000FF"/>
              </a:solidFill>
              <a:prstDash val="solid"/>
            </a:ln>
          </c:spPr>
          <c:marker>
            <c:symbol val="none"/>
          </c:marker>
          <c:xVal>
            <c:numRef>
              <c:f>'Data Fuselage'!$AB$1002:$AB$1014</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Fuselage'!$AC$1002:$AC$1014</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41-819C-4C0B-B4D9-7F526BD4C7F7}"/>
            </c:ext>
          </c:extLst>
        </c:ser>
        <c:ser>
          <c:idx val="67"/>
          <c:order val="66"/>
          <c:tx>
            <c:strRef>
              <c:f>'Data Fuselage'!$AF$1000</c:f>
              <c:strCache>
                <c:ptCount val="1"/>
                <c:pt idx="0">
                  <c:v>Nothing</c:v>
                </c:pt>
              </c:strCache>
            </c:strRef>
          </c:tx>
          <c:spPr>
            <a:ln w="12700">
              <a:solidFill>
                <a:srgbClr val="0000FF"/>
              </a:solidFill>
              <a:prstDash val="solid"/>
            </a:ln>
          </c:spPr>
          <c:marker>
            <c:symbol val="none"/>
          </c:marker>
          <c:xVal>
            <c:numRef>
              <c:f>'Data Fuselage'!$AF$1002:$AF$1026</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xVal>
          <c:yVal>
            <c:numRef>
              <c:f>'Data Fuselage'!$AG$1002:$AG$1026</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yVal>
          <c:smooth val="0"/>
          <c:extLst>
            <c:ext xmlns:c16="http://schemas.microsoft.com/office/drawing/2014/chart" uri="{C3380CC4-5D6E-409C-BE32-E72D297353CC}">
              <c16:uniqueId val="{00000042-819C-4C0B-B4D9-7F526BD4C7F7}"/>
            </c:ext>
          </c:extLst>
        </c:ser>
        <c:ser>
          <c:idx val="68"/>
          <c:order val="67"/>
          <c:tx>
            <c:strRef>
              <c:f>'Data Fuselage'!$AJ$1000</c:f>
              <c:strCache>
                <c:ptCount val="1"/>
                <c:pt idx="0">
                  <c:v>Nothing</c:v>
                </c:pt>
              </c:strCache>
            </c:strRef>
          </c:tx>
          <c:spPr>
            <a:ln w="12700">
              <a:solidFill>
                <a:srgbClr val="0000FF"/>
              </a:solidFill>
              <a:prstDash val="solid"/>
            </a:ln>
          </c:spPr>
          <c:marker>
            <c:symbol val="none"/>
          </c:marker>
          <c:xVal>
            <c:numRef>
              <c:f>'Data Fuselage'!$AJ$1002:$AJ$1014</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Fuselage'!$AK$1002:$AK$1014</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43-819C-4C0B-B4D9-7F526BD4C7F7}"/>
            </c:ext>
          </c:extLst>
        </c:ser>
        <c:ser>
          <c:idx val="69"/>
          <c:order val="68"/>
          <c:tx>
            <c:strRef>
              <c:f>'Data Fuselage'!$AB$1036</c:f>
              <c:strCache>
                <c:ptCount val="1"/>
                <c:pt idx="0">
                  <c:v>Nothing</c:v>
                </c:pt>
              </c:strCache>
            </c:strRef>
          </c:tx>
          <c:spPr>
            <a:ln w="12700">
              <a:solidFill>
                <a:srgbClr val="0000FF"/>
              </a:solidFill>
              <a:prstDash val="solid"/>
            </a:ln>
          </c:spPr>
          <c:marker>
            <c:symbol val="none"/>
          </c:marker>
          <c:xVal>
            <c:numRef>
              <c:f>'Data Fuselage'!$AB$1038:$AB$1050</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Fuselage'!$AC$1038:$AC$1050</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44-819C-4C0B-B4D9-7F526BD4C7F7}"/>
            </c:ext>
          </c:extLst>
        </c:ser>
        <c:ser>
          <c:idx val="70"/>
          <c:order val="69"/>
          <c:tx>
            <c:strRef>
              <c:f>'Data Fuselage'!$AF$1036</c:f>
              <c:strCache>
                <c:ptCount val="1"/>
                <c:pt idx="0">
                  <c:v>Nothing</c:v>
                </c:pt>
              </c:strCache>
            </c:strRef>
          </c:tx>
          <c:spPr>
            <a:ln w="12700">
              <a:solidFill>
                <a:srgbClr val="0000FF"/>
              </a:solidFill>
              <a:prstDash val="solid"/>
            </a:ln>
          </c:spPr>
          <c:marker>
            <c:symbol val="none"/>
          </c:marker>
          <c:xVal>
            <c:numRef>
              <c:f>'Data Fuselage'!$AF$1038:$AF$1062</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xVal>
          <c:yVal>
            <c:numRef>
              <c:f>'Data Fuselage'!$AG$1038:$AG$1062</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yVal>
          <c:smooth val="0"/>
          <c:extLst>
            <c:ext xmlns:c16="http://schemas.microsoft.com/office/drawing/2014/chart" uri="{C3380CC4-5D6E-409C-BE32-E72D297353CC}">
              <c16:uniqueId val="{00000045-819C-4C0B-B4D9-7F526BD4C7F7}"/>
            </c:ext>
          </c:extLst>
        </c:ser>
        <c:ser>
          <c:idx val="71"/>
          <c:order val="70"/>
          <c:tx>
            <c:strRef>
              <c:f>'Data Fuselage'!$AJ$1036</c:f>
              <c:strCache>
                <c:ptCount val="1"/>
                <c:pt idx="0">
                  <c:v>Nothing</c:v>
                </c:pt>
              </c:strCache>
            </c:strRef>
          </c:tx>
          <c:spPr>
            <a:ln w="12700">
              <a:solidFill>
                <a:srgbClr val="0000FF"/>
              </a:solidFill>
              <a:prstDash val="solid"/>
            </a:ln>
          </c:spPr>
          <c:marker>
            <c:symbol val="none"/>
          </c:marker>
          <c:xVal>
            <c:numRef>
              <c:f>'Data Fuselage'!$AJ$1038:$AJ$1050</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Fuselage'!$AK$1038:$AK$1050</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46-819C-4C0B-B4D9-7F526BD4C7F7}"/>
            </c:ext>
          </c:extLst>
        </c:ser>
        <c:ser>
          <c:idx val="72"/>
          <c:order val="71"/>
          <c:tx>
            <c:strRef>
              <c:f>'Data Fuselage'!$AB$1072</c:f>
              <c:strCache>
                <c:ptCount val="1"/>
                <c:pt idx="0">
                  <c:v>Nothing</c:v>
                </c:pt>
              </c:strCache>
            </c:strRef>
          </c:tx>
          <c:spPr>
            <a:ln w="12700">
              <a:solidFill>
                <a:srgbClr val="0000FF"/>
              </a:solidFill>
              <a:prstDash val="solid"/>
            </a:ln>
          </c:spPr>
          <c:marker>
            <c:symbol val="none"/>
          </c:marker>
          <c:xVal>
            <c:numRef>
              <c:f>'Data Fuselage'!$AB$1074:$AB$1086</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Fuselage'!$AC$1074:$AC$1086</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47-819C-4C0B-B4D9-7F526BD4C7F7}"/>
            </c:ext>
          </c:extLst>
        </c:ser>
        <c:ser>
          <c:idx val="73"/>
          <c:order val="72"/>
          <c:tx>
            <c:strRef>
              <c:f>'Data Fuselage'!$AF$1072</c:f>
              <c:strCache>
                <c:ptCount val="1"/>
                <c:pt idx="0">
                  <c:v>Nothing</c:v>
                </c:pt>
              </c:strCache>
            </c:strRef>
          </c:tx>
          <c:spPr>
            <a:ln w="12700">
              <a:solidFill>
                <a:srgbClr val="0000FF"/>
              </a:solidFill>
              <a:prstDash val="solid"/>
            </a:ln>
          </c:spPr>
          <c:marker>
            <c:symbol val="none"/>
          </c:marker>
          <c:xVal>
            <c:numRef>
              <c:f>'Data Fuselage'!$AF$1074:$AF$1098</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xVal>
          <c:yVal>
            <c:numRef>
              <c:f>'Data Fuselage'!$AG$1074:$AG$1098</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yVal>
          <c:smooth val="0"/>
          <c:extLst>
            <c:ext xmlns:c16="http://schemas.microsoft.com/office/drawing/2014/chart" uri="{C3380CC4-5D6E-409C-BE32-E72D297353CC}">
              <c16:uniqueId val="{00000048-819C-4C0B-B4D9-7F526BD4C7F7}"/>
            </c:ext>
          </c:extLst>
        </c:ser>
        <c:ser>
          <c:idx val="74"/>
          <c:order val="73"/>
          <c:tx>
            <c:strRef>
              <c:f>'Data Fuselage'!$AJ$1072</c:f>
              <c:strCache>
                <c:ptCount val="1"/>
                <c:pt idx="0">
                  <c:v>Nothing</c:v>
                </c:pt>
              </c:strCache>
            </c:strRef>
          </c:tx>
          <c:spPr>
            <a:ln w="12700">
              <a:solidFill>
                <a:srgbClr val="0000FF"/>
              </a:solidFill>
              <a:prstDash val="solid"/>
            </a:ln>
          </c:spPr>
          <c:marker>
            <c:symbol val="none"/>
          </c:marker>
          <c:xVal>
            <c:numRef>
              <c:f>'Data Fuselage'!$AJ$1074:$AJ$1086</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Fuselage'!$AK$1074:$AK$1086</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49-819C-4C0B-B4D9-7F526BD4C7F7}"/>
            </c:ext>
          </c:extLst>
        </c:ser>
        <c:ser>
          <c:idx val="75"/>
          <c:order val="74"/>
          <c:tx>
            <c:strRef>
              <c:f>'Data Fuselage'!$AB$1108</c:f>
              <c:strCache>
                <c:ptCount val="1"/>
                <c:pt idx="0">
                  <c:v>Nothing</c:v>
                </c:pt>
              </c:strCache>
            </c:strRef>
          </c:tx>
          <c:spPr>
            <a:ln w="12700">
              <a:solidFill>
                <a:srgbClr val="0000FF"/>
              </a:solidFill>
              <a:prstDash val="solid"/>
            </a:ln>
          </c:spPr>
          <c:marker>
            <c:symbol val="none"/>
          </c:marker>
          <c:xVal>
            <c:numRef>
              <c:f>'Data Fuselage'!$AB$1110:$AB$1122</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Fuselage'!$AC$1110:$AC$1122</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4A-819C-4C0B-B4D9-7F526BD4C7F7}"/>
            </c:ext>
          </c:extLst>
        </c:ser>
        <c:ser>
          <c:idx val="76"/>
          <c:order val="75"/>
          <c:tx>
            <c:strRef>
              <c:f>'Data Fuselage'!$AF$1108</c:f>
              <c:strCache>
                <c:ptCount val="1"/>
                <c:pt idx="0">
                  <c:v>Nothing</c:v>
                </c:pt>
              </c:strCache>
            </c:strRef>
          </c:tx>
          <c:spPr>
            <a:ln w="12700">
              <a:solidFill>
                <a:srgbClr val="0000FF"/>
              </a:solidFill>
              <a:prstDash val="solid"/>
            </a:ln>
          </c:spPr>
          <c:marker>
            <c:symbol val="none"/>
          </c:marker>
          <c:xVal>
            <c:numRef>
              <c:f>'Data Fuselage'!$AF$1110:$AF$1134</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xVal>
          <c:yVal>
            <c:numRef>
              <c:f>'Data Fuselage'!$AG$1110:$AG$1134</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yVal>
          <c:smooth val="0"/>
          <c:extLst>
            <c:ext xmlns:c16="http://schemas.microsoft.com/office/drawing/2014/chart" uri="{C3380CC4-5D6E-409C-BE32-E72D297353CC}">
              <c16:uniqueId val="{0000004B-819C-4C0B-B4D9-7F526BD4C7F7}"/>
            </c:ext>
          </c:extLst>
        </c:ser>
        <c:ser>
          <c:idx val="77"/>
          <c:order val="76"/>
          <c:tx>
            <c:strRef>
              <c:f>'Data Fuselage'!$AJ$1108</c:f>
              <c:strCache>
                <c:ptCount val="1"/>
                <c:pt idx="0">
                  <c:v>Nothing</c:v>
                </c:pt>
              </c:strCache>
            </c:strRef>
          </c:tx>
          <c:spPr>
            <a:ln w="12700">
              <a:solidFill>
                <a:srgbClr val="0000FF"/>
              </a:solidFill>
              <a:prstDash val="solid"/>
            </a:ln>
          </c:spPr>
          <c:marker>
            <c:symbol val="none"/>
          </c:marker>
          <c:xVal>
            <c:numRef>
              <c:f>'Data Fuselage'!$AJ$1110:$AJ$1122</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Fuselage'!$AK$1110:$AK$1122</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4C-819C-4C0B-B4D9-7F526BD4C7F7}"/>
            </c:ext>
          </c:extLst>
        </c:ser>
        <c:ser>
          <c:idx val="78"/>
          <c:order val="77"/>
          <c:tx>
            <c:strRef>
              <c:f>'Data Fuselage'!$AB$1144</c:f>
              <c:strCache>
                <c:ptCount val="1"/>
                <c:pt idx="0">
                  <c:v>Nothing</c:v>
                </c:pt>
              </c:strCache>
            </c:strRef>
          </c:tx>
          <c:spPr>
            <a:ln w="12700">
              <a:solidFill>
                <a:srgbClr val="0000FF"/>
              </a:solidFill>
              <a:prstDash val="solid"/>
            </a:ln>
          </c:spPr>
          <c:marker>
            <c:symbol val="none"/>
          </c:marker>
          <c:xVal>
            <c:numRef>
              <c:f>'Data Fuselage'!$AB$1146:$AB$1158</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Fuselage'!$AC$1146:$AC$1158</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4D-819C-4C0B-B4D9-7F526BD4C7F7}"/>
            </c:ext>
          </c:extLst>
        </c:ser>
        <c:ser>
          <c:idx val="79"/>
          <c:order val="78"/>
          <c:tx>
            <c:strRef>
              <c:f>'Data Fuselage'!$AF$1144</c:f>
              <c:strCache>
                <c:ptCount val="1"/>
                <c:pt idx="0">
                  <c:v>Nothing</c:v>
                </c:pt>
              </c:strCache>
            </c:strRef>
          </c:tx>
          <c:spPr>
            <a:ln w="12700">
              <a:solidFill>
                <a:srgbClr val="0000FF"/>
              </a:solidFill>
              <a:prstDash val="solid"/>
            </a:ln>
          </c:spPr>
          <c:marker>
            <c:symbol val="none"/>
          </c:marker>
          <c:xVal>
            <c:numRef>
              <c:f>'Data Fuselage'!$AF$1146:$AF$1170</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xVal>
          <c:yVal>
            <c:numRef>
              <c:f>'Data Fuselage'!$AG$1146:$AG$1170</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yVal>
          <c:smooth val="0"/>
          <c:extLst>
            <c:ext xmlns:c16="http://schemas.microsoft.com/office/drawing/2014/chart" uri="{C3380CC4-5D6E-409C-BE32-E72D297353CC}">
              <c16:uniqueId val="{0000004E-819C-4C0B-B4D9-7F526BD4C7F7}"/>
            </c:ext>
          </c:extLst>
        </c:ser>
        <c:ser>
          <c:idx val="80"/>
          <c:order val="79"/>
          <c:tx>
            <c:strRef>
              <c:f>'Data Fuselage'!$AJ$1144</c:f>
              <c:strCache>
                <c:ptCount val="1"/>
                <c:pt idx="0">
                  <c:v>Nothing</c:v>
                </c:pt>
              </c:strCache>
            </c:strRef>
          </c:tx>
          <c:spPr>
            <a:ln w="12700">
              <a:solidFill>
                <a:srgbClr val="0000FF"/>
              </a:solidFill>
              <a:prstDash val="solid"/>
            </a:ln>
          </c:spPr>
          <c:marker>
            <c:symbol val="none"/>
          </c:marker>
          <c:xVal>
            <c:numRef>
              <c:f>'Data Fuselage'!$AJ$1146:$AJ$1158</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Fuselage'!$AK$1146:$AK$1158</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4F-819C-4C0B-B4D9-7F526BD4C7F7}"/>
            </c:ext>
          </c:extLst>
        </c:ser>
        <c:ser>
          <c:idx val="81"/>
          <c:order val="80"/>
          <c:tx>
            <c:strRef>
              <c:f>'Data Fuselage'!$AB$1180</c:f>
              <c:strCache>
                <c:ptCount val="1"/>
                <c:pt idx="0">
                  <c:v>Nothing</c:v>
                </c:pt>
              </c:strCache>
            </c:strRef>
          </c:tx>
          <c:spPr>
            <a:ln w="12700">
              <a:solidFill>
                <a:srgbClr val="0000FF"/>
              </a:solidFill>
              <a:prstDash val="solid"/>
            </a:ln>
          </c:spPr>
          <c:marker>
            <c:symbol val="none"/>
          </c:marker>
          <c:xVal>
            <c:numRef>
              <c:f>'Data Fuselage'!$AB$1182:$AB$1194</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Fuselage'!$AC$1182:$AC$1194</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50-819C-4C0B-B4D9-7F526BD4C7F7}"/>
            </c:ext>
          </c:extLst>
        </c:ser>
        <c:ser>
          <c:idx val="82"/>
          <c:order val="81"/>
          <c:tx>
            <c:strRef>
              <c:f>'Data Fuselage'!$AF$1180</c:f>
              <c:strCache>
                <c:ptCount val="1"/>
                <c:pt idx="0">
                  <c:v>Nothing</c:v>
                </c:pt>
              </c:strCache>
            </c:strRef>
          </c:tx>
          <c:spPr>
            <a:ln w="12700">
              <a:solidFill>
                <a:srgbClr val="0000FF"/>
              </a:solidFill>
              <a:prstDash val="solid"/>
            </a:ln>
          </c:spPr>
          <c:marker>
            <c:symbol val="none"/>
          </c:marker>
          <c:xVal>
            <c:numRef>
              <c:f>'Data Fuselage'!$AF$1182:$AF$1206</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xVal>
          <c:yVal>
            <c:numRef>
              <c:f>'Data Fuselage'!$AG$1182:$AG$1206</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yVal>
          <c:smooth val="0"/>
          <c:extLst>
            <c:ext xmlns:c16="http://schemas.microsoft.com/office/drawing/2014/chart" uri="{C3380CC4-5D6E-409C-BE32-E72D297353CC}">
              <c16:uniqueId val="{00000051-819C-4C0B-B4D9-7F526BD4C7F7}"/>
            </c:ext>
          </c:extLst>
        </c:ser>
        <c:ser>
          <c:idx val="83"/>
          <c:order val="82"/>
          <c:tx>
            <c:strRef>
              <c:f>'Data Fuselage'!$AJ$1180</c:f>
              <c:strCache>
                <c:ptCount val="1"/>
                <c:pt idx="0">
                  <c:v>Nothing</c:v>
                </c:pt>
              </c:strCache>
            </c:strRef>
          </c:tx>
          <c:spPr>
            <a:ln w="12700">
              <a:solidFill>
                <a:srgbClr val="0000FF"/>
              </a:solidFill>
              <a:prstDash val="solid"/>
            </a:ln>
          </c:spPr>
          <c:marker>
            <c:symbol val="none"/>
          </c:marker>
          <c:xVal>
            <c:numRef>
              <c:f>'Data Fuselage'!$AJ$1182:$AJ$1194</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Fuselage'!$AK$1182:$AK$1194</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52-819C-4C0B-B4D9-7F526BD4C7F7}"/>
            </c:ext>
          </c:extLst>
        </c:ser>
        <c:ser>
          <c:idx val="84"/>
          <c:order val="83"/>
          <c:tx>
            <c:strRef>
              <c:f>'Data Fuselage'!$AB$1216</c:f>
              <c:strCache>
                <c:ptCount val="1"/>
                <c:pt idx="0">
                  <c:v>Nothing</c:v>
                </c:pt>
              </c:strCache>
            </c:strRef>
          </c:tx>
          <c:spPr>
            <a:ln w="12700">
              <a:solidFill>
                <a:srgbClr val="0000FF"/>
              </a:solidFill>
              <a:prstDash val="solid"/>
            </a:ln>
          </c:spPr>
          <c:marker>
            <c:symbol val="none"/>
          </c:marker>
          <c:xVal>
            <c:numRef>
              <c:f>'Data Fuselage'!$AB$1218:$AB$1230</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Fuselage'!$AC$1218:$AC$1230</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53-819C-4C0B-B4D9-7F526BD4C7F7}"/>
            </c:ext>
          </c:extLst>
        </c:ser>
        <c:ser>
          <c:idx val="85"/>
          <c:order val="84"/>
          <c:tx>
            <c:strRef>
              <c:f>'Data Fuselage'!$AF$1216</c:f>
              <c:strCache>
                <c:ptCount val="1"/>
                <c:pt idx="0">
                  <c:v>Nothing</c:v>
                </c:pt>
              </c:strCache>
            </c:strRef>
          </c:tx>
          <c:spPr>
            <a:ln w="12700">
              <a:solidFill>
                <a:srgbClr val="0000FF"/>
              </a:solidFill>
              <a:prstDash val="solid"/>
            </a:ln>
          </c:spPr>
          <c:marker>
            <c:symbol val="none"/>
          </c:marker>
          <c:xVal>
            <c:numRef>
              <c:f>'Data Fuselage'!$AF$1218:$AF$1242</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xVal>
          <c:yVal>
            <c:numRef>
              <c:f>'Data Fuselage'!$AG$1218:$AG$1242</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yVal>
          <c:smooth val="0"/>
          <c:extLst>
            <c:ext xmlns:c16="http://schemas.microsoft.com/office/drawing/2014/chart" uri="{C3380CC4-5D6E-409C-BE32-E72D297353CC}">
              <c16:uniqueId val="{00000054-819C-4C0B-B4D9-7F526BD4C7F7}"/>
            </c:ext>
          </c:extLst>
        </c:ser>
        <c:ser>
          <c:idx val="86"/>
          <c:order val="85"/>
          <c:tx>
            <c:strRef>
              <c:f>'Data Fuselage'!$AJ$1216</c:f>
              <c:strCache>
                <c:ptCount val="1"/>
                <c:pt idx="0">
                  <c:v>Nothing</c:v>
                </c:pt>
              </c:strCache>
            </c:strRef>
          </c:tx>
          <c:spPr>
            <a:ln w="12700">
              <a:solidFill>
                <a:srgbClr val="0000FF"/>
              </a:solidFill>
              <a:prstDash val="solid"/>
            </a:ln>
          </c:spPr>
          <c:marker>
            <c:symbol val="none"/>
          </c:marker>
          <c:xVal>
            <c:numRef>
              <c:f>'Data Fuselage'!$AJ$1218:$AJ$1230</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Fuselage'!$AK$1218:$AK$1230</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55-819C-4C0B-B4D9-7F526BD4C7F7}"/>
            </c:ext>
          </c:extLst>
        </c:ser>
        <c:ser>
          <c:idx val="87"/>
          <c:order val="86"/>
          <c:tx>
            <c:strRef>
              <c:f>'Data Fuselage'!$AB$1252</c:f>
              <c:strCache>
                <c:ptCount val="1"/>
                <c:pt idx="0">
                  <c:v>Nothing</c:v>
                </c:pt>
              </c:strCache>
            </c:strRef>
          </c:tx>
          <c:spPr>
            <a:ln w="12700">
              <a:solidFill>
                <a:srgbClr val="0000FF"/>
              </a:solidFill>
              <a:prstDash val="solid"/>
            </a:ln>
          </c:spPr>
          <c:marker>
            <c:symbol val="none"/>
          </c:marker>
          <c:xVal>
            <c:numRef>
              <c:f>'Data Fuselage'!$AB$1254:$AB$1266</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Fuselage'!$AC$1254:$AC$1266</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56-819C-4C0B-B4D9-7F526BD4C7F7}"/>
            </c:ext>
          </c:extLst>
        </c:ser>
        <c:ser>
          <c:idx val="88"/>
          <c:order val="87"/>
          <c:tx>
            <c:strRef>
              <c:f>'Data Fuselage'!$AF$1252</c:f>
              <c:strCache>
                <c:ptCount val="1"/>
                <c:pt idx="0">
                  <c:v>Nothing</c:v>
                </c:pt>
              </c:strCache>
            </c:strRef>
          </c:tx>
          <c:spPr>
            <a:ln w="12700">
              <a:solidFill>
                <a:srgbClr val="0000FF"/>
              </a:solidFill>
              <a:prstDash val="solid"/>
            </a:ln>
          </c:spPr>
          <c:marker>
            <c:symbol val="none"/>
          </c:marker>
          <c:xVal>
            <c:numRef>
              <c:f>'Data Fuselage'!$AF$1254:$AF$1278</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xVal>
          <c:yVal>
            <c:numRef>
              <c:f>'Data Fuselage'!$AG$1254:$AG$1278</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yVal>
          <c:smooth val="0"/>
          <c:extLst>
            <c:ext xmlns:c16="http://schemas.microsoft.com/office/drawing/2014/chart" uri="{C3380CC4-5D6E-409C-BE32-E72D297353CC}">
              <c16:uniqueId val="{00000057-819C-4C0B-B4D9-7F526BD4C7F7}"/>
            </c:ext>
          </c:extLst>
        </c:ser>
        <c:ser>
          <c:idx val="89"/>
          <c:order val="88"/>
          <c:tx>
            <c:strRef>
              <c:f>'Data Fuselage'!$AJ$1252</c:f>
              <c:strCache>
                <c:ptCount val="1"/>
                <c:pt idx="0">
                  <c:v>Nothing</c:v>
                </c:pt>
              </c:strCache>
            </c:strRef>
          </c:tx>
          <c:spPr>
            <a:ln w="12700">
              <a:solidFill>
                <a:srgbClr val="0000FF"/>
              </a:solidFill>
              <a:prstDash val="solid"/>
            </a:ln>
          </c:spPr>
          <c:marker>
            <c:symbol val="none"/>
          </c:marker>
          <c:xVal>
            <c:numRef>
              <c:f>'Data Fuselage'!$AJ$1254:$AJ$1266</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Fuselage'!$AK$1254:$AK$1266</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58-819C-4C0B-B4D9-7F526BD4C7F7}"/>
            </c:ext>
          </c:extLst>
        </c:ser>
        <c:ser>
          <c:idx val="90"/>
          <c:order val="89"/>
          <c:tx>
            <c:strRef>
              <c:f>'Data Fuselage'!$AB$1288</c:f>
              <c:strCache>
                <c:ptCount val="1"/>
                <c:pt idx="0">
                  <c:v>Nothing</c:v>
                </c:pt>
              </c:strCache>
            </c:strRef>
          </c:tx>
          <c:spPr>
            <a:ln w="12700">
              <a:solidFill>
                <a:srgbClr val="0000FF"/>
              </a:solidFill>
              <a:prstDash val="solid"/>
            </a:ln>
          </c:spPr>
          <c:marker>
            <c:symbol val="none"/>
          </c:marker>
          <c:xVal>
            <c:numRef>
              <c:f>'Data Fuselage'!$AB$1290:$AB$1302</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Fuselage'!$AC$1290:$AC$1302</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59-819C-4C0B-B4D9-7F526BD4C7F7}"/>
            </c:ext>
          </c:extLst>
        </c:ser>
        <c:ser>
          <c:idx val="91"/>
          <c:order val="90"/>
          <c:tx>
            <c:strRef>
              <c:f>'Data Fuselage'!$AF$1288</c:f>
              <c:strCache>
                <c:ptCount val="1"/>
                <c:pt idx="0">
                  <c:v>Nothing</c:v>
                </c:pt>
              </c:strCache>
            </c:strRef>
          </c:tx>
          <c:spPr>
            <a:ln w="12700">
              <a:solidFill>
                <a:srgbClr val="0000FF"/>
              </a:solidFill>
              <a:prstDash val="solid"/>
            </a:ln>
          </c:spPr>
          <c:marker>
            <c:symbol val="none"/>
          </c:marker>
          <c:xVal>
            <c:numRef>
              <c:f>'Data Fuselage'!$AF$1290:$AF$1314</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xVal>
          <c:yVal>
            <c:numRef>
              <c:f>'Data Fuselage'!$AG$1290:$AG$1314</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yVal>
          <c:smooth val="0"/>
          <c:extLst>
            <c:ext xmlns:c16="http://schemas.microsoft.com/office/drawing/2014/chart" uri="{C3380CC4-5D6E-409C-BE32-E72D297353CC}">
              <c16:uniqueId val="{0000005A-819C-4C0B-B4D9-7F526BD4C7F7}"/>
            </c:ext>
          </c:extLst>
        </c:ser>
        <c:ser>
          <c:idx val="92"/>
          <c:order val="91"/>
          <c:tx>
            <c:strRef>
              <c:f>'Data Fuselage'!$AJ$1288</c:f>
              <c:strCache>
                <c:ptCount val="1"/>
                <c:pt idx="0">
                  <c:v>Nothing</c:v>
                </c:pt>
              </c:strCache>
            </c:strRef>
          </c:tx>
          <c:spPr>
            <a:ln w="12700">
              <a:solidFill>
                <a:srgbClr val="0000FF"/>
              </a:solidFill>
              <a:prstDash val="solid"/>
            </a:ln>
          </c:spPr>
          <c:marker>
            <c:symbol val="none"/>
          </c:marker>
          <c:xVal>
            <c:numRef>
              <c:f>'Data Fuselage'!$AJ$1290:$AJ$1302</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Fuselage'!$AK$1290:$AK$1302</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5B-819C-4C0B-B4D9-7F526BD4C7F7}"/>
            </c:ext>
          </c:extLst>
        </c:ser>
        <c:ser>
          <c:idx val="93"/>
          <c:order val="92"/>
          <c:tx>
            <c:strRef>
              <c:f>'Data Fuselage'!$AB$1324</c:f>
              <c:strCache>
                <c:ptCount val="1"/>
                <c:pt idx="0">
                  <c:v>Nothing</c:v>
                </c:pt>
              </c:strCache>
            </c:strRef>
          </c:tx>
          <c:spPr>
            <a:ln w="12700">
              <a:solidFill>
                <a:srgbClr val="0000FF"/>
              </a:solidFill>
              <a:prstDash val="solid"/>
            </a:ln>
          </c:spPr>
          <c:marker>
            <c:symbol val="none"/>
          </c:marker>
          <c:xVal>
            <c:numRef>
              <c:f>'Data Fuselage'!$AB$1326:$AB$1338</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Fuselage'!$AC$1326:$AC$1338</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5C-819C-4C0B-B4D9-7F526BD4C7F7}"/>
            </c:ext>
          </c:extLst>
        </c:ser>
        <c:ser>
          <c:idx val="94"/>
          <c:order val="93"/>
          <c:tx>
            <c:strRef>
              <c:f>'Data Fuselage'!$AF$1324</c:f>
              <c:strCache>
                <c:ptCount val="1"/>
                <c:pt idx="0">
                  <c:v>Nothing</c:v>
                </c:pt>
              </c:strCache>
            </c:strRef>
          </c:tx>
          <c:spPr>
            <a:ln w="12700">
              <a:solidFill>
                <a:srgbClr val="0000FF"/>
              </a:solidFill>
              <a:prstDash val="solid"/>
            </a:ln>
          </c:spPr>
          <c:marker>
            <c:symbol val="none"/>
          </c:marker>
          <c:xVal>
            <c:numRef>
              <c:f>'Data Fuselage'!$AF$1326:$AF$1350</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xVal>
          <c:yVal>
            <c:numRef>
              <c:f>'Data Fuselage'!$AG$1326:$AG$1350</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yVal>
          <c:smooth val="0"/>
          <c:extLst>
            <c:ext xmlns:c16="http://schemas.microsoft.com/office/drawing/2014/chart" uri="{C3380CC4-5D6E-409C-BE32-E72D297353CC}">
              <c16:uniqueId val="{0000005D-819C-4C0B-B4D9-7F526BD4C7F7}"/>
            </c:ext>
          </c:extLst>
        </c:ser>
        <c:ser>
          <c:idx val="95"/>
          <c:order val="94"/>
          <c:tx>
            <c:strRef>
              <c:f>'Data Fuselage'!$AJ$1324</c:f>
              <c:strCache>
                <c:ptCount val="1"/>
                <c:pt idx="0">
                  <c:v>Nothing</c:v>
                </c:pt>
              </c:strCache>
            </c:strRef>
          </c:tx>
          <c:spPr>
            <a:ln w="12700">
              <a:solidFill>
                <a:srgbClr val="0000FF"/>
              </a:solidFill>
              <a:prstDash val="solid"/>
            </a:ln>
          </c:spPr>
          <c:marker>
            <c:symbol val="none"/>
          </c:marker>
          <c:xVal>
            <c:numRef>
              <c:f>'Data Fuselage'!$AJ$1326:$AJ$1338</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Fuselage'!$AK$1326:$AK$1338</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5E-819C-4C0B-B4D9-7F526BD4C7F7}"/>
            </c:ext>
          </c:extLst>
        </c:ser>
        <c:ser>
          <c:idx val="96"/>
          <c:order val="95"/>
          <c:tx>
            <c:strRef>
              <c:f>'Data Fuselage'!$AB$1360</c:f>
              <c:strCache>
                <c:ptCount val="1"/>
                <c:pt idx="0">
                  <c:v>Nothing</c:v>
                </c:pt>
              </c:strCache>
            </c:strRef>
          </c:tx>
          <c:spPr>
            <a:ln w="12700">
              <a:solidFill>
                <a:srgbClr val="0000FF"/>
              </a:solidFill>
              <a:prstDash val="solid"/>
            </a:ln>
          </c:spPr>
          <c:marker>
            <c:symbol val="none"/>
          </c:marker>
          <c:xVal>
            <c:numRef>
              <c:f>'Data Fuselage'!$AB$1362:$AB$1374</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Fuselage'!$AC$1362:$AC$1374</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5F-819C-4C0B-B4D9-7F526BD4C7F7}"/>
            </c:ext>
          </c:extLst>
        </c:ser>
        <c:ser>
          <c:idx val="97"/>
          <c:order val="96"/>
          <c:tx>
            <c:strRef>
              <c:f>'Data Fuselage'!$AF$1360</c:f>
              <c:strCache>
                <c:ptCount val="1"/>
                <c:pt idx="0">
                  <c:v>Nothing</c:v>
                </c:pt>
              </c:strCache>
            </c:strRef>
          </c:tx>
          <c:spPr>
            <a:ln w="12700">
              <a:solidFill>
                <a:srgbClr val="0000FF"/>
              </a:solidFill>
              <a:prstDash val="solid"/>
            </a:ln>
          </c:spPr>
          <c:marker>
            <c:symbol val="none"/>
          </c:marker>
          <c:xVal>
            <c:numRef>
              <c:f>'Data Fuselage'!$AF$1362:$AF$1386</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xVal>
          <c:yVal>
            <c:numRef>
              <c:f>'Data Fuselage'!$AG$1362:$AG$1386</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yVal>
          <c:smooth val="0"/>
          <c:extLst>
            <c:ext xmlns:c16="http://schemas.microsoft.com/office/drawing/2014/chart" uri="{C3380CC4-5D6E-409C-BE32-E72D297353CC}">
              <c16:uniqueId val="{00000060-819C-4C0B-B4D9-7F526BD4C7F7}"/>
            </c:ext>
          </c:extLst>
        </c:ser>
        <c:ser>
          <c:idx val="98"/>
          <c:order val="97"/>
          <c:tx>
            <c:strRef>
              <c:f>'Data Fuselage'!$AJ$1360</c:f>
              <c:strCache>
                <c:ptCount val="1"/>
                <c:pt idx="0">
                  <c:v>Nothing</c:v>
                </c:pt>
              </c:strCache>
            </c:strRef>
          </c:tx>
          <c:spPr>
            <a:ln w="12700">
              <a:solidFill>
                <a:srgbClr val="0000FF"/>
              </a:solidFill>
              <a:prstDash val="solid"/>
            </a:ln>
          </c:spPr>
          <c:marker>
            <c:symbol val="none"/>
          </c:marker>
          <c:xVal>
            <c:numRef>
              <c:f>'Data Fuselage'!$AJ$1362:$AJ$1374</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Fuselage'!$AK$1362:$AK$1374</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61-819C-4C0B-B4D9-7F526BD4C7F7}"/>
            </c:ext>
          </c:extLst>
        </c:ser>
        <c:ser>
          <c:idx val="99"/>
          <c:order val="98"/>
          <c:tx>
            <c:strRef>
              <c:f>'Data Fuselage'!$AB$1396</c:f>
              <c:strCache>
                <c:ptCount val="1"/>
                <c:pt idx="0">
                  <c:v>Galley YC</c:v>
                </c:pt>
              </c:strCache>
            </c:strRef>
          </c:tx>
          <c:spPr>
            <a:ln w="12700">
              <a:solidFill>
                <a:srgbClr val="008000"/>
              </a:solidFill>
              <a:prstDash val="solid"/>
            </a:ln>
          </c:spPr>
          <c:marker>
            <c:symbol val="none"/>
          </c:marker>
          <c:xVal>
            <c:numRef>
              <c:f>'Data Fuselage'!$AB$1398:$AB$1410</c:f>
              <c:numCache>
                <c:formatCode>General</c:formatCode>
                <c:ptCount val="13"/>
                <c:pt idx="0">
                  <c:v>-18.624000000000006</c:v>
                </c:pt>
                <c:pt idx="1">
                  <c:v>-17.724000000000007</c:v>
                </c:pt>
                <c:pt idx="2">
                  <c:v>-17.724000000000007</c:v>
                </c:pt>
                <c:pt idx="3">
                  <c:v>-18.624000000000006</c:v>
                </c:pt>
                <c:pt idx="4">
                  <c:v>-18.624000000000006</c:v>
                </c:pt>
                <c:pt idx="5">
                  <c:v>-18.624000000000006</c:v>
                </c:pt>
                <c:pt idx="6">
                  <c:v>-18.624000000000006</c:v>
                </c:pt>
                <c:pt idx="7">
                  <c:v>-18.624000000000006</c:v>
                </c:pt>
                <c:pt idx="8">
                  <c:v>-18.624000000000006</c:v>
                </c:pt>
                <c:pt idx="9">
                  <c:v>-18.624000000000006</c:v>
                </c:pt>
                <c:pt idx="10">
                  <c:v>-18.624000000000006</c:v>
                </c:pt>
                <c:pt idx="11">
                  <c:v>-18.624000000000006</c:v>
                </c:pt>
                <c:pt idx="12">
                  <c:v>-18.624000000000006</c:v>
                </c:pt>
              </c:numCache>
            </c:numRef>
          </c:xVal>
          <c:yVal>
            <c:numRef>
              <c:f>'Data Fuselage'!$AC$1398:$AC$1410</c:f>
              <c:numCache>
                <c:formatCode>General</c:formatCode>
                <c:ptCount val="13"/>
                <c:pt idx="0">
                  <c:v>1.3399999999999999</c:v>
                </c:pt>
                <c:pt idx="1">
                  <c:v>1.3399999999999999</c:v>
                </c:pt>
                <c:pt idx="2">
                  <c:v>0.23999999999999977</c:v>
                </c:pt>
                <c:pt idx="3">
                  <c:v>0.23999999999999977</c:v>
                </c:pt>
                <c:pt idx="4">
                  <c:v>1.3399999999999999</c:v>
                </c:pt>
                <c:pt idx="5">
                  <c:v>1.3399999999999999</c:v>
                </c:pt>
                <c:pt idx="6">
                  <c:v>1.3399999999999999</c:v>
                </c:pt>
                <c:pt idx="7">
                  <c:v>1.3399999999999999</c:v>
                </c:pt>
                <c:pt idx="8">
                  <c:v>1.3399999999999999</c:v>
                </c:pt>
                <c:pt idx="9">
                  <c:v>1.3399999999999999</c:v>
                </c:pt>
                <c:pt idx="10">
                  <c:v>1.3399999999999999</c:v>
                </c:pt>
                <c:pt idx="11">
                  <c:v>1.3399999999999999</c:v>
                </c:pt>
                <c:pt idx="12">
                  <c:v>1.3399999999999999</c:v>
                </c:pt>
              </c:numCache>
            </c:numRef>
          </c:yVal>
          <c:smooth val="0"/>
          <c:extLst>
            <c:ext xmlns:c16="http://schemas.microsoft.com/office/drawing/2014/chart" uri="{C3380CC4-5D6E-409C-BE32-E72D297353CC}">
              <c16:uniqueId val="{00000062-819C-4C0B-B4D9-7F526BD4C7F7}"/>
            </c:ext>
          </c:extLst>
        </c:ser>
        <c:ser>
          <c:idx val="100"/>
          <c:order val="99"/>
          <c:tx>
            <c:strRef>
              <c:f>'Data Fuselage'!$AF$1396</c:f>
              <c:strCache>
                <c:ptCount val="1"/>
                <c:pt idx="0">
                  <c:v>Nothing</c:v>
                </c:pt>
              </c:strCache>
            </c:strRef>
          </c:tx>
          <c:spPr>
            <a:ln w="12700">
              <a:solidFill>
                <a:srgbClr val="0000FF"/>
              </a:solidFill>
              <a:prstDash val="solid"/>
            </a:ln>
          </c:spPr>
          <c:marker>
            <c:symbol val="none"/>
          </c:marker>
          <c:xVal>
            <c:numRef>
              <c:f>'Data Fuselage'!$AF$1398:$AF$1422</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xVal>
          <c:yVal>
            <c:numRef>
              <c:f>'Data Fuselage'!$AG$1398:$AG$1422</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yVal>
          <c:smooth val="0"/>
          <c:extLst>
            <c:ext xmlns:c16="http://schemas.microsoft.com/office/drawing/2014/chart" uri="{C3380CC4-5D6E-409C-BE32-E72D297353CC}">
              <c16:uniqueId val="{00000063-819C-4C0B-B4D9-7F526BD4C7F7}"/>
            </c:ext>
          </c:extLst>
        </c:ser>
        <c:ser>
          <c:idx val="101"/>
          <c:order val="100"/>
          <c:tx>
            <c:strRef>
              <c:f>'Data Fuselage'!$AJ$1396</c:f>
              <c:strCache>
                <c:ptCount val="1"/>
                <c:pt idx="0">
                  <c:v>Lavatory</c:v>
                </c:pt>
              </c:strCache>
            </c:strRef>
          </c:tx>
          <c:spPr>
            <a:ln w="25400">
              <a:solidFill>
                <a:srgbClr val="FFFFCC"/>
              </a:solidFill>
              <a:prstDash val="solid"/>
            </a:ln>
          </c:spPr>
          <c:marker>
            <c:symbol val="none"/>
          </c:marker>
          <c:xVal>
            <c:numRef>
              <c:f>'Data Fuselage'!$AJ$1398:$AJ$1410</c:f>
              <c:numCache>
                <c:formatCode>General</c:formatCode>
                <c:ptCount val="13"/>
                <c:pt idx="0">
                  <c:v>-18.624000000000006</c:v>
                </c:pt>
                <c:pt idx="1">
                  <c:v>-17.624000000000006</c:v>
                </c:pt>
                <c:pt idx="2">
                  <c:v>-17.624000000000006</c:v>
                </c:pt>
                <c:pt idx="3">
                  <c:v>-18.624000000000006</c:v>
                </c:pt>
                <c:pt idx="4">
                  <c:v>-18.624000000000006</c:v>
                </c:pt>
                <c:pt idx="5">
                  <c:v>-18.624000000000006</c:v>
                </c:pt>
                <c:pt idx="6">
                  <c:v>-18.624000000000006</c:v>
                </c:pt>
                <c:pt idx="7">
                  <c:v>-18.624000000000006</c:v>
                </c:pt>
                <c:pt idx="8">
                  <c:v>-18.624000000000006</c:v>
                </c:pt>
                <c:pt idx="9">
                  <c:v>-18.624000000000006</c:v>
                </c:pt>
                <c:pt idx="10">
                  <c:v>-18.624000000000006</c:v>
                </c:pt>
                <c:pt idx="11">
                  <c:v>-18.624000000000006</c:v>
                </c:pt>
                <c:pt idx="12">
                  <c:v>-18.624000000000006</c:v>
                </c:pt>
              </c:numCache>
            </c:numRef>
          </c:xVal>
          <c:yVal>
            <c:numRef>
              <c:f>'Data Fuselage'!$AK$1398:$AK$1410</c:f>
              <c:numCache>
                <c:formatCode>General</c:formatCode>
                <c:ptCount val="13"/>
                <c:pt idx="0">
                  <c:v>-1.3899999999999997</c:v>
                </c:pt>
                <c:pt idx="1">
                  <c:v>-1.3899999999999997</c:v>
                </c:pt>
                <c:pt idx="2">
                  <c:v>-0.18999999999999972</c:v>
                </c:pt>
                <c:pt idx="3">
                  <c:v>-0.18999999999999972</c:v>
                </c:pt>
                <c:pt idx="4">
                  <c:v>-1.3899999999999997</c:v>
                </c:pt>
                <c:pt idx="5">
                  <c:v>-1.3899999999999997</c:v>
                </c:pt>
                <c:pt idx="6">
                  <c:v>-1.3899999999999997</c:v>
                </c:pt>
                <c:pt idx="7">
                  <c:v>-1.3899999999999997</c:v>
                </c:pt>
                <c:pt idx="8">
                  <c:v>-1.3899999999999997</c:v>
                </c:pt>
                <c:pt idx="9">
                  <c:v>-1.3899999999999997</c:v>
                </c:pt>
                <c:pt idx="10">
                  <c:v>-1.3899999999999997</c:v>
                </c:pt>
                <c:pt idx="11">
                  <c:v>-1.3899999999999997</c:v>
                </c:pt>
                <c:pt idx="12">
                  <c:v>-1.3899999999999997</c:v>
                </c:pt>
              </c:numCache>
            </c:numRef>
          </c:yVal>
          <c:smooth val="0"/>
          <c:extLst>
            <c:ext xmlns:c16="http://schemas.microsoft.com/office/drawing/2014/chart" uri="{C3380CC4-5D6E-409C-BE32-E72D297353CC}">
              <c16:uniqueId val="{00000064-819C-4C0B-B4D9-7F526BD4C7F7}"/>
            </c:ext>
          </c:extLst>
        </c:ser>
        <c:ser>
          <c:idx val="102"/>
          <c:order val="101"/>
          <c:tx>
            <c:strRef>
              <c:f>'Data Fuselage'!$AB$1432</c:f>
              <c:strCache>
                <c:ptCount val="1"/>
                <c:pt idx="0">
                  <c:v>Nothing</c:v>
                </c:pt>
              </c:strCache>
            </c:strRef>
          </c:tx>
          <c:spPr>
            <a:ln w="25400">
              <a:solidFill>
                <a:srgbClr val="0000FF"/>
              </a:solidFill>
              <a:prstDash val="solid"/>
            </a:ln>
          </c:spPr>
          <c:marker>
            <c:symbol val="none"/>
          </c:marker>
          <c:xVal>
            <c:numRef>
              <c:f>'Data Fuselage'!$AB$1434:$AB$1446</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Fuselage'!$AC$1434:$AC$1446</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65-819C-4C0B-B4D9-7F526BD4C7F7}"/>
            </c:ext>
          </c:extLst>
        </c:ser>
        <c:ser>
          <c:idx val="103"/>
          <c:order val="102"/>
          <c:tx>
            <c:strRef>
              <c:f>'Data Fuselage'!$AF$1432</c:f>
              <c:strCache>
                <c:ptCount val="1"/>
                <c:pt idx="0">
                  <c:v>Nothing</c:v>
                </c:pt>
              </c:strCache>
            </c:strRef>
          </c:tx>
          <c:spPr>
            <a:ln w="25400">
              <a:solidFill>
                <a:srgbClr val="0000FF"/>
              </a:solidFill>
              <a:prstDash val="solid"/>
            </a:ln>
          </c:spPr>
          <c:marker>
            <c:symbol val="none"/>
          </c:marker>
          <c:xVal>
            <c:numRef>
              <c:f>'Data Fuselage'!$AF$1434:$AF$1458</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xVal>
          <c:yVal>
            <c:numRef>
              <c:f>'Data Fuselage'!$AG$1434:$AG$1458</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yVal>
          <c:smooth val="0"/>
          <c:extLst>
            <c:ext xmlns:c16="http://schemas.microsoft.com/office/drawing/2014/chart" uri="{C3380CC4-5D6E-409C-BE32-E72D297353CC}">
              <c16:uniqueId val="{00000066-819C-4C0B-B4D9-7F526BD4C7F7}"/>
            </c:ext>
          </c:extLst>
        </c:ser>
        <c:ser>
          <c:idx val="104"/>
          <c:order val="103"/>
          <c:tx>
            <c:strRef>
              <c:f>'Data Fuselage'!$AJ$1432</c:f>
              <c:strCache>
                <c:ptCount val="1"/>
                <c:pt idx="0">
                  <c:v>Nothing</c:v>
                </c:pt>
              </c:strCache>
            </c:strRef>
          </c:tx>
          <c:spPr>
            <a:ln w="25400">
              <a:solidFill>
                <a:srgbClr val="0000FF"/>
              </a:solidFill>
              <a:prstDash val="solid"/>
            </a:ln>
          </c:spPr>
          <c:marker>
            <c:symbol val="none"/>
          </c:marker>
          <c:xVal>
            <c:numRef>
              <c:f>'Data Fuselage'!$AJ$1434:$AJ$1446</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Fuselage'!$AK$1434:$AK$1446</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67-819C-4C0B-B4D9-7F526BD4C7F7}"/>
            </c:ext>
          </c:extLst>
        </c:ser>
        <c:ser>
          <c:idx val="105"/>
          <c:order val="104"/>
          <c:tx>
            <c:strRef>
              <c:f>'Data Fuselage'!$AB$1468</c:f>
              <c:strCache>
                <c:ptCount val="1"/>
                <c:pt idx="0">
                  <c:v>Nothing</c:v>
                </c:pt>
              </c:strCache>
            </c:strRef>
          </c:tx>
          <c:spPr>
            <a:ln w="25400">
              <a:solidFill>
                <a:srgbClr val="0000FF"/>
              </a:solidFill>
              <a:prstDash val="solid"/>
            </a:ln>
          </c:spPr>
          <c:marker>
            <c:symbol val="none"/>
          </c:marker>
          <c:xVal>
            <c:numRef>
              <c:f>'Data Fuselage'!$AB$1470:$AB$1482</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Fuselage'!$AC$1470:$AC$1482</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68-819C-4C0B-B4D9-7F526BD4C7F7}"/>
            </c:ext>
          </c:extLst>
        </c:ser>
        <c:ser>
          <c:idx val="106"/>
          <c:order val="105"/>
          <c:tx>
            <c:strRef>
              <c:f>'Data Fuselage'!$AF$1468</c:f>
              <c:strCache>
                <c:ptCount val="1"/>
                <c:pt idx="0">
                  <c:v>Nothing</c:v>
                </c:pt>
              </c:strCache>
            </c:strRef>
          </c:tx>
          <c:spPr>
            <a:ln w="25400">
              <a:solidFill>
                <a:srgbClr val="0000FF"/>
              </a:solidFill>
              <a:prstDash val="solid"/>
            </a:ln>
          </c:spPr>
          <c:marker>
            <c:symbol val="none"/>
          </c:marker>
          <c:xVal>
            <c:numRef>
              <c:f>'Data Fuselage'!$AF$1470:$AF$1494</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xVal>
          <c:yVal>
            <c:numRef>
              <c:f>'Data Fuselage'!$AG$1470:$AG$1494</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yVal>
          <c:smooth val="0"/>
          <c:extLst>
            <c:ext xmlns:c16="http://schemas.microsoft.com/office/drawing/2014/chart" uri="{C3380CC4-5D6E-409C-BE32-E72D297353CC}">
              <c16:uniqueId val="{00000069-819C-4C0B-B4D9-7F526BD4C7F7}"/>
            </c:ext>
          </c:extLst>
        </c:ser>
        <c:ser>
          <c:idx val="107"/>
          <c:order val="106"/>
          <c:tx>
            <c:strRef>
              <c:f>'Data Fuselage'!$AJ$1468</c:f>
              <c:strCache>
                <c:ptCount val="1"/>
                <c:pt idx="0">
                  <c:v>Nothing</c:v>
                </c:pt>
              </c:strCache>
            </c:strRef>
          </c:tx>
          <c:spPr>
            <a:ln w="25400">
              <a:solidFill>
                <a:srgbClr val="0000FF"/>
              </a:solidFill>
              <a:prstDash val="solid"/>
            </a:ln>
          </c:spPr>
          <c:marker>
            <c:symbol val="none"/>
          </c:marker>
          <c:xVal>
            <c:numRef>
              <c:f>'Data Fuselage'!$AJ$1470:$AJ$1482</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Fuselage'!$AK$1470:$AK$1482</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6A-819C-4C0B-B4D9-7F526BD4C7F7}"/>
            </c:ext>
          </c:extLst>
        </c:ser>
        <c:ser>
          <c:idx val="108"/>
          <c:order val="107"/>
          <c:tx>
            <c:strRef>
              <c:f>'Data Fuselage'!$AB$1504</c:f>
              <c:strCache>
                <c:ptCount val="1"/>
                <c:pt idx="0">
                  <c:v>Nothing</c:v>
                </c:pt>
              </c:strCache>
            </c:strRef>
          </c:tx>
          <c:spPr>
            <a:ln w="25400">
              <a:solidFill>
                <a:srgbClr val="0000FF"/>
              </a:solidFill>
              <a:prstDash val="solid"/>
            </a:ln>
          </c:spPr>
          <c:marker>
            <c:symbol val="none"/>
          </c:marker>
          <c:xVal>
            <c:numRef>
              <c:f>'Data Fuselage'!$AB$1506:$AB$1518</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Fuselage'!$AC$1506:$AC$1518</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6B-819C-4C0B-B4D9-7F526BD4C7F7}"/>
            </c:ext>
          </c:extLst>
        </c:ser>
        <c:ser>
          <c:idx val="109"/>
          <c:order val="108"/>
          <c:tx>
            <c:strRef>
              <c:f>'Data Fuselage'!$AF$1504</c:f>
              <c:strCache>
                <c:ptCount val="1"/>
                <c:pt idx="0">
                  <c:v>Nothing</c:v>
                </c:pt>
              </c:strCache>
            </c:strRef>
          </c:tx>
          <c:spPr>
            <a:ln w="25400">
              <a:solidFill>
                <a:srgbClr val="0000FF"/>
              </a:solidFill>
              <a:prstDash val="solid"/>
            </a:ln>
          </c:spPr>
          <c:marker>
            <c:symbol val="none"/>
          </c:marker>
          <c:xVal>
            <c:numRef>
              <c:f>'Data Fuselage'!$AF$1506:$AF$1530</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xVal>
          <c:yVal>
            <c:numRef>
              <c:f>'Data Fuselage'!$AG$1506:$AG$1530</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yVal>
          <c:smooth val="0"/>
          <c:extLst>
            <c:ext xmlns:c16="http://schemas.microsoft.com/office/drawing/2014/chart" uri="{C3380CC4-5D6E-409C-BE32-E72D297353CC}">
              <c16:uniqueId val="{0000006C-819C-4C0B-B4D9-7F526BD4C7F7}"/>
            </c:ext>
          </c:extLst>
        </c:ser>
        <c:ser>
          <c:idx val="110"/>
          <c:order val="109"/>
          <c:tx>
            <c:strRef>
              <c:f>'Data Fuselage'!$AJ$1504</c:f>
              <c:strCache>
                <c:ptCount val="1"/>
                <c:pt idx="0">
                  <c:v>Nothing</c:v>
                </c:pt>
              </c:strCache>
            </c:strRef>
          </c:tx>
          <c:spPr>
            <a:ln w="25400">
              <a:solidFill>
                <a:srgbClr val="0000FF"/>
              </a:solidFill>
              <a:prstDash val="solid"/>
            </a:ln>
          </c:spPr>
          <c:marker>
            <c:symbol val="none"/>
          </c:marker>
          <c:xVal>
            <c:numRef>
              <c:f>'Data Fuselage'!$AJ$1506:$AJ$1518</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Fuselage'!$AK$1506:$AK$1518</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6D-819C-4C0B-B4D9-7F526BD4C7F7}"/>
            </c:ext>
          </c:extLst>
        </c:ser>
        <c:ser>
          <c:idx val="111"/>
          <c:order val="110"/>
          <c:tx>
            <c:strRef>
              <c:f>'Data Fuselage'!$AB$1540</c:f>
              <c:strCache>
                <c:ptCount val="1"/>
                <c:pt idx="0">
                  <c:v>Nothing</c:v>
                </c:pt>
              </c:strCache>
            </c:strRef>
          </c:tx>
          <c:spPr>
            <a:ln w="25400">
              <a:solidFill>
                <a:srgbClr val="0000FF"/>
              </a:solidFill>
              <a:prstDash val="solid"/>
            </a:ln>
          </c:spPr>
          <c:marker>
            <c:symbol val="none"/>
          </c:marker>
          <c:xVal>
            <c:numRef>
              <c:f>'Data Fuselage'!$AB$1542:$AB$1554</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Fuselage'!$AC$1542:$AC$1554</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6E-819C-4C0B-B4D9-7F526BD4C7F7}"/>
            </c:ext>
          </c:extLst>
        </c:ser>
        <c:ser>
          <c:idx val="112"/>
          <c:order val="111"/>
          <c:tx>
            <c:strRef>
              <c:f>'Data Fuselage'!$AF$1540</c:f>
              <c:strCache>
                <c:ptCount val="1"/>
                <c:pt idx="0">
                  <c:v>Nothing</c:v>
                </c:pt>
              </c:strCache>
            </c:strRef>
          </c:tx>
          <c:spPr>
            <a:ln w="25400">
              <a:solidFill>
                <a:srgbClr val="0000FF"/>
              </a:solidFill>
              <a:prstDash val="solid"/>
            </a:ln>
          </c:spPr>
          <c:marker>
            <c:symbol val="none"/>
          </c:marker>
          <c:xVal>
            <c:numRef>
              <c:f>'Data Fuselage'!$AF$1542:$AF$1566</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xVal>
          <c:yVal>
            <c:numRef>
              <c:f>'Data Fuselage'!$AG$1542:$AG$1566</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yVal>
          <c:smooth val="0"/>
          <c:extLst>
            <c:ext xmlns:c16="http://schemas.microsoft.com/office/drawing/2014/chart" uri="{C3380CC4-5D6E-409C-BE32-E72D297353CC}">
              <c16:uniqueId val="{0000006F-819C-4C0B-B4D9-7F526BD4C7F7}"/>
            </c:ext>
          </c:extLst>
        </c:ser>
        <c:ser>
          <c:idx val="113"/>
          <c:order val="112"/>
          <c:tx>
            <c:strRef>
              <c:f>'Data Fuselage'!$AJ$1540</c:f>
              <c:strCache>
                <c:ptCount val="1"/>
                <c:pt idx="0">
                  <c:v>Nothing</c:v>
                </c:pt>
              </c:strCache>
            </c:strRef>
          </c:tx>
          <c:spPr>
            <a:ln w="25400">
              <a:solidFill>
                <a:srgbClr val="0000FF"/>
              </a:solidFill>
              <a:prstDash val="solid"/>
            </a:ln>
          </c:spPr>
          <c:marker>
            <c:symbol val="none"/>
          </c:marker>
          <c:xVal>
            <c:numRef>
              <c:f>'Data Fuselage'!$AJ$1542:$AJ$1554</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Fuselage'!$AK$1542:$AK$1554</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70-819C-4C0B-B4D9-7F526BD4C7F7}"/>
            </c:ext>
          </c:extLst>
        </c:ser>
        <c:ser>
          <c:idx val="114"/>
          <c:order val="113"/>
          <c:tx>
            <c:strRef>
              <c:f>'Data Fuselage'!$AB$1576</c:f>
              <c:strCache>
                <c:ptCount val="1"/>
                <c:pt idx="0">
                  <c:v>Nothing</c:v>
                </c:pt>
              </c:strCache>
            </c:strRef>
          </c:tx>
          <c:spPr>
            <a:ln w="25400">
              <a:solidFill>
                <a:srgbClr val="0000FF"/>
              </a:solidFill>
              <a:prstDash val="solid"/>
            </a:ln>
          </c:spPr>
          <c:marker>
            <c:symbol val="none"/>
          </c:marker>
          <c:xVal>
            <c:numRef>
              <c:f>'Data Fuselage'!$AB$1578:$AB$1590</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Fuselage'!$AC$1578:$AC$1590</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71-819C-4C0B-B4D9-7F526BD4C7F7}"/>
            </c:ext>
          </c:extLst>
        </c:ser>
        <c:ser>
          <c:idx val="115"/>
          <c:order val="114"/>
          <c:tx>
            <c:strRef>
              <c:f>'Data Fuselage'!$AF$1576</c:f>
              <c:strCache>
                <c:ptCount val="1"/>
                <c:pt idx="0">
                  <c:v>Nothing</c:v>
                </c:pt>
              </c:strCache>
            </c:strRef>
          </c:tx>
          <c:spPr>
            <a:ln w="25400">
              <a:solidFill>
                <a:srgbClr val="0000FF"/>
              </a:solidFill>
              <a:prstDash val="solid"/>
            </a:ln>
          </c:spPr>
          <c:marker>
            <c:symbol val="none"/>
          </c:marker>
          <c:xVal>
            <c:numRef>
              <c:f>'Data Fuselage'!$AF$1578:$AF$1602</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xVal>
          <c:yVal>
            <c:numRef>
              <c:f>'Data Fuselage'!$AG$1578:$AG$1602</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yVal>
          <c:smooth val="0"/>
          <c:extLst>
            <c:ext xmlns:c16="http://schemas.microsoft.com/office/drawing/2014/chart" uri="{C3380CC4-5D6E-409C-BE32-E72D297353CC}">
              <c16:uniqueId val="{00000072-819C-4C0B-B4D9-7F526BD4C7F7}"/>
            </c:ext>
          </c:extLst>
        </c:ser>
        <c:ser>
          <c:idx val="116"/>
          <c:order val="115"/>
          <c:tx>
            <c:strRef>
              <c:f>'Data Fuselage'!$AJ$1576</c:f>
              <c:strCache>
                <c:ptCount val="1"/>
                <c:pt idx="0">
                  <c:v>Nothing</c:v>
                </c:pt>
              </c:strCache>
            </c:strRef>
          </c:tx>
          <c:spPr>
            <a:ln w="25400">
              <a:solidFill>
                <a:srgbClr val="0000FF"/>
              </a:solidFill>
              <a:prstDash val="solid"/>
            </a:ln>
          </c:spPr>
          <c:marker>
            <c:symbol val="none"/>
          </c:marker>
          <c:xVal>
            <c:numRef>
              <c:f>'Data Fuselage'!$AJ$1578:$AJ$1590</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Fuselage'!$AK$1578:$AK$1590</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73-819C-4C0B-B4D9-7F526BD4C7F7}"/>
            </c:ext>
          </c:extLst>
        </c:ser>
        <c:ser>
          <c:idx val="117"/>
          <c:order val="116"/>
          <c:tx>
            <c:strRef>
              <c:f>'Data Fuselage'!$AB$1612</c:f>
              <c:strCache>
                <c:ptCount val="1"/>
                <c:pt idx="0">
                  <c:v>Nothing</c:v>
                </c:pt>
              </c:strCache>
            </c:strRef>
          </c:tx>
          <c:spPr>
            <a:ln w="25400">
              <a:solidFill>
                <a:srgbClr val="0000FF"/>
              </a:solidFill>
              <a:prstDash val="solid"/>
            </a:ln>
          </c:spPr>
          <c:marker>
            <c:symbol val="none"/>
          </c:marker>
          <c:xVal>
            <c:numRef>
              <c:f>'Data Fuselage'!$AB$1614:$AB$1626</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Fuselage'!$AC$1614:$AC$1626</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74-819C-4C0B-B4D9-7F526BD4C7F7}"/>
            </c:ext>
          </c:extLst>
        </c:ser>
        <c:ser>
          <c:idx val="118"/>
          <c:order val="117"/>
          <c:tx>
            <c:strRef>
              <c:f>'Data Fuselage'!$AF$1612</c:f>
              <c:strCache>
                <c:ptCount val="1"/>
                <c:pt idx="0">
                  <c:v>Nothing</c:v>
                </c:pt>
              </c:strCache>
            </c:strRef>
          </c:tx>
          <c:spPr>
            <a:ln w="25400">
              <a:solidFill>
                <a:srgbClr val="0000FF"/>
              </a:solidFill>
              <a:prstDash val="solid"/>
            </a:ln>
          </c:spPr>
          <c:marker>
            <c:symbol val="none"/>
          </c:marker>
          <c:xVal>
            <c:numRef>
              <c:f>'Data Fuselage'!$AF$1614:$AF$1638</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xVal>
          <c:yVal>
            <c:numRef>
              <c:f>'Data Fuselage'!$AG$1614:$AG$1638</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yVal>
          <c:smooth val="0"/>
          <c:extLst>
            <c:ext xmlns:c16="http://schemas.microsoft.com/office/drawing/2014/chart" uri="{C3380CC4-5D6E-409C-BE32-E72D297353CC}">
              <c16:uniqueId val="{00000075-819C-4C0B-B4D9-7F526BD4C7F7}"/>
            </c:ext>
          </c:extLst>
        </c:ser>
        <c:ser>
          <c:idx val="119"/>
          <c:order val="118"/>
          <c:tx>
            <c:strRef>
              <c:f>'Data Fuselage'!$AJ$1612</c:f>
              <c:strCache>
                <c:ptCount val="1"/>
                <c:pt idx="0">
                  <c:v>Nothing</c:v>
                </c:pt>
              </c:strCache>
            </c:strRef>
          </c:tx>
          <c:spPr>
            <a:ln w="25400">
              <a:solidFill>
                <a:srgbClr val="0000FF"/>
              </a:solidFill>
              <a:prstDash val="solid"/>
            </a:ln>
          </c:spPr>
          <c:marker>
            <c:symbol val="none"/>
          </c:marker>
          <c:xVal>
            <c:numRef>
              <c:f>'Data Fuselage'!$AJ$1614:$AJ$1626</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Fuselage'!$AK$1614:$AK$1626</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76-819C-4C0B-B4D9-7F526BD4C7F7}"/>
            </c:ext>
          </c:extLst>
        </c:ser>
        <c:ser>
          <c:idx val="120"/>
          <c:order val="119"/>
          <c:tx>
            <c:strRef>
              <c:f>'Data Fuselage'!$AB$1648</c:f>
              <c:strCache>
                <c:ptCount val="1"/>
                <c:pt idx="0">
                  <c:v>Nothing</c:v>
                </c:pt>
              </c:strCache>
            </c:strRef>
          </c:tx>
          <c:spPr>
            <a:ln w="25400">
              <a:solidFill>
                <a:srgbClr val="0000FF"/>
              </a:solidFill>
              <a:prstDash val="solid"/>
            </a:ln>
          </c:spPr>
          <c:marker>
            <c:symbol val="none"/>
          </c:marker>
          <c:xVal>
            <c:numRef>
              <c:f>'Data Fuselage'!$AB$1650:$AB$1662</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Fuselage'!$AC$1650:$AC$1662</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77-819C-4C0B-B4D9-7F526BD4C7F7}"/>
            </c:ext>
          </c:extLst>
        </c:ser>
        <c:ser>
          <c:idx val="121"/>
          <c:order val="120"/>
          <c:tx>
            <c:strRef>
              <c:f>'Data Fuselage'!$AF$1648</c:f>
              <c:strCache>
                <c:ptCount val="1"/>
                <c:pt idx="0">
                  <c:v>Nothing</c:v>
                </c:pt>
              </c:strCache>
            </c:strRef>
          </c:tx>
          <c:spPr>
            <a:ln w="25400">
              <a:solidFill>
                <a:srgbClr val="0000FF"/>
              </a:solidFill>
              <a:prstDash val="solid"/>
            </a:ln>
          </c:spPr>
          <c:marker>
            <c:symbol val="none"/>
          </c:marker>
          <c:xVal>
            <c:numRef>
              <c:f>'Data Fuselage'!$AF$1650:$AF$1674</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xVal>
          <c:yVal>
            <c:numRef>
              <c:f>'Data Fuselage'!$AG$1650:$AG$1674</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yVal>
          <c:smooth val="0"/>
          <c:extLst>
            <c:ext xmlns:c16="http://schemas.microsoft.com/office/drawing/2014/chart" uri="{C3380CC4-5D6E-409C-BE32-E72D297353CC}">
              <c16:uniqueId val="{00000078-819C-4C0B-B4D9-7F526BD4C7F7}"/>
            </c:ext>
          </c:extLst>
        </c:ser>
        <c:ser>
          <c:idx val="122"/>
          <c:order val="121"/>
          <c:tx>
            <c:strRef>
              <c:f>'Data Fuselage'!$AJ$1648</c:f>
              <c:strCache>
                <c:ptCount val="1"/>
                <c:pt idx="0">
                  <c:v>Nothing</c:v>
                </c:pt>
              </c:strCache>
            </c:strRef>
          </c:tx>
          <c:spPr>
            <a:ln w="25400">
              <a:solidFill>
                <a:srgbClr val="0000FF"/>
              </a:solidFill>
              <a:prstDash val="solid"/>
            </a:ln>
          </c:spPr>
          <c:marker>
            <c:symbol val="none"/>
          </c:marker>
          <c:xVal>
            <c:numRef>
              <c:f>'Data Fuselage'!$AJ$1650:$AJ$1662</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Fuselage'!$AK$1650:$AK$1662</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79-819C-4C0B-B4D9-7F526BD4C7F7}"/>
            </c:ext>
          </c:extLst>
        </c:ser>
        <c:ser>
          <c:idx val="123"/>
          <c:order val="122"/>
          <c:tx>
            <c:strRef>
              <c:f>'Data Fuselage'!$AB$1684</c:f>
              <c:strCache>
                <c:ptCount val="1"/>
                <c:pt idx="0">
                  <c:v>Nothing</c:v>
                </c:pt>
              </c:strCache>
            </c:strRef>
          </c:tx>
          <c:spPr>
            <a:ln w="25400">
              <a:solidFill>
                <a:srgbClr val="0000FF"/>
              </a:solidFill>
              <a:prstDash val="solid"/>
            </a:ln>
          </c:spPr>
          <c:marker>
            <c:symbol val="none"/>
          </c:marker>
          <c:xVal>
            <c:numRef>
              <c:f>'Data Fuselage'!$AB$1686:$AB$1698</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Fuselage'!$AC$1686:$AC$1698</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7A-819C-4C0B-B4D9-7F526BD4C7F7}"/>
            </c:ext>
          </c:extLst>
        </c:ser>
        <c:ser>
          <c:idx val="124"/>
          <c:order val="123"/>
          <c:tx>
            <c:strRef>
              <c:f>'Data Fuselage'!$AF$1684</c:f>
              <c:strCache>
                <c:ptCount val="1"/>
                <c:pt idx="0">
                  <c:v>Nothing</c:v>
                </c:pt>
              </c:strCache>
            </c:strRef>
          </c:tx>
          <c:spPr>
            <a:ln w="25400">
              <a:solidFill>
                <a:srgbClr val="0000FF"/>
              </a:solidFill>
              <a:prstDash val="solid"/>
            </a:ln>
          </c:spPr>
          <c:marker>
            <c:symbol val="none"/>
          </c:marker>
          <c:xVal>
            <c:numRef>
              <c:f>'Data Fuselage'!$AF$1686:$AF$1710</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xVal>
          <c:yVal>
            <c:numRef>
              <c:f>'Data Fuselage'!$AG$1686:$AG$1710</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yVal>
          <c:smooth val="0"/>
          <c:extLst>
            <c:ext xmlns:c16="http://schemas.microsoft.com/office/drawing/2014/chart" uri="{C3380CC4-5D6E-409C-BE32-E72D297353CC}">
              <c16:uniqueId val="{0000007B-819C-4C0B-B4D9-7F526BD4C7F7}"/>
            </c:ext>
          </c:extLst>
        </c:ser>
        <c:ser>
          <c:idx val="125"/>
          <c:order val="124"/>
          <c:tx>
            <c:strRef>
              <c:f>'Data Fuselage'!$AJ$1684</c:f>
              <c:strCache>
                <c:ptCount val="1"/>
                <c:pt idx="0">
                  <c:v>Nothing</c:v>
                </c:pt>
              </c:strCache>
            </c:strRef>
          </c:tx>
          <c:spPr>
            <a:ln w="25400">
              <a:solidFill>
                <a:srgbClr val="0000FF"/>
              </a:solidFill>
              <a:prstDash val="solid"/>
            </a:ln>
          </c:spPr>
          <c:marker>
            <c:symbol val="none"/>
          </c:marker>
          <c:xVal>
            <c:numRef>
              <c:f>'Data Fuselage'!$AJ$1686:$AJ$1698</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Fuselage'!$AK$1686:$AK$1698</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7C-819C-4C0B-B4D9-7F526BD4C7F7}"/>
            </c:ext>
          </c:extLst>
        </c:ser>
        <c:ser>
          <c:idx val="126"/>
          <c:order val="125"/>
          <c:tx>
            <c:strRef>
              <c:f>'Data Fuselage'!$AB$1720</c:f>
              <c:strCache>
                <c:ptCount val="1"/>
                <c:pt idx="0">
                  <c:v>Nothing</c:v>
                </c:pt>
              </c:strCache>
            </c:strRef>
          </c:tx>
          <c:spPr>
            <a:ln w="25400">
              <a:solidFill>
                <a:srgbClr val="0000FF"/>
              </a:solidFill>
              <a:prstDash val="solid"/>
            </a:ln>
          </c:spPr>
          <c:marker>
            <c:symbol val="none"/>
          </c:marker>
          <c:xVal>
            <c:numRef>
              <c:f>'Data Fuselage'!$AB$1722:$AB$1734</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Fuselage'!$AC$1722:$AC$1734</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7D-819C-4C0B-B4D9-7F526BD4C7F7}"/>
            </c:ext>
          </c:extLst>
        </c:ser>
        <c:ser>
          <c:idx val="127"/>
          <c:order val="126"/>
          <c:tx>
            <c:strRef>
              <c:f>'Data Fuselage'!$AF$1720</c:f>
              <c:strCache>
                <c:ptCount val="1"/>
                <c:pt idx="0">
                  <c:v>Nothing</c:v>
                </c:pt>
              </c:strCache>
            </c:strRef>
          </c:tx>
          <c:spPr>
            <a:ln w="25400">
              <a:solidFill>
                <a:srgbClr val="0000FF"/>
              </a:solidFill>
              <a:prstDash val="solid"/>
            </a:ln>
          </c:spPr>
          <c:marker>
            <c:symbol val="none"/>
          </c:marker>
          <c:xVal>
            <c:numRef>
              <c:f>'Data Fuselage'!$AF$1722:$AF$1746</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xVal>
          <c:yVal>
            <c:numRef>
              <c:f>'Data Fuselage'!$AG$1722:$AG$1746</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yVal>
          <c:smooth val="0"/>
          <c:extLst>
            <c:ext xmlns:c16="http://schemas.microsoft.com/office/drawing/2014/chart" uri="{C3380CC4-5D6E-409C-BE32-E72D297353CC}">
              <c16:uniqueId val="{0000007E-819C-4C0B-B4D9-7F526BD4C7F7}"/>
            </c:ext>
          </c:extLst>
        </c:ser>
        <c:ser>
          <c:idx val="128"/>
          <c:order val="127"/>
          <c:tx>
            <c:strRef>
              <c:f>'Data Fuselage'!$AJ$1720</c:f>
              <c:strCache>
                <c:ptCount val="1"/>
                <c:pt idx="0">
                  <c:v>Nothing</c:v>
                </c:pt>
              </c:strCache>
            </c:strRef>
          </c:tx>
          <c:spPr>
            <a:ln w="25400">
              <a:solidFill>
                <a:srgbClr val="0000FF"/>
              </a:solidFill>
              <a:prstDash val="solid"/>
            </a:ln>
          </c:spPr>
          <c:marker>
            <c:symbol val="none"/>
          </c:marker>
          <c:xVal>
            <c:numRef>
              <c:f>'Data Fuselage'!$AJ$1722:$AJ$1734</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Fuselage'!$AK$1722:$AK$1734</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7F-819C-4C0B-B4D9-7F526BD4C7F7}"/>
            </c:ext>
          </c:extLst>
        </c:ser>
        <c:ser>
          <c:idx val="129"/>
          <c:order val="128"/>
          <c:tx>
            <c:strRef>
              <c:f>'Data Fuselage'!$AB$1756</c:f>
              <c:strCache>
                <c:ptCount val="1"/>
                <c:pt idx="0">
                  <c:v>Nothing</c:v>
                </c:pt>
              </c:strCache>
            </c:strRef>
          </c:tx>
          <c:spPr>
            <a:ln w="25400">
              <a:solidFill>
                <a:srgbClr val="0000FF"/>
              </a:solidFill>
              <a:prstDash val="solid"/>
            </a:ln>
          </c:spPr>
          <c:marker>
            <c:symbol val="none"/>
          </c:marker>
          <c:xVal>
            <c:numRef>
              <c:f>'Data Fuselage'!$AB$1758:$AB$1770</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Fuselage'!$AC$1758:$AC$1770</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80-819C-4C0B-B4D9-7F526BD4C7F7}"/>
            </c:ext>
          </c:extLst>
        </c:ser>
        <c:ser>
          <c:idx val="130"/>
          <c:order val="129"/>
          <c:tx>
            <c:strRef>
              <c:f>'Data Fuselage'!$AF$1756</c:f>
              <c:strCache>
                <c:ptCount val="1"/>
                <c:pt idx="0">
                  <c:v>Nothing</c:v>
                </c:pt>
              </c:strCache>
            </c:strRef>
          </c:tx>
          <c:spPr>
            <a:ln w="25400">
              <a:solidFill>
                <a:srgbClr val="0000FF"/>
              </a:solidFill>
              <a:prstDash val="solid"/>
            </a:ln>
          </c:spPr>
          <c:marker>
            <c:symbol val="none"/>
          </c:marker>
          <c:xVal>
            <c:numRef>
              <c:f>'Data Fuselage'!$AF$1758:$AF$1782</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xVal>
          <c:yVal>
            <c:numRef>
              <c:f>'Data Fuselage'!$AG$1758:$AG$1782</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yVal>
          <c:smooth val="0"/>
          <c:extLst>
            <c:ext xmlns:c16="http://schemas.microsoft.com/office/drawing/2014/chart" uri="{C3380CC4-5D6E-409C-BE32-E72D297353CC}">
              <c16:uniqueId val="{00000081-819C-4C0B-B4D9-7F526BD4C7F7}"/>
            </c:ext>
          </c:extLst>
        </c:ser>
        <c:ser>
          <c:idx val="131"/>
          <c:order val="130"/>
          <c:tx>
            <c:strRef>
              <c:f>'Data Fuselage'!$AJ$1756</c:f>
              <c:strCache>
                <c:ptCount val="1"/>
                <c:pt idx="0">
                  <c:v>Nothing</c:v>
                </c:pt>
              </c:strCache>
            </c:strRef>
          </c:tx>
          <c:spPr>
            <a:ln w="25400">
              <a:solidFill>
                <a:srgbClr val="0000FF"/>
              </a:solidFill>
              <a:prstDash val="solid"/>
            </a:ln>
          </c:spPr>
          <c:marker>
            <c:symbol val="none"/>
          </c:marker>
          <c:xVal>
            <c:numRef>
              <c:f>'Data Fuselage'!$AJ$1758:$AJ$1770</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Fuselage'!$AK$1758:$AK$1770</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82-819C-4C0B-B4D9-7F526BD4C7F7}"/>
            </c:ext>
          </c:extLst>
        </c:ser>
        <c:ser>
          <c:idx val="132"/>
          <c:order val="131"/>
          <c:tx>
            <c:strRef>
              <c:f>'Data Fuselage'!$AB$1792</c:f>
              <c:strCache>
                <c:ptCount val="1"/>
                <c:pt idx="0">
                  <c:v>Nothing</c:v>
                </c:pt>
              </c:strCache>
            </c:strRef>
          </c:tx>
          <c:spPr>
            <a:ln w="25400">
              <a:solidFill>
                <a:srgbClr val="0000FF"/>
              </a:solidFill>
              <a:prstDash val="solid"/>
            </a:ln>
          </c:spPr>
          <c:marker>
            <c:symbol val="none"/>
          </c:marker>
          <c:xVal>
            <c:numRef>
              <c:f>'Data Fuselage'!$AB$1794:$AB$1806</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Fuselage'!$AC$1794:$AC$1806</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83-819C-4C0B-B4D9-7F526BD4C7F7}"/>
            </c:ext>
          </c:extLst>
        </c:ser>
        <c:ser>
          <c:idx val="133"/>
          <c:order val="132"/>
          <c:tx>
            <c:strRef>
              <c:f>'Data Fuselage'!$AF$1792</c:f>
              <c:strCache>
                <c:ptCount val="1"/>
                <c:pt idx="0">
                  <c:v>Nothing</c:v>
                </c:pt>
              </c:strCache>
            </c:strRef>
          </c:tx>
          <c:spPr>
            <a:ln w="25400">
              <a:solidFill>
                <a:srgbClr val="0000FF"/>
              </a:solidFill>
              <a:prstDash val="solid"/>
            </a:ln>
          </c:spPr>
          <c:marker>
            <c:symbol val="none"/>
          </c:marker>
          <c:xVal>
            <c:numRef>
              <c:f>'Data Fuselage'!$AF$1794:$AF$1818</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xVal>
          <c:yVal>
            <c:numRef>
              <c:f>'Data Fuselage'!$AG$1794:$AG$1818</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yVal>
          <c:smooth val="0"/>
          <c:extLst>
            <c:ext xmlns:c16="http://schemas.microsoft.com/office/drawing/2014/chart" uri="{C3380CC4-5D6E-409C-BE32-E72D297353CC}">
              <c16:uniqueId val="{00000084-819C-4C0B-B4D9-7F526BD4C7F7}"/>
            </c:ext>
          </c:extLst>
        </c:ser>
        <c:ser>
          <c:idx val="134"/>
          <c:order val="133"/>
          <c:tx>
            <c:strRef>
              <c:f>'Data Fuselage'!$AJ$1792</c:f>
              <c:strCache>
                <c:ptCount val="1"/>
                <c:pt idx="0">
                  <c:v>Nothing</c:v>
                </c:pt>
              </c:strCache>
            </c:strRef>
          </c:tx>
          <c:spPr>
            <a:ln w="25400">
              <a:solidFill>
                <a:srgbClr val="0000FF"/>
              </a:solidFill>
              <a:prstDash val="solid"/>
            </a:ln>
          </c:spPr>
          <c:marker>
            <c:symbol val="none"/>
          </c:marker>
          <c:xVal>
            <c:numRef>
              <c:f>'Data Fuselage'!$AJ$1794:$AJ$1806</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Fuselage'!$AK$1794:$AK$1806</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85-819C-4C0B-B4D9-7F526BD4C7F7}"/>
            </c:ext>
          </c:extLst>
        </c:ser>
        <c:ser>
          <c:idx val="135"/>
          <c:order val="134"/>
          <c:tx>
            <c:strRef>
              <c:f>'Data Fuselage'!$AB$1828</c:f>
              <c:strCache>
                <c:ptCount val="1"/>
                <c:pt idx="0">
                  <c:v>Nothing</c:v>
                </c:pt>
              </c:strCache>
            </c:strRef>
          </c:tx>
          <c:spPr>
            <a:ln w="25400">
              <a:solidFill>
                <a:srgbClr val="0000FF"/>
              </a:solidFill>
              <a:prstDash val="solid"/>
            </a:ln>
          </c:spPr>
          <c:marker>
            <c:symbol val="none"/>
          </c:marker>
          <c:xVal>
            <c:numRef>
              <c:f>'Data Fuselage'!$AB$1830:$AB$1842</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Fuselage'!$AC$1830:$AC$1842</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86-819C-4C0B-B4D9-7F526BD4C7F7}"/>
            </c:ext>
          </c:extLst>
        </c:ser>
        <c:ser>
          <c:idx val="136"/>
          <c:order val="135"/>
          <c:tx>
            <c:strRef>
              <c:f>'Data Fuselage'!$AF$1828</c:f>
              <c:strCache>
                <c:ptCount val="1"/>
                <c:pt idx="0">
                  <c:v>Nothing</c:v>
                </c:pt>
              </c:strCache>
            </c:strRef>
          </c:tx>
          <c:spPr>
            <a:ln w="25400">
              <a:solidFill>
                <a:srgbClr val="0000FF"/>
              </a:solidFill>
              <a:prstDash val="solid"/>
            </a:ln>
          </c:spPr>
          <c:marker>
            <c:symbol val="none"/>
          </c:marker>
          <c:xVal>
            <c:numRef>
              <c:f>'Data Fuselage'!$AF$1830:$AF$1854</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xVal>
          <c:yVal>
            <c:numRef>
              <c:f>'Data Fuselage'!$AG$1830:$AG$1854</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yVal>
          <c:smooth val="0"/>
          <c:extLst>
            <c:ext xmlns:c16="http://schemas.microsoft.com/office/drawing/2014/chart" uri="{C3380CC4-5D6E-409C-BE32-E72D297353CC}">
              <c16:uniqueId val="{00000087-819C-4C0B-B4D9-7F526BD4C7F7}"/>
            </c:ext>
          </c:extLst>
        </c:ser>
        <c:ser>
          <c:idx val="137"/>
          <c:order val="136"/>
          <c:tx>
            <c:strRef>
              <c:f>'Data Fuselage'!$AJ$1828</c:f>
              <c:strCache>
                <c:ptCount val="1"/>
                <c:pt idx="0">
                  <c:v>Nothing</c:v>
                </c:pt>
              </c:strCache>
            </c:strRef>
          </c:tx>
          <c:spPr>
            <a:ln w="25400">
              <a:solidFill>
                <a:srgbClr val="0000FF"/>
              </a:solidFill>
              <a:prstDash val="solid"/>
            </a:ln>
          </c:spPr>
          <c:marker>
            <c:symbol val="none"/>
          </c:marker>
          <c:xVal>
            <c:numRef>
              <c:f>'Data Fuselage'!$AJ$1830:$AJ$1842</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Fuselage'!$AK$1830:$AK$1842</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88-819C-4C0B-B4D9-7F526BD4C7F7}"/>
            </c:ext>
          </c:extLst>
        </c:ser>
        <c:ser>
          <c:idx val="138"/>
          <c:order val="137"/>
          <c:tx>
            <c:strRef>
              <c:f>'Data Fuselage'!$AB$1864</c:f>
              <c:strCache>
                <c:ptCount val="1"/>
                <c:pt idx="0">
                  <c:v>Nothing</c:v>
                </c:pt>
              </c:strCache>
            </c:strRef>
          </c:tx>
          <c:spPr>
            <a:ln w="25400">
              <a:solidFill>
                <a:srgbClr val="0000FF"/>
              </a:solidFill>
              <a:prstDash val="solid"/>
            </a:ln>
          </c:spPr>
          <c:marker>
            <c:symbol val="none"/>
          </c:marker>
          <c:xVal>
            <c:numRef>
              <c:f>'Data Fuselage'!$AB$1866:$AB$1878</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Fuselage'!$AC$1866:$AC$1878</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89-819C-4C0B-B4D9-7F526BD4C7F7}"/>
            </c:ext>
          </c:extLst>
        </c:ser>
        <c:ser>
          <c:idx val="139"/>
          <c:order val="138"/>
          <c:tx>
            <c:strRef>
              <c:f>'Data Fuselage'!$AF$1864</c:f>
              <c:strCache>
                <c:ptCount val="1"/>
                <c:pt idx="0">
                  <c:v>Nothing</c:v>
                </c:pt>
              </c:strCache>
            </c:strRef>
          </c:tx>
          <c:spPr>
            <a:ln w="25400">
              <a:solidFill>
                <a:srgbClr val="0000FF"/>
              </a:solidFill>
              <a:prstDash val="solid"/>
            </a:ln>
          </c:spPr>
          <c:marker>
            <c:symbol val="none"/>
          </c:marker>
          <c:xVal>
            <c:numRef>
              <c:f>'Data Fuselage'!$AF$1866:$AF$1890</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xVal>
          <c:yVal>
            <c:numRef>
              <c:f>'Data Fuselage'!$AG$1866:$AG$1890</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yVal>
          <c:smooth val="0"/>
          <c:extLst>
            <c:ext xmlns:c16="http://schemas.microsoft.com/office/drawing/2014/chart" uri="{C3380CC4-5D6E-409C-BE32-E72D297353CC}">
              <c16:uniqueId val="{0000008A-819C-4C0B-B4D9-7F526BD4C7F7}"/>
            </c:ext>
          </c:extLst>
        </c:ser>
        <c:ser>
          <c:idx val="140"/>
          <c:order val="139"/>
          <c:tx>
            <c:strRef>
              <c:f>'Data Fuselage'!$AJ$1864</c:f>
              <c:strCache>
                <c:ptCount val="1"/>
                <c:pt idx="0">
                  <c:v>Nothing</c:v>
                </c:pt>
              </c:strCache>
            </c:strRef>
          </c:tx>
          <c:spPr>
            <a:ln w="25400">
              <a:solidFill>
                <a:srgbClr val="0000FF"/>
              </a:solidFill>
              <a:prstDash val="solid"/>
            </a:ln>
          </c:spPr>
          <c:marker>
            <c:symbol val="none"/>
          </c:marker>
          <c:xVal>
            <c:numRef>
              <c:f>'Data Fuselage'!$AJ$1866:$AJ$1878</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Fuselage'!$AK$1866:$AK$1878</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8B-819C-4C0B-B4D9-7F526BD4C7F7}"/>
            </c:ext>
          </c:extLst>
        </c:ser>
        <c:ser>
          <c:idx val="141"/>
          <c:order val="140"/>
          <c:tx>
            <c:strRef>
              <c:f>'Data Fuselage'!$AB$1900</c:f>
              <c:strCache>
                <c:ptCount val="1"/>
                <c:pt idx="0">
                  <c:v>Nothing</c:v>
                </c:pt>
              </c:strCache>
            </c:strRef>
          </c:tx>
          <c:spPr>
            <a:ln w="25400">
              <a:solidFill>
                <a:srgbClr val="0000FF"/>
              </a:solidFill>
              <a:prstDash val="solid"/>
            </a:ln>
          </c:spPr>
          <c:marker>
            <c:symbol val="none"/>
          </c:marker>
          <c:xVal>
            <c:numRef>
              <c:f>'Data Fuselage'!$AB$1902:$AB$1914</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Fuselage'!$AC$1902:$AC$1914</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8C-819C-4C0B-B4D9-7F526BD4C7F7}"/>
            </c:ext>
          </c:extLst>
        </c:ser>
        <c:ser>
          <c:idx val="142"/>
          <c:order val="141"/>
          <c:tx>
            <c:strRef>
              <c:f>'Data Fuselage'!$AF$1900</c:f>
              <c:strCache>
                <c:ptCount val="1"/>
                <c:pt idx="0">
                  <c:v>Nothing</c:v>
                </c:pt>
              </c:strCache>
            </c:strRef>
          </c:tx>
          <c:spPr>
            <a:ln w="25400">
              <a:solidFill>
                <a:srgbClr val="0000FF"/>
              </a:solidFill>
              <a:prstDash val="solid"/>
            </a:ln>
          </c:spPr>
          <c:marker>
            <c:symbol val="none"/>
          </c:marker>
          <c:xVal>
            <c:numRef>
              <c:f>'Data Fuselage'!$AF$1902:$AF$1926</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xVal>
          <c:yVal>
            <c:numRef>
              <c:f>'Data Fuselage'!$AG$1902:$AG$1926</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yVal>
          <c:smooth val="0"/>
          <c:extLst>
            <c:ext xmlns:c16="http://schemas.microsoft.com/office/drawing/2014/chart" uri="{C3380CC4-5D6E-409C-BE32-E72D297353CC}">
              <c16:uniqueId val="{0000008D-819C-4C0B-B4D9-7F526BD4C7F7}"/>
            </c:ext>
          </c:extLst>
        </c:ser>
        <c:ser>
          <c:idx val="143"/>
          <c:order val="142"/>
          <c:tx>
            <c:strRef>
              <c:f>'Data Fuselage'!$AJ$1900</c:f>
              <c:strCache>
                <c:ptCount val="1"/>
                <c:pt idx="0">
                  <c:v>Nothing</c:v>
                </c:pt>
              </c:strCache>
            </c:strRef>
          </c:tx>
          <c:spPr>
            <a:ln w="25400">
              <a:solidFill>
                <a:srgbClr val="0000FF"/>
              </a:solidFill>
              <a:prstDash val="solid"/>
            </a:ln>
          </c:spPr>
          <c:marker>
            <c:symbol val="none"/>
          </c:marker>
          <c:xVal>
            <c:numRef>
              <c:f>'Data Fuselage'!$AJ$1902:$AJ$1914</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Fuselage'!$AK$1902:$AK$1914</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8E-819C-4C0B-B4D9-7F526BD4C7F7}"/>
            </c:ext>
          </c:extLst>
        </c:ser>
        <c:ser>
          <c:idx val="144"/>
          <c:order val="143"/>
          <c:tx>
            <c:strRef>
              <c:f>'Data Fuselage'!$AB$1936</c:f>
              <c:strCache>
                <c:ptCount val="1"/>
                <c:pt idx="0">
                  <c:v>Nothing</c:v>
                </c:pt>
              </c:strCache>
            </c:strRef>
          </c:tx>
          <c:spPr>
            <a:ln w="25400">
              <a:solidFill>
                <a:srgbClr val="0000FF"/>
              </a:solidFill>
              <a:prstDash val="solid"/>
            </a:ln>
          </c:spPr>
          <c:marker>
            <c:symbol val="none"/>
          </c:marker>
          <c:xVal>
            <c:numRef>
              <c:f>'Data Fuselage'!$AB$1938:$AB$1950</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Fuselage'!$AC$1938:$AC$1950</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8F-819C-4C0B-B4D9-7F526BD4C7F7}"/>
            </c:ext>
          </c:extLst>
        </c:ser>
        <c:ser>
          <c:idx val="145"/>
          <c:order val="144"/>
          <c:tx>
            <c:strRef>
              <c:f>'Data Fuselage'!$AF$1936</c:f>
              <c:strCache>
                <c:ptCount val="1"/>
                <c:pt idx="0">
                  <c:v>Nothing</c:v>
                </c:pt>
              </c:strCache>
            </c:strRef>
          </c:tx>
          <c:spPr>
            <a:ln w="25400">
              <a:solidFill>
                <a:srgbClr val="0000FF"/>
              </a:solidFill>
              <a:prstDash val="solid"/>
            </a:ln>
          </c:spPr>
          <c:marker>
            <c:symbol val="none"/>
          </c:marker>
          <c:xVal>
            <c:numRef>
              <c:f>'Data Fuselage'!$AF$1938:$AF$1962</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xVal>
          <c:yVal>
            <c:numRef>
              <c:f>'Data Fuselage'!$AG$1938:$AG$1962</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yVal>
          <c:smooth val="0"/>
          <c:extLst>
            <c:ext xmlns:c16="http://schemas.microsoft.com/office/drawing/2014/chart" uri="{C3380CC4-5D6E-409C-BE32-E72D297353CC}">
              <c16:uniqueId val="{00000090-819C-4C0B-B4D9-7F526BD4C7F7}"/>
            </c:ext>
          </c:extLst>
        </c:ser>
        <c:ser>
          <c:idx val="146"/>
          <c:order val="145"/>
          <c:tx>
            <c:strRef>
              <c:f>'Data Fuselage'!$AJ$1936</c:f>
              <c:strCache>
                <c:ptCount val="1"/>
                <c:pt idx="0">
                  <c:v>Nothing</c:v>
                </c:pt>
              </c:strCache>
            </c:strRef>
          </c:tx>
          <c:spPr>
            <a:ln w="25400">
              <a:solidFill>
                <a:srgbClr val="0000FF"/>
              </a:solidFill>
              <a:prstDash val="solid"/>
            </a:ln>
          </c:spPr>
          <c:marker>
            <c:symbol val="none"/>
          </c:marker>
          <c:xVal>
            <c:numRef>
              <c:f>'Data Fuselage'!$AJ$1938:$AJ$1950</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Fuselage'!$AK$1938:$AK$1950</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91-819C-4C0B-B4D9-7F526BD4C7F7}"/>
            </c:ext>
          </c:extLst>
        </c:ser>
        <c:ser>
          <c:idx val="147"/>
          <c:order val="146"/>
          <c:tx>
            <c:strRef>
              <c:f>'Data Fuselage'!$AB$1972</c:f>
              <c:strCache>
                <c:ptCount val="1"/>
                <c:pt idx="0">
                  <c:v>Nothing</c:v>
                </c:pt>
              </c:strCache>
            </c:strRef>
          </c:tx>
          <c:spPr>
            <a:ln w="25400">
              <a:solidFill>
                <a:srgbClr val="0000FF"/>
              </a:solidFill>
              <a:prstDash val="solid"/>
            </a:ln>
          </c:spPr>
          <c:marker>
            <c:symbol val="none"/>
          </c:marker>
          <c:xVal>
            <c:numRef>
              <c:f>'Data Fuselage'!$AB$1974:$AB$1986</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Fuselage'!$AC$1974:$AC$1986</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92-819C-4C0B-B4D9-7F526BD4C7F7}"/>
            </c:ext>
          </c:extLst>
        </c:ser>
        <c:ser>
          <c:idx val="148"/>
          <c:order val="147"/>
          <c:tx>
            <c:strRef>
              <c:f>'Data Fuselage'!$AF$1972</c:f>
              <c:strCache>
                <c:ptCount val="1"/>
                <c:pt idx="0">
                  <c:v>Nothing</c:v>
                </c:pt>
              </c:strCache>
            </c:strRef>
          </c:tx>
          <c:spPr>
            <a:ln w="25400">
              <a:solidFill>
                <a:srgbClr val="0000FF"/>
              </a:solidFill>
              <a:prstDash val="solid"/>
            </a:ln>
          </c:spPr>
          <c:marker>
            <c:symbol val="none"/>
          </c:marker>
          <c:xVal>
            <c:numRef>
              <c:f>'Data Fuselage'!$AF$1974:$AF$1998</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xVal>
          <c:yVal>
            <c:numRef>
              <c:f>'Data Fuselage'!$AG$1974:$AG$1998</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yVal>
          <c:smooth val="0"/>
          <c:extLst>
            <c:ext xmlns:c16="http://schemas.microsoft.com/office/drawing/2014/chart" uri="{C3380CC4-5D6E-409C-BE32-E72D297353CC}">
              <c16:uniqueId val="{00000093-819C-4C0B-B4D9-7F526BD4C7F7}"/>
            </c:ext>
          </c:extLst>
        </c:ser>
        <c:ser>
          <c:idx val="149"/>
          <c:order val="148"/>
          <c:tx>
            <c:strRef>
              <c:f>'Data Fuselage'!$AJ$1972</c:f>
              <c:strCache>
                <c:ptCount val="1"/>
                <c:pt idx="0">
                  <c:v>Nothing</c:v>
                </c:pt>
              </c:strCache>
            </c:strRef>
          </c:tx>
          <c:spPr>
            <a:ln w="25400">
              <a:solidFill>
                <a:srgbClr val="0000FF"/>
              </a:solidFill>
              <a:prstDash val="solid"/>
            </a:ln>
          </c:spPr>
          <c:marker>
            <c:symbol val="none"/>
          </c:marker>
          <c:xVal>
            <c:numRef>
              <c:f>'Data Fuselage'!$AJ$1974:$AJ$1986</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Fuselage'!$AK$1974:$AK$1986</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94-819C-4C0B-B4D9-7F526BD4C7F7}"/>
            </c:ext>
          </c:extLst>
        </c:ser>
        <c:ser>
          <c:idx val="150"/>
          <c:order val="149"/>
          <c:tx>
            <c:strRef>
              <c:f>'Data Fuselage'!$AB$2008</c:f>
              <c:strCache>
                <c:ptCount val="1"/>
                <c:pt idx="0">
                  <c:v>Nothing</c:v>
                </c:pt>
              </c:strCache>
            </c:strRef>
          </c:tx>
          <c:spPr>
            <a:ln w="25400">
              <a:solidFill>
                <a:srgbClr val="0000FF"/>
              </a:solidFill>
              <a:prstDash val="solid"/>
            </a:ln>
          </c:spPr>
          <c:marker>
            <c:symbol val="none"/>
          </c:marker>
          <c:xVal>
            <c:numRef>
              <c:f>'Data Fuselage'!$AB$2010:$AB$2022</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Fuselage'!$AC$2010:$AC$2022</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95-819C-4C0B-B4D9-7F526BD4C7F7}"/>
            </c:ext>
          </c:extLst>
        </c:ser>
        <c:ser>
          <c:idx val="151"/>
          <c:order val="150"/>
          <c:tx>
            <c:strRef>
              <c:f>'Data Fuselage'!$AF$2008</c:f>
              <c:strCache>
                <c:ptCount val="1"/>
                <c:pt idx="0">
                  <c:v>Nothing</c:v>
                </c:pt>
              </c:strCache>
            </c:strRef>
          </c:tx>
          <c:spPr>
            <a:ln w="25400">
              <a:solidFill>
                <a:srgbClr val="0000FF"/>
              </a:solidFill>
              <a:prstDash val="solid"/>
            </a:ln>
          </c:spPr>
          <c:marker>
            <c:symbol val="none"/>
          </c:marker>
          <c:xVal>
            <c:numRef>
              <c:f>'Data Fuselage'!$AF$2010:$AF$2034</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xVal>
          <c:yVal>
            <c:numRef>
              <c:f>'Data Fuselage'!$AG$2010:$AG$2034</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yVal>
          <c:smooth val="0"/>
          <c:extLst>
            <c:ext xmlns:c16="http://schemas.microsoft.com/office/drawing/2014/chart" uri="{C3380CC4-5D6E-409C-BE32-E72D297353CC}">
              <c16:uniqueId val="{00000096-819C-4C0B-B4D9-7F526BD4C7F7}"/>
            </c:ext>
          </c:extLst>
        </c:ser>
        <c:ser>
          <c:idx val="152"/>
          <c:order val="151"/>
          <c:tx>
            <c:strRef>
              <c:f>'Data Fuselage'!$AJ$2008</c:f>
              <c:strCache>
                <c:ptCount val="1"/>
                <c:pt idx="0">
                  <c:v>Nothing</c:v>
                </c:pt>
              </c:strCache>
            </c:strRef>
          </c:tx>
          <c:spPr>
            <a:ln w="25400">
              <a:solidFill>
                <a:srgbClr val="0000FF"/>
              </a:solidFill>
              <a:prstDash val="solid"/>
            </a:ln>
          </c:spPr>
          <c:marker>
            <c:symbol val="none"/>
          </c:marker>
          <c:xVal>
            <c:numRef>
              <c:f>'Data Fuselage'!$AJ$2010:$AJ$2022</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Fuselage'!$AK$2010:$AK$2022</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97-819C-4C0B-B4D9-7F526BD4C7F7}"/>
            </c:ext>
          </c:extLst>
        </c:ser>
        <c:ser>
          <c:idx val="153"/>
          <c:order val="152"/>
          <c:tx>
            <c:strRef>
              <c:f>'Data Fuselage'!$AB$2044</c:f>
              <c:strCache>
                <c:ptCount val="1"/>
                <c:pt idx="0">
                  <c:v>Nothing</c:v>
                </c:pt>
              </c:strCache>
            </c:strRef>
          </c:tx>
          <c:spPr>
            <a:ln w="25400">
              <a:solidFill>
                <a:srgbClr val="0000FF"/>
              </a:solidFill>
              <a:prstDash val="solid"/>
            </a:ln>
          </c:spPr>
          <c:marker>
            <c:symbol val="none"/>
          </c:marker>
          <c:xVal>
            <c:numRef>
              <c:f>'Data Fuselage'!$AB$2046:$AB$2058</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Fuselage'!$AC$2046:$AC$2058</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98-819C-4C0B-B4D9-7F526BD4C7F7}"/>
            </c:ext>
          </c:extLst>
        </c:ser>
        <c:ser>
          <c:idx val="154"/>
          <c:order val="153"/>
          <c:tx>
            <c:strRef>
              <c:f>'Data Fuselage'!$AF$2044</c:f>
              <c:strCache>
                <c:ptCount val="1"/>
                <c:pt idx="0">
                  <c:v>Nothing</c:v>
                </c:pt>
              </c:strCache>
            </c:strRef>
          </c:tx>
          <c:spPr>
            <a:ln w="25400">
              <a:solidFill>
                <a:srgbClr val="0000FF"/>
              </a:solidFill>
              <a:prstDash val="solid"/>
            </a:ln>
          </c:spPr>
          <c:marker>
            <c:symbol val="none"/>
          </c:marker>
          <c:xVal>
            <c:numRef>
              <c:f>'Data Fuselage'!$AF$2046:$AF$2070</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xVal>
          <c:yVal>
            <c:numRef>
              <c:f>'Data Fuselage'!$AG$2046:$AG$2070</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yVal>
          <c:smooth val="0"/>
          <c:extLst>
            <c:ext xmlns:c16="http://schemas.microsoft.com/office/drawing/2014/chart" uri="{C3380CC4-5D6E-409C-BE32-E72D297353CC}">
              <c16:uniqueId val="{00000099-819C-4C0B-B4D9-7F526BD4C7F7}"/>
            </c:ext>
          </c:extLst>
        </c:ser>
        <c:ser>
          <c:idx val="155"/>
          <c:order val="154"/>
          <c:tx>
            <c:strRef>
              <c:f>'Data Fuselage'!$AJ$2044</c:f>
              <c:strCache>
                <c:ptCount val="1"/>
                <c:pt idx="0">
                  <c:v>Nothing</c:v>
                </c:pt>
              </c:strCache>
            </c:strRef>
          </c:tx>
          <c:spPr>
            <a:ln w="25400">
              <a:solidFill>
                <a:srgbClr val="0000FF"/>
              </a:solidFill>
              <a:prstDash val="solid"/>
            </a:ln>
          </c:spPr>
          <c:marker>
            <c:symbol val="none"/>
          </c:marker>
          <c:xVal>
            <c:numRef>
              <c:f>'Data Fuselage'!$AJ$2046:$AJ$2058</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Fuselage'!$AK$2046:$AK$2058</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9A-819C-4C0B-B4D9-7F526BD4C7F7}"/>
            </c:ext>
          </c:extLst>
        </c:ser>
        <c:ser>
          <c:idx val="156"/>
          <c:order val="155"/>
          <c:tx>
            <c:strRef>
              <c:f>'Data Fuselage'!$AB$2080</c:f>
              <c:strCache>
                <c:ptCount val="1"/>
                <c:pt idx="0">
                  <c:v>Nothing</c:v>
                </c:pt>
              </c:strCache>
            </c:strRef>
          </c:tx>
          <c:spPr>
            <a:ln w="25400">
              <a:solidFill>
                <a:srgbClr val="0000FF"/>
              </a:solidFill>
              <a:prstDash val="solid"/>
            </a:ln>
          </c:spPr>
          <c:marker>
            <c:symbol val="none"/>
          </c:marker>
          <c:xVal>
            <c:numRef>
              <c:f>'Data Fuselage'!$AB$2082:$AB$2094</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Fuselage'!$AC$2082:$AC$2094</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9B-819C-4C0B-B4D9-7F526BD4C7F7}"/>
            </c:ext>
          </c:extLst>
        </c:ser>
        <c:ser>
          <c:idx val="157"/>
          <c:order val="156"/>
          <c:tx>
            <c:strRef>
              <c:f>'Data Fuselage'!$AF$2080</c:f>
              <c:strCache>
                <c:ptCount val="1"/>
                <c:pt idx="0">
                  <c:v>Nothing</c:v>
                </c:pt>
              </c:strCache>
            </c:strRef>
          </c:tx>
          <c:spPr>
            <a:ln w="25400">
              <a:solidFill>
                <a:srgbClr val="0000FF"/>
              </a:solidFill>
              <a:prstDash val="solid"/>
            </a:ln>
          </c:spPr>
          <c:marker>
            <c:symbol val="none"/>
          </c:marker>
          <c:xVal>
            <c:numRef>
              <c:f>'Data Fuselage'!$AF$2082:$AF$2106</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xVal>
          <c:yVal>
            <c:numRef>
              <c:f>'Data Fuselage'!$AG$2082:$AG$2106</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yVal>
          <c:smooth val="0"/>
          <c:extLst>
            <c:ext xmlns:c16="http://schemas.microsoft.com/office/drawing/2014/chart" uri="{C3380CC4-5D6E-409C-BE32-E72D297353CC}">
              <c16:uniqueId val="{0000009C-819C-4C0B-B4D9-7F526BD4C7F7}"/>
            </c:ext>
          </c:extLst>
        </c:ser>
        <c:ser>
          <c:idx val="158"/>
          <c:order val="157"/>
          <c:tx>
            <c:strRef>
              <c:f>'Data Fuselage'!$AJ$2080</c:f>
              <c:strCache>
                <c:ptCount val="1"/>
                <c:pt idx="0">
                  <c:v>Nothing</c:v>
                </c:pt>
              </c:strCache>
            </c:strRef>
          </c:tx>
          <c:spPr>
            <a:ln w="25400">
              <a:solidFill>
                <a:srgbClr val="0000FF"/>
              </a:solidFill>
              <a:prstDash val="solid"/>
            </a:ln>
          </c:spPr>
          <c:marker>
            <c:symbol val="none"/>
          </c:marker>
          <c:xVal>
            <c:numRef>
              <c:f>'Data Fuselage'!$AJ$2082:$AJ$2094</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Fuselage'!$AK$2082:$AK$2094</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9D-819C-4C0B-B4D9-7F526BD4C7F7}"/>
            </c:ext>
          </c:extLst>
        </c:ser>
        <c:ser>
          <c:idx val="159"/>
          <c:order val="158"/>
          <c:tx>
            <c:strRef>
              <c:f>'Data Fuselage'!$AB$2116</c:f>
              <c:strCache>
                <c:ptCount val="1"/>
                <c:pt idx="0">
                  <c:v>Nothing</c:v>
                </c:pt>
              </c:strCache>
            </c:strRef>
          </c:tx>
          <c:spPr>
            <a:ln w="25400">
              <a:solidFill>
                <a:srgbClr val="0000FF"/>
              </a:solidFill>
              <a:prstDash val="solid"/>
            </a:ln>
          </c:spPr>
          <c:marker>
            <c:symbol val="none"/>
          </c:marker>
          <c:xVal>
            <c:numRef>
              <c:f>'Data Fuselage'!$AB$2118:$AB$2130</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Fuselage'!$AC$2118:$AC$2130</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9E-819C-4C0B-B4D9-7F526BD4C7F7}"/>
            </c:ext>
          </c:extLst>
        </c:ser>
        <c:ser>
          <c:idx val="160"/>
          <c:order val="159"/>
          <c:tx>
            <c:strRef>
              <c:f>'Data Fuselage'!$AF$2116</c:f>
              <c:strCache>
                <c:ptCount val="1"/>
                <c:pt idx="0">
                  <c:v>Nothing</c:v>
                </c:pt>
              </c:strCache>
            </c:strRef>
          </c:tx>
          <c:spPr>
            <a:ln w="25400">
              <a:solidFill>
                <a:srgbClr val="0000FF"/>
              </a:solidFill>
              <a:prstDash val="solid"/>
            </a:ln>
          </c:spPr>
          <c:marker>
            <c:symbol val="none"/>
          </c:marker>
          <c:xVal>
            <c:numRef>
              <c:f>'Data Fuselage'!$AF$2118:$AF$2142</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xVal>
          <c:yVal>
            <c:numRef>
              <c:f>'Data Fuselage'!$AG$2118:$AG$2142</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yVal>
          <c:smooth val="0"/>
          <c:extLst>
            <c:ext xmlns:c16="http://schemas.microsoft.com/office/drawing/2014/chart" uri="{C3380CC4-5D6E-409C-BE32-E72D297353CC}">
              <c16:uniqueId val="{0000009F-819C-4C0B-B4D9-7F526BD4C7F7}"/>
            </c:ext>
          </c:extLst>
        </c:ser>
        <c:ser>
          <c:idx val="161"/>
          <c:order val="160"/>
          <c:tx>
            <c:strRef>
              <c:f>'Data Fuselage'!$AJ$2116</c:f>
              <c:strCache>
                <c:ptCount val="1"/>
                <c:pt idx="0">
                  <c:v>Nothing</c:v>
                </c:pt>
              </c:strCache>
            </c:strRef>
          </c:tx>
          <c:spPr>
            <a:ln w="25400">
              <a:solidFill>
                <a:srgbClr val="0000FF"/>
              </a:solidFill>
              <a:prstDash val="solid"/>
            </a:ln>
          </c:spPr>
          <c:marker>
            <c:symbol val="none"/>
          </c:marker>
          <c:xVal>
            <c:numRef>
              <c:f>'Data Fuselage'!$AJ$2118:$AJ$2130</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Fuselage'!$AK$2118:$AK$2130</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A0-819C-4C0B-B4D9-7F526BD4C7F7}"/>
            </c:ext>
          </c:extLst>
        </c:ser>
        <c:ser>
          <c:idx val="162"/>
          <c:order val="161"/>
          <c:tx>
            <c:strRef>
              <c:f>'Data Fuselage'!$AB$2152</c:f>
              <c:strCache>
                <c:ptCount val="1"/>
                <c:pt idx="0">
                  <c:v>Nothing</c:v>
                </c:pt>
              </c:strCache>
            </c:strRef>
          </c:tx>
          <c:spPr>
            <a:ln w="25400">
              <a:solidFill>
                <a:srgbClr val="0000FF"/>
              </a:solidFill>
              <a:prstDash val="solid"/>
            </a:ln>
          </c:spPr>
          <c:marker>
            <c:symbol val="none"/>
          </c:marker>
          <c:xVal>
            <c:numRef>
              <c:f>'Data Fuselage'!$AB$2154:$AB$2166</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Fuselage'!$AC$2154:$AC$2166</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A1-819C-4C0B-B4D9-7F526BD4C7F7}"/>
            </c:ext>
          </c:extLst>
        </c:ser>
        <c:ser>
          <c:idx val="163"/>
          <c:order val="162"/>
          <c:tx>
            <c:strRef>
              <c:f>'Data Fuselage'!$AF$2152</c:f>
              <c:strCache>
                <c:ptCount val="1"/>
                <c:pt idx="0">
                  <c:v>Nothing</c:v>
                </c:pt>
              </c:strCache>
            </c:strRef>
          </c:tx>
          <c:spPr>
            <a:ln w="25400">
              <a:solidFill>
                <a:srgbClr val="0000FF"/>
              </a:solidFill>
              <a:prstDash val="solid"/>
            </a:ln>
          </c:spPr>
          <c:marker>
            <c:symbol val="none"/>
          </c:marker>
          <c:xVal>
            <c:numRef>
              <c:f>'Data Fuselage'!$AF$2154:$AF$2178</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xVal>
          <c:yVal>
            <c:numRef>
              <c:f>'Data Fuselage'!$AG$2154:$AG$2178</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yVal>
          <c:smooth val="0"/>
          <c:extLst>
            <c:ext xmlns:c16="http://schemas.microsoft.com/office/drawing/2014/chart" uri="{C3380CC4-5D6E-409C-BE32-E72D297353CC}">
              <c16:uniqueId val="{000000A2-819C-4C0B-B4D9-7F526BD4C7F7}"/>
            </c:ext>
          </c:extLst>
        </c:ser>
        <c:ser>
          <c:idx val="164"/>
          <c:order val="163"/>
          <c:tx>
            <c:strRef>
              <c:f>'Data Fuselage'!$AJ$2152</c:f>
              <c:strCache>
                <c:ptCount val="1"/>
                <c:pt idx="0">
                  <c:v>Nothing</c:v>
                </c:pt>
              </c:strCache>
            </c:strRef>
          </c:tx>
          <c:spPr>
            <a:ln w="25400">
              <a:solidFill>
                <a:srgbClr val="0000FF"/>
              </a:solidFill>
              <a:prstDash val="solid"/>
            </a:ln>
          </c:spPr>
          <c:marker>
            <c:symbol val="none"/>
          </c:marker>
          <c:xVal>
            <c:numRef>
              <c:f>'Data Fuselage'!$AJ$2154:$AJ$2166</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Fuselage'!$AK$2154:$AK$2166</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A3-819C-4C0B-B4D9-7F526BD4C7F7}"/>
            </c:ext>
          </c:extLst>
        </c:ser>
        <c:ser>
          <c:idx val="165"/>
          <c:order val="164"/>
          <c:tx>
            <c:strRef>
              <c:f>'Data Fuselage'!$AB$2188</c:f>
              <c:strCache>
                <c:ptCount val="1"/>
                <c:pt idx="0">
                  <c:v>Nothing</c:v>
                </c:pt>
              </c:strCache>
            </c:strRef>
          </c:tx>
          <c:spPr>
            <a:ln w="25400">
              <a:solidFill>
                <a:srgbClr val="0000FF"/>
              </a:solidFill>
              <a:prstDash val="solid"/>
            </a:ln>
          </c:spPr>
          <c:marker>
            <c:symbol val="none"/>
          </c:marker>
          <c:xVal>
            <c:numRef>
              <c:f>'Data Fuselage'!$AB$2190:$AB$2202</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Fuselage'!$AC$2190:$AC$2202</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A4-819C-4C0B-B4D9-7F526BD4C7F7}"/>
            </c:ext>
          </c:extLst>
        </c:ser>
        <c:ser>
          <c:idx val="166"/>
          <c:order val="165"/>
          <c:tx>
            <c:strRef>
              <c:f>'Data Fuselage'!$AF$2188</c:f>
              <c:strCache>
                <c:ptCount val="1"/>
                <c:pt idx="0">
                  <c:v>Nothing</c:v>
                </c:pt>
              </c:strCache>
            </c:strRef>
          </c:tx>
          <c:spPr>
            <a:ln w="25400">
              <a:solidFill>
                <a:srgbClr val="0000FF"/>
              </a:solidFill>
              <a:prstDash val="solid"/>
            </a:ln>
          </c:spPr>
          <c:marker>
            <c:symbol val="none"/>
          </c:marker>
          <c:xVal>
            <c:numRef>
              <c:f>'Data Fuselage'!$AF$2190:$AF$2214</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xVal>
          <c:yVal>
            <c:numRef>
              <c:f>'Data Fuselage'!$AG$2190:$AG$2214</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yVal>
          <c:smooth val="0"/>
          <c:extLst>
            <c:ext xmlns:c16="http://schemas.microsoft.com/office/drawing/2014/chart" uri="{C3380CC4-5D6E-409C-BE32-E72D297353CC}">
              <c16:uniqueId val="{000000A5-819C-4C0B-B4D9-7F526BD4C7F7}"/>
            </c:ext>
          </c:extLst>
        </c:ser>
        <c:ser>
          <c:idx val="167"/>
          <c:order val="166"/>
          <c:tx>
            <c:strRef>
              <c:f>'Data Fuselage'!$AJ$2188</c:f>
              <c:strCache>
                <c:ptCount val="1"/>
                <c:pt idx="0">
                  <c:v>Nothing</c:v>
                </c:pt>
              </c:strCache>
            </c:strRef>
          </c:tx>
          <c:spPr>
            <a:ln w="25400">
              <a:solidFill>
                <a:srgbClr val="0000FF"/>
              </a:solidFill>
              <a:prstDash val="solid"/>
            </a:ln>
          </c:spPr>
          <c:marker>
            <c:symbol val="none"/>
          </c:marker>
          <c:xVal>
            <c:numRef>
              <c:f>'Data Fuselage'!$AJ$2190:$AJ$2202</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Fuselage'!$AK$2190:$AK$2202</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A6-819C-4C0B-B4D9-7F526BD4C7F7}"/>
            </c:ext>
          </c:extLst>
        </c:ser>
        <c:ser>
          <c:idx val="168"/>
          <c:order val="167"/>
          <c:tx>
            <c:strRef>
              <c:f>'Data Fuselage'!$AB$2224</c:f>
              <c:strCache>
                <c:ptCount val="1"/>
                <c:pt idx="0">
                  <c:v>Nothing</c:v>
                </c:pt>
              </c:strCache>
            </c:strRef>
          </c:tx>
          <c:spPr>
            <a:ln w="25400">
              <a:solidFill>
                <a:srgbClr val="0000FF"/>
              </a:solidFill>
              <a:prstDash val="solid"/>
            </a:ln>
          </c:spPr>
          <c:marker>
            <c:symbol val="none"/>
          </c:marker>
          <c:xVal>
            <c:numRef>
              <c:f>'Data Fuselage'!$AB$2226:$AB$2238</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Fuselage'!$AC$2226:$AC$2238</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A7-819C-4C0B-B4D9-7F526BD4C7F7}"/>
            </c:ext>
          </c:extLst>
        </c:ser>
        <c:ser>
          <c:idx val="169"/>
          <c:order val="168"/>
          <c:tx>
            <c:strRef>
              <c:f>'Data Fuselage'!$AF$2224</c:f>
              <c:strCache>
                <c:ptCount val="1"/>
                <c:pt idx="0">
                  <c:v>Nothing</c:v>
                </c:pt>
              </c:strCache>
            </c:strRef>
          </c:tx>
          <c:spPr>
            <a:ln w="25400">
              <a:solidFill>
                <a:srgbClr val="0000FF"/>
              </a:solidFill>
              <a:prstDash val="solid"/>
            </a:ln>
          </c:spPr>
          <c:marker>
            <c:symbol val="none"/>
          </c:marker>
          <c:xVal>
            <c:numRef>
              <c:f>'Data Fuselage'!$AF$2226:$AF$2250</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xVal>
          <c:yVal>
            <c:numRef>
              <c:f>'Data Fuselage'!$AG$2226:$AG$2250</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yVal>
          <c:smooth val="0"/>
          <c:extLst>
            <c:ext xmlns:c16="http://schemas.microsoft.com/office/drawing/2014/chart" uri="{C3380CC4-5D6E-409C-BE32-E72D297353CC}">
              <c16:uniqueId val="{000000A8-819C-4C0B-B4D9-7F526BD4C7F7}"/>
            </c:ext>
          </c:extLst>
        </c:ser>
        <c:ser>
          <c:idx val="170"/>
          <c:order val="169"/>
          <c:tx>
            <c:strRef>
              <c:f>'Data Fuselage'!$AJ$2224</c:f>
              <c:strCache>
                <c:ptCount val="1"/>
                <c:pt idx="0">
                  <c:v>Nothing</c:v>
                </c:pt>
              </c:strCache>
            </c:strRef>
          </c:tx>
          <c:spPr>
            <a:ln w="25400">
              <a:solidFill>
                <a:srgbClr val="0000FF"/>
              </a:solidFill>
              <a:prstDash val="solid"/>
            </a:ln>
          </c:spPr>
          <c:marker>
            <c:symbol val="none"/>
          </c:marker>
          <c:xVal>
            <c:numRef>
              <c:f>'Data Fuselage'!$AJ$2226:$AJ$2238</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Fuselage'!$AK$2226:$AK$2238</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A9-819C-4C0B-B4D9-7F526BD4C7F7}"/>
            </c:ext>
          </c:extLst>
        </c:ser>
        <c:ser>
          <c:idx val="171"/>
          <c:order val="170"/>
          <c:tx>
            <c:strRef>
              <c:f>'Data Fuselage'!$AB$2260</c:f>
              <c:strCache>
                <c:ptCount val="1"/>
                <c:pt idx="0">
                  <c:v>Nothing</c:v>
                </c:pt>
              </c:strCache>
            </c:strRef>
          </c:tx>
          <c:spPr>
            <a:ln w="25400">
              <a:solidFill>
                <a:srgbClr val="0000FF"/>
              </a:solidFill>
              <a:prstDash val="solid"/>
            </a:ln>
          </c:spPr>
          <c:marker>
            <c:symbol val="none"/>
          </c:marker>
          <c:xVal>
            <c:numRef>
              <c:f>'Data Fuselage'!$AB$2262:$AB$2274</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Fuselage'!$AC$2262:$AC$2274</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AA-819C-4C0B-B4D9-7F526BD4C7F7}"/>
            </c:ext>
          </c:extLst>
        </c:ser>
        <c:ser>
          <c:idx val="172"/>
          <c:order val="171"/>
          <c:tx>
            <c:strRef>
              <c:f>'Data Fuselage'!$AF$2260</c:f>
              <c:strCache>
                <c:ptCount val="1"/>
                <c:pt idx="0">
                  <c:v>Nothing</c:v>
                </c:pt>
              </c:strCache>
            </c:strRef>
          </c:tx>
          <c:spPr>
            <a:ln w="25400">
              <a:solidFill>
                <a:srgbClr val="0000FF"/>
              </a:solidFill>
              <a:prstDash val="solid"/>
            </a:ln>
          </c:spPr>
          <c:marker>
            <c:symbol val="none"/>
          </c:marker>
          <c:xVal>
            <c:numRef>
              <c:f>'Data Fuselage'!$AF$2262:$AF$2286</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xVal>
          <c:yVal>
            <c:numRef>
              <c:f>'Data Fuselage'!$AG$2262:$AG$2286</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yVal>
          <c:smooth val="0"/>
          <c:extLst>
            <c:ext xmlns:c16="http://schemas.microsoft.com/office/drawing/2014/chart" uri="{C3380CC4-5D6E-409C-BE32-E72D297353CC}">
              <c16:uniqueId val="{000000AB-819C-4C0B-B4D9-7F526BD4C7F7}"/>
            </c:ext>
          </c:extLst>
        </c:ser>
        <c:ser>
          <c:idx val="173"/>
          <c:order val="172"/>
          <c:tx>
            <c:strRef>
              <c:f>'Data Fuselage'!$AJ$2260</c:f>
              <c:strCache>
                <c:ptCount val="1"/>
                <c:pt idx="0">
                  <c:v>Nothing</c:v>
                </c:pt>
              </c:strCache>
            </c:strRef>
          </c:tx>
          <c:spPr>
            <a:ln w="25400">
              <a:solidFill>
                <a:srgbClr val="0000FF"/>
              </a:solidFill>
              <a:prstDash val="solid"/>
            </a:ln>
          </c:spPr>
          <c:marker>
            <c:symbol val="none"/>
          </c:marker>
          <c:xVal>
            <c:numRef>
              <c:f>'Data Fuselage'!$AJ$2262:$AJ$2274</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Fuselage'!$AK$2262:$AK$2274</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AC-819C-4C0B-B4D9-7F526BD4C7F7}"/>
            </c:ext>
          </c:extLst>
        </c:ser>
        <c:ser>
          <c:idx val="174"/>
          <c:order val="173"/>
          <c:tx>
            <c:strRef>
              <c:f>'Data Fuselage'!$AB$2296</c:f>
              <c:strCache>
                <c:ptCount val="1"/>
                <c:pt idx="0">
                  <c:v>Nothing</c:v>
                </c:pt>
              </c:strCache>
            </c:strRef>
          </c:tx>
          <c:spPr>
            <a:ln w="25400">
              <a:solidFill>
                <a:srgbClr val="0000FF"/>
              </a:solidFill>
              <a:prstDash val="solid"/>
            </a:ln>
          </c:spPr>
          <c:marker>
            <c:symbol val="none"/>
          </c:marker>
          <c:xVal>
            <c:numRef>
              <c:f>'Data Fuselage'!$AB$2298:$AB$2310</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Fuselage'!$AC$2298:$AC$2310</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AD-819C-4C0B-B4D9-7F526BD4C7F7}"/>
            </c:ext>
          </c:extLst>
        </c:ser>
        <c:ser>
          <c:idx val="175"/>
          <c:order val="174"/>
          <c:tx>
            <c:strRef>
              <c:f>'Data Fuselage'!$AF$2296</c:f>
              <c:strCache>
                <c:ptCount val="1"/>
                <c:pt idx="0">
                  <c:v>Nothing</c:v>
                </c:pt>
              </c:strCache>
            </c:strRef>
          </c:tx>
          <c:spPr>
            <a:ln w="25400">
              <a:solidFill>
                <a:srgbClr val="0000FF"/>
              </a:solidFill>
              <a:prstDash val="solid"/>
            </a:ln>
          </c:spPr>
          <c:marker>
            <c:symbol val="none"/>
          </c:marker>
          <c:xVal>
            <c:numRef>
              <c:f>'Data Fuselage'!$AF$2298:$AF$2322</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xVal>
          <c:yVal>
            <c:numRef>
              <c:f>'Data Fuselage'!$AG$2298:$AG$2322</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yVal>
          <c:smooth val="0"/>
          <c:extLst>
            <c:ext xmlns:c16="http://schemas.microsoft.com/office/drawing/2014/chart" uri="{C3380CC4-5D6E-409C-BE32-E72D297353CC}">
              <c16:uniqueId val="{000000AE-819C-4C0B-B4D9-7F526BD4C7F7}"/>
            </c:ext>
          </c:extLst>
        </c:ser>
        <c:ser>
          <c:idx val="176"/>
          <c:order val="175"/>
          <c:tx>
            <c:strRef>
              <c:f>'Data Fuselage'!$AJ$2296</c:f>
              <c:strCache>
                <c:ptCount val="1"/>
                <c:pt idx="0">
                  <c:v>Nothing</c:v>
                </c:pt>
              </c:strCache>
            </c:strRef>
          </c:tx>
          <c:spPr>
            <a:ln w="25400">
              <a:solidFill>
                <a:srgbClr val="0000FF"/>
              </a:solidFill>
              <a:prstDash val="solid"/>
            </a:ln>
          </c:spPr>
          <c:marker>
            <c:symbol val="none"/>
          </c:marker>
          <c:xVal>
            <c:numRef>
              <c:f>'Data Fuselage'!$AJ$2298:$AJ$2310</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Fuselage'!$AK$2298:$AK$2310</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AF-819C-4C0B-B4D9-7F526BD4C7F7}"/>
            </c:ext>
          </c:extLst>
        </c:ser>
        <c:ser>
          <c:idx val="177"/>
          <c:order val="176"/>
          <c:tx>
            <c:strRef>
              <c:f>'Data Fuselage'!$AB$2332</c:f>
              <c:strCache>
                <c:ptCount val="1"/>
                <c:pt idx="0">
                  <c:v>Nothing</c:v>
                </c:pt>
              </c:strCache>
            </c:strRef>
          </c:tx>
          <c:spPr>
            <a:ln w="25400">
              <a:solidFill>
                <a:srgbClr val="0000FF"/>
              </a:solidFill>
              <a:prstDash val="solid"/>
            </a:ln>
          </c:spPr>
          <c:marker>
            <c:symbol val="none"/>
          </c:marker>
          <c:xVal>
            <c:numRef>
              <c:f>'Data Fuselage'!$AB$2334:$AB$2346</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Fuselage'!$AC$2334:$AC$2346</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B0-819C-4C0B-B4D9-7F526BD4C7F7}"/>
            </c:ext>
          </c:extLst>
        </c:ser>
        <c:ser>
          <c:idx val="178"/>
          <c:order val="177"/>
          <c:tx>
            <c:strRef>
              <c:f>'Data Fuselage'!$AF$2332</c:f>
              <c:strCache>
                <c:ptCount val="1"/>
                <c:pt idx="0">
                  <c:v>Nothing</c:v>
                </c:pt>
              </c:strCache>
            </c:strRef>
          </c:tx>
          <c:spPr>
            <a:ln w="25400">
              <a:solidFill>
                <a:srgbClr val="0000FF"/>
              </a:solidFill>
              <a:prstDash val="solid"/>
            </a:ln>
          </c:spPr>
          <c:marker>
            <c:symbol val="none"/>
          </c:marker>
          <c:xVal>
            <c:numRef>
              <c:f>'Data Fuselage'!$AF$2334:$AF$2358</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xVal>
          <c:yVal>
            <c:numRef>
              <c:f>'Data Fuselage'!$AG$2334:$AG$2358</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yVal>
          <c:smooth val="0"/>
          <c:extLst>
            <c:ext xmlns:c16="http://schemas.microsoft.com/office/drawing/2014/chart" uri="{C3380CC4-5D6E-409C-BE32-E72D297353CC}">
              <c16:uniqueId val="{000000B1-819C-4C0B-B4D9-7F526BD4C7F7}"/>
            </c:ext>
          </c:extLst>
        </c:ser>
        <c:ser>
          <c:idx val="179"/>
          <c:order val="178"/>
          <c:tx>
            <c:strRef>
              <c:f>'Data Fuselage'!$AJ$2332</c:f>
              <c:strCache>
                <c:ptCount val="1"/>
                <c:pt idx="0">
                  <c:v>Nothing</c:v>
                </c:pt>
              </c:strCache>
            </c:strRef>
          </c:tx>
          <c:spPr>
            <a:ln w="25400">
              <a:solidFill>
                <a:srgbClr val="0000FF"/>
              </a:solidFill>
              <a:prstDash val="solid"/>
            </a:ln>
          </c:spPr>
          <c:marker>
            <c:symbol val="none"/>
          </c:marker>
          <c:xVal>
            <c:numRef>
              <c:f>'Data Fuselage'!$AJ$2334:$AJ$2346</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Fuselage'!$AK$2334:$AK$2346</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B2-819C-4C0B-B4D9-7F526BD4C7F7}"/>
            </c:ext>
          </c:extLst>
        </c:ser>
        <c:ser>
          <c:idx val="180"/>
          <c:order val="179"/>
          <c:tx>
            <c:strRef>
              <c:f>'Data Fuselage'!$AB$2368</c:f>
              <c:strCache>
                <c:ptCount val="1"/>
                <c:pt idx="0">
                  <c:v>Nothing</c:v>
                </c:pt>
              </c:strCache>
            </c:strRef>
          </c:tx>
          <c:spPr>
            <a:ln w="25400">
              <a:solidFill>
                <a:srgbClr val="0000FF"/>
              </a:solidFill>
              <a:prstDash val="solid"/>
            </a:ln>
          </c:spPr>
          <c:marker>
            <c:symbol val="none"/>
          </c:marker>
          <c:xVal>
            <c:numRef>
              <c:f>'Data Fuselage'!$AB$2370:$AB$2382</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Fuselage'!$AC$2370:$AC$2382</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B3-819C-4C0B-B4D9-7F526BD4C7F7}"/>
            </c:ext>
          </c:extLst>
        </c:ser>
        <c:ser>
          <c:idx val="181"/>
          <c:order val="180"/>
          <c:tx>
            <c:strRef>
              <c:f>'Data Fuselage'!$AF$2368</c:f>
              <c:strCache>
                <c:ptCount val="1"/>
                <c:pt idx="0">
                  <c:v>Nothing</c:v>
                </c:pt>
              </c:strCache>
            </c:strRef>
          </c:tx>
          <c:spPr>
            <a:ln w="25400">
              <a:solidFill>
                <a:srgbClr val="0000FF"/>
              </a:solidFill>
              <a:prstDash val="solid"/>
            </a:ln>
          </c:spPr>
          <c:marker>
            <c:symbol val="none"/>
          </c:marker>
          <c:xVal>
            <c:numRef>
              <c:f>'Data Fuselage'!$AF$2370:$AF$2394</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xVal>
          <c:yVal>
            <c:numRef>
              <c:f>'Data Fuselage'!$AG$2370:$AG$2394</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yVal>
          <c:smooth val="0"/>
          <c:extLst>
            <c:ext xmlns:c16="http://schemas.microsoft.com/office/drawing/2014/chart" uri="{C3380CC4-5D6E-409C-BE32-E72D297353CC}">
              <c16:uniqueId val="{000000B4-819C-4C0B-B4D9-7F526BD4C7F7}"/>
            </c:ext>
          </c:extLst>
        </c:ser>
        <c:ser>
          <c:idx val="182"/>
          <c:order val="181"/>
          <c:tx>
            <c:strRef>
              <c:f>'Data Fuselage'!$AJ$2368</c:f>
              <c:strCache>
                <c:ptCount val="1"/>
                <c:pt idx="0">
                  <c:v>Nothing</c:v>
                </c:pt>
              </c:strCache>
            </c:strRef>
          </c:tx>
          <c:spPr>
            <a:ln w="25400">
              <a:solidFill>
                <a:srgbClr val="0000FF"/>
              </a:solidFill>
              <a:prstDash val="solid"/>
            </a:ln>
          </c:spPr>
          <c:marker>
            <c:symbol val="none"/>
          </c:marker>
          <c:xVal>
            <c:numRef>
              <c:f>'Data Fuselage'!$AJ$2370:$AJ$2382</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Fuselage'!$AK$2370:$AK$2382</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B5-819C-4C0B-B4D9-7F526BD4C7F7}"/>
            </c:ext>
          </c:extLst>
        </c:ser>
        <c:ser>
          <c:idx val="183"/>
          <c:order val="182"/>
          <c:tx>
            <c:strRef>
              <c:f>'Data Fuselage'!$AB$2404</c:f>
              <c:strCache>
                <c:ptCount val="1"/>
                <c:pt idx="0">
                  <c:v>Nothing</c:v>
                </c:pt>
              </c:strCache>
            </c:strRef>
          </c:tx>
          <c:spPr>
            <a:ln w="25400">
              <a:solidFill>
                <a:srgbClr val="0000FF"/>
              </a:solidFill>
              <a:prstDash val="solid"/>
            </a:ln>
          </c:spPr>
          <c:marker>
            <c:symbol val="none"/>
          </c:marker>
          <c:xVal>
            <c:numRef>
              <c:f>'Data Fuselage'!$AB$2406:$AB$2418</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Fuselage'!$AC$2406:$AC$2418</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B6-819C-4C0B-B4D9-7F526BD4C7F7}"/>
            </c:ext>
          </c:extLst>
        </c:ser>
        <c:ser>
          <c:idx val="184"/>
          <c:order val="183"/>
          <c:tx>
            <c:strRef>
              <c:f>'Data Fuselage'!$AF$2404</c:f>
              <c:strCache>
                <c:ptCount val="1"/>
                <c:pt idx="0">
                  <c:v>Nothing</c:v>
                </c:pt>
              </c:strCache>
            </c:strRef>
          </c:tx>
          <c:spPr>
            <a:ln w="25400">
              <a:solidFill>
                <a:srgbClr val="0000FF"/>
              </a:solidFill>
              <a:prstDash val="solid"/>
            </a:ln>
          </c:spPr>
          <c:marker>
            <c:symbol val="none"/>
          </c:marker>
          <c:xVal>
            <c:numRef>
              <c:f>'Data Fuselage'!$AF$2406:$AF$2430</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xVal>
          <c:yVal>
            <c:numRef>
              <c:f>'Data Fuselage'!$AG$2406:$AG$2430</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yVal>
          <c:smooth val="0"/>
          <c:extLst>
            <c:ext xmlns:c16="http://schemas.microsoft.com/office/drawing/2014/chart" uri="{C3380CC4-5D6E-409C-BE32-E72D297353CC}">
              <c16:uniqueId val="{000000B7-819C-4C0B-B4D9-7F526BD4C7F7}"/>
            </c:ext>
          </c:extLst>
        </c:ser>
        <c:ser>
          <c:idx val="185"/>
          <c:order val="184"/>
          <c:tx>
            <c:strRef>
              <c:f>'Data Fuselage'!$AJ$2404</c:f>
              <c:strCache>
                <c:ptCount val="1"/>
                <c:pt idx="0">
                  <c:v>Nothing</c:v>
                </c:pt>
              </c:strCache>
            </c:strRef>
          </c:tx>
          <c:spPr>
            <a:ln w="25400">
              <a:solidFill>
                <a:srgbClr val="0000FF"/>
              </a:solidFill>
              <a:prstDash val="solid"/>
            </a:ln>
          </c:spPr>
          <c:marker>
            <c:symbol val="none"/>
          </c:marker>
          <c:xVal>
            <c:numRef>
              <c:f>'Data Fuselage'!$AJ$2406:$AJ$2418</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Fuselage'!$AK$2406:$AK$2418</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B8-819C-4C0B-B4D9-7F526BD4C7F7}"/>
            </c:ext>
          </c:extLst>
        </c:ser>
        <c:ser>
          <c:idx val="186"/>
          <c:order val="185"/>
          <c:tx>
            <c:strRef>
              <c:f>'Data Fuselage'!$AB$2440</c:f>
              <c:strCache>
                <c:ptCount val="1"/>
                <c:pt idx="0">
                  <c:v>Nothing</c:v>
                </c:pt>
              </c:strCache>
            </c:strRef>
          </c:tx>
          <c:spPr>
            <a:ln w="25400">
              <a:solidFill>
                <a:srgbClr val="0000FF"/>
              </a:solidFill>
              <a:prstDash val="solid"/>
            </a:ln>
          </c:spPr>
          <c:marker>
            <c:symbol val="none"/>
          </c:marker>
          <c:xVal>
            <c:numRef>
              <c:f>'Data Fuselage'!$AB$2442:$AB$2454</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Fuselage'!$AC$2442:$AC$2454</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B9-819C-4C0B-B4D9-7F526BD4C7F7}"/>
            </c:ext>
          </c:extLst>
        </c:ser>
        <c:ser>
          <c:idx val="187"/>
          <c:order val="186"/>
          <c:tx>
            <c:strRef>
              <c:f>'Data Fuselage'!$AF$2440</c:f>
              <c:strCache>
                <c:ptCount val="1"/>
                <c:pt idx="0">
                  <c:v>Nothing</c:v>
                </c:pt>
              </c:strCache>
            </c:strRef>
          </c:tx>
          <c:spPr>
            <a:ln w="25400">
              <a:solidFill>
                <a:srgbClr val="0000FF"/>
              </a:solidFill>
              <a:prstDash val="solid"/>
            </a:ln>
          </c:spPr>
          <c:marker>
            <c:symbol val="none"/>
          </c:marker>
          <c:xVal>
            <c:numRef>
              <c:f>'Data Fuselage'!$AF$2442:$AF$2466</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xVal>
          <c:yVal>
            <c:numRef>
              <c:f>'Data Fuselage'!$AG$2442:$AG$2466</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yVal>
          <c:smooth val="0"/>
          <c:extLst>
            <c:ext xmlns:c16="http://schemas.microsoft.com/office/drawing/2014/chart" uri="{C3380CC4-5D6E-409C-BE32-E72D297353CC}">
              <c16:uniqueId val="{000000BA-819C-4C0B-B4D9-7F526BD4C7F7}"/>
            </c:ext>
          </c:extLst>
        </c:ser>
        <c:ser>
          <c:idx val="188"/>
          <c:order val="187"/>
          <c:tx>
            <c:strRef>
              <c:f>'Data Fuselage'!$AJ$2440</c:f>
              <c:strCache>
                <c:ptCount val="1"/>
                <c:pt idx="0">
                  <c:v>Nothing</c:v>
                </c:pt>
              </c:strCache>
            </c:strRef>
          </c:tx>
          <c:spPr>
            <a:ln w="25400">
              <a:solidFill>
                <a:srgbClr val="0000FF"/>
              </a:solidFill>
              <a:prstDash val="solid"/>
            </a:ln>
          </c:spPr>
          <c:marker>
            <c:symbol val="none"/>
          </c:marker>
          <c:xVal>
            <c:numRef>
              <c:f>'Data Fuselage'!$AJ$2442:$AJ$2454</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Fuselage'!$AK$2442:$AK$2454</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BB-819C-4C0B-B4D9-7F526BD4C7F7}"/>
            </c:ext>
          </c:extLst>
        </c:ser>
        <c:ser>
          <c:idx val="189"/>
          <c:order val="188"/>
          <c:tx>
            <c:strRef>
              <c:f>'Data Fuselage'!$AB$2476</c:f>
              <c:strCache>
                <c:ptCount val="1"/>
                <c:pt idx="0">
                  <c:v>Nothing</c:v>
                </c:pt>
              </c:strCache>
            </c:strRef>
          </c:tx>
          <c:spPr>
            <a:ln w="25400">
              <a:solidFill>
                <a:srgbClr val="0000FF"/>
              </a:solidFill>
              <a:prstDash val="solid"/>
            </a:ln>
          </c:spPr>
          <c:marker>
            <c:symbol val="none"/>
          </c:marker>
          <c:xVal>
            <c:numRef>
              <c:f>'Data Fuselage'!$AB$2478:$AB$2490</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Fuselage'!$AC$2478:$AC$2490</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BC-819C-4C0B-B4D9-7F526BD4C7F7}"/>
            </c:ext>
          </c:extLst>
        </c:ser>
        <c:ser>
          <c:idx val="190"/>
          <c:order val="189"/>
          <c:tx>
            <c:strRef>
              <c:f>'Data Fuselage'!$AF$2476</c:f>
              <c:strCache>
                <c:ptCount val="1"/>
                <c:pt idx="0">
                  <c:v>Nothing</c:v>
                </c:pt>
              </c:strCache>
            </c:strRef>
          </c:tx>
          <c:spPr>
            <a:ln w="25400">
              <a:solidFill>
                <a:srgbClr val="0000FF"/>
              </a:solidFill>
              <a:prstDash val="solid"/>
            </a:ln>
          </c:spPr>
          <c:marker>
            <c:symbol val="none"/>
          </c:marker>
          <c:xVal>
            <c:numRef>
              <c:f>'Data Fuselage'!$AF$2478:$AF$2502</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xVal>
          <c:yVal>
            <c:numRef>
              <c:f>'Data Fuselage'!$AG$2478:$AG$2502</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yVal>
          <c:smooth val="0"/>
          <c:extLst>
            <c:ext xmlns:c16="http://schemas.microsoft.com/office/drawing/2014/chart" uri="{C3380CC4-5D6E-409C-BE32-E72D297353CC}">
              <c16:uniqueId val="{000000BD-819C-4C0B-B4D9-7F526BD4C7F7}"/>
            </c:ext>
          </c:extLst>
        </c:ser>
        <c:ser>
          <c:idx val="191"/>
          <c:order val="190"/>
          <c:tx>
            <c:strRef>
              <c:f>'Data Fuselage'!$AJ$2476</c:f>
              <c:strCache>
                <c:ptCount val="1"/>
                <c:pt idx="0">
                  <c:v>Nothing</c:v>
                </c:pt>
              </c:strCache>
            </c:strRef>
          </c:tx>
          <c:spPr>
            <a:ln w="25400">
              <a:solidFill>
                <a:srgbClr val="0000FF"/>
              </a:solidFill>
              <a:prstDash val="solid"/>
            </a:ln>
          </c:spPr>
          <c:marker>
            <c:symbol val="none"/>
          </c:marker>
          <c:xVal>
            <c:numRef>
              <c:f>'Data Fuselage'!$AJ$2478:$AJ$2490</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Fuselage'!$AK$2478:$AK$2490</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BE-819C-4C0B-B4D9-7F526BD4C7F7}"/>
            </c:ext>
          </c:extLst>
        </c:ser>
        <c:ser>
          <c:idx val="192"/>
          <c:order val="191"/>
          <c:tx>
            <c:strRef>
              <c:f>'Data Fuselage'!$AB$2512</c:f>
              <c:strCache>
                <c:ptCount val="1"/>
                <c:pt idx="0">
                  <c:v>Nothing</c:v>
                </c:pt>
              </c:strCache>
            </c:strRef>
          </c:tx>
          <c:spPr>
            <a:ln w="25400">
              <a:solidFill>
                <a:srgbClr val="0000FF"/>
              </a:solidFill>
              <a:prstDash val="solid"/>
            </a:ln>
          </c:spPr>
          <c:marker>
            <c:symbol val="none"/>
          </c:marker>
          <c:xVal>
            <c:numRef>
              <c:f>'Data Fuselage'!$AB$2514:$AB$2526</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Fuselage'!$AC$2514:$AC$2526</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BF-819C-4C0B-B4D9-7F526BD4C7F7}"/>
            </c:ext>
          </c:extLst>
        </c:ser>
        <c:ser>
          <c:idx val="193"/>
          <c:order val="192"/>
          <c:tx>
            <c:strRef>
              <c:f>'Data Fuselage'!$AF$2512</c:f>
              <c:strCache>
                <c:ptCount val="1"/>
                <c:pt idx="0">
                  <c:v>Nothing</c:v>
                </c:pt>
              </c:strCache>
            </c:strRef>
          </c:tx>
          <c:spPr>
            <a:ln w="25400">
              <a:solidFill>
                <a:srgbClr val="0000FF"/>
              </a:solidFill>
              <a:prstDash val="solid"/>
            </a:ln>
          </c:spPr>
          <c:marker>
            <c:symbol val="none"/>
          </c:marker>
          <c:xVal>
            <c:numRef>
              <c:f>'Data Fuselage'!$AF$2514:$AF$2538</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xVal>
          <c:yVal>
            <c:numRef>
              <c:f>'Data Fuselage'!$AG$2514:$AG$2538</c:f>
              <c:numCache>
                <c:formatCode>General</c:formatCode>
                <c:ptCount val="25"/>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yVal>
          <c:smooth val="0"/>
          <c:extLst>
            <c:ext xmlns:c16="http://schemas.microsoft.com/office/drawing/2014/chart" uri="{C3380CC4-5D6E-409C-BE32-E72D297353CC}">
              <c16:uniqueId val="{000000C0-819C-4C0B-B4D9-7F526BD4C7F7}"/>
            </c:ext>
          </c:extLst>
        </c:ser>
        <c:ser>
          <c:idx val="194"/>
          <c:order val="193"/>
          <c:tx>
            <c:strRef>
              <c:f>'Data Fuselage'!$AJ$2512</c:f>
              <c:strCache>
                <c:ptCount val="1"/>
                <c:pt idx="0">
                  <c:v>Nothing</c:v>
                </c:pt>
              </c:strCache>
            </c:strRef>
          </c:tx>
          <c:spPr>
            <a:ln w="25400">
              <a:solidFill>
                <a:srgbClr val="0000FF"/>
              </a:solidFill>
              <a:prstDash val="solid"/>
            </a:ln>
          </c:spPr>
          <c:marker>
            <c:symbol val="none"/>
          </c:marker>
          <c:xVal>
            <c:numRef>
              <c:f>'Data Fuselage'!$AJ$2514:$AJ$2526</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xVal>
          <c:yVal>
            <c:numRef>
              <c:f>'Data Fuselage'!$AK$2514:$AK$2526</c:f>
              <c:numCache>
                <c:formatCode>General</c:formatCode>
                <c:ptCount val="13"/>
                <c:pt idx="0">
                  <c:v>8888</c:v>
                </c:pt>
                <c:pt idx="1">
                  <c:v>8888</c:v>
                </c:pt>
                <c:pt idx="2">
                  <c:v>8888</c:v>
                </c:pt>
                <c:pt idx="3">
                  <c:v>8888</c:v>
                </c:pt>
                <c:pt idx="4">
                  <c:v>8888</c:v>
                </c:pt>
                <c:pt idx="5">
                  <c:v>8888</c:v>
                </c:pt>
                <c:pt idx="6">
                  <c:v>8888</c:v>
                </c:pt>
                <c:pt idx="7">
                  <c:v>8888</c:v>
                </c:pt>
                <c:pt idx="8">
                  <c:v>8888</c:v>
                </c:pt>
                <c:pt idx="9">
                  <c:v>8888</c:v>
                </c:pt>
                <c:pt idx="10">
                  <c:v>8888</c:v>
                </c:pt>
                <c:pt idx="11">
                  <c:v>8888</c:v>
                </c:pt>
                <c:pt idx="12">
                  <c:v>8888</c:v>
                </c:pt>
              </c:numCache>
            </c:numRef>
          </c:yVal>
          <c:smooth val="0"/>
          <c:extLst>
            <c:ext xmlns:c16="http://schemas.microsoft.com/office/drawing/2014/chart" uri="{C3380CC4-5D6E-409C-BE32-E72D297353CC}">
              <c16:uniqueId val="{000000C1-819C-4C0B-B4D9-7F526BD4C7F7}"/>
            </c:ext>
          </c:extLst>
        </c:ser>
        <c:ser>
          <c:idx val="195"/>
          <c:order val="194"/>
          <c:tx>
            <c:strRef>
              <c:f>'Data Fuselage'!$AX$207</c:f>
              <c:strCache>
                <c:ptCount val="1"/>
                <c:pt idx="0">
                  <c:v>Fuselage</c:v>
                </c:pt>
              </c:strCache>
            </c:strRef>
          </c:tx>
          <c:spPr>
            <a:ln w="12700">
              <a:solidFill>
                <a:srgbClr val="000000"/>
              </a:solidFill>
              <a:prstDash val="solid"/>
            </a:ln>
          </c:spPr>
          <c:marker>
            <c:symbol val="none"/>
          </c:marker>
          <c:xVal>
            <c:numRef>
              <c:f>'Data Fuselage'!$AX$210:$AX$535</c:f>
              <c:numCache>
                <c:formatCode>General</c:formatCode>
                <c:ptCount val="326"/>
                <c:pt idx="0">
                  <c:v>0</c:v>
                </c:pt>
                <c:pt idx="1">
                  <c:v>0</c:v>
                </c:pt>
                <c:pt idx="2">
                  <c:v>0</c:v>
                </c:pt>
                <c:pt idx="3">
                  <c:v>0</c:v>
                </c:pt>
                <c:pt idx="4">
                  <c:v>0</c:v>
                </c:pt>
                <c:pt idx="5">
                  <c:v>-1</c:v>
                </c:pt>
                <c:pt idx="6">
                  <c:v>-1.27</c:v>
                </c:pt>
                <c:pt idx="7">
                  <c:v>-1.27</c:v>
                </c:pt>
                <c:pt idx="8">
                  <c:v>-2.032</c:v>
                </c:pt>
                <c:pt idx="9">
                  <c:v>-2.032</c:v>
                </c:pt>
                <c:pt idx="10">
                  <c:v>-2.762</c:v>
                </c:pt>
                <c:pt idx="11">
                  <c:v>-3.032</c:v>
                </c:pt>
                <c:pt idx="12">
                  <c:v>-3.032</c:v>
                </c:pt>
                <c:pt idx="13">
                  <c:v>-3.032</c:v>
                </c:pt>
                <c:pt idx="14">
                  <c:v>-3.032</c:v>
                </c:pt>
                <c:pt idx="15">
                  <c:v>-3.762</c:v>
                </c:pt>
                <c:pt idx="16">
                  <c:v>-3.9470000000000001</c:v>
                </c:pt>
                <c:pt idx="17">
                  <c:v>-3.9470000000000001</c:v>
                </c:pt>
                <c:pt idx="18">
                  <c:v>-3.9470000000000001</c:v>
                </c:pt>
                <c:pt idx="19">
                  <c:v>-3.9470000000000001</c:v>
                </c:pt>
                <c:pt idx="20">
                  <c:v>-4.5620000000000003</c:v>
                </c:pt>
                <c:pt idx="21">
                  <c:v>-4.7469999999999999</c:v>
                </c:pt>
                <c:pt idx="22">
                  <c:v>-4.7469999999999999</c:v>
                </c:pt>
                <c:pt idx="23">
                  <c:v>-4.7469999999999999</c:v>
                </c:pt>
                <c:pt idx="24">
                  <c:v>-4.7469999999999999</c:v>
                </c:pt>
                <c:pt idx="25">
                  <c:v>-5.3620000000000001</c:v>
                </c:pt>
                <c:pt idx="26">
                  <c:v>-5.5469999999999997</c:v>
                </c:pt>
                <c:pt idx="27">
                  <c:v>-5.5469999999999997</c:v>
                </c:pt>
                <c:pt idx="28">
                  <c:v>-5.5469999999999997</c:v>
                </c:pt>
                <c:pt idx="29">
                  <c:v>-5.5469999999999997</c:v>
                </c:pt>
                <c:pt idx="30">
                  <c:v>-6.1619999999999999</c:v>
                </c:pt>
                <c:pt idx="31">
                  <c:v>-6.3469999999999995</c:v>
                </c:pt>
                <c:pt idx="32">
                  <c:v>-6.3469999999999995</c:v>
                </c:pt>
                <c:pt idx="33">
                  <c:v>-6.3469999999999995</c:v>
                </c:pt>
                <c:pt idx="34">
                  <c:v>-6.3469999999999995</c:v>
                </c:pt>
                <c:pt idx="35">
                  <c:v>-6.9619999999999997</c:v>
                </c:pt>
                <c:pt idx="36">
                  <c:v>-7.1469999999999994</c:v>
                </c:pt>
                <c:pt idx="37">
                  <c:v>-7.1469999999999994</c:v>
                </c:pt>
                <c:pt idx="38">
                  <c:v>-7.1469999999999994</c:v>
                </c:pt>
                <c:pt idx="39">
                  <c:v>-7.1469999999999994</c:v>
                </c:pt>
                <c:pt idx="40">
                  <c:v>-7.7619999999999996</c:v>
                </c:pt>
                <c:pt idx="41">
                  <c:v>-7.9469999999999992</c:v>
                </c:pt>
                <c:pt idx="42">
                  <c:v>-7.9469999999999992</c:v>
                </c:pt>
                <c:pt idx="43">
                  <c:v>-7.9469999999999992</c:v>
                </c:pt>
                <c:pt idx="44">
                  <c:v>-7.9469999999999992</c:v>
                </c:pt>
                <c:pt idx="45">
                  <c:v>-8.5619999999999994</c:v>
                </c:pt>
                <c:pt idx="46">
                  <c:v>-8.7469999999999999</c:v>
                </c:pt>
                <c:pt idx="47">
                  <c:v>-8.7469999999999999</c:v>
                </c:pt>
                <c:pt idx="48">
                  <c:v>-8.7469999999999999</c:v>
                </c:pt>
                <c:pt idx="49">
                  <c:v>-8.7469999999999999</c:v>
                </c:pt>
                <c:pt idx="50">
                  <c:v>-9.3620000000000001</c:v>
                </c:pt>
                <c:pt idx="51">
                  <c:v>-9.5470000000000006</c:v>
                </c:pt>
                <c:pt idx="52">
                  <c:v>-9.5470000000000006</c:v>
                </c:pt>
                <c:pt idx="53">
                  <c:v>-9.5470000000000006</c:v>
                </c:pt>
                <c:pt idx="54">
                  <c:v>-9.5470000000000006</c:v>
                </c:pt>
                <c:pt idx="55">
                  <c:v>-10.162000000000001</c:v>
                </c:pt>
                <c:pt idx="56">
                  <c:v>-10.347000000000001</c:v>
                </c:pt>
                <c:pt idx="57">
                  <c:v>-10.347000000000001</c:v>
                </c:pt>
                <c:pt idx="58">
                  <c:v>-10.347000000000001</c:v>
                </c:pt>
                <c:pt idx="59">
                  <c:v>-10.347000000000001</c:v>
                </c:pt>
                <c:pt idx="60">
                  <c:v>-10.962000000000002</c:v>
                </c:pt>
                <c:pt idx="61">
                  <c:v>-10.962000000000002</c:v>
                </c:pt>
                <c:pt idx="62">
                  <c:v>-10.962000000000002</c:v>
                </c:pt>
                <c:pt idx="63">
                  <c:v>-11.470000000000002</c:v>
                </c:pt>
                <c:pt idx="64">
                  <c:v>-11.470000000000002</c:v>
                </c:pt>
                <c:pt idx="65">
                  <c:v>-11.762000000000002</c:v>
                </c:pt>
                <c:pt idx="66">
                  <c:v>-11.947000000000003</c:v>
                </c:pt>
                <c:pt idx="67">
                  <c:v>-11.947000000000003</c:v>
                </c:pt>
                <c:pt idx="68">
                  <c:v>-11.947000000000003</c:v>
                </c:pt>
                <c:pt idx="69">
                  <c:v>-11.947000000000003</c:v>
                </c:pt>
                <c:pt idx="70">
                  <c:v>-12.562000000000003</c:v>
                </c:pt>
                <c:pt idx="71">
                  <c:v>-12.747000000000003</c:v>
                </c:pt>
                <c:pt idx="72">
                  <c:v>-12.747000000000003</c:v>
                </c:pt>
                <c:pt idx="73">
                  <c:v>-12.747000000000003</c:v>
                </c:pt>
                <c:pt idx="74">
                  <c:v>-12.747000000000003</c:v>
                </c:pt>
                <c:pt idx="75">
                  <c:v>-13.362000000000004</c:v>
                </c:pt>
                <c:pt idx="76">
                  <c:v>-13.362000000000004</c:v>
                </c:pt>
                <c:pt idx="77">
                  <c:v>-13.362000000000004</c:v>
                </c:pt>
                <c:pt idx="78">
                  <c:v>-13.870000000000005</c:v>
                </c:pt>
                <c:pt idx="79">
                  <c:v>-13.870000000000005</c:v>
                </c:pt>
                <c:pt idx="80">
                  <c:v>-14.162000000000004</c:v>
                </c:pt>
                <c:pt idx="81">
                  <c:v>-14.347000000000005</c:v>
                </c:pt>
                <c:pt idx="82">
                  <c:v>-14.347000000000005</c:v>
                </c:pt>
                <c:pt idx="83">
                  <c:v>-14.347000000000005</c:v>
                </c:pt>
                <c:pt idx="84">
                  <c:v>-14.347000000000005</c:v>
                </c:pt>
                <c:pt idx="85">
                  <c:v>-14.962000000000005</c:v>
                </c:pt>
                <c:pt idx="86">
                  <c:v>-15.147000000000006</c:v>
                </c:pt>
                <c:pt idx="87">
                  <c:v>-15.147000000000006</c:v>
                </c:pt>
                <c:pt idx="88">
                  <c:v>-15.147000000000006</c:v>
                </c:pt>
                <c:pt idx="89">
                  <c:v>-15.147000000000006</c:v>
                </c:pt>
                <c:pt idx="90">
                  <c:v>-15.762000000000006</c:v>
                </c:pt>
                <c:pt idx="91">
                  <c:v>-15.947000000000006</c:v>
                </c:pt>
                <c:pt idx="92">
                  <c:v>-15.947000000000006</c:v>
                </c:pt>
                <c:pt idx="93">
                  <c:v>-15.947000000000006</c:v>
                </c:pt>
                <c:pt idx="94">
                  <c:v>-15.947000000000006</c:v>
                </c:pt>
                <c:pt idx="95">
                  <c:v>-16.562000000000005</c:v>
                </c:pt>
                <c:pt idx="96">
                  <c:v>-16.562000000000005</c:v>
                </c:pt>
                <c:pt idx="97">
                  <c:v>-16.562000000000005</c:v>
                </c:pt>
                <c:pt idx="98">
                  <c:v>-16.562000000000005</c:v>
                </c:pt>
                <c:pt idx="99">
                  <c:v>-16.562000000000005</c:v>
                </c:pt>
                <c:pt idx="100">
                  <c:v>-16.562000000000005</c:v>
                </c:pt>
                <c:pt idx="101">
                  <c:v>-16.562000000000005</c:v>
                </c:pt>
                <c:pt idx="102">
                  <c:v>-16.562000000000005</c:v>
                </c:pt>
                <c:pt idx="103">
                  <c:v>-16.562000000000005</c:v>
                </c:pt>
                <c:pt idx="104">
                  <c:v>-16.562000000000005</c:v>
                </c:pt>
                <c:pt idx="105">
                  <c:v>-16.562000000000005</c:v>
                </c:pt>
                <c:pt idx="106">
                  <c:v>-16.562000000000005</c:v>
                </c:pt>
                <c:pt idx="107">
                  <c:v>-16.562000000000005</c:v>
                </c:pt>
                <c:pt idx="108">
                  <c:v>-16.562000000000005</c:v>
                </c:pt>
                <c:pt idx="109">
                  <c:v>-16.562000000000005</c:v>
                </c:pt>
                <c:pt idx="110">
                  <c:v>-16.562000000000005</c:v>
                </c:pt>
                <c:pt idx="111">
                  <c:v>-16.562000000000005</c:v>
                </c:pt>
                <c:pt idx="112">
                  <c:v>-16.562000000000005</c:v>
                </c:pt>
                <c:pt idx="113">
                  <c:v>-16.562000000000005</c:v>
                </c:pt>
                <c:pt idx="114">
                  <c:v>-16.562000000000005</c:v>
                </c:pt>
                <c:pt idx="115">
                  <c:v>-16.562000000000005</c:v>
                </c:pt>
                <c:pt idx="116">
                  <c:v>-16.562000000000005</c:v>
                </c:pt>
                <c:pt idx="117">
                  <c:v>-16.562000000000005</c:v>
                </c:pt>
                <c:pt idx="118">
                  <c:v>-16.562000000000005</c:v>
                </c:pt>
                <c:pt idx="119">
                  <c:v>-16.562000000000005</c:v>
                </c:pt>
                <c:pt idx="120">
                  <c:v>-16.562000000000005</c:v>
                </c:pt>
                <c:pt idx="121">
                  <c:v>-16.562000000000005</c:v>
                </c:pt>
                <c:pt idx="122">
                  <c:v>-16.562000000000005</c:v>
                </c:pt>
                <c:pt idx="123">
                  <c:v>-16.562000000000005</c:v>
                </c:pt>
                <c:pt idx="124">
                  <c:v>-16.562000000000005</c:v>
                </c:pt>
                <c:pt idx="125">
                  <c:v>-16.562000000000005</c:v>
                </c:pt>
                <c:pt idx="126">
                  <c:v>-16.562000000000005</c:v>
                </c:pt>
                <c:pt idx="127">
                  <c:v>-16.562000000000005</c:v>
                </c:pt>
                <c:pt idx="128">
                  <c:v>-16.562000000000005</c:v>
                </c:pt>
                <c:pt idx="129">
                  <c:v>-16.562000000000005</c:v>
                </c:pt>
                <c:pt idx="130">
                  <c:v>-16.562000000000005</c:v>
                </c:pt>
                <c:pt idx="131">
                  <c:v>-16.562000000000005</c:v>
                </c:pt>
                <c:pt idx="132">
                  <c:v>-16.562000000000005</c:v>
                </c:pt>
                <c:pt idx="133">
                  <c:v>-16.562000000000005</c:v>
                </c:pt>
                <c:pt idx="134">
                  <c:v>-16.562000000000005</c:v>
                </c:pt>
                <c:pt idx="135">
                  <c:v>-16.562000000000005</c:v>
                </c:pt>
                <c:pt idx="136">
                  <c:v>-16.562000000000005</c:v>
                </c:pt>
                <c:pt idx="137">
                  <c:v>-16.562000000000005</c:v>
                </c:pt>
                <c:pt idx="138">
                  <c:v>-16.562000000000005</c:v>
                </c:pt>
                <c:pt idx="139">
                  <c:v>-16.562000000000005</c:v>
                </c:pt>
                <c:pt idx="140">
                  <c:v>-16.562000000000005</c:v>
                </c:pt>
                <c:pt idx="141">
                  <c:v>-16.562000000000005</c:v>
                </c:pt>
                <c:pt idx="142">
                  <c:v>-16.562000000000005</c:v>
                </c:pt>
                <c:pt idx="143">
                  <c:v>-16.562000000000005</c:v>
                </c:pt>
                <c:pt idx="144">
                  <c:v>-16.562000000000005</c:v>
                </c:pt>
                <c:pt idx="145">
                  <c:v>-16.562000000000005</c:v>
                </c:pt>
                <c:pt idx="146">
                  <c:v>-16.562000000000005</c:v>
                </c:pt>
                <c:pt idx="147">
                  <c:v>-16.562000000000005</c:v>
                </c:pt>
                <c:pt idx="148">
                  <c:v>-16.562000000000005</c:v>
                </c:pt>
                <c:pt idx="149">
                  <c:v>-16.562000000000005</c:v>
                </c:pt>
                <c:pt idx="150">
                  <c:v>-16.562000000000005</c:v>
                </c:pt>
                <c:pt idx="151">
                  <c:v>-16.562000000000005</c:v>
                </c:pt>
                <c:pt idx="152">
                  <c:v>-16.562000000000005</c:v>
                </c:pt>
                <c:pt idx="153">
                  <c:v>-16.562000000000005</c:v>
                </c:pt>
                <c:pt idx="154">
                  <c:v>-16.562000000000005</c:v>
                </c:pt>
                <c:pt idx="155">
                  <c:v>-16.562000000000005</c:v>
                </c:pt>
                <c:pt idx="156">
                  <c:v>-16.562000000000005</c:v>
                </c:pt>
                <c:pt idx="157">
                  <c:v>-16.562000000000005</c:v>
                </c:pt>
                <c:pt idx="158">
                  <c:v>-16.562000000000005</c:v>
                </c:pt>
                <c:pt idx="159">
                  <c:v>-16.562000000000005</c:v>
                </c:pt>
                <c:pt idx="160">
                  <c:v>-16.562000000000005</c:v>
                </c:pt>
                <c:pt idx="161">
                  <c:v>-16.562000000000005</c:v>
                </c:pt>
                <c:pt idx="162">
                  <c:v>-16.562000000000005</c:v>
                </c:pt>
                <c:pt idx="163">
                  <c:v>-16.562000000000005</c:v>
                </c:pt>
                <c:pt idx="164">
                  <c:v>-16.562000000000005</c:v>
                </c:pt>
                <c:pt idx="165">
                  <c:v>-16.562000000000005</c:v>
                </c:pt>
                <c:pt idx="166">
                  <c:v>-16.712000000000003</c:v>
                </c:pt>
                <c:pt idx="167">
                  <c:v>-16.712000000000003</c:v>
                </c:pt>
                <c:pt idx="168">
                  <c:v>-17.474000000000004</c:v>
                </c:pt>
                <c:pt idx="169">
                  <c:v>-17.474000000000004</c:v>
                </c:pt>
                <c:pt idx="170">
                  <c:v>-18.624000000000006</c:v>
                </c:pt>
                <c:pt idx="171">
                  <c:v>-18.624000000000006</c:v>
                </c:pt>
                <c:pt idx="172">
                  <c:v>-18.624000000000006</c:v>
                </c:pt>
                <c:pt idx="173">
                  <c:v>-18.624000000000006</c:v>
                </c:pt>
                <c:pt idx="174">
                  <c:v>-18.624000000000006</c:v>
                </c:pt>
                <c:pt idx="175">
                  <c:v>-18.624000000000006</c:v>
                </c:pt>
                <c:pt idx="176">
                  <c:v>-18.624000000000006</c:v>
                </c:pt>
                <c:pt idx="177">
                  <c:v>-18.624000000000006</c:v>
                </c:pt>
                <c:pt idx="178">
                  <c:v>-18.624000000000006</c:v>
                </c:pt>
                <c:pt idx="179">
                  <c:v>-18.624000000000006</c:v>
                </c:pt>
                <c:pt idx="180">
                  <c:v>-18.624000000000006</c:v>
                </c:pt>
                <c:pt idx="181">
                  <c:v>-18.624000000000006</c:v>
                </c:pt>
                <c:pt idx="182">
                  <c:v>-18.624000000000006</c:v>
                </c:pt>
                <c:pt idx="183">
                  <c:v>-18.624000000000006</c:v>
                </c:pt>
                <c:pt idx="184">
                  <c:v>-18.624000000000006</c:v>
                </c:pt>
                <c:pt idx="185">
                  <c:v>-18.624000000000006</c:v>
                </c:pt>
                <c:pt idx="186">
                  <c:v>-18.624000000000006</c:v>
                </c:pt>
                <c:pt idx="187">
                  <c:v>-18.624000000000006</c:v>
                </c:pt>
                <c:pt idx="188">
                  <c:v>-18.624000000000006</c:v>
                </c:pt>
                <c:pt idx="189">
                  <c:v>-18.624000000000006</c:v>
                </c:pt>
                <c:pt idx="190">
                  <c:v>-18.624000000000006</c:v>
                </c:pt>
                <c:pt idx="191">
                  <c:v>-18.624000000000006</c:v>
                </c:pt>
                <c:pt idx="192">
                  <c:v>-18.624000000000006</c:v>
                </c:pt>
                <c:pt idx="193">
                  <c:v>-18.624000000000006</c:v>
                </c:pt>
                <c:pt idx="194">
                  <c:v>-18.624000000000006</c:v>
                </c:pt>
                <c:pt idx="195">
                  <c:v>-18.624000000000006</c:v>
                </c:pt>
                <c:pt idx="196">
                  <c:v>-18.624000000000006</c:v>
                </c:pt>
                <c:pt idx="197">
                  <c:v>-18.624000000000006</c:v>
                </c:pt>
                <c:pt idx="198">
                  <c:v>-18.624000000000006</c:v>
                </c:pt>
                <c:pt idx="199">
                  <c:v>-18.624000000000006</c:v>
                </c:pt>
                <c:pt idx="200">
                  <c:v>-18.624000000000006</c:v>
                </c:pt>
                <c:pt idx="201">
                  <c:v>-18.624000000000006</c:v>
                </c:pt>
                <c:pt idx="202">
                  <c:v>-18.624000000000006</c:v>
                </c:pt>
                <c:pt idx="203">
                  <c:v>-18.624000000000006</c:v>
                </c:pt>
                <c:pt idx="204">
                  <c:v>-18.624000000000006</c:v>
                </c:pt>
                <c:pt idx="205">
                  <c:v>-18.624000000000006</c:v>
                </c:pt>
                <c:pt idx="206">
                  <c:v>-18.624000000000006</c:v>
                </c:pt>
                <c:pt idx="207">
                  <c:v>-18.624000000000006</c:v>
                </c:pt>
                <c:pt idx="208">
                  <c:v>-18.624000000000006</c:v>
                </c:pt>
                <c:pt idx="209">
                  <c:v>-18.624000000000006</c:v>
                </c:pt>
                <c:pt idx="210">
                  <c:v>-18.624000000000006</c:v>
                </c:pt>
                <c:pt idx="211">
                  <c:v>-18.624000000000006</c:v>
                </c:pt>
                <c:pt idx="212">
                  <c:v>-18.624000000000006</c:v>
                </c:pt>
                <c:pt idx="213">
                  <c:v>-18.624000000000006</c:v>
                </c:pt>
                <c:pt idx="214">
                  <c:v>-18.624000000000006</c:v>
                </c:pt>
                <c:pt idx="215">
                  <c:v>-18.624000000000006</c:v>
                </c:pt>
                <c:pt idx="216">
                  <c:v>-18.624000000000006</c:v>
                </c:pt>
                <c:pt idx="217">
                  <c:v>-18.624000000000006</c:v>
                </c:pt>
                <c:pt idx="218">
                  <c:v>-18.624000000000006</c:v>
                </c:pt>
                <c:pt idx="219">
                  <c:v>-18.624000000000006</c:v>
                </c:pt>
                <c:pt idx="220">
                  <c:v>-18.624000000000006</c:v>
                </c:pt>
                <c:pt idx="221">
                  <c:v>-18.624000000000006</c:v>
                </c:pt>
                <c:pt idx="222">
                  <c:v>-18.624000000000006</c:v>
                </c:pt>
                <c:pt idx="223">
                  <c:v>-18.624000000000006</c:v>
                </c:pt>
                <c:pt idx="224">
                  <c:v>-18.624000000000006</c:v>
                </c:pt>
                <c:pt idx="225">
                  <c:v>-18.624000000000006</c:v>
                </c:pt>
                <c:pt idx="226">
                  <c:v>-18.624000000000006</c:v>
                </c:pt>
                <c:pt idx="227">
                  <c:v>-18.624000000000006</c:v>
                </c:pt>
                <c:pt idx="228">
                  <c:v>-18.624000000000006</c:v>
                </c:pt>
                <c:pt idx="229">
                  <c:v>-18.624000000000006</c:v>
                </c:pt>
                <c:pt idx="230">
                  <c:v>-18.624000000000006</c:v>
                </c:pt>
                <c:pt idx="231">
                  <c:v>-18.624000000000006</c:v>
                </c:pt>
                <c:pt idx="232">
                  <c:v>-18.624000000000006</c:v>
                </c:pt>
                <c:pt idx="233">
                  <c:v>-18.624000000000006</c:v>
                </c:pt>
                <c:pt idx="234">
                  <c:v>-18.624000000000006</c:v>
                </c:pt>
                <c:pt idx="235">
                  <c:v>-18.624000000000006</c:v>
                </c:pt>
                <c:pt idx="236">
                  <c:v>-18.624000000000006</c:v>
                </c:pt>
                <c:pt idx="237">
                  <c:v>-18.624000000000006</c:v>
                </c:pt>
                <c:pt idx="238">
                  <c:v>-18.624000000000006</c:v>
                </c:pt>
                <c:pt idx="239">
                  <c:v>-18.624000000000006</c:v>
                </c:pt>
                <c:pt idx="240">
                  <c:v>-18.624000000000006</c:v>
                </c:pt>
                <c:pt idx="241">
                  <c:v>-18.624000000000006</c:v>
                </c:pt>
                <c:pt idx="242">
                  <c:v>-18.624000000000006</c:v>
                </c:pt>
                <c:pt idx="243">
                  <c:v>-18.624000000000006</c:v>
                </c:pt>
                <c:pt idx="244">
                  <c:v>-18.624000000000006</c:v>
                </c:pt>
                <c:pt idx="245">
                  <c:v>-18.624000000000006</c:v>
                </c:pt>
                <c:pt idx="246">
                  <c:v>-18.624000000000006</c:v>
                </c:pt>
                <c:pt idx="247">
                  <c:v>-18.624000000000006</c:v>
                </c:pt>
                <c:pt idx="248">
                  <c:v>-18.624000000000006</c:v>
                </c:pt>
                <c:pt idx="249">
                  <c:v>-18.624000000000006</c:v>
                </c:pt>
                <c:pt idx="250">
                  <c:v>-18.624000000000006</c:v>
                </c:pt>
                <c:pt idx="251">
                  <c:v>-18.624000000000006</c:v>
                </c:pt>
                <c:pt idx="252">
                  <c:v>-18.624000000000006</c:v>
                </c:pt>
                <c:pt idx="253">
                  <c:v>-18.624000000000006</c:v>
                </c:pt>
                <c:pt idx="254">
                  <c:v>-18.624000000000006</c:v>
                </c:pt>
                <c:pt idx="255">
                  <c:v>-18.624000000000006</c:v>
                </c:pt>
                <c:pt idx="256">
                  <c:v>-18.624000000000006</c:v>
                </c:pt>
                <c:pt idx="257">
                  <c:v>-18.624000000000006</c:v>
                </c:pt>
                <c:pt idx="258">
                  <c:v>-18.624000000000006</c:v>
                </c:pt>
                <c:pt idx="259">
                  <c:v>-18.624000000000006</c:v>
                </c:pt>
                <c:pt idx="260">
                  <c:v>-18.624000000000006</c:v>
                </c:pt>
                <c:pt idx="261">
                  <c:v>-18.624000000000006</c:v>
                </c:pt>
                <c:pt idx="262">
                  <c:v>-18.624000000000006</c:v>
                </c:pt>
                <c:pt idx="263">
                  <c:v>-18.624000000000006</c:v>
                </c:pt>
                <c:pt idx="264">
                  <c:v>-18.624000000000006</c:v>
                </c:pt>
                <c:pt idx="265">
                  <c:v>-18.624000000000006</c:v>
                </c:pt>
                <c:pt idx="266">
                  <c:v>-18.624000000000006</c:v>
                </c:pt>
                <c:pt idx="267">
                  <c:v>-18.624000000000006</c:v>
                </c:pt>
                <c:pt idx="268">
                  <c:v>-18.624000000000006</c:v>
                </c:pt>
                <c:pt idx="269">
                  <c:v>-18.624000000000006</c:v>
                </c:pt>
                <c:pt idx="270">
                  <c:v>-18.624000000000006</c:v>
                </c:pt>
                <c:pt idx="271">
                  <c:v>-18.624000000000006</c:v>
                </c:pt>
                <c:pt idx="272">
                  <c:v>-18.624000000000006</c:v>
                </c:pt>
                <c:pt idx="273">
                  <c:v>-18.624000000000006</c:v>
                </c:pt>
                <c:pt idx="274">
                  <c:v>-18.624000000000006</c:v>
                </c:pt>
                <c:pt idx="275">
                  <c:v>-18.624000000000006</c:v>
                </c:pt>
                <c:pt idx="276">
                  <c:v>-18.624000000000006</c:v>
                </c:pt>
                <c:pt idx="277">
                  <c:v>-18.624000000000006</c:v>
                </c:pt>
                <c:pt idx="278">
                  <c:v>-18.624000000000006</c:v>
                </c:pt>
                <c:pt idx="279">
                  <c:v>-18.624000000000006</c:v>
                </c:pt>
                <c:pt idx="280">
                  <c:v>-18.624000000000006</c:v>
                </c:pt>
                <c:pt idx="281">
                  <c:v>-18.624000000000006</c:v>
                </c:pt>
                <c:pt idx="282">
                  <c:v>-18.624000000000006</c:v>
                </c:pt>
                <c:pt idx="283">
                  <c:v>-18.624000000000006</c:v>
                </c:pt>
                <c:pt idx="284">
                  <c:v>-18.624000000000006</c:v>
                </c:pt>
                <c:pt idx="285">
                  <c:v>-18.624000000000006</c:v>
                </c:pt>
                <c:pt idx="286">
                  <c:v>-18.624000000000006</c:v>
                </c:pt>
                <c:pt idx="287">
                  <c:v>-18.624000000000006</c:v>
                </c:pt>
                <c:pt idx="288">
                  <c:v>-18.624000000000006</c:v>
                </c:pt>
                <c:pt idx="289">
                  <c:v>-18.624000000000006</c:v>
                </c:pt>
                <c:pt idx="290">
                  <c:v>-18.624000000000006</c:v>
                </c:pt>
                <c:pt idx="291">
                  <c:v>-18.624000000000006</c:v>
                </c:pt>
                <c:pt idx="292">
                  <c:v>-18.624000000000006</c:v>
                </c:pt>
                <c:pt idx="293">
                  <c:v>-18.624000000000006</c:v>
                </c:pt>
                <c:pt idx="294">
                  <c:v>-18.624000000000006</c:v>
                </c:pt>
                <c:pt idx="295">
                  <c:v>-18.624000000000006</c:v>
                </c:pt>
                <c:pt idx="296">
                  <c:v>-18.624000000000006</c:v>
                </c:pt>
                <c:pt idx="297">
                  <c:v>-18.624000000000006</c:v>
                </c:pt>
                <c:pt idx="298">
                  <c:v>-18.624000000000006</c:v>
                </c:pt>
                <c:pt idx="299">
                  <c:v>-18.624000000000006</c:v>
                </c:pt>
                <c:pt idx="300">
                  <c:v>-18.624000000000006</c:v>
                </c:pt>
                <c:pt idx="301">
                  <c:v>-18.624000000000006</c:v>
                </c:pt>
                <c:pt idx="302">
                  <c:v>-18.624000000000006</c:v>
                </c:pt>
                <c:pt idx="303">
                  <c:v>-18.624000000000006</c:v>
                </c:pt>
                <c:pt idx="304">
                  <c:v>-18.624000000000006</c:v>
                </c:pt>
                <c:pt idx="305">
                  <c:v>-18.624000000000006</c:v>
                </c:pt>
                <c:pt idx="306">
                  <c:v>-18.624000000000006</c:v>
                </c:pt>
                <c:pt idx="307">
                  <c:v>-18.624000000000006</c:v>
                </c:pt>
                <c:pt idx="308">
                  <c:v>-18.624000000000006</c:v>
                </c:pt>
                <c:pt idx="309">
                  <c:v>-18.624000000000006</c:v>
                </c:pt>
                <c:pt idx="310">
                  <c:v>-18.624000000000006</c:v>
                </c:pt>
                <c:pt idx="311">
                  <c:v>-18.624000000000006</c:v>
                </c:pt>
                <c:pt idx="312">
                  <c:v>-18.624000000000006</c:v>
                </c:pt>
                <c:pt idx="313">
                  <c:v>-18.624000000000006</c:v>
                </c:pt>
                <c:pt idx="314">
                  <c:v>-18.624000000000006</c:v>
                </c:pt>
                <c:pt idx="315">
                  <c:v>-18.624000000000006</c:v>
                </c:pt>
                <c:pt idx="316">
                  <c:v>-18.624000000000006</c:v>
                </c:pt>
                <c:pt idx="317">
                  <c:v>-18.624000000000006</c:v>
                </c:pt>
                <c:pt idx="318">
                  <c:v>-18.624000000000006</c:v>
                </c:pt>
                <c:pt idx="319">
                  <c:v>-18.624000000000006</c:v>
                </c:pt>
                <c:pt idx="320">
                  <c:v>-18.624000000000006</c:v>
                </c:pt>
                <c:pt idx="321">
                  <c:v>-18.624000000000006</c:v>
                </c:pt>
                <c:pt idx="322">
                  <c:v>-18.624000000000006</c:v>
                </c:pt>
                <c:pt idx="323">
                  <c:v>-18.624000000000006</c:v>
                </c:pt>
                <c:pt idx="324">
                  <c:v>-18.624000000000006</c:v>
                </c:pt>
                <c:pt idx="325">
                  <c:v>-18.624000000000006</c:v>
                </c:pt>
              </c:numCache>
            </c:numRef>
          </c:xVal>
          <c:yVal>
            <c:numRef>
              <c:f>'Data Fuselage'!$AY$210:$AY$535</c:f>
              <c:numCache>
                <c:formatCode>General</c:formatCode>
                <c:ptCount val="326"/>
                <c:pt idx="0">
                  <c:v>1.4960570012328709</c:v>
                </c:pt>
                <c:pt idx="1">
                  <c:v>1.4960570012328709</c:v>
                </c:pt>
                <c:pt idx="2">
                  <c:v>1.4960570012328709</c:v>
                </c:pt>
                <c:pt idx="3">
                  <c:v>1.4960570012328709</c:v>
                </c:pt>
                <c:pt idx="4">
                  <c:v>1.4960570012328709</c:v>
                </c:pt>
                <c:pt idx="5">
                  <c:v>1.4960570012328709</c:v>
                </c:pt>
                <c:pt idx="6">
                  <c:v>1.4960570012328709</c:v>
                </c:pt>
                <c:pt idx="7">
                  <c:v>1.6053795662883501</c:v>
                </c:pt>
                <c:pt idx="8">
                  <c:v>1.6053795662883501</c:v>
                </c:pt>
                <c:pt idx="9">
                  <c:v>1.4960570012328709</c:v>
                </c:pt>
                <c:pt idx="10">
                  <c:v>1.4960570012328709</c:v>
                </c:pt>
                <c:pt idx="11">
                  <c:v>1.4960570012328709</c:v>
                </c:pt>
                <c:pt idx="12">
                  <c:v>1.4960570012328709</c:v>
                </c:pt>
                <c:pt idx="13">
                  <c:v>1.4960570012328709</c:v>
                </c:pt>
                <c:pt idx="14">
                  <c:v>1.4960570012328709</c:v>
                </c:pt>
                <c:pt idx="15">
                  <c:v>1.4960570012328709</c:v>
                </c:pt>
                <c:pt idx="16">
                  <c:v>1.4960570012328709</c:v>
                </c:pt>
                <c:pt idx="17">
                  <c:v>1.4960570012328709</c:v>
                </c:pt>
                <c:pt idx="18">
                  <c:v>1.4960570012328709</c:v>
                </c:pt>
                <c:pt idx="19">
                  <c:v>1.4960570012328709</c:v>
                </c:pt>
                <c:pt idx="20">
                  <c:v>1.4960570012328709</c:v>
                </c:pt>
                <c:pt idx="21">
                  <c:v>1.4960570012328709</c:v>
                </c:pt>
                <c:pt idx="22">
                  <c:v>1.4960570012328709</c:v>
                </c:pt>
                <c:pt idx="23">
                  <c:v>1.4960570012328709</c:v>
                </c:pt>
                <c:pt idx="24">
                  <c:v>1.4960570012328709</c:v>
                </c:pt>
                <c:pt idx="25">
                  <c:v>1.4960570012328709</c:v>
                </c:pt>
                <c:pt idx="26">
                  <c:v>1.4960570012328709</c:v>
                </c:pt>
                <c:pt idx="27">
                  <c:v>1.4960570012328709</c:v>
                </c:pt>
                <c:pt idx="28">
                  <c:v>1.4960570012328709</c:v>
                </c:pt>
                <c:pt idx="29">
                  <c:v>1.4960570012328709</c:v>
                </c:pt>
                <c:pt idx="30">
                  <c:v>1.4960570012328709</c:v>
                </c:pt>
                <c:pt idx="31">
                  <c:v>1.4960570012328709</c:v>
                </c:pt>
                <c:pt idx="32">
                  <c:v>1.4960570012328709</c:v>
                </c:pt>
                <c:pt idx="33">
                  <c:v>1.4960570012328709</c:v>
                </c:pt>
                <c:pt idx="34">
                  <c:v>1.4960570012328709</c:v>
                </c:pt>
                <c:pt idx="35">
                  <c:v>1.4960570012328709</c:v>
                </c:pt>
                <c:pt idx="36">
                  <c:v>1.4960570012328709</c:v>
                </c:pt>
                <c:pt idx="37">
                  <c:v>1.4960570012328709</c:v>
                </c:pt>
                <c:pt idx="38">
                  <c:v>1.4960570012328709</c:v>
                </c:pt>
                <c:pt idx="39">
                  <c:v>1.4960570012328709</c:v>
                </c:pt>
                <c:pt idx="40">
                  <c:v>1.4960570012328709</c:v>
                </c:pt>
                <c:pt idx="41">
                  <c:v>1.4960570012328709</c:v>
                </c:pt>
                <c:pt idx="42">
                  <c:v>1.4960570012328709</c:v>
                </c:pt>
                <c:pt idx="43">
                  <c:v>1.4960570012328709</c:v>
                </c:pt>
                <c:pt idx="44">
                  <c:v>1.4960570012328709</c:v>
                </c:pt>
                <c:pt idx="45">
                  <c:v>1.4960570012328709</c:v>
                </c:pt>
                <c:pt idx="46">
                  <c:v>1.4960570012328709</c:v>
                </c:pt>
                <c:pt idx="47">
                  <c:v>1.4960570012328709</c:v>
                </c:pt>
                <c:pt idx="48">
                  <c:v>1.4960570012328709</c:v>
                </c:pt>
                <c:pt idx="49">
                  <c:v>1.4960570012328709</c:v>
                </c:pt>
                <c:pt idx="50">
                  <c:v>1.4960570012328709</c:v>
                </c:pt>
                <c:pt idx="51">
                  <c:v>1.4960570012328709</c:v>
                </c:pt>
                <c:pt idx="52">
                  <c:v>1.4960570012328709</c:v>
                </c:pt>
                <c:pt idx="53">
                  <c:v>1.4960570012328709</c:v>
                </c:pt>
                <c:pt idx="54">
                  <c:v>1.4960570012328709</c:v>
                </c:pt>
                <c:pt idx="55">
                  <c:v>1.4960570012328709</c:v>
                </c:pt>
                <c:pt idx="56">
                  <c:v>1.4960570012328709</c:v>
                </c:pt>
                <c:pt idx="57">
                  <c:v>1.4960570012328709</c:v>
                </c:pt>
                <c:pt idx="58">
                  <c:v>1.4960570012328709</c:v>
                </c:pt>
                <c:pt idx="59">
                  <c:v>1.4960570012328709</c:v>
                </c:pt>
                <c:pt idx="60">
                  <c:v>1.4960570012328709</c:v>
                </c:pt>
                <c:pt idx="61">
                  <c:v>1.4960570012328709</c:v>
                </c:pt>
                <c:pt idx="62">
                  <c:v>1.6053795662883501</c:v>
                </c:pt>
                <c:pt idx="63">
                  <c:v>1.6053795662883501</c:v>
                </c:pt>
                <c:pt idx="64">
                  <c:v>1.4960570012328709</c:v>
                </c:pt>
                <c:pt idx="65">
                  <c:v>1.4960570012328709</c:v>
                </c:pt>
                <c:pt idx="66">
                  <c:v>1.4960570012328709</c:v>
                </c:pt>
                <c:pt idx="67">
                  <c:v>1.4960570012328709</c:v>
                </c:pt>
                <c:pt idx="68">
                  <c:v>1.4960570012328709</c:v>
                </c:pt>
                <c:pt idx="69">
                  <c:v>1.4960570012328709</c:v>
                </c:pt>
                <c:pt idx="70">
                  <c:v>1.4960570012328709</c:v>
                </c:pt>
                <c:pt idx="71">
                  <c:v>1.4960570012328709</c:v>
                </c:pt>
                <c:pt idx="72">
                  <c:v>1.4960570012328709</c:v>
                </c:pt>
                <c:pt idx="73">
                  <c:v>1.4960570012328709</c:v>
                </c:pt>
                <c:pt idx="74">
                  <c:v>1.4960570012328709</c:v>
                </c:pt>
                <c:pt idx="75">
                  <c:v>1.4960570012328709</c:v>
                </c:pt>
                <c:pt idx="76">
                  <c:v>1.4960570012328709</c:v>
                </c:pt>
                <c:pt idx="77">
                  <c:v>1.6053795662883501</c:v>
                </c:pt>
                <c:pt idx="78">
                  <c:v>1.6053795662883501</c:v>
                </c:pt>
                <c:pt idx="79">
                  <c:v>1.4960570012328709</c:v>
                </c:pt>
                <c:pt idx="80">
                  <c:v>1.4960570012328709</c:v>
                </c:pt>
                <c:pt idx="81">
                  <c:v>1.4960570012328709</c:v>
                </c:pt>
                <c:pt idx="82">
                  <c:v>1.4960570012328709</c:v>
                </c:pt>
                <c:pt idx="83">
                  <c:v>1.4960570012328709</c:v>
                </c:pt>
                <c:pt idx="84">
                  <c:v>1.4960570012328709</c:v>
                </c:pt>
                <c:pt idx="85">
                  <c:v>1.4960570012328709</c:v>
                </c:pt>
                <c:pt idx="86">
                  <c:v>1.4960570012328709</c:v>
                </c:pt>
                <c:pt idx="87">
                  <c:v>1.4960570012328709</c:v>
                </c:pt>
                <c:pt idx="88">
                  <c:v>1.4960570012328709</c:v>
                </c:pt>
                <c:pt idx="89">
                  <c:v>1.4960570012328709</c:v>
                </c:pt>
                <c:pt idx="90">
                  <c:v>1.4960570012328709</c:v>
                </c:pt>
                <c:pt idx="91">
                  <c:v>1.4960570012328709</c:v>
                </c:pt>
                <c:pt idx="92">
                  <c:v>1.4960570012328709</c:v>
                </c:pt>
                <c:pt idx="93">
                  <c:v>1.4960570012328709</c:v>
                </c:pt>
                <c:pt idx="94">
                  <c:v>1.4960570012328709</c:v>
                </c:pt>
                <c:pt idx="95">
                  <c:v>1.4960570012328709</c:v>
                </c:pt>
                <c:pt idx="96">
                  <c:v>1.4960570012328709</c:v>
                </c:pt>
                <c:pt idx="97">
                  <c:v>1.4960570012328709</c:v>
                </c:pt>
                <c:pt idx="98">
                  <c:v>1.4960570012328709</c:v>
                </c:pt>
                <c:pt idx="99">
                  <c:v>1.4960570012328709</c:v>
                </c:pt>
                <c:pt idx="100">
                  <c:v>1.4960570012328709</c:v>
                </c:pt>
                <c:pt idx="101">
                  <c:v>1.4960570012328709</c:v>
                </c:pt>
                <c:pt idx="102">
                  <c:v>1.4960570012328709</c:v>
                </c:pt>
                <c:pt idx="103">
                  <c:v>1.4960570012328709</c:v>
                </c:pt>
                <c:pt idx="104">
                  <c:v>1.4960570012328709</c:v>
                </c:pt>
                <c:pt idx="105">
                  <c:v>1.4960570012328709</c:v>
                </c:pt>
                <c:pt idx="106">
                  <c:v>1.4960570012328709</c:v>
                </c:pt>
                <c:pt idx="107">
                  <c:v>1.4960570012328709</c:v>
                </c:pt>
                <c:pt idx="108">
                  <c:v>1.4960570012328709</c:v>
                </c:pt>
                <c:pt idx="109">
                  <c:v>1.4960570012328709</c:v>
                </c:pt>
                <c:pt idx="110">
                  <c:v>1.4960570012328709</c:v>
                </c:pt>
                <c:pt idx="111">
                  <c:v>1.4960570012328709</c:v>
                </c:pt>
                <c:pt idx="112">
                  <c:v>1.4960570012328709</c:v>
                </c:pt>
                <c:pt idx="113">
                  <c:v>1.4960570012328709</c:v>
                </c:pt>
                <c:pt idx="114">
                  <c:v>1.4960570012328709</c:v>
                </c:pt>
                <c:pt idx="115">
                  <c:v>1.4960570012328709</c:v>
                </c:pt>
                <c:pt idx="116">
                  <c:v>1.4960570012328709</c:v>
                </c:pt>
                <c:pt idx="117">
                  <c:v>1.4960570012328709</c:v>
                </c:pt>
                <c:pt idx="118">
                  <c:v>1.4960570012328709</c:v>
                </c:pt>
                <c:pt idx="119">
                  <c:v>1.4960570012328709</c:v>
                </c:pt>
                <c:pt idx="120">
                  <c:v>1.4960570012328709</c:v>
                </c:pt>
                <c:pt idx="121">
                  <c:v>1.4960570012328709</c:v>
                </c:pt>
                <c:pt idx="122">
                  <c:v>1.4960570012328709</c:v>
                </c:pt>
                <c:pt idx="123">
                  <c:v>1.4960570012328709</c:v>
                </c:pt>
                <c:pt idx="124">
                  <c:v>1.4960570012328709</c:v>
                </c:pt>
                <c:pt idx="125">
                  <c:v>1.4960570012328709</c:v>
                </c:pt>
                <c:pt idx="126">
                  <c:v>1.4960570012328709</c:v>
                </c:pt>
                <c:pt idx="127">
                  <c:v>1.4960570012328709</c:v>
                </c:pt>
                <c:pt idx="128">
                  <c:v>1.4960570012328709</c:v>
                </c:pt>
                <c:pt idx="129">
                  <c:v>1.4960570012328709</c:v>
                </c:pt>
                <c:pt idx="130">
                  <c:v>1.4960570012328709</c:v>
                </c:pt>
                <c:pt idx="131">
                  <c:v>1.4960570012328709</c:v>
                </c:pt>
                <c:pt idx="132">
                  <c:v>1.4960570012328709</c:v>
                </c:pt>
                <c:pt idx="133">
                  <c:v>1.4960570012328709</c:v>
                </c:pt>
                <c:pt idx="134">
                  <c:v>1.4960570012328709</c:v>
                </c:pt>
                <c:pt idx="135">
                  <c:v>1.4960570012328709</c:v>
                </c:pt>
                <c:pt idx="136">
                  <c:v>1.4960570012328709</c:v>
                </c:pt>
                <c:pt idx="137">
                  <c:v>1.4960570012328709</c:v>
                </c:pt>
                <c:pt idx="138">
                  <c:v>1.4960570012328709</c:v>
                </c:pt>
                <c:pt idx="139">
                  <c:v>1.4960570012328709</c:v>
                </c:pt>
                <c:pt idx="140">
                  <c:v>1.4960570012328709</c:v>
                </c:pt>
                <c:pt idx="141">
                  <c:v>1.4960570012328709</c:v>
                </c:pt>
                <c:pt idx="142">
                  <c:v>1.4960570012328709</c:v>
                </c:pt>
                <c:pt idx="143">
                  <c:v>1.4960570012328709</c:v>
                </c:pt>
                <c:pt idx="144">
                  <c:v>1.4960570012328709</c:v>
                </c:pt>
                <c:pt idx="145">
                  <c:v>1.4960570012328709</c:v>
                </c:pt>
                <c:pt idx="146">
                  <c:v>1.4960570012328709</c:v>
                </c:pt>
                <c:pt idx="147">
                  <c:v>1.4960570012328709</c:v>
                </c:pt>
                <c:pt idx="148">
                  <c:v>1.4960570012328709</c:v>
                </c:pt>
                <c:pt idx="149">
                  <c:v>1.4960570012328709</c:v>
                </c:pt>
                <c:pt idx="150">
                  <c:v>1.4960570012328709</c:v>
                </c:pt>
                <c:pt idx="151">
                  <c:v>1.4960570012328709</c:v>
                </c:pt>
                <c:pt idx="152">
                  <c:v>1.4960570012328709</c:v>
                </c:pt>
                <c:pt idx="153">
                  <c:v>1.4960570012328709</c:v>
                </c:pt>
                <c:pt idx="154">
                  <c:v>1.4960570012328709</c:v>
                </c:pt>
                <c:pt idx="155">
                  <c:v>1.4960570012328709</c:v>
                </c:pt>
                <c:pt idx="156">
                  <c:v>1.4960570012328709</c:v>
                </c:pt>
                <c:pt idx="157">
                  <c:v>1.4960570012328709</c:v>
                </c:pt>
                <c:pt idx="158">
                  <c:v>1.4960570012328709</c:v>
                </c:pt>
                <c:pt idx="159">
                  <c:v>1.4960570012328709</c:v>
                </c:pt>
                <c:pt idx="160">
                  <c:v>1.4960570012328709</c:v>
                </c:pt>
                <c:pt idx="161">
                  <c:v>1.4960570012328709</c:v>
                </c:pt>
                <c:pt idx="162">
                  <c:v>1.4960570012328709</c:v>
                </c:pt>
                <c:pt idx="163">
                  <c:v>1.4960570012328709</c:v>
                </c:pt>
                <c:pt idx="164">
                  <c:v>1.4960570012328709</c:v>
                </c:pt>
                <c:pt idx="165">
                  <c:v>1.4960570012328709</c:v>
                </c:pt>
                <c:pt idx="166">
                  <c:v>1.4960570012328709</c:v>
                </c:pt>
                <c:pt idx="167">
                  <c:v>1.6053795662883501</c:v>
                </c:pt>
                <c:pt idx="168">
                  <c:v>1.6053795662883501</c:v>
                </c:pt>
                <c:pt idx="169">
                  <c:v>1.4960570012328709</c:v>
                </c:pt>
                <c:pt idx="170">
                  <c:v>1.4960570012328709</c:v>
                </c:pt>
                <c:pt idx="171">
                  <c:v>1.4960570012328709</c:v>
                </c:pt>
                <c:pt idx="172">
                  <c:v>1.4960570012328709</c:v>
                </c:pt>
                <c:pt idx="173">
                  <c:v>1.4960570012328709</c:v>
                </c:pt>
                <c:pt idx="174">
                  <c:v>1.4960570012328709</c:v>
                </c:pt>
                <c:pt idx="175">
                  <c:v>1.4960570012328709</c:v>
                </c:pt>
                <c:pt idx="176">
                  <c:v>1.4960570012328709</c:v>
                </c:pt>
                <c:pt idx="177">
                  <c:v>1.4960570012328709</c:v>
                </c:pt>
                <c:pt idx="178">
                  <c:v>1.4960570012328709</c:v>
                </c:pt>
                <c:pt idx="179">
                  <c:v>1.4960570012328709</c:v>
                </c:pt>
                <c:pt idx="180">
                  <c:v>1.4960570012328709</c:v>
                </c:pt>
                <c:pt idx="181">
                  <c:v>1.4960570012328709</c:v>
                </c:pt>
                <c:pt idx="182">
                  <c:v>1.4960570012328709</c:v>
                </c:pt>
                <c:pt idx="183">
                  <c:v>1.4960570012328709</c:v>
                </c:pt>
                <c:pt idx="184">
                  <c:v>1.4960570012328709</c:v>
                </c:pt>
                <c:pt idx="185">
                  <c:v>1.4960570012328709</c:v>
                </c:pt>
                <c:pt idx="186">
                  <c:v>1.4960570012328709</c:v>
                </c:pt>
                <c:pt idx="187">
                  <c:v>1.4960570012328709</c:v>
                </c:pt>
                <c:pt idx="188">
                  <c:v>1.4960570012328709</c:v>
                </c:pt>
                <c:pt idx="189">
                  <c:v>1.4960570012328709</c:v>
                </c:pt>
                <c:pt idx="190">
                  <c:v>1.4960570012328709</c:v>
                </c:pt>
                <c:pt idx="191">
                  <c:v>1.4960570012328709</c:v>
                </c:pt>
                <c:pt idx="192">
                  <c:v>1.4960570012328709</c:v>
                </c:pt>
                <c:pt idx="193">
                  <c:v>1.4960570012328709</c:v>
                </c:pt>
                <c:pt idx="194">
                  <c:v>1.4960570012328709</c:v>
                </c:pt>
                <c:pt idx="195">
                  <c:v>1.4960570012328709</c:v>
                </c:pt>
                <c:pt idx="196">
                  <c:v>1.4960570012328709</c:v>
                </c:pt>
                <c:pt idx="197">
                  <c:v>1.4960570012328709</c:v>
                </c:pt>
                <c:pt idx="198">
                  <c:v>1.4960570012328709</c:v>
                </c:pt>
                <c:pt idx="199">
                  <c:v>1.4960570012328709</c:v>
                </c:pt>
                <c:pt idx="200">
                  <c:v>1.4960570012328709</c:v>
                </c:pt>
                <c:pt idx="201">
                  <c:v>1.4960570012328709</c:v>
                </c:pt>
                <c:pt idx="202">
                  <c:v>1.4960570012328709</c:v>
                </c:pt>
                <c:pt idx="203">
                  <c:v>1.4960570012328709</c:v>
                </c:pt>
                <c:pt idx="204">
                  <c:v>1.4960570012328709</c:v>
                </c:pt>
                <c:pt idx="205">
                  <c:v>1.4960570012328709</c:v>
                </c:pt>
                <c:pt idx="206">
                  <c:v>1.4960570012328709</c:v>
                </c:pt>
                <c:pt idx="207">
                  <c:v>1.4960570012328709</c:v>
                </c:pt>
                <c:pt idx="208">
                  <c:v>1.4960570012328709</c:v>
                </c:pt>
                <c:pt idx="209">
                  <c:v>1.4960570012328709</c:v>
                </c:pt>
                <c:pt idx="210">
                  <c:v>1.4960570012328709</c:v>
                </c:pt>
                <c:pt idx="211">
                  <c:v>1.4960570012328709</c:v>
                </c:pt>
                <c:pt idx="212">
                  <c:v>1.4960570012328709</c:v>
                </c:pt>
                <c:pt idx="213">
                  <c:v>1.4960570012328709</c:v>
                </c:pt>
                <c:pt idx="214">
                  <c:v>1.4960570012328709</c:v>
                </c:pt>
                <c:pt idx="215">
                  <c:v>1.4960570012328709</c:v>
                </c:pt>
                <c:pt idx="216">
                  <c:v>1.4960570012328709</c:v>
                </c:pt>
                <c:pt idx="217">
                  <c:v>1.4960570012328709</c:v>
                </c:pt>
                <c:pt idx="218">
                  <c:v>1.4960570012328709</c:v>
                </c:pt>
                <c:pt idx="219">
                  <c:v>1.4960570012328709</c:v>
                </c:pt>
                <c:pt idx="220">
                  <c:v>1.4960570012328709</c:v>
                </c:pt>
                <c:pt idx="221">
                  <c:v>1.4960570012328709</c:v>
                </c:pt>
                <c:pt idx="222">
                  <c:v>1.4960570012328709</c:v>
                </c:pt>
                <c:pt idx="223">
                  <c:v>1.4960570012328709</c:v>
                </c:pt>
                <c:pt idx="224">
                  <c:v>1.4960570012328709</c:v>
                </c:pt>
                <c:pt idx="225">
                  <c:v>1.4960570012328709</c:v>
                </c:pt>
                <c:pt idx="226">
                  <c:v>1.4960570012328709</c:v>
                </c:pt>
                <c:pt idx="227">
                  <c:v>1.4960570012328709</c:v>
                </c:pt>
                <c:pt idx="228">
                  <c:v>1.4960570012328709</c:v>
                </c:pt>
                <c:pt idx="229">
                  <c:v>1.4960570012328709</c:v>
                </c:pt>
                <c:pt idx="230">
                  <c:v>1.4960570012328709</c:v>
                </c:pt>
                <c:pt idx="231">
                  <c:v>1.4960570012328709</c:v>
                </c:pt>
                <c:pt idx="232">
                  <c:v>1.4960570012328709</c:v>
                </c:pt>
                <c:pt idx="233">
                  <c:v>1.4960570012328709</c:v>
                </c:pt>
                <c:pt idx="234">
                  <c:v>1.4960570012328709</c:v>
                </c:pt>
                <c:pt idx="235">
                  <c:v>1.4960570012328709</c:v>
                </c:pt>
                <c:pt idx="236">
                  <c:v>1.4960570012328709</c:v>
                </c:pt>
                <c:pt idx="237">
                  <c:v>1.4960570012328709</c:v>
                </c:pt>
                <c:pt idx="238">
                  <c:v>1.4960570012328709</c:v>
                </c:pt>
                <c:pt idx="239">
                  <c:v>1.4960570012328709</c:v>
                </c:pt>
                <c:pt idx="240">
                  <c:v>1.4960570012328709</c:v>
                </c:pt>
                <c:pt idx="241">
                  <c:v>1.4960570012328709</c:v>
                </c:pt>
                <c:pt idx="242">
                  <c:v>1.4960570012328709</c:v>
                </c:pt>
                <c:pt idx="243">
                  <c:v>1.4960570012328709</c:v>
                </c:pt>
                <c:pt idx="244">
                  <c:v>1.4960570012328709</c:v>
                </c:pt>
                <c:pt idx="245">
                  <c:v>1.4960570012328709</c:v>
                </c:pt>
                <c:pt idx="246">
                  <c:v>1.4960570012328709</c:v>
                </c:pt>
                <c:pt idx="247">
                  <c:v>1.4960570012328709</c:v>
                </c:pt>
                <c:pt idx="248">
                  <c:v>1.4960570012328709</c:v>
                </c:pt>
                <c:pt idx="249">
                  <c:v>1.4960570012328709</c:v>
                </c:pt>
                <c:pt idx="250">
                  <c:v>1.4960570012328709</c:v>
                </c:pt>
                <c:pt idx="251">
                  <c:v>1.4960570012328709</c:v>
                </c:pt>
                <c:pt idx="252">
                  <c:v>1.4960570012328709</c:v>
                </c:pt>
                <c:pt idx="253">
                  <c:v>1.4960570012328709</c:v>
                </c:pt>
                <c:pt idx="254">
                  <c:v>1.4960570012328709</c:v>
                </c:pt>
                <c:pt idx="255">
                  <c:v>1.4960570012328709</c:v>
                </c:pt>
                <c:pt idx="256">
                  <c:v>1.4960570012328709</c:v>
                </c:pt>
                <c:pt idx="257">
                  <c:v>1.4960570012328709</c:v>
                </c:pt>
                <c:pt idx="258">
                  <c:v>1.4960570012328709</c:v>
                </c:pt>
                <c:pt idx="259">
                  <c:v>1.4960570012328709</c:v>
                </c:pt>
                <c:pt idx="260">
                  <c:v>1.4960570012328709</c:v>
                </c:pt>
                <c:pt idx="261">
                  <c:v>1.4960570012328709</c:v>
                </c:pt>
                <c:pt idx="262">
                  <c:v>1.4960570012328709</c:v>
                </c:pt>
                <c:pt idx="263">
                  <c:v>1.4960570012328709</c:v>
                </c:pt>
                <c:pt idx="264">
                  <c:v>1.4960570012328709</c:v>
                </c:pt>
                <c:pt idx="265">
                  <c:v>1.4960570012328709</c:v>
                </c:pt>
                <c:pt idx="266">
                  <c:v>1.4960570012328709</c:v>
                </c:pt>
                <c:pt idx="267">
                  <c:v>1.4960570012328709</c:v>
                </c:pt>
                <c:pt idx="268">
                  <c:v>1.4960570012328709</c:v>
                </c:pt>
                <c:pt idx="269">
                  <c:v>1.4960570012328709</c:v>
                </c:pt>
                <c:pt idx="270">
                  <c:v>1.4960570012328709</c:v>
                </c:pt>
                <c:pt idx="271">
                  <c:v>1.4960570012328709</c:v>
                </c:pt>
                <c:pt idx="272">
                  <c:v>1.4960570012328709</c:v>
                </c:pt>
                <c:pt idx="273">
                  <c:v>1.4960570012328709</c:v>
                </c:pt>
                <c:pt idx="274">
                  <c:v>1.4960570012328709</c:v>
                </c:pt>
                <c:pt idx="275">
                  <c:v>1.4960570012328709</c:v>
                </c:pt>
                <c:pt idx="276">
                  <c:v>1.4960570012328709</c:v>
                </c:pt>
                <c:pt idx="277">
                  <c:v>1.4960570012328709</c:v>
                </c:pt>
                <c:pt idx="278">
                  <c:v>1.4960570012328709</c:v>
                </c:pt>
                <c:pt idx="279">
                  <c:v>1.4960570012328709</c:v>
                </c:pt>
                <c:pt idx="280">
                  <c:v>1.4960570012328709</c:v>
                </c:pt>
                <c:pt idx="281">
                  <c:v>1.4960570012328709</c:v>
                </c:pt>
                <c:pt idx="282">
                  <c:v>1.4960570012328709</c:v>
                </c:pt>
                <c:pt idx="283">
                  <c:v>1.4960570012328709</c:v>
                </c:pt>
                <c:pt idx="284">
                  <c:v>1.4960570012328709</c:v>
                </c:pt>
                <c:pt idx="285">
                  <c:v>1.4960570012328709</c:v>
                </c:pt>
                <c:pt idx="286">
                  <c:v>1.4960570012328709</c:v>
                </c:pt>
                <c:pt idx="287">
                  <c:v>1.4960570012328709</c:v>
                </c:pt>
                <c:pt idx="288">
                  <c:v>1.4960570012328709</c:v>
                </c:pt>
                <c:pt idx="289">
                  <c:v>1.4960570012328709</c:v>
                </c:pt>
                <c:pt idx="290">
                  <c:v>1.4960570012328709</c:v>
                </c:pt>
                <c:pt idx="291">
                  <c:v>1.4960570012328709</c:v>
                </c:pt>
                <c:pt idx="292">
                  <c:v>1.4960570012328709</c:v>
                </c:pt>
                <c:pt idx="293">
                  <c:v>1.4960570012328709</c:v>
                </c:pt>
                <c:pt idx="294">
                  <c:v>1.4960570012328709</c:v>
                </c:pt>
                <c:pt idx="295">
                  <c:v>1.4960570012328709</c:v>
                </c:pt>
                <c:pt idx="296">
                  <c:v>1.4960570012328709</c:v>
                </c:pt>
                <c:pt idx="297">
                  <c:v>1.4960570012328709</c:v>
                </c:pt>
                <c:pt idx="298">
                  <c:v>1.4960570012328709</c:v>
                </c:pt>
                <c:pt idx="299">
                  <c:v>1.4960570012328709</c:v>
                </c:pt>
                <c:pt idx="300">
                  <c:v>1.4960570012328709</c:v>
                </c:pt>
                <c:pt idx="301">
                  <c:v>1.4960570012328709</c:v>
                </c:pt>
                <c:pt idx="302">
                  <c:v>1.4960570012328709</c:v>
                </c:pt>
                <c:pt idx="303">
                  <c:v>1.4960570012328709</c:v>
                </c:pt>
                <c:pt idx="304">
                  <c:v>1.4960570012328709</c:v>
                </c:pt>
                <c:pt idx="305">
                  <c:v>1.4960570012328709</c:v>
                </c:pt>
                <c:pt idx="306">
                  <c:v>1.4960570012328709</c:v>
                </c:pt>
                <c:pt idx="307">
                  <c:v>1.4960570012328709</c:v>
                </c:pt>
                <c:pt idx="308">
                  <c:v>1.4960570012328709</c:v>
                </c:pt>
                <c:pt idx="309">
                  <c:v>1.4960570012328709</c:v>
                </c:pt>
                <c:pt idx="310">
                  <c:v>1.4960570012328709</c:v>
                </c:pt>
                <c:pt idx="311">
                  <c:v>1.4960570012328709</c:v>
                </c:pt>
                <c:pt idx="312">
                  <c:v>1.4960570012328709</c:v>
                </c:pt>
                <c:pt idx="313">
                  <c:v>1.4960570012328709</c:v>
                </c:pt>
                <c:pt idx="314">
                  <c:v>1.4960570012328709</c:v>
                </c:pt>
                <c:pt idx="315">
                  <c:v>1.4960570012328709</c:v>
                </c:pt>
                <c:pt idx="316">
                  <c:v>1.4960570012328709</c:v>
                </c:pt>
                <c:pt idx="317">
                  <c:v>1.4960570012328709</c:v>
                </c:pt>
                <c:pt idx="318">
                  <c:v>1.4960570012328709</c:v>
                </c:pt>
                <c:pt idx="319">
                  <c:v>1.4960570012328709</c:v>
                </c:pt>
                <c:pt idx="320">
                  <c:v>1.4960570012328709</c:v>
                </c:pt>
                <c:pt idx="321">
                  <c:v>1.4960570012328709</c:v>
                </c:pt>
                <c:pt idx="322">
                  <c:v>1.4960570012328709</c:v>
                </c:pt>
                <c:pt idx="323">
                  <c:v>1.4960570012328709</c:v>
                </c:pt>
                <c:pt idx="324">
                  <c:v>1.4960570012328709</c:v>
                </c:pt>
                <c:pt idx="325">
                  <c:v>1.4960570012328709</c:v>
                </c:pt>
              </c:numCache>
            </c:numRef>
          </c:yVal>
          <c:smooth val="0"/>
          <c:extLst>
            <c:ext xmlns:c16="http://schemas.microsoft.com/office/drawing/2014/chart" uri="{C3380CC4-5D6E-409C-BE32-E72D297353CC}">
              <c16:uniqueId val="{000000C2-819C-4C0B-B4D9-7F526BD4C7F7}"/>
            </c:ext>
          </c:extLst>
        </c:ser>
        <c:ser>
          <c:idx val="196"/>
          <c:order val="195"/>
          <c:tx>
            <c:strRef>
              <c:f>'Data Fuselage'!$BB$207</c:f>
              <c:strCache>
                <c:ptCount val="1"/>
                <c:pt idx="0">
                  <c:v>Fuselage</c:v>
                </c:pt>
              </c:strCache>
            </c:strRef>
          </c:tx>
          <c:spPr>
            <a:ln w="12700">
              <a:solidFill>
                <a:srgbClr val="000000"/>
              </a:solidFill>
              <a:prstDash val="solid"/>
            </a:ln>
          </c:spPr>
          <c:marker>
            <c:symbol val="none"/>
          </c:marker>
          <c:xVal>
            <c:numRef>
              <c:f>'Data Fuselage'!$BB$210:$BB$535</c:f>
              <c:numCache>
                <c:formatCode>General</c:formatCode>
                <c:ptCount val="326"/>
                <c:pt idx="0">
                  <c:v>0</c:v>
                </c:pt>
                <c:pt idx="1">
                  <c:v>0</c:v>
                </c:pt>
                <c:pt idx="2">
                  <c:v>0</c:v>
                </c:pt>
                <c:pt idx="3">
                  <c:v>0</c:v>
                </c:pt>
                <c:pt idx="4">
                  <c:v>0</c:v>
                </c:pt>
                <c:pt idx="5">
                  <c:v>-1</c:v>
                </c:pt>
                <c:pt idx="6">
                  <c:v>-1.27</c:v>
                </c:pt>
                <c:pt idx="7">
                  <c:v>-1.27</c:v>
                </c:pt>
                <c:pt idx="8">
                  <c:v>-2.032</c:v>
                </c:pt>
                <c:pt idx="9">
                  <c:v>-2.032</c:v>
                </c:pt>
                <c:pt idx="10">
                  <c:v>-2.762</c:v>
                </c:pt>
                <c:pt idx="11">
                  <c:v>-3.032</c:v>
                </c:pt>
                <c:pt idx="12">
                  <c:v>-3.032</c:v>
                </c:pt>
                <c:pt idx="13">
                  <c:v>-3.032</c:v>
                </c:pt>
                <c:pt idx="14">
                  <c:v>-3.032</c:v>
                </c:pt>
                <c:pt idx="15">
                  <c:v>-3.762</c:v>
                </c:pt>
                <c:pt idx="16">
                  <c:v>-3.9470000000000001</c:v>
                </c:pt>
                <c:pt idx="17">
                  <c:v>-3.9470000000000001</c:v>
                </c:pt>
                <c:pt idx="18">
                  <c:v>-3.9470000000000001</c:v>
                </c:pt>
                <c:pt idx="19">
                  <c:v>-3.9470000000000001</c:v>
                </c:pt>
                <c:pt idx="20">
                  <c:v>-4.5620000000000003</c:v>
                </c:pt>
                <c:pt idx="21">
                  <c:v>-4.7469999999999999</c:v>
                </c:pt>
                <c:pt idx="22">
                  <c:v>-4.7469999999999999</c:v>
                </c:pt>
                <c:pt idx="23">
                  <c:v>-4.7469999999999999</c:v>
                </c:pt>
                <c:pt idx="24">
                  <c:v>-4.7469999999999999</c:v>
                </c:pt>
                <c:pt idx="25">
                  <c:v>-5.3620000000000001</c:v>
                </c:pt>
                <c:pt idx="26">
                  <c:v>-5.5469999999999997</c:v>
                </c:pt>
                <c:pt idx="27">
                  <c:v>-5.5469999999999997</c:v>
                </c:pt>
                <c:pt idx="28">
                  <c:v>-5.5469999999999997</c:v>
                </c:pt>
                <c:pt idx="29">
                  <c:v>-5.5469999999999997</c:v>
                </c:pt>
                <c:pt idx="30">
                  <c:v>-6.1619999999999999</c:v>
                </c:pt>
                <c:pt idx="31">
                  <c:v>-6.3469999999999995</c:v>
                </c:pt>
                <c:pt idx="32">
                  <c:v>-6.3469999999999995</c:v>
                </c:pt>
                <c:pt idx="33">
                  <c:v>-6.3469999999999995</c:v>
                </c:pt>
                <c:pt idx="34">
                  <c:v>-6.3469999999999995</c:v>
                </c:pt>
                <c:pt idx="35">
                  <c:v>-6.9619999999999997</c:v>
                </c:pt>
                <c:pt idx="36">
                  <c:v>-7.1469999999999994</c:v>
                </c:pt>
                <c:pt idx="37">
                  <c:v>-7.1469999999999994</c:v>
                </c:pt>
                <c:pt idx="38">
                  <c:v>-7.1469999999999994</c:v>
                </c:pt>
                <c:pt idx="39">
                  <c:v>-7.1469999999999994</c:v>
                </c:pt>
                <c:pt idx="40">
                  <c:v>-7.7619999999999996</c:v>
                </c:pt>
                <c:pt idx="41">
                  <c:v>-7.9469999999999992</c:v>
                </c:pt>
                <c:pt idx="42">
                  <c:v>-7.9469999999999992</c:v>
                </c:pt>
                <c:pt idx="43">
                  <c:v>-7.9469999999999992</c:v>
                </c:pt>
                <c:pt idx="44">
                  <c:v>-7.9469999999999992</c:v>
                </c:pt>
                <c:pt idx="45">
                  <c:v>-8.5619999999999994</c:v>
                </c:pt>
                <c:pt idx="46">
                  <c:v>-8.7469999999999999</c:v>
                </c:pt>
                <c:pt idx="47">
                  <c:v>-8.7469999999999999</c:v>
                </c:pt>
                <c:pt idx="48">
                  <c:v>-8.7469999999999999</c:v>
                </c:pt>
                <c:pt idx="49">
                  <c:v>-8.7469999999999999</c:v>
                </c:pt>
                <c:pt idx="50">
                  <c:v>-9.3620000000000001</c:v>
                </c:pt>
                <c:pt idx="51">
                  <c:v>-9.5470000000000006</c:v>
                </c:pt>
                <c:pt idx="52">
                  <c:v>-9.5470000000000006</c:v>
                </c:pt>
                <c:pt idx="53">
                  <c:v>-9.5470000000000006</c:v>
                </c:pt>
                <c:pt idx="54">
                  <c:v>-9.5470000000000006</c:v>
                </c:pt>
                <c:pt idx="55">
                  <c:v>-10.162000000000001</c:v>
                </c:pt>
                <c:pt idx="56">
                  <c:v>-10.347000000000001</c:v>
                </c:pt>
                <c:pt idx="57">
                  <c:v>-10.347000000000001</c:v>
                </c:pt>
                <c:pt idx="58">
                  <c:v>-10.347000000000001</c:v>
                </c:pt>
                <c:pt idx="59">
                  <c:v>-10.347000000000001</c:v>
                </c:pt>
                <c:pt idx="60">
                  <c:v>-10.962000000000002</c:v>
                </c:pt>
                <c:pt idx="61">
                  <c:v>-10.962000000000002</c:v>
                </c:pt>
                <c:pt idx="62">
                  <c:v>-10.962000000000002</c:v>
                </c:pt>
                <c:pt idx="63">
                  <c:v>-11.470000000000002</c:v>
                </c:pt>
                <c:pt idx="64">
                  <c:v>-11.470000000000002</c:v>
                </c:pt>
                <c:pt idx="65">
                  <c:v>-11.762000000000002</c:v>
                </c:pt>
                <c:pt idx="66">
                  <c:v>-11.947000000000003</c:v>
                </c:pt>
                <c:pt idx="67">
                  <c:v>-11.947000000000003</c:v>
                </c:pt>
                <c:pt idx="68">
                  <c:v>-11.947000000000003</c:v>
                </c:pt>
                <c:pt idx="69">
                  <c:v>-11.947000000000003</c:v>
                </c:pt>
                <c:pt idx="70">
                  <c:v>-12.562000000000003</c:v>
                </c:pt>
                <c:pt idx="71">
                  <c:v>-12.747000000000003</c:v>
                </c:pt>
                <c:pt idx="72">
                  <c:v>-12.747000000000003</c:v>
                </c:pt>
                <c:pt idx="73">
                  <c:v>-12.747000000000003</c:v>
                </c:pt>
                <c:pt idx="74">
                  <c:v>-12.747000000000003</c:v>
                </c:pt>
                <c:pt idx="75">
                  <c:v>-13.362000000000004</c:v>
                </c:pt>
                <c:pt idx="76">
                  <c:v>-13.362000000000004</c:v>
                </c:pt>
                <c:pt idx="77">
                  <c:v>-13.362000000000004</c:v>
                </c:pt>
                <c:pt idx="78">
                  <c:v>-13.870000000000005</c:v>
                </c:pt>
                <c:pt idx="79">
                  <c:v>-13.870000000000005</c:v>
                </c:pt>
                <c:pt idx="80">
                  <c:v>-14.162000000000004</c:v>
                </c:pt>
                <c:pt idx="81">
                  <c:v>-14.347000000000005</c:v>
                </c:pt>
                <c:pt idx="82">
                  <c:v>-14.347000000000005</c:v>
                </c:pt>
                <c:pt idx="83">
                  <c:v>-14.347000000000005</c:v>
                </c:pt>
                <c:pt idx="84">
                  <c:v>-14.347000000000005</c:v>
                </c:pt>
                <c:pt idx="85">
                  <c:v>-14.962000000000005</c:v>
                </c:pt>
                <c:pt idx="86">
                  <c:v>-15.147000000000006</c:v>
                </c:pt>
                <c:pt idx="87">
                  <c:v>-15.147000000000006</c:v>
                </c:pt>
                <c:pt idx="88">
                  <c:v>-15.147000000000006</c:v>
                </c:pt>
                <c:pt idx="89">
                  <c:v>-15.147000000000006</c:v>
                </c:pt>
                <c:pt idx="90">
                  <c:v>-15.762000000000006</c:v>
                </c:pt>
                <c:pt idx="91">
                  <c:v>-15.947000000000006</c:v>
                </c:pt>
                <c:pt idx="92">
                  <c:v>-15.947000000000006</c:v>
                </c:pt>
                <c:pt idx="93">
                  <c:v>-15.947000000000006</c:v>
                </c:pt>
                <c:pt idx="94">
                  <c:v>-15.947000000000006</c:v>
                </c:pt>
                <c:pt idx="95">
                  <c:v>-16.562000000000005</c:v>
                </c:pt>
                <c:pt idx="96">
                  <c:v>-16.562000000000005</c:v>
                </c:pt>
                <c:pt idx="97">
                  <c:v>-16.562000000000005</c:v>
                </c:pt>
                <c:pt idx="98">
                  <c:v>-16.562000000000005</c:v>
                </c:pt>
                <c:pt idx="99">
                  <c:v>-16.562000000000005</c:v>
                </c:pt>
                <c:pt idx="100">
                  <c:v>-16.562000000000005</c:v>
                </c:pt>
                <c:pt idx="101">
                  <c:v>-16.562000000000005</c:v>
                </c:pt>
                <c:pt idx="102">
                  <c:v>-16.562000000000005</c:v>
                </c:pt>
                <c:pt idx="103">
                  <c:v>-16.562000000000005</c:v>
                </c:pt>
                <c:pt idx="104">
                  <c:v>-16.562000000000005</c:v>
                </c:pt>
                <c:pt idx="105">
                  <c:v>-16.562000000000005</c:v>
                </c:pt>
                <c:pt idx="106">
                  <c:v>-16.562000000000005</c:v>
                </c:pt>
                <c:pt idx="107">
                  <c:v>-16.562000000000005</c:v>
                </c:pt>
                <c:pt idx="108">
                  <c:v>-16.562000000000005</c:v>
                </c:pt>
                <c:pt idx="109">
                  <c:v>-16.562000000000005</c:v>
                </c:pt>
                <c:pt idx="110">
                  <c:v>-16.562000000000005</c:v>
                </c:pt>
                <c:pt idx="111">
                  <c:v>-16.562000000000005</c:v>
                </c:pt>
                <c:pt idx="112">
                  <c:v>-16.562000000000005</c:v>
                </c:pt>
                <c:pt idx="113">
                  <c:v>-16.562000000000005</c:v>
                </c:pt>
                <c:pt idx="114">
                  <c:v>-16.562000000000005</c:v>
                </c:pt>
                <c:pt idx="115">
                  <c:v>-16.562000000000005</c:v>
                </c:pt>
                <c:pt idx="116">
                  <c:v>-16.562000000000005</c:v>
                </c:pt>
                <c:pt idx="117">
                  <c:v>-16.562000000000005</c:v>
                </c:pt>
                <c:pt idx="118">
                  <c:v>-16.562000000000005</c:v>
                </c:pt>
                <c:pt idx="119">
                  <c:v>-16.562000000000005</c:v>
                </c:pt>
                <c:pt idx="120">
                  <c:v>-16.562000000000005</c:v>
                </c:pt>
                <c:pt idx="121">
                  <c:v>-16.562000000000005</c:v>
                </c:pt>
                <c:pt idx="122">
                  <c:v>-16.562000000000005</c:v>
                </c:pt>
                <c:pt idx="123">
                  <c:v>-16.562000000000005</c:v>
                </c:pt>
                <c:pt idx="124">
                  <c:v>-16.562000000000005</c:v>
                </c:pt>
                <c:pt idx="125">
                  <c:v>-16.562000000000005</c:v>
                </c:pt>
                <c:pt idx="126">
                  <c:v>-16.562000000000005</c:v>
                </c:pt>
                <c:pt idx="127">
                  <c:v>-16.562000000000005</c:v>
                </c:pt>
                <c:pt idx="128">
                  <c:v>-16.562000000000005</c:v>
                </c:pt>
                <c:pt idx="129">
                  <c:v>-16.562000000000005</c:v>
                </c:pt>
                <c:pt idx="130">
                  <c:v>-16.562000000000005</c:v>
                </c:pt>
                <c:pt idx="131">
                  <c:v>-16.562000000000005</c:v>
                </c:pt>
                <c:pt idx="132">
                  <c:v>-16.562000000000005</c:v>
                </c:pt>
                <c:pt idx="133">
                  <c:v>-16.562000000000005</c:v>
                </c:pt>
                <c:pt idx="134">
                  <c:v>-16.562000000000005</c:v>
                </c:pt>
                <c:pt idx="135">
                  <c:v>-16.562000000000005</c:v>
                </c:pt>
                <c:pt idx="136">
                  <c:v>-16.562000000000005</c:v>
                </c:pt>
                <c:pt idx="137">
                  <c:v>-16.562000000000005</c:v>
                </c:pt>
                <c:pt idx="138">
                  <c:v>-16.562000000000005</c:v>
                </c:pt>
                <c:pt idx="139">
                  <c:v>-16.562000000000005</c:v>
                </c:pt>
                <c:pt idx="140">
                  <c:v>-16.562000000000005</c:v>
                </c:pt>
                <c:pt idx="141">
                  <c:v>-16.562000000000005</c:v>
                </c:pt>
                <c:pt idx="142">
                  <c:v>-16.562000000000005</c:v>
                </c:pt>
                <c:pt idx="143">
                  <c:v>-16.562000000000005</c:v>
                </c:pt>
                <c:pt idx="144">
                  <c:v>-16.562000000000005</c:v>
                </c:pt>
                <c:pt idx="145">
                  <c:v>-16.562000000000005</c:v>
                </c:pt>
                <c:pt idx="146">
                  <c:v>-16.562000000000005</c:v>
                </c:pt>
                <c:pt idx="147">
                  <c:v>-16.562000000000005</c:v>
                </c:pt>
                <c:pt idx="148">
                  <c:v>-16.562000000000005</c:v>
                </c:pt>
                <c:pt idx="149">
                  <c:v>-16.562000000000005</c:v>
                </c:pt>
                <c:pt idx="150">
                  <c:v>-16.562000000000005</c:v>
                </c:pt>
                <c:pt idx="151">
                  <c:v>-16.562000000000005</c:v>
                </c:pt>
                <c:pt idx="152">
                  <c:v>-16.562000000000005</c:v>
                </c:pt>
                <c:pt idx="153">
                  <c:v>-16.562000000000005</c:v>
                </c:pt>
                <c:pt idx="154">
                  <c:v>-16.562000000000005</c:v>
                </c:pt>
                <c:pt idx="155">
                  <c:v>-16.562000000000005</c:v>
                </c:pt>
                <c:pt idx="156">
                  <c:v>-16.562000000000005</c:v>
                </c:pt>
                <c:pt idx="157">
                  <c:v>-16.562000000000005</c:v>
                </c:pt>
                <c:pt idx="158">
                  <c:v>-16.562000000000005</c:v>
                </c:pt>
                <c:pt idx="159">
                  <c:v>-16.562000000000005</c:v>
                </c:pt>
                <c:pt idx="160">
                  <c:v>-16.562000000000005</c:v>
                </c:pt>
                <c:pt idx="161">
                  <c:v>-16.562000000000005</c:v>
                </c:pt>
                <c:pt idx="162">
                  <c:v>-16.562000000000005</c:v>
                </c:pt>
                <c:pt idx="163">
                  <c:v>-16.562000000000005</c:v>
                </c:pt>
                <c:pt idx="164">
                  <c:v>-16.562000000000005</c:v>
                </c:pt>
                <c:pt idx="165">
                  <c:v>-16.562000000000005</c:v>
                </c:pt>
                <c:pt idx="166">
                  <c:v>-16.712000000000003</c:v>
                </c:pt>
                <c:pt idx="167">
                  <c:v>-16.712000000000003</c:v>
                </c:pt>
                <c:pt idx="168">
                  <c:v>-17.474000000000004</c:v>
                </c:pt>
                <c:pt idx="169">
                  <c:v>-17.474000000000004</c:v>
                </c:pt>
                <c:pt idx="170">
                  <c:v>-18.624000000000006</c:v>
                </c:pt>
                <c:pt idx="171">
                  <c:v>-18.624000000000006</c:v>
                </c:pt>
                <c:pt idx="172">
                  <c:v>-18.624000000000006</c:v>
                </c:pt>
                <c:pt idx="173">
                  <c:v>-18.624000000000006</c:v>
                </c:pt>
                <c:pt idx="174">
                  <c:v>-18.624000000000006</c:v>
                </c:pt>
                <c:pt idx="175">
                  <c:v>-18.624000000000006</c:v>
                </c:pt>
                <c:pt idx="176">
                  <c:v>-18.624000000000006</c:v>
                </c:pt>
                <c:pt idx="177">
                  <c:v>-18.624000000000006</c:v>
                </c:pt>
                <c:pt idx="178">
                  <c:v>-18.624000000000006</c:v>
                </c:pt>
                <c:pt idx="179">
                  <c:v>-18.624000000000006</c:v>
                </c:pt>
                <c:pt idx="180">
                  <c:v>-18.624000000000006</c:v>
                </c:pt>
                <c:pt idx="181">
                  <c:v>-18.624000000000006</c:v>
                </c:pt>
                <c:pt idx="182">
                  <c:v>-18.624000000000006</c:v>
                </c:pt>
                <c:pt idx="183">
                  <c:v>-18.624000000000006</c:v>
                </c:pt>
                <c:pt idx="184">
                  <c:v>-18.624000000000006</c:v>
                </c:pt>
                <c:pt idx="185">
                  <c:v>-18.624000000000006</c:v>
                </c:pt>
                <c:pt idx="186">
                  <c:v>-18.624000000000006</c:v>
                </c:pt>
                <c:pt idx="187">
                  <c:v>-18.624000000000006</c:v>
                </c:pt>
                <c:pt idx="188">
                  <c:v>-18.624000000000006</c:v>
                </c:pt>
                <c:pt idx="189">
                  <c:v>-18.624000000000006</c:v>
                </c:pt>
                <c:pt idx="190">
                  <c:v>-18.624000000000006</c:v>
                </c:pt>
                <c:pt idx="191">
                  <c:v>-18.624000000000006</c:v>
                </c:pt>
                <c:pt idx="192">
                  <c:v>-18.624000000000006</c:v>
                </c:pt>
                <c:pt idx="193">
                  <c:v>-18.624000000000006</c:v>
                </c:pt>
                <c:pt idx="194">
                  <c:v>-18.624000000000006</c:v>
                </c:pt>
                <c:pt idx="195">
                  <c:v>-18.624000000000006</c:v>
                </c:pt>
                <c:pt idx="196">
                  <c:v>-18.624000000000006</c:v>
                </c:pt>
                <c:pt idx="197">
                  <c:v>-18.624000000000006</c:v>
                </c:pt>
                <c:pt idx="198">
                  <c:v>-18.624000000000006</c:v>
                </c:pt>
                <c:pt idx="199">
                  <c:v>-18.624000000000006</c:v>
                </c:pt>
                <c:pt idx="200">
                  <c:v>-18.624000000000006</c:v>
                </c:pt>
                <c:pt idx="201">
                  <c:v>-18.624000000000006</c:v>
                </c:pt>
                <c:pt idx="202">
                  <c:v>-18.624000000000006</c:v>
                </c:pt>
                <c:pt idx="203">
                  <c:v>-18.624000000000006</c:v>
                </c:pt>
                <c:pt idx="204">
                  <c:v>-18.624000000000006</c:v>
                </c:pt>
                <c:pt idx="205">
                  <c:v>-18.624000000000006</c:v>
                </c:pt>
                <c:pt idx="206">
                  <c:v>-18.624000000000006</c:v>
                </c:pt>
                <c:pt idx="207">
                  <c:v>-18.624000000000006</c:v>
                </c:pt>
                <c:pt idx="208">
                  <c:v>-18.624000000000006</c:v>
                </c:pt>
                <c:pt idx="209">
                  <c:v>-18.624000000000006</c:v>
                </c:pt>
                <c:pt idx="210">
                  <c:v>-18.624000000000006</c:v>
                </c:pt>
                <c:pt idx="211">
                  <c:v>-18.624000000000006</c:v>
                </c:pt>
                <c:pt idx="212">
                  <c:v>-18.624000000000006</c:v>
                </c:pt>
                <c:pt idx="213">
                  <c:v>-18.624000000000006</c:v>
                </c:pt>
                <c:pt idx="214">
                  <c:v>-18.624000000000006</c:v>
                </c:pt>
                <c:pt idx="215">
                  <c:v>-18.624000000000006</c:v>
                </c:pt>
                <c:pt idx="216">
                  <c:v>-18.624000000000006</c:v>
                </c:pt>
                <c:pt idx="217">
                  <c:v>-18.624000000000006</c:v>
                </c:pt>
                <c:pt idx="218">
                  <c:v>-18.624000000000006</c:v>
                </c:pt>
                <c:pt idx="219">
                  <c:v>-18.624000000000006</c:v>
                </c:pt>
                <c:pt idx="220">
                  <c:v>-18.624000000000006</c:v>
                </c:pt>
                <c:pt idx="221">
                  <c:v>-18.624000000000006</c:v>
                </c:pt>
                <c:pt idx="222">
                  <c:v>-18.624000000000006</c:v>
                </c:pt>
                <c:pt idx="223">
                  <c:v>-18.624000000000006</c:v>
                </c:pt>
                <c:pt idx="224">
                  <c:v>-18.624000000000006</c:v>
                </c:pt>
                <c:pt idx="225">
                  <c:v>-18.624000000000006</c:v>
                </c:pt>
                <c:pt idx="226">
                  <c:v>-18.624000000000006</c:v>
                </c:pt>
                <c:pt idx="227">
                  <c:v>-18.624000000000006</c:v>
                </c:pt>
                <c:pt idx="228">
                  <c:v>-18.624000000000006</c:v>
                </c:pt>
                <c:pt idx="229">
                  <c:v>-18.624000000000006</c:v>
                </c:pt>
                <c:pt idx="230">
                  <c:v>-18.624000000000006</c:v>
                </c:pt>
                <c:pt idx="231">
                  <c:v>-18.624000000000006</c:v>
                </c:pt>
                <c:pt idx="232">
                  <c:v>-18.624000000000006</c:v>
                </c:pt>
                <c:pt idx="233">
                  <c:v>-18.624000000000006</c:v>
                </c:pt>
                <c:pt idx="234">
                  <c:v>-18.624000000000006</c:v>
                </c:pt>
                <c:pt idx="235">
                  <c:v>-18.624000000000006</c:v>
                </c:pt>
                <c:pt idx="236">
                  <c:v>-18.624000000000006</c:v>
                </c:pt>
                <c:pt idx="237">
                  <c:v>-18.624000000000006</c:v>
                </c:pt>
                <c:pt idx="238">
                  <c:v>-18.624000000000006</c:v>
                </c:pt>
                <c:pt idx="239">
                  <c:v>-18.624000000000006</c:v>
                </c:pt>
                <c:pt idx="240">
                  <c:v>-18.624000000000006</c:v>
                </c:pt>
                <c:pt idx="241">
                  <c:v>-18.624000000000006</c:v>
                </c:pt>
                <c:pt idx="242">
                  <c:v>-18.624000000000006</c:v>
                </c:pt>
                <c:pt idx="243">
                  <c:v>-18.624000000000006</c:v>
                </c:pt>
                <c:pt idx="244">
                  <c:v>-18.624000000000006</c:v>
                </c:pt>
                <c:pt idx="245">
                  <c:v>-18.624000000000006</c:v>
                </c:pt>
                <c:pt idx="246">
                  <c:v>-18.624000000000006</c:v>
                </c:pt>
                <c:pt idx="247">
                  <c:v>-18.624000000000006</c:v>
                </c:pt>
                <c:pt idx="248">
                  <c:v>-18.624000000000006</c:v>
                </c:pt>
                <c:pt idx="249">
                  <c:v>-18.624000000000006</c:v>
                </c:pt>
                <c:pt idx="250">
                  <c:v>-18.624000000000006</c:v>
                </c:pt>
                <c:pt idx="251">
                  <c:v>-18.624000000000006</c:v>
                </c:pt>
                <c:pt idx="252">
                  <c:v>-18.624000000000006</c:v>
                </c:pt>
                <c:pt idx="253">
                  <c:v>-18.624000000000006</c:v>
                </c:pt>
                <c:pt idx="254">
                  <c:v>-18.624000000000006</c:v>
                </c:pt>
                <c:pt idx="255">
                  <c:v>-18.624000000000006</c:v>
                </c:pt>
                <c:pt idx="256">
                  <c:v>-18.624000000000006</c:v>
                </c:pt>
                <c:pt idx="257">
                  <c:v>-18.624000000000006</c:v>
                </c:pt>
                <c:pt idx="258">
                  <c:v>-18.624000000000006</c:v>
                </c:pt>
                <c:pt idx="259">
                  <c:v>-18.624000000000006</c:v>
                </c:pt>
                <c:pt idx="260">
                  <c:v>-18.624000000000006</c:v>
                </c:pt>
                <c:pt idx="261">
                  <c:v>-18.624000000000006</c:v>
                </c:pt>
                <c:pt idx="262">
                  <c:v>-18.624000000000006</c:v>
                </c:pt>
                <c:pt idx="263">
                  <c:v>-18.624000000000006</c:v>
                </c:pt>
                <c:pt idx="264">
                  <c:v>-18.624000000000006</c:v>
                </c:pt>
                <c:pt idx="265">
                  <c:v>-18.624000000000006</c:v>
                </c:pt>
                <c:pt idx="266">
                  <c:v>-18.624000000000006</c:v>
                </c:pt>
                <c:pt idx="267">
                  <c:v>-18.624000000000006</c:v>
                </c:pt>
                <c:pt idx="268">
                  <c:v>-18.624000000000006</c:v>
                </c:pt>
                <c:pt idx="269">
                  <c:v>-18.624000000000006</c:v>
                </c:pt>
                <c:pt idx="270">
                  <c:v>-18.624000000000006</c:v>
                </c:pt>
                <c:pt idx="271">
                  <c:v>-18.624000000000006</c:v>
                </c:pt>
                <c:pt idx="272">
                  <c:v>-18.624000000000006</c:v>
                </c:pt>
                <c:pt idx="273">
                  <c:v>-18.624000000000006</c:v>
                </c:pt>
                <c:pt idx="274">
                  <c:v>-18.624000000000006</c:v>
                </c:pt>
                <c:pt idx="275">
                  <c:v>-18.624000000000006</c:v>
                </c:pt>
                <c:pt idx="276">
                  <c:v>-18.624000000000006</c:v>
                </c:pt>
                <c:pt idx="277">
                  <c:v>-18.624000000000006</c:v>
                </c:pt>
                <c:pt idx="278">
                  <c:v>-18.624000000000006</c:v>
                </c:pt>
                <c:pt idx="279">
                  <c:v>-18.624000000000006</c:v>
                </c:pt>
                <c:pt idx="280">
                  <c:v>-18.624000000000006</c:v>
                </c:pt>
                <c:pt idx="281">
                  <c:v>-18.624000000000006</c:v>
                </c:pt>
                <c:pt idx="282">
                  <c:v>-18.624000000000006</c:v>
                </c:pt>
                <c:pt idx="283">
                  <c:v>-18.624000000000006</c:v>
                </c:pt>
                <c:pt idx="284">
                  <c:v>-18.624000000000006</c:v>
                </c:pt>
                <c:pt idx="285">
                  <c:v>-18.624000000000006</c:v>
                </c:pt>
                <c:pt idx="286">
                  <c:v>-18.624000000000006</c:v>
                </c:pt>
                <c:pt idx="287">
                  <c:v>-18.624000000000006</c:v>
                </c:pt>
                <c:pt idx="288">
                  <c:v>-18.624000000000006</c:v>
                </c:pt>
                <c:pt idx="289">
                  <c:v>-18.624000000000006</c:v>
                </c:pt>
                <c:pt idx="290">
                  <c:v>-18.624000000000006</c:v>
                </c:pt>
                <c:pt idx="291">
                  <c:v>-18.624000000000006</c:v>
                </c:pt>
                <c:pt idx="292">
                  <c:v>-18.624000000000006</c:v>
                </c:pt>
                <c:pt idx="293">
                  <c:v>-18.624000000000006</c:v>
                </c:pt>
                <c:pt idx="294">
                  <c:v>-18.624000000000006</c:v>
                </c:pt>
                <c:pt idx="295">
                  <c:v>-18.624000000000006</c:v>
                </c:pt>
                <c:pt idx="296">
                  <c:v>-18.624000000000006</c:v>
                </c:pt>
                <c:pt idx="297">
                  <c:v>-18.624000000000006</c:v>
                </c:pt>
                <c:pt idx="298">
                  <c:v>-18.624000000000006</c:v>
                </c:pt>
                <c:pt idx="299">
                  <c:v>-18.624000000000006</c:v>
                </c:pt>
                <c:pt idx="300">
                  <c:v>-18.624000000000006</c:v>
                </c:pt>
                <c:pt idx="301">
                  <c:v>-18.624000000000006</c:v>
                </c:pt>
                <c:pt idx="302">
                  <c:v>-18.624000000000006</c:v>
                </c:pt>
                <c:pt idx="303">
                  <c:v>-18.624000000000006</c:v>
                </c:pt>
                <c:pt idx="304">
                  <c:v>-18.624000000000006</c:v>
                </c:pt>
                <c:pt idx="305">
                  <c:v>-18.624000000000006</c:v>
                </c:pt>
                <c:pt idx="306">
                  <c:v>-18.624000000000006</c:v>
                </c:pt>
                <c:pt idx="307">
                  <c:v>-18.624000000000006</c:v>
                </c:pt>
                <c:pt idx="308">
                  <c:v>-18.624000000000006</c:v>
                </c:pt>
                <c:pt idx="309">
                  <c:v>-18.624000000000006</c:v>
                </c:pt>
                <c:pt idx="310">
                  <c:v>-18.624000000000006</c:v>
                </c:pt>
                <c:pt idx="311">
                  <c:v>-18.624000000000006</c:v>
                </c:pt>
                <c:pt idx="312">
                  <c:v>-18.624000000000006</c:v>
                </c:pt>
                <c:pt idx="313">
                  <c:v>-18.624000000000006</c:v>
                </c:pt>
                <c:pt idx="314">
                  <c:v>-18.624000000000006</c:v>
                </c:pt>
                <c:pt idx="315">
                  <c:v>-18.624000000000006</c:v>
                </c:pt>
                <c:pt idx="316">
                  <c:v>-18.624000000000006</c:v>
                </c:pt>
                <c:pt idx="317">
                  <c:v>-18.624000000000006</c:v>
                </c:pt>
                <c:pt idx="318">
                  <c:v>-18.624000000000006</c:v>
                </c:pt>
                <c:pt idx="319">
                  <c:v>-18.624000000000006</c:v>
                </c:pt>
                <c:pt idx="320">
                  <c:v>-18.624000000000006</c:v>
                </c:pt>
                <c:pt idx="321">
                  <c:v>-18.624000000000006</c:v>
                </c:pt>
                <c:pt idx="322">
                  <c:v>-18.624000000000006</c:v>
                </c:pt>
                <c:pt idx="323">
                  <c:v>-18.624000000000006</c:v>
                </c:pt>
                <c:pt idx="324">
                  <c:v>-18.624000000000006</c:v>
                </c:pt>
                <c:pt idx="325">
                  <c:v>-18.624000000000006</c:v>
                </c:pt>
              </c:numCache>
            </c:numRef>
          </c:xVal>
          <c:yVal>
            <c:numRef>
              <c:f>'Data Fuselage'!$BC$210:$BC$535</c:f>
              <c:numCache>
                <c:formatCode>General</c:formatCode>
                <c:ptCount val="326"/>
                <c:pt idx="0">
                  <c:v>-1.4960570012328709</c:v>
                </c:pt>
                <c:pt idx="1">
                  <c:v>-1.4960570012328709</c:v>
                </c:pt>
                <c:pt idx="2">
                  <c:v>-1.4960570012328709</c:v>
                </c:pt>
                <c:pt idx="3">
                  <c:v>-1.4960570012328709</c:v>
                </c:pt>
                <c:pt idx="4">
                  <c:v>-1.4960570012328709</c:v>
                </c:pt>
                <c:pt idx="5">
                  <c:v>-1.4960570012328709</c:v>
                </c:pt>
                <c:pt idx="6">
                  <c:v>-1.4960570012328709</c:v>
                </c:pt>
                <c:pt idx="7">
                  <c:v>-1.6053795662883501</c:v>
                </c:pt>
                <c:pt idx="8">
                  <c:v>-1.6053795662883501</c:v>
                </c:pt>
                <c:pt idx="9">
                  <c:v>-1.4960570012328709</c:v>
                </c:pt>
                <c:pt idx="10">
                  <c:v>-1.4960570012328709</c:v>
                </c:pt>
                <c:pt idx="11">
                  <c:v>-1.4960570012328709</c:v>
                </c:pt>
                <c:pt idx="12">
                  <c:v>-1.4960570012328709</c:v>
                </c:pt>
                <c:pt idx="13">
                  <c:v>-1.4960570012328709</c:v>
                </c:pt>
                <c:pt idx="14">
                  <c:v>-1.4960570012328709</c:v>
                </c:pt>
                <c:pt idx="15">
                  <c:v>-1.4960570012328709</c:v>
                </c:pt>
                <c:pt idx="16">
                  <c:v>-1.4960570012328709</c:v>
                </c:pt>
                <c:pt idx="17">
                  <c:v>-1.4960570012328709</c:v>
                </c:pt>
                <c:pt idx="18">
                  <c:v>-1.4960570012328709</c:v>
                </c:pt>
                <c:pt idx="19">
                  <c:v>-1.4960570012328709</c:v>
                </c:pt>
                <c:pt idx="20">
                  <c:v>-1.4960570012328709</c:v>
                </c:pt>
                <c:pt idx="21">
                  <c:v>-1.4960570012328709</c:v>
                </c:pt>
                <c:pt idx="22">
                  <c:v>-1.4960570012328709</c:v>
                </c:pt>
                <c:pt idx="23">
                  <c:v>-1.4960570012328709</c:v>
                </c:pt>
                <c:pt idx="24">
                  <c:v>-1.4960570012328709</c:v>
                </c:pt>
                <c:pt idx="25">
                  <c:v>-1.4960570012328709</c:v>
                </c:pt>
                <c:pt idx="26">
                  <c:v>-1.4960570012328709</c:v>
                </c:pt>
                <c:pt idx="27">
                  <c:v>-1.4960570012328709</c:v>
                </c:pt>
                <c:pt idx="28">
                  <c:v>-1.4960570012328709</c:v>
                </c:pt>
                <c:pt idx="29">
                  <c:v>-1.4960570012328709</c:v>
                </c:pt>
                <c:pt idx="30">
                  <c:v>-1.4960570012328709</c:v>
                </c:pt>
                <c:pt idx="31">
                  <c:v>-1.4960570012328709</c:v>
                </c:pt>
                <c:pt idx="32">
                  <c:v>-1.4960570012328709</c:v>
                </c:pt>
                <c:pt idx="33">
                  <c:v>-1.4960570012328709</c:v>
                </c:pt>
                <c:pt idx="34">
                  <c:v>-1.4960570012328709</c:v>
                </c:pt>
                <c:pt idx="35">
                  <c:v>-1.4960570012328709</c:v>
                </c:pt>
                <c:pt idx="36">
                  <c:v>-1.4960570012328709</c:v>
                </c:pt>
                <c:pt idx="37">
                  <c:v>-1.4960570012328709</c:v>
                </c:pt>
                <c:pt idx="38">
                  <c:v>-1.4960570012328709</c:v>
                </c:pt>
                <c:pt idx="39">
                  <c:v>-1.4960570012328709</c:v>
                </c:pt>
                <c:pt idx="40">
                  <c:v>-1.4960570012328709</c:v>
                </c:pt>
                <c:pt idx="41">
                  <c:v>-1.4960570012328709</c:v>
                </c:pt>
                <c:pt idx="42">
                  <c:v>-1.4960570012328709</c:v>
                </c:pt>
                <c:pt idx="43">
                  <c:v>-1.4960570012328709</c:v>
                </c:pt>
                <c:pt idx="44">
                  <c:v>-1.4960570012328709</c:v>
                </c:pt>
                <c:pt idx="45">
                  <c:v>-1.4960570012328709</c:v>
                </c:pt>
                <c:pt idx="46">
                  <c:v>-1.4960570012328709</c:v>
                </c:pt>
                <c:pt idx="47">
                  <c:v>-1.4960570012328709</c:v>
                </c:pt>
                <c:pt idx="48">
                  <c:v>-1.4960570012328709</c:v>
                </c:pt>
                <c:pt idx="49">
                  <c:v>-1.4960570012328709</c:v>
                </c:pt>
                <c:pt idx="50">
                  <c:v>-1.4960570012328709</c:v>
                </c:pt>
                <c:pt idx="51">
                  <c:v>-1.4960570012328709</c:v>
                </c:pt>
                <c:pt idx="52">
                  <c:v>-1.4960570012328709</c:v>
                </c:pt>
                <c:pt idx="53">
                  <c:v>-1.4960570012328709</c:v>
                </c:pt>
                <c:pt idx="54">
                  <c:v>-1.4960570012328709</c:v>
                </c:pt>
                <c:pt idx="55">
                  <c:v>-1.4960570012328709</c:v>
                </c:pt>
                <c:pt idx="56">
                  <c:v>-1.4960570012328709</c:v>
                </c:pt>
                <c:pt idx="57">
                  <c:v>-1.4960570012328709</c:v>
                </c:pt>
                <c:pt idx="58">
                  <c:v>-1.4960570012328709</c:v>
                </c:pt>
                <c:pt idx="59">
                  <c:v>-1.4960570012328709</c:v>
                </c:pt>
                <c:pt idx="60">
                  <c:v>-1.4960570012328709</c:v>
                </c:pt>
                <c:pt idx="61">
                  <c:v>-1.4960570012328709</c:v>
                </c:pt>
                <c:pt idx="62">
                  <c:v>-1.6053795662883501</c:v>
                </c:pt>
                <c:pt idx="63">
                  <c:v>-1.6053795662883501</c:v>
                </c:pt>
                <c:pt idx="64">
                  <c:v>-1.4960570012328709</c:v>
                </c:pt>
                <c:pt idx="65">
                  <c:v>-1.4960570012328709</c:v>
                </c:pt>
                <c:pt idx="66">
                  <c:v>-1.4960570012328709</c:v>
                </c:pt>
                <c:pt idx="67">
                  <c:v>-1.4960570012328709</c:v>
                </c:pt>
                <c:pt idx="68">
                  <c:v>-1.4960570012328709</c:v>
                </c:pt>
                <c:pt idx="69">
                  <c:v>-1.4960570012328709</c:v>
                </c:pt>
                <c:pt idx="70">
                  <c:v>-1.4960570012328709</c:v>
                </c:pt>
                <c:pt idx="71">
                  <c:v>-1.4960570012328709</c:v>
                </c:pt>
                <c:pt idx="72">
                  <c:v>-1.4960570012328709</c:v>
                </c:pt>
                <c:pt idx="73">
                  <c:v>-1.4960570012328709</c:v>
                </c:pt>
                <c:pt idx="74">
                  <c:v>-1.4960570012328709</c:v>
                </c:pt>
                <c:pt idx="75">
                  <c:v>-1.4960570012328709</c:v>
                </c:pt>
                <c:pt idx="76">
                  <c:v>-1.4960570012328709</c:v>
                </c:pt>
                <c:pt idx="77">
                  <c:v>-1.6053795662883501</c:v>
                </c:pt>
                <c:pt idx="78">
                  <c:v>-1.6053795662883501</c:v>
                </c:pt>
                <c:pt idx="79">
                  <c:v>-1.4960570012328709</c:v>
                </c:pt>
                <c:pt idx="80">
                  <c:v>-1.4960570012328709</c:v>
                </c:pt>
                <c:pt idx="81">
                  <c:v>-1.4960570012328709</c:v>
                </c:pt>
                <c:pt idx="82">
                  <c:v>-1.4960570012328709</c:v>
                </c:pt>
                <c:pt idx="83">
                  <c:v>-1.4960570012328709</c:v>
                </c:pt>
                <c:pt idx="84">
                  <c:v>-1.4960570012328709</c:v>
                </c:pt>
                <c:pt idx="85">
                  <c:v>-1.4960570012328709</c:v>
                </c:pt>
                <c:pt idx="86">
                  <c:v>-1.4960570012328709</c:v>
                </c:pt>
                <c:pt idx="87">
                  <c:v>-1.4960570012328709</c:v>
                </c:pt>
                <c:pt idx="88">
                  <c:v>-1.4960570012328709</c:v>
                </c:pt>
                <c:pt idx="89">
                  <c:v>-1.4960570012328709</c:v>
                </c:pt>
                <c:pt idx="90">
                  <c:v>-1.4960570012328709</c:v>
                </c:pt>
                <c:pt idx="91">
                  <c:v>-1.4960570012328709</c:v>
                </c:pt>
                <c:pt idx="92">
                  <c:v>-1.4960570012328709</c:v>
                </c:pt>
                <c:pt idx="93">
                  <c:v>-1.4960570012328709</c:v>
                </c:pt>
                <c:pt idx="94">
                  <c:v>-1.4960570012328709</c:v>
                </c:pt>
                <c:pt idx="95">
                  <c:v>-1.4960570012328709</c:v>
                </c:pt>
                <c:pt idx="96">
                  <c:v>-1.4960570012328709</c:v>
                </c:pt>
                <c:pt idx="97">
                  <c:v>-1.4960570012328709</c:v>
                </c:pt>
                <c:pt idx="98">
                  <c:v>-1.4960570012328709</c:v>
                </c:pt>
                <c:pt idx="99">
                  <c:v>-1.4960570012328709</c:v>
                </c:pt>
                <c:pt idx="100">
                  <c:v>-1.4960570012328709</c:v>
                </c:pt>
                <c:pt idx="101">
                  <c:v>-1.4960570012328709</c:v>
                </c:pt>
                <c:pt idx="102">
                  <c:v>-1.4960570012328709</c:v>
                </c:pt>
                <c:pt idx="103">
                  <c:v>-1.4960570012328709</c:v>
                </c:pt>
                <c:pt idx="104">
                  <c:v>-1.4960570012328709</c:v>
                </c:pt>
                <c:pt idx="105">
                  <c:v>-1.4960570012328709</c:v>
                </c:pt>
                <c:pt idx="106">
                  <c:v>-1.4960570012328709</c:v>
                </c:pt>
                <c:pt idx="107">
                  <c:v>-1.4960570012328709</c:v>
                </c:pt>
                <c:pt idx="108">
                  <c:v>-1.4960570012328709</c:v>
                </c:pt>
                <c:pt idx="109">
                  <c:v>-1.4960570012328709</c:v>
                </c:pt>
                <c:pt idx="110">
                  <c:v>-1.4960570012328709</c:v>
                </c:pt>
                <c:pt idx="111">
                  <c:v>-1.4960570012328709</c:v>
                </c:pt>
                <c:pt idx="112">
                  <c:v>-1.4960570012328709</c:v>
                </c:pt>
                <c:pt idx="113">
                  <c:v>-1.4960570012328709</c:v>
                </c:pt>
                <c:pt idx="114">
                  <c:v>-1.4960570012328709</c:v>
                </c:pt>
                <c:pt idx="115">
                  <c:v>-1.4960570012328709</c:v>
                </c:pt>
                <c:pt idx="116">
                  <c:v>-1.4960570012328709</c:v>
                </c:pt>
                <c:pt idx="117">
                  <c:v>-1.4960570012328709</c:v>
                </c:pt>
                <c:pt idx="118">
                  <c:v>-1.4960570012328709</c:v>
                </c:pt>
                <c:pt idx="119">
                  <c:v>-1.4960570012328709</c:v>
                </c:pt>
                <c:pt idx="120">
                  <c:v>-1.4960570012328709</c:v>
                </c:pt>
                <c:pt idx="121">
                  <c:v>-1.4960570012328709</c:v>
                </c:pt>
                <c:pt idx="122">
                  <c:v>-1.4960570012328709</c:v>
                </c:pt>
                <c:pt idx="123">
                  <c:v>-1.4960570012328709</c:v>
                </c:pt>
                <c:pt idx="124">
                  <c:v>-1.4960570012328709</c:v>
                </c:pt>
                <c:pt idx="125">
                  <c:v>-1.4960570012328709</c:v>
                </c:pt>
                <c:pt idx="126">
                  <c:v>-1.4960570012328709</c:v>
                </c:pt>
                <c:pt idx="127">
                  <c:v>-1.4960570012328709</c:v>
                </c:pt>
                <c:pt idx="128">
                  <c:v>-1.4960570012328709</c:v>
                </c:pt>
                <c:pt idx="129">
                  <c:v>-1.4960570012328709</c:v>
                </c:pt>
                <c:pt idx="130">
                  <c:v>-1.4960570012328709</c:v>
                </c:pt>
                <c:pt idx="131">
                  <c:v>-1.4960570012328709</c:v>
                </c:pt>
                <c:pt idx="132">
                  <c:v>-1.4960570012328709</c:v>
                </c:pt>
                <c:pt idx="133">
                  <c:v>-1.4960570012328709</c:v>
                </c:pt>
                <c:pt idx="134">
                  <c:v>-1.4960570012328709</c:v>
                </c:pt>
                <c:pt idx="135">
                  <c:v>-1.4960570012328709</c:v>
                </c:pt>
                <c:pt idx="136">
                  <c:v>-1.4960570012328709</c:v>
                </c:pt>
                <c:pt idx="137">
                  <c:v>-1.4960570012328709</c:v>
                </c:pt>
                <c:pt idx="138">
                  <c:v>-1.4960570012328709</c:v>
                </c:pt>
                <c:pt idx="139">
                  <c:v>-1.4960570012328709</c:v>
                </c:pt>
                <c:pt idx="140">
                  <c:v>-1.4960570012328709</c:v>
                </c:pt>
                <c:pt idx="141">
                  <c:v>-1.4960570012328709</c:v>
                </c:pt>
                <c:pt idx="142">
                  <c:v>-1.4960570012328709</c:v>
                </c:pt>
                <c:pt idx="143">
                  <c:v>-1.4960570012328709</c:v>
                </c:pt>
                <c:pt idx="144">
                  <c:v>-1.4960570012328709</c:v>
                </c:pt>
                <c:pt idx="145">
                  <c:v>-1.4960570012328709</c:v>
                </c:pt>
                <c:pt idx="146">
                  <c:v>-1.4960570012328709</c:v>
                </c:pt>
                <c:pt idx="147">
                  <c:v>-1.4960570012328709</c:v>
                </c:pt>
                <c:pt idx="148">
                  <c:v>-1.4960570012328709</c:v>
                </c:pt>
                <c:pt idx="149">
                  <c:v>-1.4960570012328709</c:v>
                </c:pt>
                <c:pt idx="150">
                  <c:v>-1.4960570012328709</c:v>
                </c:pt>
                <c:pt idx="151">
                  <c:v>-1.4960570012328709</c:v>
                </c:pt>
                <c:pt idx="152">
                  <c:v>-1.4960570012328709</c:v>
                </c:pt>
                <c:pt idx="153">
                  <c:v>-1.4960570012328709</c:v>
                </c:pt>
                <c:pt idx="154">
                  <c:v>-1.4960570012328709</c:v>
                </c:pt>
                <c:pt idx="155">
                  <c:v>-1.4960570012328709</c:v>
                </c:pt>
                <c:pt idx="156">
                  <c:v>-1.4960570012328709</c:v>
                </c:pt>
                <c:pt idx="157">
                  <c:v>-1.4960570012328709</c:v>
                </c:pt>
                <c:pt idx="158">
                  <c:v>-1.4960570012328709</c:v>
                </c:pt>
                <c:pt idx="159">
                  <c:v>-1.4960570012328709</c:v>
                </c:pt>
                <c:pt idx="160">
                  <c:v>-1.4960570012328709</c:v>
                </c:pt>
                <c:pt idx="161">
                  <c:v>-1.4960570012328709</c:v>
                </c:pt>
                <c:pt idx="162">
                  <c:v>-1.4960570012328709</c:v>
                </c:pt>
                <c:pt idx="163">
                  <c:v>-1.4960570012328709</c:v>
                </c:pt>
                <c:pt idx="164">
                  <c:v>-1.4960570012328709</c:v>
                </c:pt>
                <c:pt idx="165">
                  <c:v>-1.4960570012328709</c:v>
                </c:pt>
                <c:pt idx="166">
                  <c:v>-1.4960570012328709</c:v>
                </c:pt>
                <c:pt idx="167">
                  <c:v>-1.6053795662883501</c:v>
                </c:pt>
                <c:pt idx="168">
                  <c:v>-1.6053795662883501</c:v>
                </c:pt>
                <c:pt idx="169">
                  <c:v>-1.4960570012328709</c:v>
                </c:pt>
                <c:pt idx="170">
                  <c:v>-1.4960570012328709</c:v>
                </c:pt>
                <c:pt idx="171">
                  <c:v>-1.4960570012328709</c:v>
                </c:pt>
                <c:pt idx="172">
                  <c:v>-1.4960570012328709</c:v>
                </c:pt>
                <c:pt idx="173">
                  <c:v>-1.4960570012328709</c:v>
                </c:pt>
                <c:pt idx="174">
                  <c:v>-1.4960570012328709</c:v>
                </c:pt>
                <c:pt idx="175">
                  <c:v>-1.4960570012328709</c:v>
                </c:pt>
                <c:pt idx="176">
                  <c:v>-1.4960570012328709</c:v>
                </c:pt>
                <c:pt idx="177">
                  <c:v>-1.4960570012328709</c:v>
                </c:pt>
                <c:pt idx="178">
                  <c:v>-1.4960570012328709</c:v>
                </c:pt>
                <c:pt idx="179">
                  <c:v>-1.4960570012328709</c:v>
                </c:pt>
                <c:pt idx="180">
                  <c:v>-1.4960570012328709</c:v>
                </c:pt>
                <c:pt idx="181">
                  <c:v>-1.4960570012328709</c:v>
                </c:pt>
                <c:pt idx="182">
                  <c:v>-1.4960570012328709</c:v>
                </c:pt>
                <c:pt idx="183">
                  <c:v>-1.4960570012328709</c:v>
                </c:pt>
                <c:pt idx="184">
                  <c:v>-1.4960570012328709</c:v>
                </c:pt>
                <c:pt idx="185">
                  <c:v>-1.4960570012328709</c:v>
                </c:pt>
                <c:pt idx="186">
                  <c:v>-1.4960570012328709</c:v>
                </c:pt>
                <c:pt idx="187">
                  <c:v>-1.4960570012328709</c:v>
                </c:pt>
                <c:pt idx="188">
                  <c:v>-1.4960570012328709</c:v>
                </c:pt>
                <c:pt idx="189">
                  <c:v>-1.4960570012328709</c:v>
                </c:pt>
                <c:pt idx="190">
                  <c:v>-1.4960570012328709</c:v>
                </c:pt>
                <c:pt idx="191">
                  <c:v>-1.4960570012328709</c:v>
                </c:pt>
                <c:pt idx="192">
                  <c:v>-1.4960570012328709</c:v>
                </c:pt>
                <c:pt idx="193">
                  <c:v>-1.4960570012328709</c:v>
                </c:pt>
                <c:pt idx="194">
                  <c:v>-1.4960570012328709</c:v>
                </c:pt>
                <c:pt idx="195">
                  <c:v>-1.4960570012328709</c:v>
                </c:pt>
                <c:pt idx="196">
                  <c:v>-1.4960570012328709</c:v>
                </c:pt>
                <c:pt idx="197">
                  <c:v>-1.4960570012328709</c:v>
                </c:pt>
                <c:pt idx="198">
                  <c:v>-1.4960570012328709</c:v>
                </c:pt>
                <c:pt idx="199">
                  <c:v>-1.4960570012328709</c:v>
                </c:pt>
                <c:pt idx="200">
                  <c:v>-1.4960570012328709</c:v>
                </c:pt>
                <c:pt idx="201">
                  <c:v>-1.4960570012328709</c:v>
                </c:pt>
                <c:pt idx="202">
                  <c:v>-1.4960570012328709</c:v>
                </c:pt>
                <c:pt idx="203">
                  <c:v>-1.4960570012328709</c:v>
                </c:pt>
                <c:pt idx="204">
                  <c:v>-1.4960570012328709</c:v>
                </c:pt>
                <c:pt idx="205">
                  <c:v>-1.4960570012328709</c:v>
                </c:pt>
                <c:pt idx="206">
                  <c:v>-1.4960570012328709</c:v>
                </c:pt>
                <c:pt idx="207">
                  <c:v>-1.4960570012328709</c:v>
                </c:pt>
                <c:pt idx="208">
                  <c:v>-1.4960570012328709</c:v>
                </c:pt>
                <c:pt idx="209">
                  <c:v>-1.4960570012328709</c:v>
                </c:pt>
                <c:pt idx="210">
                  <c:v>-1.4960570012328709</c:v>
                </c:pt>
                <c:pt idx="211">
                  <c:v>-1.4960570012328709</c:v>
                </c:pt>
                <c:pt idx="212">
                  <c:v>-1.4960570012328709</c:v>
                </c:pt>
                <c:pt idx="213">
                  <c:v>-1.4960570012328709</c:v>
                </c:pt>
                <c:pt idx="214">
                  <c:v>-1.4960570012328709</c:v>
                </c:pt>
                <c:pt idx="215">
                  <c:v>-1.4960570012328709</c:v>
                </c:pt>
                <c:pt idx="216">
                  <c:v>-1.4960570012328709</c:v>
                </c:pt>
                <c:pt idx="217">
                  <c:v>-1.4960570012328709</c:v>
                </c:pt>
                <c:pt idx="218">
                  <c:v>-1.4960570012328709</c:v>
                </c:pt>
                <c:pt idx="219">
                  <c:v>-1.4960570012328709</c:v>
                </c:pt>
                <c:pt idx="220">
                  <c:v>-1.4960570012328709</c:v>
                </c:pt>
                <c:pt idx="221">
                  <c:v>-1.4960570012328709</c:v>
                </c:pt>
                <c:pt idx="222">
                  <c:v>-1.4960570012328709</c:v>
                </c:pt>
                <c:pt idx="223">
                  <c:v>-1.4960570012328709</c:v>
                </c:pt>
                <c:pt idx="224">
                  <c:v>-1.4960570012328709</c:v>
                </c:pt>
                <c:pt idx="225">
                  <c:v>-1.4960570012328709</c:v>
                </c:pt>
                <c:pt idx="226">
                  <c:v>-1.4960570012328709</c:v>
                </c:pt>
                <c:pt idx="227">
                  <c:v>-1.4960570012328709</c:v>
                </c:pt>
                <c:pt idx="228">
                  <c:v>-1.4960570012328709</c:v>
                </c:pt>
                <c:pt idx="229">
                  <c:v>-1.4960570012328709</c:v>
                </c:pt>
                <c:pt idx="230">
                  <c:v>-1.4960570012328709</c:v>
                </c:pt>
                <c:pt idx="231">
                  <c:v>-1.4960570012328709</c:v>
                </c:pt>
                <c:pt idx="232">
                  <c:v>-1.4960570012328709</c:v>
                </c:pt>
                <c:pt idx="233">
                  <c:v>-1.4960570012328709</c:v>
                </c:pt>
                <c:pt idx="234">
                  <c:v>-1.4960570012328709</c:v>
                </c:pt>
                <c:pt idx="235">
                  <c:v>-1.4960570012328709</c:v>
                </c:pt>
                <c:pt idx="236">
                  <c:v>-1.4960570012328709</c:v>
                </c:pt>
                <c:pt idx="237">
                  <c:v>-1.4960570012328709</c:v>
                </c:pt>
                <c:pt idx="238">
                  <c:v>-1.4960570012328709</c:v>
                </c:pt>
                <c:pt idx="239">
                  <c:v>-1.4960570012328709</c:v>
                </c:pt>
                <c:pt idx="240">
                  <c:v>-1.4960570012328709</c:v>
                </c:pt>
                <c:pt idx="241">
                  <c:v>-1.4960570012328709</c:v>
                </c:pt>
                <c:pt idx="242">
                  <c:v>-1.4960570012328709</c:v>
                </c:pt>
                <c:pt idx="243">
                  <c:v>-1.4960570012328709</c:v>
                </c:pt>
                <c:pt idx="244">
                  <c:v>-1.4960570012328709</c:v>
                </c:pt>
                <c:pt idx="245">
                  <c:v>-1.4960570012328709</c:v>
                </c:pt>
                <c:pt idx="246">
                  <c:v>-1.4960570012328709</c:v>
                </c:pt>
                <c:pt idx="247">
                  <c:v>-1.4960570012328709</c:v>
                </c:pt>
                <c:pt idx="248">
                  <c:v>-1.4960570012328709</c:v>
                </c:pt>
                <c:pt idx="249">
                  <c:v>-1.4960570012328709</c:v>
                </c:pt>
                <c:pt idx="250">
                  <c:v>-1.4960570012328709</c:v>
                </c:pt>
                <c:pt idx="251">
                  <c:v>-1.4960570012328709</c:v>
                </c:pt>
                <c:pt idx="252">
                  <c:v>-1.4960570012328709</c:v>
                </c:pt>
                <c:pt idx="253">
                  <c:v>-1.4960570012328709</c:v>
                </c:pt>
                <c:pt idx="254">
                  <c:v>-1.4960570012328709</c:v>
                </c:pt>
                <c:pt idx="255">
                  <c:v>-1.4960570012328709</c:v>
                </c:pt>
                <c:pt idx="256">
                  <c:v>-1.4960570012328709</c:v>
                </c:pt>
                <c:pt idx="257">
                  <c:v>-1.4960570012328709</c:v>
                </c:pt>
                <c:pt idx="258">
                  <c:v>-1.4960570012328709</c:v>
                </c:pt>
                <c:pt idx="259">
                  <c:v>-1.4960570012328709</c:v>
                </c:pt>
                <c:pt idx="260">
                  <c:v>-1.4960570012328709</c:v>
                </c:pt>
                <c:pt idx="261">
                  <c:v>-1.4960570012328709</c:v>
                </c:pt>
                <c:pt idx="262">
                  <c:v>-1.4960570012328709</c:v>
                </c:pt>
                <c:pt idx="263">
                  <c:v>-1.4960570012328709</c:v>
                </c:pt>
                <c:pt idx="264">
                  <c:v>-1.4960570012328709</c:v>
                </c:pt>
                <c:pt idx="265">
                  <c:v>-1.4960570012328709</c:v>
                </c:pt>
                <c:pt idx="266">
                  <c:v>-1.4960570012328709</c:v>
                </c:pt>
                <c:pt idx="267">
                  <c:v>-1.4960570012328709</c:v>
                </c:pt>
                <c:pt idx="268">
                  <c:v>-1.4960570012328709</c:v>
                </c:pt>
                <c:pt idx="269">
                  <c:v>-1.4960570012328709</c:v>
                </c:pt>
                <c:pt idx="270">
                  <c:v>-1.4960570012328709</c:v>
                </c:pt>
                <c:pt idx="271">
                  <c:v>-1.4960570012328709</c:v>
                </c:pt>
                <c:pt idx="272">
                  <c:v>-1.4960570012328709</c:v>
                </c:pt>
                <c:pt idx="273">
                  <c:v>-1.4960570012328709</c:v>
                </c:pt>
                <c:pt idx="274">
                  <c:v>-1.4960570012328709</c:v>
                </c:pt>
                <c:pt idx="275">
                  <c:v>-1.4960570012328709</c:v>
                </c:pt>
                <c:pt idx="276">
                  <c:v>-1.4960570012328709</c:v>
                </c:pt>
                <c:pt idx="277">
                  <c:v>-1.4960570012328709</c:v>
                </c:pt>
                <c:pt idx="278">
                  <c:v>-1.4960570012328709</c:v>
                </c:pt>
                <c:pt idx="279">
                  <c:v>-1.4960570012328709</c:v>
                </c:pt>
                <c:pt idx="280">
                  <c:v>-1.4960570012328709</c:v>
                </c:pt>
                <c:pt idx="281">
                  <c:v>-1.4960570012328709</c:v>
                </c:pt>
                <c:pt idx="282">
                  <c:v>-1.4960570012328709</c:v>
                </c:pt>
                <c:pt idx="283">
                  <c:v>-1.4960570012328709</c:v>
                </c:pt>
                <c:pt idx="284">
                  <c:v>-1.4960570012328709</c:v>
                </c:pt>
                <c:pt idx="285">
                  <c:v>-1.4960570012328709</c:v>
                </c:pt>
                <c:pt idx="286">
                  <c:v>-1.4960570012328709</c:v>
                </c:pt>
                <c:pt idx="287">
                  <c:v>-1.4960570012328709</c:v>
                </c:pt>
                <c:pt idx="288">
                  <c:v>-1.4960570012328709</c:v>
                </c:pt>
                <c:pt idx="289">
                  <c:v>-1.4960570012328709</c:v>
                </c:pt>
                <c:pt idx="290">
                  <c:v>-1.4960570012328709</c:v>
                </c:pt>
                <c:pt idx="291">
                  <c:v>-1.4960570012328709</c:v>
                </c:pt>
                <c:pt idx="292">
                  <c:v>-1.4960570012328709</c:v>
                </c:pt>
                <c:pt idx="293">
                  <c:v>-1.4960570012328709</c:v>
                </c:pt>
                <c:pt idx="294">
                  <c:v>-1.4960570012328709</c:v>
                </c:pt>
                <c:pt idx="295">
                  <c:v>-1.4960570012328709</c:v>
                </c:pt>
                <c:pt idx="296">
                  <c:v>-1.4960570012328709</c:v>
                </c:pt>
                <c:pt idx="297">
                  <c:v>-1.4960570012328709</c:v>
                </c:pt>
                <c:pt idx="298">
                  <c:v>-1.4960570012328709</c:v>
                </c:pt>
                <c:pt idx="299">
                  <c:v>-1.4960570012328709</c:v>
                </c:pt>
                <c:pt idx="300">
                  <c:v>-1.4960570012328709</c:v>
                </c:pt>
                <c:pt idx="301">
                  <c:v>-1.4960570012328709</c:v>
                </c:pt>
                <c:pt idx="302">
                  <c:v>-1.4960570012328709</c:v>
                </c:pt>
                <c:pt idx="303">
                  <c:v>-1.4960570012328709</c:v>
                </c:pt>
                <c:pt idx="304">
                  <c:v>-1.4960570012328709</c:v>
                </c:pt>
                <c:pt idx="305">
                  <c:v>-1.4960570012328709</c:v>
                </c:pt>
                <c:pt idx="306">
                  <c:v>-1.4960570012328709</c:v>
                </c:pt>
                <c:pt idx="307">
                  <c:v>-1.4960570012328709</c:v>
                </c:pt>
                <c:pt idx="308">
                  <c:v>-1.4960570012328709</c:v>
                </c:pt>
                <c:pt idx="309">
                  <c:v>-1.4960570012328709</c:v>
                </c:pt>
                <c:pt idx="310">
                  <c:v>-1.4960570012328709</c:v>
                </c:pt>
                <c:pt idx="311">
                  <c:v>-1.4960570012328709</c:v>
                </c:pt>
                <c:pt idx="312">
                  <c:v>-1.4960570012328709</c:v>
                </c:pt>
                <c:pt idx="313">
                  <c:v>-1.4960570012328709</c:v>
                </c:pt>
                <c:pt idx="314">
                  <c:v>-1.4960570012328709</c:v>
                </c:pt>
                <c:pt idx="315">
                  <c:v>-1.4960570012328709</c:v>
                </c:pt>
                <c:pt idx="316">
                  <c:v>-1.4960570012328709</c:v>
                </c:pt>
                <c:pt idx="317">
                  <c:v>-1.4960570012328709</c:v>
                </c:pt>
                <c:pt idx="318">
                  <c:v>-1.4960570012328709</c:v>
                </c:pt>
                <c:pt idx="319">
                  <c:v>-1.4960570012328709</c:v>
                </c:pt>
                <c:pt idx="320">
                  <c:v>-1.4960570012328709</c:v>
                </c:pt>
                <c:pt idx="321">
                  <c:v>-1.4960570012328709</c:v>
                </c:pt>
                <c:pt idx="322">
                  <c:v>-1.4960570012328709</c:v>
                </c:pt>
                <c:pt idx="323">
                  <c:v>-1.4960570012328709</c:v>
                </c:pt>
                <c:pt idx="324">
                  <c:v>-1.4960570012328709</c:v>
                </c:pt>
                <c:pt idx="325">
                  <c:v>-1.4960570012328709</c:v>
                </c:pt>
              </c:numCache>
            </c:numRef>
          </c:yVal>
          <c:smooth val="0"/>
          <c:extLst>
            <c:ext xmlns:c16="http://schemas.microsoft.com/office/drawing/2014/chart" uri="{C3380CC4-5D6E-409C-BE32-E72D297353CC}">
              <c16:uniqueId val="{000000C3-819C-4C0B-B4D9-7F526BD4C7F7}"/>
            </c:ext>
          </c:extLst>
        </c:ser>
        <c:ser>
          <c:idx val="197"/>
          <c:order val="196"/>
          <c:tx>
            <c:strRef>
              <c:f>'Data Fuselage'!$D$2541:$E$2541</c:f>
              <c:strCache>
                <c:ptCount val="1"/>
                <c:pt idx="0">
                  <c:v>Fuselage</c:v>
                </c:pt>
              </c:strCache>
            </c:strRef>
          </c:tx>
          <c:spPr>
            <a:ln w="12700">
              <a:solidFill>
                <a:srgbClr val="000000"/>
              </a:solidFill>
              <a:prstDash val="solid"/>
            </a:ln>
          </c:spPr>
          <c:marker>
            <c:symbol val="none"/>
          </c:marker>
          <c:xVal>
            <c:numRef>
              <c:f>'Data Fuselage'!$D$2543:$D$2544</c:f>
              <c:numCache>
                <c:formatCode>0.00</c:formatCode>
                <c:ptCount val="2"/>
                <c:pt idx="0">
                  <c:v>9.0999999999999998E-2</c:v>
                </c:pt>
                <c:pt idx="1">
                  <c:v>-18.99002654111375</c:v>
                </c:pt>
              </c:numCache>
            </c:numRef>
          </c:xVal>
          <c:yVal>
            <c:numRef>
              <c:f>'Data Fuselage'!$E$2543:$E$2544</c:f>
              <c:numCache>
                <c:formatCode>0.00</c:formatCode>
                <c:ptCount val="2"/>
                <c:pt idx="0">
                  <c:v>1.6053795662883501</c:v>
                </c:pt>
                <c:pt idx="1">
                  <c:v>1.6053795662883501</c:v>
                </c:pt>
              </c:numCache>
            </c:numRef>
          </c:yVal>
          <c:smooth val="1"/>
          <c:extLst>
            <c:ext xmlns:c16="http://schemas.microsoft.com/office/drawing/2014/chart" uri="{C3380CC4-5D6E-409C-BE32-E72D297353CC}">
              <c16:uniqueId val="{000000C4-819C-4C0B-B4D9-7F526BD4C7F7}"/>
            </c:ext>
          </c:extLst>
        </c:ser>
        <c:ser>
          <c:idx val="198"/>
          <c:order val="197"/>
          <c:tx>
            <c:strRef>
              <c:f>'Data Fuselage'!$H$2541:$I$2541</c:f>
              <c:strCache>
                <c:ptCount val="1"/>
                <c:pt idx="0">
                  <c:v>Fuselage</c:v>
                </c:pt>
              </c:strCache>
            </c:strRef>
          </c:tx>
          <c:spPr>
            <a:ln w="12700">
              <a:solidFill>
                <a:srgbClr val="000000"/>
              </a:solidFill>
              <a:prstDash val="solid"/>
            </a:ln>
          </c:spPr>
          <c:marker>
            <c:symbol val="none"/>
          </c:marker>
          <c:xVal>
            <c:numRef>
              <c:f>'Data Fuselage'!$H$2543:$H$2563</c:f>
              <c:numCache>
                <c:formatCode>0.00</c:formatCode>
                <c:ptCount val="21"/>
                <c:pt idx="0">
                  <c:v>9.0999999999999998E-2</c:v>
                </c:pt>
                <c:pt idx="1">
                  <c:v>0.58224614728423518</c:v>
                </c:pt>
                <c:pt idx="2">
                  <c:v>1.0734922945684704</c:v>
                </c:pt>
                <c:pt idx="3">
                  <c:v>1.5647384418527053</c:v>
                </c:pt>
                <c:pt idx="4" formatCode="General">
                  <c:v>2.0559845891369406</c:v>
                </c:pt>
                <c:pt idx="5" formatCode="General">
                  <c:v>2.5472307364211759</c:v>
                </c:pt>
                <c:pt idx="6" formatCode="General">
                  <c:v>3.0384768837054108</c:v>
                </c:pt>
                <c:pt idx="7" formatCode="General">
                  <c:v>3.5297230309896461</c:v>
                </c:pt>
                <c:pt idx="8" formatCode="General">
                  <c:v>4.020969178273881</c:v>
                </c:pt>
                <c:pt idx="9">
                  <c:v>4.5122153255581168</c:v>
                </c:pt>
                <c:pt idx="10" formatCode="General">
                  <c:v>5.0034614728423517</c:v>
                </c:pt>
                <c:pt idx="11" formatCode="General">
                  <c:v>4.5122153255581168</c:v>
                </c:pt>
                <c:pt idx="12" formatCode="General">
                  <c:v>4.020969178273881</c:v>
                </c:pt>
                <c:pt idx="13" formatCode="General">
                  <c:v>3.5297230309896461</c:v>
                </c:pt>
                <c:pt idx="14" formatCode="General">
                  <c:v>3.0384768837054108</c:v>
                </c:pt>
                <c:pt idx="15" formatCode="General">
                  <c:v>2.5472307364211759</c:v>
                </c:pt>
                <c:pt idx="16" formatCode="General">
                  <c:v>2.0559845891369406</c:v>
                </c:pt>
                <c:pt idx="17">
                  <c:v>1.5647384418527053</c:v>
                </c:pt>
                <c:pt idx="18">
                  <c:v>1.0734922945684704</c:v>
                </c:pt>
                <c:pt idx="19">
                  <c:v>0.58224614728423518</c:v>
                </c:pt>
                <c:pt idx="20">
                  <c:v>9.0999999999999998E-2</c:v>
                </c:pt>
              </c:numCache>
            </c:numRef>
          </c:xVal>
          <c:yVal>
            <c:numRef>
              <c:f>'Data Fuselage'!$I$2543:$I$2563</c:f>
              <c:numCache>
                <c:formatCode>0.00</c:formatCode>
                <c:ptCount val="21"/>
                <c:pt idx="0">
                  <c:v>1.6053795662883501</c:v>
                </c:pt>
                <c:pt idx="1">
                  <c:v>1.5973325002445826</c:v>
                </c:pt>
                <c:pt idx="2">
                  <c:v>1.5729443123588083</c:v>
                </c:pt>
                <c:pt idx="3">
                  <c:v>1.5314345014361912</c:v>
                </c:pt>
                <c:pt idx="4">
                  <c:v>1.4713546763303482</c:v>
                </c:pt>
                <c:pt idx="5">
                  <c:v>1.3902994871221552</c:v>
                </c:pt>
                <c:pt idx="6">
                  <c:v>1.2843036530306802</c:v>
                </c:pt>
                <c:pt idx="7">
                  <c:v>1.1464703273293413</c:v>
                </c:pt>
                <c:pt idx="8">
                  <c:v>0.96322773977301024</c:v>
                </c:pt>
                <c:pt idx="9">
                  <c:v>0.69976872954760727</c:v>
                </c:pt>
                <c:pt idx="10">
                  <c:v>0</c:v>
                </c:pt>
                <c:pt idx="11">
                  <c:v>-0.69976872954760727</c:v>
                </c:pt>
                <c:pt idx="12">
                  <c:v>-0.96322773977301024</c:v>
                </c:pt>
                <c:pt idx="13">
                  <c:v>-1.1464703273293413</c:v>
                </c:pt>
                <c:pt idx="14">
                  <c:v>-1.2843036530306802</c:v>
                </c:pt>
                <c:pt idx="15">
                  <c:v>-1.3902994871221552</c:v>
                </c:pt>
                <c:pt idx="16">
                  <c:v>-1.4713546763303482</c:v>
                </c:pt>
                <c:pt idx="17">
                  <c:v>-1.5314345014361912</c:v>
                </c:pt>
                <c:pt idx="18">
                  <c:v>-1.5729443123588083</c:v>
                </c:pt>
                <c:pt idx="19">
                  <c:v>-1.5973325002445826</c:v>
                </c:pt>
                <c:pt idx="20">
                  <c:v>-1.6053795662883501</c:v>
                </c:pt>
              </c:numCache>
            </c:numRef>
          </c:yVal>
          <c:smooth val="1"/>
          <c:extLst>
            <c:ext xmlns:c16="http://schemas.microsoft.com/office/drawing/2014/chart" uri="{C3380CC4-5D6E-409C-BE32-E72D297353CC}">
              <c16:uniqueId val="{000000C5-819C-4C0B-B4D9-7F526BD4C7F7}"/>
            </c:ext>
          </c:extLst>
        </c:ser>
        <c:ser>
          <c:idx val="199"/>
          <c:order val="198"/>
          <c:tx>
            <c:strRef>
              <c:f>'Data Fuselage'!$L$2541:$M$2541</c:f>
              <c:strCache>
                <c:ptCount val="1"/>
                <c:pt idx="0">
                  <c:v>Fuselage</c:v>
                </c:pt>
              </c:strCache>
            </c:strRef>
          </c:tx>
          <c:spPr>
            <a:ln w="12700">
              <a:solidFill>
                <a:srgbClr val="000000"/>
              </a:solidFill>
              <a:prstDash val="solid"/>
            </a:ln>
          </c:spPr>
          <c:marker>
            <c:symbol val="none"/>
          </c:marker>
          <c:xVal>
            <c:numRef>
              <c:f>'Data Fuselage'!$L$2543:$L$2563</c:f>
              <c:numCache>
                <c:formatCode>0.00</c:formatCode>
                <c:ptCount val="21"/>
                <c:pt idx="0">
                  <c:v>9.0999999999999998E-2</c:v>
                </c:pt>
                <c:pt idx="1">
                  <c:v>0.58224614728423518</c:v>
                </c:pt>
                <c:pt idx="2">
                  <c:v>1.0734922945684704</c:v>
                </c:pt>
                <c:pt idx="3">
                  <c:v>1.5647384418527053</c:v>
                </c:pt>
                <c:pt idx="4" formatCode="General">
                  <c:v>2.0559845891369406</c:v>
                </c:pt>
                <c:pt idx="5" formatCode="General">
                  <c:v>2.5472307364211759</c:v>
                </c:pt>
                <c:pt idx="6" formatCode="General">
                  <c:v>3.0384768837054108</c:v>
                </c:pt>
                <c:pt idx="7" formatCode="General">
                  <c:v>3.5297230309896461</c:v>
                </c:pt>
                <c:pt idx="8" formatCode="General">
                  <c:v>4.020969178273881</c:v>
                </c:pt>
                <c:pt idx="9" formatCode="General">
                  <c:v>4.5122153255581168</c:v>
                </c:pt>
                <c:pt idx="10">
                  <c:v>4.8941389077868722</c:v>
                </c:pt>
                <c:pt idx="11" formatCode="General">
                  <c:v>4.5122153255581168</c:v>
                </c:pt>
                <c:pt idx="12" formatCode="General">
                  <c:v>4.020969178273881</c:v>
                </c:pt>
                <c:pt idx="13" formatCode="General">
                  <c:v>3.5297230309896461</c:v>
                </c:pt>
                <c:pt idx="14" formatCode="General">
                  <c:v>3.0384768837054108</c:v>
                </c:pt>
                <c:pt idx="15" formatCode="General">
                  <c:v>2.5472307364211759</c:v>
                </c:pt>
                <c:pt idx="16" formatCode="General">
                  <c:v>2.0559845891369406</c:v>
                </c:pt>
                <c:pt idx="17">
                  <c:v>1.5647384418527053</c:v>
                </c:pt>
                <c:pt idx="18">
                  <c:v>1.0734922945684704</c:v>
                </c:pt>
                <c:pt idx="19">
                  <c:v>0.58224614728423518</c:v>
                </c:pt>
                <c:pt idx="20">
                  <c:v>9.0999999999999998E-2</c:v>
                </c:pt>
              </c:numCache>
            </c:numRef>
          </c:xVal>
          <c:yVal>
            <c:numRef>
              <c:f>'Data Fuselage'!$M$2543:$M$2563</c:f>
              <c:numCache>
                <c:formatCode>0.00</c:formatCode>
                <c:ptCount val="21"/>
                <c:pt idx="0">
                  <c:v>1.4960570012328709</c:v>
                </c:pt>
                <c:pt idx="1">
                  <c:v>1.4882117587687416</c:v>
                </c:pt>
                <c:pt idx="2">
                  <c:v>1.4644238808953278</c:v>
                </c:pt>
                <c:pt idx="3">
                  <c:v>1.4238945687567028</c:v>
                </c:pt>
                <c:pt idx="4">
                  <c:v>1.3651335315391171</c:v>
                </c:pt>
                <c:pt idx="5">
                  <c:v>1.2856433218157393</c:v>
                </c:pt>
                <c:pt idx="6">
                  <c:v>1.1812465106512173</c:v>
                </c:pt>
                <c:pt idx="7">
                  <c:v>1.0445014422782122</c:v>
                </c:pt>
                <c:pt idx="8">
                  <c:v>0.86011544743492241</c:v>
                </c:pt>
                <c:pt idx="9">
                  <c:v>0.58462747019825245</c:v>
                </c:pt>
                <c:pt idx="10">
                  <c:v>0</c:v>
                </c:pt>
                <c:pt idx="11">
                  <c:v>-0.58462747019825245</c:v>
                </c:pt>
                <c:pt idx="12">
                  <c:v>-0.86011544743492241</c:v>
                </c:pt>
                <c:pt idx="13">
                  <c:v>-1.0445014422782122</c:v>
                </c:pt>
                <c:pt idx="14">
                  <c:v>-1.1812465106512173</c:v>
                </c:pt>
                <c:pt idx="15">
                  <c:v>-1.2856433218157393</c:v>
                </c:pt>
                <c:pt idx="16">
                  <c:v>-1.3651335315391171</c:v>
                </c:pt>
                <c:pt idx="17">
                  <c:v>-1.4238945687567028</c:v>
                </c:pt>
                <c:pt idx="18">
                  <c:v>-1.4644238808953278</c:v>
                </c:pt>
                <c:pt idx="19">
                  <c:v>-1.4882117587687416</c:v>
                </c:pt>
                <c:pt idx="20">
                  <c:v>-1.4960570012328709</c:v>
                </c:pt>
              </c:numCache>
            </c:numRef>
          </c:yVal>
          <c:smooth val="1"/>
          <c:extLst>
            <c:ext xmlns:c16="http://schemas.microsoft.com/office/drawing/2014/chart" uri="{C3380CC4-5D6E-409C-BE32-E72D297353CC}">
              <c16:uniqueId val="{000000C6-819C-4C0B-B4D9-7F526BD4C7F7}"/>
            </c:ext>
          </c:extLst>
        </c:ser>
        <c:ser>
          <c:idx val="4"/>
          <c:order val="199"/>
          <c:tx>
            <c:strRef>
              <c:f>'Data Fuselage'!$P$2541:$Q$2541</c:f>
              <c:strCache>
                <c:ptCount val="1"/>
                <c:pt idx="0">
                  <c:v>Seat rails</c:v>
                </c:pt>
              </c:strCache>
            </c:strRef>
          </c:tx>
          <c:spPr>
            <a:ln w="12700">
              <a:solidFill>
                <a:srgbClr val="FF0000"/>
              </a:solidFill>
              <a:prstDash val="lgDashDot"/>
            </a:ln>
          </c:spPr>
          <c:marker>
            <c:symbol val="none"/>
          </c:marker>
          <c:xVal>
            <c:numRef>
              <c:f>'Data Fuselage'!$P$2543:$P$2544</c:f>
              <c:numCache>
                <c:formatCode>0.00</c:formatCode>
                <c:ptCount val="2"/>
                <c:pt idx="0">
                  <c:v>8888</c:v>
                </c:pt>
                <c:pt idx="1">
                  <c:v>8888</c:v>
                </c:pt>
              </c:numCache>
            </c:numRef>
          </c:xVal>
          <c:yVal>
            <c:numRef>
              <c:f>'Data Fuselage'!$Q$2543:$Q$2544</c:f>
              <c:numCache>
                <c:formatCode>0.00</c:formatCode>
                <c:ptCount val="2"/>
                <c:pt idx="0">
                  <c:v>0.4599999999999998</c:v>
                </c:pt>
                <c:pt idx="1">
                  <c:v>0.4599999999999998</c:v>
                </c:pt>
              </c:numCache>
            </c:numRef>
          </c:yVal>
          <c:smooth val="0"/>
          <c:extLst>
            <c:ext xmlns:c16="http://schemas.microsoft.com/office/drawing/2014/chart" uri="{C3380CC4-5D6E-409C-BE32-E72D297353CC}">
              <c16:uniqueId val="{000000C7-819C-4C0B-B4D9-7F526BD4C7F7}"/>
            </c:ext>
          </c:extLst>
        </c:ser>
        <c:ser>
          <c:idx val="200"/>
          <c:order val="200"/>
          <c:tx>
            <c:strRef>
              <c:f>'Data Fuselage'!$P$2541:$Q$2541</c:f>
              <c:strCache>
                <c:ptCount val="1"/>
                <c:pt idx="0">
                  <c:v>Seat rails</c:v>
                </c:pt>
              </c:strCache>
            </c:strRef>
          </c:tx>
          <c:spPr>
            <a:ln w="12700">
              <a:solidFill>
                <a:srgbClr val="FF0000"/>
              </a:solidFill>
              <a:prstDash val="lgDashDot"/>
            </a:ln>
          </c:spPr>
          <c:marker>
            <c:symbol val="none"/>
          </c:marker>
          <c:xVal>
            <c:numRef>
              <c:f>'Data Fuselage'!$P$2545:$P$2546</c:f>
              <c:numCache>
                <c:formatCode>0.00</c:formatCode>
                <c:ptCount val="2"/>
                <c:pt idx="0">
                  <c:v>8888</c:v>
                </c:pt>
                <c:pt idx="1">
                  <c:v>8888</c:v>
                </c:pt>
              </c:numCache>
            </c:numRef>
          </c:xVal>
          <c:yVal>
            <c:numRef>
              <c:f>'Data Fuselage'!$Q$2545:$Q$2546</c:f>
              <c:numCache>
                <c:formatCode>0.00</c:formatCode>
                <c:ptCount val="2"/>
                <c:pt idx="0">
                  <c:v>1.1199999999999999</c:v>
                </c:pt>
                <c:pt idx="1">
                  <c:v>1.1199999999999999</c:v>
                </c:pt>
              </c:numCache>
            </c:numRef>
          </c:yVal>
          <c:smooth val="0"/>
          <c:extLst>
            <c:ext xmlns:c16="http://schemas.microsoft.com/office/drawing/2014/chart" uri="{C3380CC4-5D6E-409C-BE32-E72D297353CC}">
              <c16:uniqueId val="{000000C8-819C-4C0B-B4D9-7F526BD4C7F7}"/>
            </c:ext>
          </c:extLst>
        </c:ser>
        <c:ser>
          <c:idx val="201"/>
          <c:order val="201"/>
          <c:tx>
            <c:strRef>
              <c:f>'Data Fuselage'!$P$2541:$Q$2541</c:f>
              <c:strCache>
                <c:ptCount val="1"/>
                <c:pt idx="0">
                  <c:v>Seat rails</c:v>
                </c:pt>
              </c:strCache>
            </c:strRef>
          </c:tx>
          <c:spPr>
            <a:ln w="12700">
              <a:solidFill>
                <a:srgbClr val="FF0000"/>
              </a:solidFill>
              <a:prstDash val="lgDashDot"/>
            </a:ln>
          </c:spPr>
          <c:marker>
            <c:symbol val="none"/>
          </c:marker>
          <c:xVal>
            <c:numRef>
              <c:f>'Data Fuselage'!$P$2547:$P$2548</c:f>
              <c:numCache>
                <c:formatCode>0.00</c:formatCode>
                <c:ptCount val="2"/>
                <c:pt idx="0">
                  <c:v>8888</c:v>
                </c:pt>
                <c:pt idx="1">
                  <c:v>8888</c:v>
                </c:pt>
              </c:numCache>
            </c:numRef>
          </c:xVal>
          <c:yVal>
            <c:numRef>
              <c:f>'Data Fuselage'!$Q$2547:$Q$2548</c:f>
              <c:numCache>
                <c:formatCode>0.00</c:formatCode>
                <c:ptCount val="2"/>
                <c:pt idx="0">
                  <c:v>-0.46000000000000024</c:v>
                </c:pt>
                <c:pt idx="1">
                  <c:v>-0.46000000000000024</c:v>
                </c:pt>
              </c:numCache>
            </c:numRef>
          </c:yVal>
          <c:smooth val="0"/>
          <c:extLst>
            <c:ext xmlns:c16="http://schemas.microsoft.com/office/drawing/2014/chart" uri="{C3380CC4-5D6E-409C-BE32-E72D297353CC}">
              <c16:uniqueId val="{000000C9-819C-4C0B-B4D9-7F526BD4C7F7}"/>
            </c:ext>
          </c:extLst>
        </c:ser>
        <c:ser>
          <c:idx val="202"/>
          <c:order val="202"/>
          <c:tx>
            <c:strRef>
              <c:f>'Data Fuselage'!$P$2541:$Q$2541</c:f>
              <c:strCache>
                <c:ptCount val="1"/>
                <c:pt idx="0">
                  <c:v>Seat rails</c:v>
                </c:pt>
              </c:strCache>
            </c:strRef>
          </c:tx>
          <c:spPr>
            <a:ln w="12700">
              <a:solidFill>
                <a:srgbClr val="FF0000"/>
              </a:solidFill>
              <a:prstDash val="lgDashDot"/>
            </a:ln>
          </c:spPr>
          <c:marker>
            <c:symbol val="none"/>
          </c:marker>
          <c:xVal>
            <c:numRef>
              <c:f>'Data Fuselage'!$P$2549:$P$2550</c:f>
              <c:numCache>
                <c:formatCode>0.00</c:formatCode>
                <c:ptCount val="2"/>
                <c:pt idx="0">
                  <c:v>8888</c:v>
                </c:pt>
                <c:pt idx="1">
                  <c:v>8888</c:v>
                </c:pt>
              </c:numCache>
            </c:numRef>
          </c:xVal>
          <c:yVal>
            <c:numRef>
              <c:f>'Data Fuselage'!$Q$2549:$Q$2550</c:f>
              <c:numCache>
                <c:formatCode>0.00</c:formatCode>
                <c:ptCount val="2"/>
                <c:pt idx="0">
                  <c:v>-1.1200000000000003</c:v>
                </c:pt>
                <c:pt idx="1">
                  <c:v>-1.1200000000000003</c:v>
                </c:pt>
              </c:numCache>
            </c:numRef>
          </c:yVal>
          <c:smooth val="0"/>
          <c:extLst>
            <c:ext xmlns:c16="http://schemas.microsoft.com/office/drawing/2014/chart" uri="{C3380CC4-5D6E-409C-BE32-E72D297353CC}">
              <c16:uniqueId val="{000000CA-819C-4C0B-B4D9-7F526BD4C7F7}"/>
            </c:ext>
          </c:extLst>
        </c:ser>
        <c:ser>
          <c:idx val="203"/>
          <c:order val="203"/>
          <c:tx>
            <c:strRef>
              <c:f>'Data Fuselage'!$T$2541:$U$2541</c:f>
              <c:strCache>
                <c:ptCount val="1"/>
                <c:pt idx="0">
                  <c:v>Cockpit</c:v>
                </c:pt>
              </c:strCache>
            </c:strRef>
          </c:tx>
          <c:spPr>
            <a:ln w="12700">
              <a:solidFill>
                <a:srgbClr val="0000FF"/>
              </a:solidFill>
              <a:prstDash val="solid"/>
            </a:ln>
          </c:spPr>
          <c:marker>
            <c:symbol val="none"/>
          </c:marker>
          <c:xVal>
            <c:numRef>
              <c:f>'Data Fuselage'!$T$2543:$T$2555</c:f>
              <c:numCache>
                <c:formatCode>0.00</c:formatCode>
                <c:ptCount val="13"/>
                <c:pt idx="0">
                  <c:v>2</c:v>
                </c:pt>
                <c:pt idx="1">
                  <c:v>1.6</c:v>
                </c:pt>
                <c:pt idx="2">
                  <c:v>1.6</c:v>
                </c:pt>
                <c:pt idx="3">
                  <c:v>2</c:v>
                </c:pt>
                <c:pt idx="4">
                  <c:v>2</c:v>
                </c:pt>
                <c:pt idx="5">
                  <c:v>0.8</c:v>
                </c:pt>
                <c:pt idx="6">
                  <c:v>0.8</c:v>
                </c:pt>
                <c:pt idx="7">
                  <c:v>1.6</c:v>
                </c:pt>
                <c:pt idx="8">
                  <c:v>1.6</c:v>
                </c:pt>
                <c:pt idx="9">
                  <c:v>0.8</c:v>
                </c:pt>
                <c:pt idx="10">
                  <c:v>0.8</c:v>
                </c:pt>
                <c:pt idx="11">
                  <c:v>2</c:v>
                </c:pt>
                <c:pt idx="12">
                  <c:v>2</c:v>
                </c:pt>
              </c:numCache>
            </c:numRef>
          </c:xVal>
          <c:yVal>
            <c:numRef>
              <c:f>'Data Fuselage'!$U$2543:$U$2555</c:f>
              <c:numCache>
                <c:formatCode>0.00</c:formatCode>
                <c:ptCount val="13"/>
                <c:pt idx="0">
                  <c:v>1</c:v>
                </c:pt>
                <c:pt idx="1">
                  <c:v>1</c:v>
                </c:pt>
                <c:pt idx="2">
                  <c:v>-1</c:v>
                </c:pt>
                <c:pt idx="3">
                  <c:v>-1</c:v>
                </c:pt>
                <c:pt idx="4">
                  <c:v>1</c:v>
                </c:pt>
                <c:pt idx="5">
                  <c:v>1</c:v>
                </c:pt>
                <c:pt idx="6">
                  <c:v>0.30000000000000004</c:v>
                </c:pt>
                <c:pt idx="7">
                  <c:v>0.30000000000000004</c:v>
                </c:pt>
                <c:pt idx="8">
                  <c:v>-0.30000000000000004</c:v>
                </c:pt>
                <c:pt idx="9">
                  <c:v>-0.30000000000000004</c:v>
                </c:pt>
                <c:pt idx="10">
                  <c:v>-1</c:v>
                </c:pt>
                <c:pt idx="11">
                  <c:v>-1</c:v>
                </c:pt>
                <c:pt idx="12">
                  <c:v>1</c:v>
                </c:pt>
              </c:numCache>
            </c:numRef>
          </c:yVal>
          <c:smooth val="0"/>
          <c:extLst>
            <c:ext xmlns:c16="http://schemas.microsoft.com/office/drawing/2014/chart" uri="{C3380CC4-5D6E-409C-BE32-E72D297353CC}">
              <c16:uniqueId val="{000000CB-819C-4C0B-B4D9-7F526BD4C7F7}"/>
            </c:ext>
          </c:extLst>
        </c:ser>
        <c:ser>
          <c:idx val="204"/>
          <c:order val="204"/>
          <c:tx>
            <c:strRef>
              <c:f>'Data Fuselage'!$X$2541:$Y$2541</c:f>
              <c:strCache>
                <c:ptCount val="1"/>
                <c:pt idx="0">
                  <c:v>Fuselage</c:v>
                </c:pt>
              </c:strCache>
            </c:strRef>
          </c:tx>
          <c:spPr>
            <a:ln w="12700">
              <a:solidFill>
                <a:srgbClr val="000000"/>
              </a:solidFill>
              <a:prstDash val="solid"/>
            </a:ln>
          </c:spPr>
          <c:marker>
            <c:symbol val="none"/>
          </c:marker>
          <c:xVal>
            <c:numRef>
              <c:f>'Data Fuselage'!$X$2543:$X$2545</c:f>
              <c:numCache>
                <c:formatCode>0.00</c:formatCode>
                <c:ptCount val="3"/>
                <c:pt idx="0">
                  <c:v>-18.624000000000006</c:v>
                </c:pt>
                <c:pt idx="1">
                  <c:v>-18.924000000000007</c:v>
                </c:pt>
                <c:pt idx="2">
                  <c:v>-18.624000000000006</c:v>
                </c:pt>
              </c:numCache>
            </c:numRef>
          </c:xVal>
          <c:yVal>
            <c:numRef>
              <c:f>'Data Fuselage'!$Y$2543:$Y$2545</c:f>
              <c:numCache>
                <c:formatCode>0.00</c:formatCode>
                <c:ptCount val="3"/>
                <c:pt idx="0">
                  <c:v>1.5287379424037408</c:v>
                </c:pt>
                <c:pt idx="1">
                  <c:v>0</c:v>
                </c:pt>
                <c:pt idx="2">
                  <c:v>-1.5287379424037408</c:v>
                </c:pt>
              </c:numCache>
            </c:numRef>
          </c:yVal>
          <c:smooth val="1"/>
          <c:extLst>
            <c:ext xmlns:c16="http://schemas.microsoft.com/office/drawing/2014/chart" uri="{C3380CC4-5D6E-409C-BE32-E72D297353CC}">
              <c16:uniqueId val="{000000CC-819C-4C0B-B4D9-7F526BD4C7F7}"/>
            </c:ext>
          </c:extLst>
        </c:ser>
        <c:ser>
          <c:idx val="205"/>
          <c:order val="205"/>
          <c:tx>
            <c:strRef>
              <c:f>'Data Fuselage'!$P$2541:$Q$2541</c:f>
              <c:strCache>
                <c:ptCount val="1"/>
                <c:pt idx="0">
                  <c:v>Seat rails</c:v>
                </c:pt>
              </c:strCache>
            </c:strRef>
          </c:tx>
          <c:spPr>
            <a:ln w="12700">
              <a:solidFill>
                <a:srgbClr val="FF0000"/>
              </a:solidFill>
              <a:prstDash val="lgDashDot"/>
            </a:ln>
          </c:spPr>
          <c:marker>
            <c:symbol val="none"/>
          </c:marker>
          <c:xVal>
            <c:numRef>
              <c:f>'Data Fuselage'!$P$2551:$P$2552</c:f>
              <c:numCache>
                <c:formatCode>0.00</c:formatCode>
                <c:ptCount val="2"/>
                <c:pt idx="0">
                  <c:v>8888</c:v>
                </c:pt>
                <c:pt idx="1">
                  <c:v>8888</c:v>
                </c:pt>
              </c:numCache>
            </c:numRef>
          </c:xVal>
          <c:yVal>
            <c:numRef>
              <c:f>'Data Fuselage'!$Q$2551:$Q$2552</c:f>
              <c:numCache>
                <c:formatCode>0.00</c:formatCode>
                <c:ptCount val="2"/>
                <c:pt idx="0">
                  <c:v>8888</c:v>
                </c:pt>
                <c:pt idx="1">
                  <c:v>8888</c:v>
                </c:pt>
              </c:numCache>
            </c:numRef>
          </c:yVal>
          <c:smooth val="0"/>
          <c:extLst>
            <c:ext xmlns:c16="http://schemas.microsoft.com/office/drawing/2014/chart" uri="{C3380CC4-5D6E-409C-BE32-E72D297353CC}">
              <c16:uniqueId val="{000000CD-819C-4C0B-B4D9-7F526BD4C7F7}"/>
            </c:ext>
          </c:extLst>
        </c:ser>
        <c:ser>
          <c:idx val="206"/>
          <c:order val="206"/>
          <c:tx>
            <c:strRef>
              <c:f>'Data Fuselage'!$P$2541:$Q$2541</c:f>
              <c:strCache>
                <c:ptCount val="1"/>
                <c:pt idx="0">
                  <c:v>Seat rails</c:v>
                </c:pt>
              </c:strCache>
            </c:strRef>
          </c:tx>
          <c:spPr>
            <a:ln w="12700">
              <a:solidFill>
                <a:srgbClr val="FF0000"/>
              </a:solidFill>
              <a:prstDash val="lgDashDot"/>
            </a:ln>
          </c:spPr>
          <c:marker>
            <c:symbol val="none"/>
          </c:marker>
          <c:xVal>
            <c:numRef>
              <c:f>'Data Fuselage'!$P$2553:$P$2554</c:f>
              <c:numCache>
                <c:formatCode>0.00</c:formatCode>
                <c:ptCount val="2"/>
                <c:pt idx="0">
                  <c:v>8888</c:v>
                </c:pt>
                <c:pt idx="1">
                  <c:v>8888</c:v>
                </c:pt>
              </c:numCache>
            </c:numRef>
          </c:xVal>
          <c:yVal>
            <c:numRef>
              <c:f>'Data Fuselage'!$Q$2553:$Q$2554</c:f>
              <c:numCache>
                <c:formatCode>0.00</c:formatCode>
                <c:ptCount val="2"/>
                <c:pt idx="0">
                  <c:v>8888</c:v>
                </c:pt>
                <c:pt idx="1">
                  <c:v>8888</c:v>
                </c:pt>
              </c:numCache>
            </c:numRef>
          </c:yVal>
          <c:smooth val="0"/>
          <c:extLst>
            <c:ext xmlns:c16="http://schemas.microsoft.com/office/drawing/2014/chart" uri="{C3380CC4-5D6E-409C-BE32-E72D297353CC}">
              <c16:uniqueId val="{000000CE-819C-4C0B-B4D9-7F526BD4C7F7}"/>
            </c:ext>
          </c:extLst>
        </c:ser>
        <c:ser>
          <c:idx val="207"/>
          <c:order val="207"/>
          <c:tx>
            <c:strRef>
              <c:f>'Data Fuselage'!$P$2541:$Q$2541</c:f>
              <c:strCache>
                <c:ptCount val="1"/>
                <c:pt idx="0">
                  <c:v>Seat rails</c:v>
                </c:pt>
              </c:strCache>
            </c:strRef>
          </c:tx>
          <c:spPr>
            <a:ln w="12700">
              <a:solidFill>
                <a:srgbClr val="FF0000"/>
              </a:solidFill>
              <a:prstDash val="lgDashDot"/>
            </a:ln>
          </c:spPr>
          <c:marker>
            <c:symbol val="none"/>
          </c:marker>
          <c:xVal>
            <c:numRef>
              <c:f>'Data Fuselage'!$P$2555:$P$2556</c:f>
              <c:numCache>
                <c:formatCode>0.00</c:formatCode>
                <c:ptCount val="2"/>
                <c:pt idx="0">
                  <c:v>8888</c:v>
                </c:pt>
                <c:pt idx="1">
                  <c:v>8888</c:v>
                </c:pt>
              </c:numCache>
            </c:numRef>
          </c:xVal>
          <c:yVal>
            <c:numRef>
              <c:f>'Data Fuselage'!$Q$2555:$Q$2556</c:f>
              <c:numCache>
                <c:formatCode>0.00</c:formatCode>
                <c:ptCount val="2"/>
                <c:pt idx="0">
                  <c:v>8888</c:v>
                </c:pt>
                <c:pt idx="1">
                  <c:v>8888</c:v>
                </c:pt>
              </c:numCache>
            </c:numRef>
          </c:yVal>
          <c:smooth val="0"/>
          <c:extLst>
            <c:ext xmlns:c16="http://schemas.microsoft.com/office/drawing/2014/chart" uri="{C3380CC4-5D6E-409C-BE32-E72D297353CC}">
              <c16:uniqueId val="{000000CF-819C-4C0B-B4D9-7F526BD4C7F7}"/>
            </c:ext>
          </c:extLst>
        </c:ser>
        <c:ser>
          <c:idx val="208"/>
          <c:order val="208"/>
          <c:tx>
            <c:strRef>
              <c:f>'Data Fuselage'!$P$2541:$Q$2541</c:f>
              <c:strCache>
                <c:ptCount val="1"/>
                <c:pt idx="0">
                  <c:v>Seat rails</c:v>
                </c:pt>
              </c:strCache>
            </c:strRef>
          </c:tx>
          <c:spPr>
            <a:ln w="12700">
              <a:solidFill>
                <a:srgbClr val="FF0000"/>
              </a:solidFill>
              <a:prstDash val="lgDashDot"/>
            </a:ln>
          </c:spPr>
          <c:marker>
            <c:symbol val="none"/>
          </c:marker>
          <c:xVal>
            <c:numRef>
              <c:f>'Data Fuselage'!$P$2557:$P$2558</c:f>
              <c:numCache>
                <c:formatCode>0.00</c:formatCode>
                <c:ptCount val="2"/>
                <c:pt idx="0">
                  <c:v>8888</c:v>
                </c:pt>
                <c:pt idx="1">
                  <c:v>8888</c:v>
                </c:pt>
              </c:numCache>
            </c:numRef>
          </c:xVal>
          <c:yVal>
            <c:numRef>
              <c:f>'Data Fuselage'!$Q$2557:$Q$2558</c:f>
              <c:numCache>
                <c:formatCode>0.00</c:formatCode>
                <c:ptCount val="2"/>
                <c:pt idx="0">
                  <c:v>8888</c:v>
                </c:pt>
                <c:pt idx="1">
                  <c:v>8888</c:v>
                </c:pt>
              </c:numCache>
            </c:numRef>
          </c:yVal>
          <c:smooth val="0"/>
          <c:extLst>
            <c:ext xmlns:c16="http://schemas.microsoft.com/office/drawing/2014/chart" uri="{C3380CC4-5D6E-409C-BE32-E72D297353CC}">
              <c16:uniqueId val="{000000D0-819C-4C0B-B4D9-7F526BD4C7F7}"/>
            </c:ext>
          </c:extLst>
        </c:ser>
        <c:ser>
          <c:idx val="209"/>
          <c:order val="209"/>
          <c:tx>
            <c:strRef>
              <c:f>'Data Fuselage'!$P$2541:$Q$2541</c:f>
              <c:strCache>
                <c:ptCount val="1"/>
                <c:pt idx="0">
                  <c:v>Seat rails</c:v>
                </c:pt>
              </c:strCache>
            </c:strRef>
          </c:tx>
          <c:spPr>
            <a:ln w="12700">
              <a:solidFill>
                <a:srgbClr val="FF0000"/>
              </a:solidFill>
              <a:prstDash val="lgDashDot"/>
            </a:ln>
          </c:spPr>
          <c:marker>
            <c:symbol val="none"/>
          </c:marker>
          <c:xVal>
            <c:numRef>
              <c:f>'Data Fuselage'!$P$2559:$P$2560</c:f>
              <c:numCache>
                <c:formatCode>0.00</c:formatCode>
                <c:ptCount val="2"/>
                <c:pt idx="0">
                  <c:v>8888</c:v>
                </c:pt>
                <c:pt idx="1">
                  <c:v>8888</c:v>
                </c:pt>
              </c:numCache>
            </c:numRef>
          </c:xVal>
          <c:yVal>
            <c:numRef>
              <c:f>'Data Fuselage'!$Q$2559:$Q$2560</c:f>
              <c:numCache>
                <c:formatCode>0.00</c:formatCode>
                <c:ptCount val="2"/>
                <c:pt idx="0">
                  <c:v>8888</c:v>
                </c:pt>
                <c:pt idx="1">
                  <c:v>8888</c:v>
                </c:pt>
              </c:numCache>
            </c:numRef>
          </c:yVal>
          <c:smooth val="0"/>
          <c:extLst>
            <c:ext xmlns:c16="http://schemas.microsoft.com/office/drawing/2014/chart" uri="{C3380CC4-5D6E-409C-BE32-E72D297353CC}">
              <c16:uniqueId val="{000000D1-819C-4C0B-B4D9-7F526BD4C7F7}"/>
            </c:ext>
          </c:extLst>
        </c:ser>
        <c:ser>
          <c:idx val="210"/>
          <c:order val="210"/>
          <c:tx>
            <c:strRef>
              <c:f>'Data Fuselage'!$P$2541:$Q$2541</c:f>
              <c:strCache>
                <c:ptCount val="1"/>
                <c:pt idx="0">
                  <c:v>Seat rails</c:v>
                </c:pt>
              </c:strCache>
            </c:strRef>
          </c:tx>
          <c:spPr>
            <a:ln w="12700">
              <a:solidFill>
                <a:srgbClr val="FF0000"/>
              </a:solidFill>
              <a:prstDash val="lgDashDot"/>
            </a:ln>
          </c:spPr>
          <c:marker>
            <c:symbol val="none"/>
          </c:marker>
          <c:xVal>
            <c:numRef>
              <c:f>'Data Fuselage'!$P$2561:$P$2562</c:f>
              <c:numCache>
                <c:formatCode>0.00</c:formatCode>
                <c:ptCount val="2"/>
                <c:pt idx="0">
                  <c:v>8888</c:v>
                </c:pt>
                <c:pt idx="1">
                  <c:v>8888</c:v>
                </c:pt>
              </c:numCache>
            </c:numRef>
          </c:xVal>
          <c:yVal>
            <c:numRef>
              <c:f>'Data Fuselage'!$Q$2561:$Q$2562</c:f>
              <c:numCache>
                <c:formatCode>0.00</c:formatCode>
                <c:ptCount val="2"/>
                <c:pt idx="0">
                  <c:v>8888</c:v>
                </c:pt>
                <c:pt idx="1">
                  <c:v>8888</c:v>
                </c:pt>
              </c:numCache>
            </c:numRef>
          </c:yVal>
          <c:smooth val="0"/>
          <c:extLst>
            <c:ext xmlns:c16="http://schemas.microsoft.com/office/drawing/2014/chart" uri="{C3380CC4-5D6E-409C-BE32-E72D297353CC}">
              <c16:uniqueId val="{000000D2-819C-4C0B-B4D9-7F526BD4C7F7}"/>
            </c:ext>
          </c:extLst>
        </c:ser>
        <c:ser>
          <c:idx val="211"/>
          <c:order val="211"/>
          <c:tx>
            <c:strRef>
              <c:f>'Data Fuselage'!$AB$2541:$AC$2541</c:f>
              <c:strCache>
                <c:ptCount val="1"/>
                <c:pt idx="0">
                  <c:v>Fuselage</c:v>
                </c:pt>
              </c:strCache>
            </c:strRef>
          </c:tx>
          <c:spPr>
            <a:ln w="12700">
              <a:solidFill>
                <a:srgbClr val="000000"/>
              </a:solidFill>
              <a:prstDash val="solid"/>
            </a:ln>
          </c:spPr>
          <c:marker>
            <c:symbol val="none"/>
          </c:marker>
          <c:xVal>
            <c:numRef>
              <c:f>'Data Fuselage'!$AB$2543:$AB$2548</c:f>
              <c:numCache>
                <c:formatCode>0.00</c:formatCode>
                <c:ptCount val="6"/>
                <c:pt idx="0">
                  <c:v>0.05</c:v>
                </c:pt>
                <c:pt idx="1">
                  <c:v>0.05</c:v>
                </c:pt>
                <c:pt idx="2">
                  <c:v>0.1</c:v>
                </c:pt>
                <c:pt idx="3">
                  <c:v>0.1</c:v>
                </c:pt>
                <c:pt idx="4">
                  <c:v>0.05</c:v>
                </c:pt>
                <c:pt idx="5">
                  <c:v>0.05</c:v>
                </c:pt>
              </c:numCache>
            </c:numRef>
          </c:xVal>
          <c:yVal>
            <c:numRef>
              <c:f>'Data Fuselage'!$AC$2543:$AC$2548</c:f>
              <c:numCache>
                <c:formatCode>0.00</c:formatCode>
                <c:ptCount val="6"/>
                <c:pt idx="0">
                  <c:v>1.496002495337696</c:v>
                </c:pt>
                <c:pt idx="1">
                  <c:v>0.3</c:v>
                </c:pt>
                <c:pt idx="2">
                  <c:v>0.3</c:v>
                </c:pt>
                <c:pt idx="3">
                  <c:v>-0.3</c:v>
                </c:pt>
                <c:pt idx="4">
                  <c:v>-0.3</c:v>
                </c:pt>
                <c:pt idx="5">
                  <c:v>-1.496002495337696</c:v>
                </c:pt>
              </c:numCache>
            </c:numRef>
          </c:yVal>
          <c:smooth val="0"/>
          <c:extLst>
            <c:ext xmlns:c16="http://schemas.microsoft.com/office/drawing/2014/chart" uri="{C3380CC4-5D6E-409C-BE32-E72D297353CC}">
              <c16:uniqueId val="{000000D3-819C-4C0B-B4D9-7F526BD4C7F7}"/>
            </c:ext>
          </c:extLst>
        </c:ser>
        <c:ser>
          <c:idx val="212"/>
          <c:order val="212"/>
          <c:tx>
            <c:strRef>
              <c:f>'Data Fuselage'!$AF$244:$AG$244</c:f>
              <c:strCache>
                <c:ptCount val="1"/>
                <c:pt idx="0">
                  <c:v>FC</c:v>
                </c:pt>
              </c:strCache>
            </c:strRef>
          </c:tx>
          <c:spPr>
            <a:ln w="38100">
              <a:solidFill>
                <a:srgbClr val="339966"/>
              </a:solidFill>
              <a:prstDash val="solid"/>
            </a:ln>
          </c:spPr>
          <c:marker>
            <c:symbol val="none"/>
          </c:marker>
          <c:xVal>
            <c:numRef>
              <c:f>'Data Fuselage'!$AF$246:$AF$270</c:f>
              <c:numCache>
                <c:formatCode>General</c:formatCode>
                <c:ptCount val="25"/>
                <c:pt idx="0">
                  <c:v>8888</c:v>
                </c:pt>
                <c:pt idx="1">
                  <c:v>8888.4599999999991</c:v>
                </c:pt>
                <c:pt idx="2">
                  <c:v>8888.4599999999991</c:v>
                </c:pt>
                <c:pt idx="3">
                  <c:v>8888</c:v>
                </c:pt>
                <c:pt idx="4">
                  <c:v>8888</c:v>
                </c:pt>
                <c:pt idx="5">
                  <c:v>8888</c:v>
                </c:pt>
                <c:pt idx="6">
                  <c:v>8888</c:v>
                </c:pt>
                <c:pt idx="7">
                  <c:v>8888</c:v>
                </c:pt>
                <c:pt idx="8">
                  <c:v>8888</c:v>
                </c:pt>
                <c:pt idx="9">
                  <c:v>8888</c:v>
                </c:pt>
                <c:pt idx="10">
                  <c:v>8888</c:v>
                </c:pt>
                <c:pt idx="11">
                  <c:v>8888</c:v>
                </c:pt>
                <c:pt idx="12">
                  <c:v>8888</c:v>
                </c:pt>
                <c:pt idx="13">
                  <c:v>8888</c:v>
                </c:pt>
                <c:pt idx="14">
                  <c:v>8888</c:v>
                </c:pt>
                <c:pt idx="15">
                  <c:v>8888</c:v>
                </c:pt>
                <c:pt idx="16">
                  <c:v>8888</c:v>
                </c:pt>
                <c:pt idx="17">
                  <c:v>8888</c:v>
                </c:pt>
                <c:pt idx="18">
                  <c:v>8888</c:v>
                </c:pt>
                <c:pt idx="19">
                  <c:v>8888</c:v>
                </c:pt>
                <c:pt idx="20">
                  <c:v>8888</c:v>
                </c:pt>
                <c:pt idx="21">
                  <c:v>8888</c:v>
                </c:pt>
                <c:pt idx="22">
                  <c:v>8888</c:v>
                </c:pt>
                <c:pt idx="23">
                  <c:v>8888</c:v>
                </c:pt>
                <c:pt idx="24">
                  <c:v>8888</c:v>
                </c:pt>
              </c:numCache>
            </c:numRef>
          </c:xVal>
          <c:yVal>
            <c:numRef>
              <c:f>'Data Fuselage'!$AG$246:$AG$270</c:f>
              <c:numCache>
                <c:formatCode>General</c:formatCode>
                <c:ptCount val="25"/>
                <c:pt idx="0">
                  <c:v>8888</c:v>
                </c:pt>
                <c:pt idx="1">
                  <c:v>8888</c:v>
                </c:pt>
                <c:pt idx="2">
                  <c:v>8887.35</c:v>
                </c:pt>
                <c:pt idx="3">
                  <c:v>8887.35</c:v>
                </c:pt>
                <c:pt idx="4">
                  <c:v>8887.35</c:v>
                </c:pt>
                <c:pt idx="5">
                  <c:v>8887.35</c:v>
                </c:pt>
                <c:pt idx="6">
                  <c:v>8887.35</c:v>
                </c:pt>
                <c:pt idx="7">
                  <c:v>8887.35</c:v>
                </c:pt>
                <c:pt idx="8">
                  <c:v>8887.35</c:v>
                </c:pt>
                <c:pt idx="9">
                  <c:v>8887.35</c:v>
                </c:pt>
                <c:pt idx="10">
                  <c:v>8887.35</c:v>
                </c:pt>
                <c:pt idx="11">
                  <c:v>8887.35</c:v>
                </c:pt>
                <c:pt idx="12">
                  <c:v>8887.35</c:v>
                </c:pt>
                <c:pt idx="13">
                  <c:v>8887.35</c:v>
                </c:pt>
                <c:pt idx="14">
                  <c:v>8887.35</c:v>
                </c:pt>
                <c:pt idx="15">
                  <c:v>8887.35</c:v>
                </c:pt>
                <c:pt idx="16">
                  <c:v>8887.35</c:v>
                </c:pt>
                <c:pt idx="17">
                  <c:v>8887.35</c:v>
                </c:pt>
                <c:pt idx="18">
                  <c:v>8887.35</c:v>
                </c:pt>
                <c:pt idx="19">
                  <c:v>8887.35</c:v>
                </c:pt>
                <c:pt idx="20">
                  <c:v>8887.35</c:v>
                </c:pt>
                <c:pt idx="21">
                  <c:v>8887.35</c:v>
                </c:pt>
                <c:pt idx="22">
                  <c:v>8887.35</c:v>
                </c:pt>
                <c:pt idx="23">
                  <c:v>8887.35</c:v>
                </c:pt>
                <c:pt idx="24">
                  <c:v>8888</c:v>
                </c:pt>
              </c:numCache>
            </c:numRef>
          </c:yVal>
          <c:smooth val="0"/>
          <c:extLst>
            <c:ext xmlns:c16="http://schemas.microsoft.com/office/drawing/2014/chart" uri="{C3380CC4-5D6E-409C-BE32-E72D297353CC}">
              <c16:uniqueId val="{000000D4-819C-4C0B-B4D9-7F526BD4C7F7}"/>
            </c:ext>
          </c:extLst>
        </c:ser>
        <c:ser>
          <c:idx val="213"/>
          <c:order val="213"/>
          <c:tx>
            <c:strRef>
              <c:f>'Data Fuselage'!$AF$2541:$AG$2541</c:f>
              <c:strCache>
                <c:ptCount val="1"/>
                <c:pt idx="0">
                  <c:v>Fuselage</c:v>
                </c:pt>
              </c:strCache>
            </c:strRef>
          </c:tx>
          <c:spPr>
            <a:ln w="12700">
              <a:solidFill>
                <a:srgbClr val="000000"/>
              </a:solidFill>
              <a:prstDash val="solid"/>
            </a:ln>
          </c:spPr>
          <c:marker>
            <c:symbol val="none"/>
          </c:marker>
          <c:xVal>
            <c:numRef>
              <c:f>'Data Fuselage'!$AF$2543:$AF$2548</c:f>
              <c:numCache>
                <c:formatCode>0.00</c:formatCode>
                <c:ptCount val="6"/>
                <c:pt idx="0">
                  <c:v>8888</c:v>
                </c:pt>
                <c:pt idx="1">
                  <c:v>8888</c:v>
                </c:pt>
                <c:pt idx="2">
                  <c:v>8888</c:v>
                </c:pt>
                <c:pt idx="3">
                  <c:v>8888</c:v>
                </c:pt>
                <c:pt idx="4">
                  <c:v>8888</c:v>
                </c:pt>
                <c:pt idx="5">
                  <c:v>8888</c:v>
                </c:pt>
              </c:numCache>
            </c:numRef>
          </c:xVal>
          <c:yVal>
            <c:numRef>
              <c:f>'Data Fuselage'!$AG$2543:$AG$2548</c:f>
              <c:numCache>
                <c:formatCode>0.00</c:formatCode>
                <c:ptCount val="6"/>
                <c:pt idx="0">
                  <c:v>8888</c:v>
                </c:pt>
                <c:pt idx="1">
                  <c:v>8888</c:v>
                </c:pt>
                <c:pt idx="2">
                  <c:v>8888</c:v>
                </c:pt>
                <c:pt idx="3">
                  <c:v>8888</c:v>
                </c:pt>
                <c:pt idx="4">
                  <c:v>8888</c:v>
                </c:pt>
                <c:pt idx="5">
                  <c:v>8888</c:v>
                </c:pt>
              </c:numCache>
            </c:numRef>
          </c:yVal>
          <c:smooth val="0"/>
          <c:extLst>
            <c:ext xmlns:c16="http://schemas.microsoft.com/office/drawing/2014/chart" uri="{C3380CC4-5D6E-409C-BE32-E72D297353CC}">
              <c16:uniqueId val="{000000D5-819C-4C0B-B4D9-7F526BD4C7F7}"/>
            </c:ext>
          </c:extLst>
        </c:ser>
        <c:ser>
          <c:idx val="214"/>
          <c:order val="214"/>
          <c:tx>
            <c:strRef>
              <c:f>'Data Fuselage'!$AJ$2541:$AK$2541</c:f>
              <c:strCache>
                <c:ptCount val="1"/>
                <c:pt idx="0">
                  <c:v>Fuselage</c:v>
                </c:pt>
              </c:strCache>
            </c:strRef>
          </c:tx>
          <c:spPr>
            <a:ln w="12700">
              <a:solidFill>
                <a:srgbClr val="000000"/>
              </a:solidFill>
              <a:prstDash val="solid"/>
            </a:ln>
          </c:spPr>
          <c:marker>
            <c:symbol val="none"/>
          </c:marker>
          <c:xVal>
            <c:numRef>
              <c:f>'Data Fuselage'!$AJ$2543:$AJ$2548</c:f>
              <c:numCache>
                <c:formatCode>0.00</c:formatCode>
                <c:ptCount val="6"/>
                <c:pt idx="0">
                  <c:v>8888</c:v>
                </c:pt>
                <c:pt idx="1">
                  <c:v>8888</c:v>
                </c:pt>
                <c:pt idx="2">
                  <c:v>8888</c:v>
                </c:pt>
                <c:pt idx="3">
                  <c:v>8888</c:v>
                </c:pt>
                <c:pt idx="4">
                  <c:v>8888</c:v>
                </c:pt>
                <c:pt idx="5">
                  <c:v>8888</c:v>
                </c:pt>
              </c:numCache>
            </c:numRef>
          </c:xVal>
          <c:yVal>
            <c:numRef>
              <c:f>'Data Fuselage'!$AK$2543:$AK$2548</c:f>
              <c:numCache>
                <c:formatCode>0.00</c:formatCode>
                <c:ptCount val="6"/>
                <c:pt idx="0">
                  <c:v>-8888</c:v>
                </c:pt>
                <c:pt idx="1">
                  <c:v>-8888</c:v>
                </c:pt>
                <c:pt idx="2">
                  <c:v>-8888</c:v>
                </c:pt>
                <c:pt idx="3">
                  <c:v>-8888</c:v>
                </c:pt>
                <c:pt idx="4">
                  <c:v>-8888</c:v>
                </c:pt>
                <c:pt idx="5">
                  <c:v>-8888</c:v>
                </c:pt>
              </c:numCache>
            </c:numRef>
          </c:yVal>
          <c:smooth val="0"/>
          <c:extLst>
            <c:ext xmlns:c16="http://schemas.microsoft.com/office/drawing/2014/chart" uri="{C3380CC4-5D6E-409C-BE32-E72D297353CC}">
              <c16:uniqueId val="{000000D6-819C-4C0B-B4D9-7F526BD4C7F7}"/>
            </c:ext>
          </c:extLst>
        </c:ser>
        <c:ser>
          <c:idx val="215"/>
          <c:order val="215"/>
          <c:tx>
            <c:strRef>
              <c:f>'Data Fuselage'!$D$2541:$E$2541</c:f>
              <c:strCache>
                <c:ptCount val="1"/>
                <c:pt idx="0">
                  <c:v>Fuselage</c:v>
                </c:pt>
              </c:strCache>
            </c:strRef>
          </c:tx>
          <c:spPr>
            <a:ln w="12700">
              <a:solidFill>
                <a:srgbClr val="000000"/>
              </a:solidFill>
              <a:prstDash val="solid"/>
            </a:ln>
          </c:spPr>
          <c:marker>
            <c:symbol val="none"/>
          </c:marker>
          <c:xVal>
            <c:numRef>
              <c:f>'Data Fuselage'!$D$2549:$D$2550</c:f>
              <c:numCache>
                <c:formatCode>General</c:formatCode>
                <c:ptCount val="2"/>
                <c:pt idx="0">
                  <c:v>-18.99002654111375</c:v>
                </c:pt>
                <c:pt idx="1">
                  <c:v>9.0999999999999998E-2</c:v>
                </c:pt>
              </c:numCache>
            </c:numRef>
          </c:xVal>
          <c:yVal>
            <c:numRef>
              <c:f>'Data Fuselage'!$E$2549:$E$2550</c:f>
              <c:numCache>
                <c:formatCode>0.00</c:formatCode>
                <c:ptCount val="2"/>
                <c:pt idx="0">
                  <c:v>-1.6053795662883501</c:v>
                </c:pt>
                <c:pt idx="1">
                  <c:v>-1.6053795662883501</c:v>
                </c:pt>
              </c:numCache>
            </c:numRef>
          </c:yVal>
          <c:smooth val="0"/>
          <c:extLst>
            <c:ext xmlns:c16="http://schemas.microsoft.com/office/drawing/2014/chart" uri="{C3380CC4-5D6E-409C-BE32-E72D297353CC}">
              <c16:uniqueId val="{000000D7-819C-4C0B-B4D9-7F526BD4C7F7}"/>
            </c:ext>
          </c:extLst>
        </c:ser>
        <c:ser>
          <c:idx val="216"/>
          <c:order val="216"/>
          <c:tx>
            <c:strRef>
              <c:f>'Data Fuselage'!$D$2541:$E$2541</c:f>
              <c:strCache>
                <c:ptCount val="1"/>
                <c:pt idx="0">
                  <c:v>Fuselage</c:v>
                </c:pt>
              </c:strCache>
            </c:strRef>
          </c:tx>
          <c:spPr>
            <a:ln w="12700">
              <a:solidFill>
                <a:srgbClr val="000000"/>
              </a:solidFill>
              <a:prstDash val="solid"/>
            </a:ln>
          </c:spPr>
          <c:marker>
            <c:symbol val="none"/>
          </c:marker>
          <c:xVal>
            <c:numRef>
              <c:f>'Data Fuselage'!$D$2544:$D$2549</c:f>
              <c:numCache>
                <c:formatCode>0.00</c:formatCode>
                <c:ptCount val="6"/>
                <c:pt idx="0">
                  <c:v>-18.99002654111375</c:v>
                </c:pt>
                <c:pt idx="1">
                  <c:v>-18.624000000000006</c:v>
                </c:pt>
                <c:pt idx="2">
                  <c:v>-27.980152112328511</c:v>
                </c:pt>
                <c:pt idx="3">
                  <c:v>-27.980152112328511</c:v>
                </c:pt>
                <c:pt idx="4">
                  <c:v>-18.624000000000006</c:v>
                </c:pt>
                <c:pt idx="5" formatCode="General">
                  <c:v>-18.99002654111375</c:v>
                </c:pt>
              </c:numCache>
            </c:numRef>
          </c:xVal>
          <c:yVal>
            <c:numRef>
              <c:f>'Data Fuselage'!$E$2544:$E$2549</c:f>
              <c:numCache>
                <c:formatCode>0.00</c:formatCode>
                <c:ptCount val="6"/>
                <c:pt idx="0">
                  <c:v>1.6053795662883501</c:v>
                </c:pt>
                <c:pt idx="1">
                  <c:v>1.63806050745922</c:v>
                </c:pt>
                <c:pt idx="2">
                  <c:v>0.32107591325767004</c:v>
                </c:pt>
                <c:pt idx="3">
                  <c:v>-0.32107591325767004</c:v>
                </c:pt>
                <c:pt idx="4">
                  <c:v>-1.63806050745922</c:v>
                </c:pt>
                <c:pt idx="5">
                  <c:v>-1.6053795662883501</c:v>
                </c:pt>
              </c:numCache>
            </c:numRef>
          </c:yVal>
          <c:smooth val="1"/>
          <c:extLst>
            <c:ext xmlns:c16="http://schemas.microsoft.com/office/drawing/2014/chart" uri="{C3380CC4-5D6E-409C-BE32-E72D297353CC}">
              <c16:uniqueId val="{000000D8-819C-4C0B-B4D9-7F526BD4C7F7}"/>
            </c:ext>
          </c:extLst>
        </c:ser>
        <c:dLbls>
          <c:showLegendKey val="0"/>
          <c:showVal val="0"/>
          <c:showCatName val="0"/>
          <c:showSerName val="0"/>
          <c:showPercent val="0"/>
          <c:showBubbleSize val="0"/>
        </c:dLbls>
        <c:axId val="659992480"/>
        <c:axId val="1"/>
      </c:scatterChart>
      <c:valAx>
        <c:axId val="659992480"/>
        <c:scaling>
          <c:orientation val="maxMin"/>
          <c:max val="9"/>
          <c:min val="-34"/>
        </c:scaling>
        <c:delete val="0"/>
        <c:axPos val="t"/>
        <c:numFmt formatCode="General" sourceLinked="1"/>
        <c:majorTickMark val="out"/>
        <c:minorTickMark val="none"/>
        <c:tickLblPos val="nextTo"/>
        <c:spPr>
          <a:ln w="3175">
            <a:solidFill>
              <a:srgbClr val="000000"/>
            </a:solidFill>
            <a:prstDash val="solid"/>
          </a:ln>
        </c:spPr>
        <c:txPr>
          <a:bodyPr rot="0" vert="horz"/>
          <a:lstStyle/>
          <a:p>
            <a:pPr>
              <a:defRPr sz="500" b="0" i="0" u="none" strike="noStrike" baseline="0">
                <a:solidFill>
                  <a:srgbClr val="000000"/>
                </a:solidFill>
                <a:latin typeface="Arial"/>
                <a:ea typeface="Arial"/>
                <a:cs typeface="Arial"/>
              </a:defRPr>
            </a:pPr>
            <a:endParaRPr lang="zh-TW"/>
          </a:p>
        </c:txPr>
        <c:crossAx val="1"/>
        <c:crosses val="max"/>
        <c:crossBetween val="midCat"/>
        <c:majorUnit val="1"/>
      </c:valAx>
      <c:valAx>
        <c:axId val="1"/>
        <c:scaling>
          <c:orientation val="minMax"/>
          <c:max val="4"/>
          <c:min val="-4"/>
        </c:scaling>
        <c:delete val="0"/>
        <c:axPos val="l"/>
        <c:numFmt formatCode="General" sourceLinked="1"/>
        <c:majorTickMark val="out"/>
        <c:minorTickMark val="none"/>
        <c:tickLblPos val="nextTo"/>
        <c:spPr>
          <a:ln w="3175">
            <a:solidFill>
              <a:srgbClr val="000000"/>
            </a:solidFill>
            <a:prstDash val="solid"/>
          </a:ln>
        </c:spPr>
        <c:txPr>
          <a:bodyPr rot="0" vert="horz"/>
          <a:lstStyle/>
          <a:p>
            <a:pPr>
              <a:defRPr sz="500" b="0" i="0" u="none" strike="noStrike" baseline="0">
                <a:solidFill>
                  <a:srgbClr val="000000"/>
                </a:solidFill>
                <a:latin typeface="Arial"/>
                <a:ea typeface="Arial"/>
                <a:cs typeface="Arial"/>
              </a:defRPr>
            </a:pPr>
            <a:endParaRPr lang="zh-TW"/>
          </a:p>
        </c:txPr>
        <c:crossAx val="659992480"/>
        <c:crosses val="max"/>
        <c:crossBetween val="midCat"/>
      </c:valAx>
      <c:spPr>
        <a:solidFill>
          <a:srgbClr val="C0C0C0"/>
        </a:solidFill>
        <a:ln w="25400">
          <a:noFill/>
        </a:ln>
      </c:spPr>
    </c:plotArea>
    <c:plotVisOnly val="1"/>
    <c:dispBlanksAs val="gap"/>
    <c:showDLblsOverMax val="0"/>
  </c:chart>
  <c:spPr>
    <a:solidFill>
      <a:srgbClr val="FFFFFF"/>
    </a:solidFill>
    <a:ln w="3175">
      <a:solidFill>
        <a:srgbClr val="000000"/>
      </a:solidFill>
      <a:prstDash val="solid"/>
    </a:ln>
  </c:spPr>
  <c:txPr>
    <a:bodyPr/>
    <a:lstStyle/>
    <a:p>
      <a:pPr>
        <a:defRPr sz="500" b="0" i="0" u="none" strike="noStrike" baseline="0">
          <a:solidFill>
            <a:srgbClr val="000000"/>
          </a:solidFill>
          <a:latin typeface="Arial"/>
          <a:ea typeface="Arial"/>
          <a:cs typeface="Arial"/>
        </a:defRPr>
      </a:pPr>
      <a:endParaRPr lang="zh-TW"/>
    </a:p>
  </c:txPr>
  <c:printSettings>
    <c:headerFooter alignWithMargins="0"/>
    <c:pageMargins b="1" l="0.75" r="0.75" t="1" header="0.4921259845" footer="0.4921259845"/>
    <c:pageSetup paperSize="9" orientation="landscape"/>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75" b="1" i="0" u="none" strike="noStrike" baseline="0">
                <a:solidFill>
                  <a:srgbClr val="000000"/>
                </a:solidFill>
                <a:latin typeface="Arial"/>
                <a:ea typeface="Arial"/>
                <a:cs typeface="Arial"/>
              </a:defRPr>
            </a:pPr>
            <a:r>
              <a:rPr lang="en-GB" altLang="zh-TW"/>
              <a:t>Analysis</a:t>
            </a:r>
          </a:p>
        </c:rich>
      </c:tx>
      <c:layout>
        <c:manualLayout>
          <c:xMode val="edge"/>
          <c:yMode val="edge"/>
          <c:x val="0.45848423690726492"/>
          <c:y val="3.0904972494876497E-2"/>
        </c:manualLayout>
      </c:layout>
      <c:overlay val="0"/>
      <c:spPr>
        <a:noFill/>
        <a:ln w="25400">
          <a:noFill/>
        </a:ln>
      </c:spPr>
    </c:title>
    <c:autoTitleDeleted val="0"/>
    <c:plotArea>
      <c:layout>
        <c:manualLayout>
          <c:layoutTarget val="inner"/>
          <c:xMode val="edge"/>
          <c:yMode val="edge"/>
          <c:x val="7.4608992611726044E-2"/>
          <c:y val="0.16556327082313832"/>
          <c:w val="0.8916977987949839"/>
          <c:h val="0.65563055245962776"/>
        </c:manualLayout>
      </c:layout>
      <c:scatterChart>
        <c:scatterStyle val="smoothMarker"/>
        <c:varyColors val="0"/>
        <c:ser>
          <c:idx val="0"/>
          <c:order val="0"/>
          <c:tx>
            <c:strRef>
              <c:f>Analysis!$D$9</c:f>
              <c:strCache>
                <c:ptCount val="1"/>
                <c:pt idx="0">
                  <c:v>Single aisle 150 pax</c:v>
                </c:pt>
              </c:strCache>
            </c:strRef>
          </c:tx>
          <c:spPr>
            <a:ln w="28575">
              <a:noFill/>
            </a:ln>
          </c:spPr>
          <c:marker>
            <c:symbol val="diamond"/>
            <c:size val="5"/>
            <c:spPr>
              <a:solidFill>
                <a:srgbClr val="000080"/>
              </a:solidFill>
              <a:ln>
                <a:solidFill>
                  <a:srgbClr val="000080"/>
                </a:solidFill>
                <a:prstDash val="solid"/>
              </a:ln>
            </c:spPr>
          </c:marker>
          <c:xVal>
            <c:numRef>
              <c:f>Analysis!$D$6</c:f>
              <c:numCache>
                <c:formatCode>General</c:formatCode>
                <c:ptCount val="1"/>
                <c:pt idx="0">
                  <c:v>1</c:v>
                </c:pt>
              </c:numCache>
            </c:numRef>
          </c:xVal>
          <c:yVal>
            <c:numRef>
              <c:f>Analysis!$D$7</c:f>
              <c:numCache>
                <c:formatCode>General</c:formatCode>
                <c:ptCount val="1"/>
                <c:pt idx="0">
                  <c:v>4.1042728247955553</c:v>
                </c:pt>
              </c:numCache>
            </c:numRef>
          </c:yVal>
          <c:smooth val="1"/>
          <c:extLst>
            <c:ext xmlns:c16="http://schemas.microsoft.com/office/drawing/2014/chart" uri="{C3380CC4-5D6E-409C-BE32-E72D297353CC}">
              <c16:uniqueId val="{00000000-8DF7-4EA7-AFAF-47467B73EABE}"/>
            </c:ext>
          </c:extLst>
        </c:ser>
        <c:ser>
          <c:idx val="1"/>
          <c:order val="1"/>
          <c:tx>
            <c:strRef>
              <c:f>Analysis!$E$9</c:f>
              <c:strCache>
                <c:ptCount val="1"/>
                <c:pt idx="0">
                  <c:v>Twin aisle 150 pax</c:v>
                </c:pt>
              </c:strCache>
            </c:strRef>
          </c:tx>
          <c:spPr>
            <a:ln w="28575">
              <a:noFill/>
            </a:ln>
          </c:spPr>
          <c:marker>
            <c:symbol val="square"/>
            <c:size val="5"/>
            <c:spPr>
              <a:solidFill>
                <a:srgbClr val="FF00FF"/>
              </a:solidFill>
              <a:ln>
                <a:solidFill>
                  <a:srgbClr val="FF00FF"/>
                </a:solidFill>
                <a:prstDash val="solid"/>
              </a:ln>
            </c:spPr>
          </c:marker>
          <c:xVal>
            <c:numRef>
              <c:f>Analysis!$E$6</c:f>
              <c:numCache>
                <c:formatCode>General</c:formatCode>
                <c:ptCount val="1"/>
                <c:pt idx="0">
                  <c:v>2</c:v>
                </c:pt>
              </c:numCache>
            </c:numRef>
          </c:xVal>
          <c:yVal>
            <c:numRef>
              <c:f>Analysis!$E$7</c:f>
              <c:numCache>
                <c:formatCode>General</c:formatCode>
                <c:ptCount val="1"/>
                <c:pt idx="0">
                  <c:v>4.4891689368512981</c:v>
                </c:pt>
              </c:numCache>
            </c:numRef>
          </c:yVal>
          <c:smooth val="1"/>
          <c:extLst>
            <c:ext xmlns:c16="http://schemas.microsoft.com/office/drawing/2014/chart" uri="{C3380CC4-5D6E-409C-BE32-E72D297353CC}">
              <c16:uniqueId val="{00000001-8DF7-4EA7-AFAF-47467B73EABE}"/>
            </c:ext>
          </c:extLst>
        </c:ser>
        <c:ser>
          <c:idx val="2"/>
          <c:order val="2"/>
          <c:tx>
            <c:strRef>
              <c:f>Analysis!$F$9</c:f>
              <c:strCache>
                <c:ptCount val="1"/>
              </c:strCache>
            </c:strRef>
          </c:tx>
          <c:spPr>
            <a:ln w="28575">
              <a:noFill/>
            </a:ln>
          </c:spPr>
          <c:marker>
            <c:symbol val="triangle"/>
            <c:size val="5"/>
            <c:spPr>
              <a:solidFill>
                <a:srgbClr val="FFFF00"/>
              </a:solidFill>
              <a:ln>
                <a:solidFill>
                  <a:srgbClr val="FFFF00"/>
                </a:solidFill>
                <a:prstDash val="solid"/>
              </a:ln>
            </c:spPr>
          </c:marker>
          <c:xVal>
            <c:numRef>
              <c:f>Analysis!$F$6</c:f>
              <c:numCache>
                <c:formatCode>General</c:formatCode>
                <c:ptCount val="1"/>
                <c:pt idx="0">
                  <c:v>#N/A</c:v>
                </c:pt>
              </c:numCache>
            </c:numRef>
          </c:xVal>
          <c:yVal>
            <c:numRef>
              <c:f>Analysis!$F$7</c:f>
              <c:numCache>
                <c:formatCode>General</c:formatCode>
                <c:ptCount val="1"/>
                <c:pt idx="0">
                  <c:v>#N/A</c:v>
                </c:pt>
              </c:numCache>
            </c:numRef>
          </c:yVal>
          <c:smooth val="1"/>
          <c:extLst>
            <c:ext xmlns:c16="http://schemas.microsoft.com/office/drawing/2014/chart" uri="{C3380CC4-5D6E-409C-BE32-E72D297353CC}">
              <c16:uniqueId val="{00000002-8DF7-4EA7-AFAF-47467B73EABE}"/>
            </c:ext>
          </c:extLst>
        </c:ser>
        <c:ser>
          <c:idx val="3"/>
          <c:order val="3"/>
          <c:tx>
            <c:strRef>
              <c:f>Analysis!$G$9</c:f>
              <c:strCache>
                <c:ptCount val="1"/>
              </c:strCache>
            </c:strRef>
          </c:tx>
          <c:spPr>
            <a:ln w="28575">
              <a:noFill/>
            </a:ln>
          </c:spPr>
          <c:marker>
            <c:symbol val="x"/>
            <c:size val="5"/>
            <c:spPr>
              <a:noFill/>
              <a:ln>
                <a:solidFill>
                  <a:srgbClr val="000000"/>
                </a:solidFill>
                <a:prstDash val="solid"/>
              </a:ln>
            </c:spPr>
          </c:marker>
          <c:xVal>
            <c:numRef>
              <c:f>Analysis!$G$6</c:f>
              <c:numCache>
                <c:formatCode>General</c:formatCode>
                <c:ptCount val="1"/>
                <c:pt idx="0">
                  <c:v>#N/A</c:v>
                </c:pt>
              </c:numCache>
            </c:numRef>
          </c:xVal>
          <c:yVal>
            <c:numRef>
              <c:f>Analysis!$G$7</c:f>
              <c:numCache>
                <c:formatCode>General</c:formatCode>
                <c:ptCount val="1"/>
                <c:pt idx="0">
                  <c:v>#N/A</c:v>
                </c:pt>
              </c:numCache>
            </c:numRef>
          </c:yVal>
          <c:smooth val="1"/>
          <c:extLst>
            <c:ext xmlns:c16="http://schemas.microsoft.com/office/drawing/2014/chart" uri="{C3380CC4-5D6E-409C-BE32-E72D297353CC}">
              <c16:uniqueId val="{00000003-8DF7-4EA7-AFAF-47467B73EABE}"/>
            </c:ext>
          </c:extLst>
        </c:ser>
        <c:ser>
          <c:idx val="4"/>
          <c:order val="4"/>
          <c:tx>
            <c:strRef>
              <c:f>Analysis!$H$9</c:f>
              <c:strCache>
                <c:ptCount val="1"/>
              </c:strCache>
            </c:strRef>
          </c:tx>
          <c:spPr>
            <a:ln w="28575">
              <a:noFill/>
            </a:ln>
          </c:spPr>
          <c:marker>
            <c:symbol val="star"/>
            <c:size val="5"/>
            <c:spPr>
              <a:noFill/>
              <a:ln>
                <a:solidFill>
                  <a:srgbClr val="800080"/>
                </a:solidFill>
                <a:prstDash val="solid"/>
              </a:ln>
            </c:spPr>
          </c:marker>
          <c:xVal>
            <c:numRef>
              <c:f>Analysis!$H$6</c:f>
              <c:numCache>
                <c:formatCode>General</c:formatCode>
                <c:ptCount val="1"/>
                <c:pt idx="0">
                  <c:v>#N/A</c:v>
                </c:pt>
              </c:numCache>
            </c:numRef>
          </c:xVal>
          <c:yVal>
            <c:numRef>
              <c:f>Analysis!$H$7</c:f>
              <c:numCache>
                <c:formatCode>General</c:formatCode>
                <c:ptCount val="1"/>
                <c:pt idx="0">
                  <c:v>#N/A</c:v>
                </c:pt>
              </c:numCache>
            </c:numRef>
          </c:yVal>
          <c:smooth val="1"/>
          <c:extLst>
            <c:ext xmlns:c16="http://schemas.microsoft.com/office/drawing/2014/chart" uri="{C3380CC4-5D6E-409C-BE32-E72D297353CC}">
              <c16:uniqueId val="{00000004-8DF7-4EA7-AFAF-47467B73EABE}"/>
            </c:ext>
          </c:extLst>
        </c:ser>
        <c:dLbls>
          <c:showLegendKey val="0"/>
          <c:showVal val="0"/>
          <c:showCatName val="0"/>
          <c:showSerName val="0"/>
          <c:showPercent val="0"/>
          <c:showBubbleSize val="0"/>
        </c:dLbls>
        <c:axId val="660111040"/>
        <c:axId val="1"/>
      </c:scatterChart>
      <c:valAx>
        <c:axId val="66011104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175" b="0" i="0" u="none" strike="noStrike" baseline="0">
                <a:solidFill>
                  <a:srgbClr val="000000"/>
                </a:solidFill>
                <a:latin typeface="Arial"/>
                <a:ea typeface="Arial"/>
                <a:cs typeface="Arial"/>
              </a:defRPr>
            </a:pPr>
            <a:endParaRPr lang="zh-TW"/>
          </a:p>
        </c:txPr>
        <c:crossAx val="1"/>
        <c:crosses val="autoZero"/>
        <c:crossBetween val="midCat"/>
      </c:valAx>
      <c:valAx>
        <c:axId val="1"/>
        <c:scaling>
          <c:orientation val="minMax"/>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175" b="0" i="0" u="none" strike="noStrike" baseline="0">
                <a:solidFill>
                  <a:srgbClr val="000000"/>
                </a:solidFill>
                <a:latin typeface="Arial"/>
                <a:ea typeface="Arial"/>
                <a:cs typeface="Arial"/>
              </a:defRPr>
            </a:pPr>
            <a:endParaRPr lang="zh-TW"/>
          </a:p>
        </c:txPr>
        <c:crossAx val="660111040"/>
        <c:crosses val="autoZero"/>
        <c:crossBetween val="midCat"/>
      </c:valAx>
      <c:spPr>
        <a:solidFill>
          <a:srgbClr val="C0C0C0"/>
        </a:solidFill>
        <a:ln w="12700">
          <a:solidFill>
            <a:srgbClr val="808080"/>
          </a:solidFill>
          <a:prstDash val="solid"/>
        </a:ln>
      </c:spPr>
    </c:plotArea>
    <c:legend>
      <c:legendPos val="r"/>
      <c:layout>
        <c:manualLayout>
          <c:xMode val="edge"/>
          <c:yMode val="edge"/>
          <c:wMode val="edge"/>
          <c:hMode val="edge"/>
          <c:x val="0.10711890546963956"/>
          <c:y val="0.91479380145974898"/>
          <c:w val="0.6166985764116899"/>
          <c:h val="0.97720058965232082"/>
        </c:manualLayout>
      </c:layout>
      <c:overlay val="0"/>
      <c:spPr>
        <a:solidFill>
          <a:srgbClr val="FFFFFF"/>
        </a:solidFill>
        <a:ln w="3175">
          <a:solidFill>
            <a:srgbClr val="000000"/>
          </a:solidFill>
          <a:prstDash val="solid"/>
        </a:ln>
      </c:spPr>
      <c:txPr>
        <a:bodyPr/>
        <a:lstStyle/>
        <a:p>
          <a:pPr>
            <a:defRPr sz="91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175" b="0" i="0" u="none" strike="noStrike" baseline="0">
          <a:solidFill>
            <a:srgbClr val="000000"/>
          </a:solidFill>
          <a:latin typeface="Arial"/>
          <a:ea typeface="Arial"/>
          <a:cs typeface="Arial"/>
        </a:defRPr>
      </a:pPr>
      <a:endParaRPr lang="zh-TW"/>
    </a:p>
  </c:txPr>
  <c:printSettings>
    <c:headerFooter alignWithMargins="0"/>
    <c:pageMargins b="1" l="0.75" r="0.75" t="1" header="0.4921259845" footer="0.4921259845"/>
    <c:pageSetup paperSize="9" orientation="landscape"/>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462698653054152E-2"/>
          <c:y val="6.7885117493472591E-2"/>
          <c:w val="0.90215734828032412"/>
          <c:h val="0.77023498694516968"/>
        </c:manualLayout>
      </c:layout>
      <c:barChart>
        <c:barDir val="col"/>
        <c:grouping val="clustered"/>
        <c:varyColors val="0"/>
        <c:ser>
          <c:idx val="0"/>
          <c:order val="0"/>
          <c:spPr>
            <a:ln w="12700">
              <a:solidFill>
                <a:srgbClr val="000080"/>
              </a:solidFill>
              <a:prstDash val="solid"/>
            </a:ln>
          </c:spPr>
          <c:invertIfNegative val="0"/>
          <c:cat>
            <c:strRef>
              <c:f>Analysis!$D$5:$H$5</c:f>
              <c:strCache>
                <c:ptCount val="5"/>
                <c:pt idx="0">
                  <c:v>Single aisle 150 pax</c:v>
                </c:pt>
                <c:pt idx="1">
                  <c:v>Twin aisle 150 pax</c:v>
                </c:pt>
                <c:pt idx="2">
                  <c:v>0</c:v>
                </c:pt>
                <c:pt idx="3">
                  <c:v>0</c:v>
                </c:pt>
                <c:pt idx="4">
                  <c:v>0</c:v>
                </c:pt>
              </c:strCache>
            </c:strRef>
          </c:cat>
          <c:val>
            <c:numRef>
              <c:f>Analysis!$D$7:$H$7</c:f>
              <c:numCache>
                <c:formatCode>General</c:formatCode>
                <c:ptCount val="5"/>
                <c:pt idx="0">
                  <c:v>4.1042728247955553</c:v>
                </c:pt>
                <c:pt idx="1">
                  <c:v>4.4891689368512981</c:v>
                </c:pt>
                <c:pt idx="2">
                  <c:v>#N/A</c:v>
                </c:pt>
                <c:pt idx="3">
                  <c:v>#N/A</c:v>
                </c:pt>
                <c:pt idx="4">
                  <c:v>#N/A</c:v>
                </c:pt>
              </c:numCache>
            </c:numRef>
          </c:val>
          <c:extLst>
            <c:ext xmlns:c16="http://schemas.microsoft.com/office/drawing/2014/chart" uri="{C3380CC4-5D6E-409C-BE32-E72D297353CC}">
              <c16:uniqueId val="{00000000-8F2D-45B0-A195-2F73E488D83A}"/>
            </c:ext>
          </c:extLst>
        </c:ser>
        <c:dLbls>
          <c:showLegendKey val="0"/>
          <c:showVal val="0"/>
          <c:showCatName val="0"/>
          <c:showSerName val="0"/>
          <c:showPercent val="0"/>
          <c:showBubbleSize val="0"/>
        </c:dLbls>
        <c:gapWidth val="150"/>
        <c:axId val="660100000"/>
        <c:axId val="1"/>
      </c:barChart>
      <c:catAx>
        <c:axId val="66010000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zh-TW"/>
          </a:p>
        </c:txPr>
        <c:crossAx val="1"/>
        <c:crosses val="autoZero"/>
        <c:auto val="1"/>
        <c:lblAlgn val="ctr"/>
        <c:lblOffset val="100"/>
        <c:tickLblSkip val="1"/>
        <c:tickMarkSkip val="1"/>
        <c:noMultiLvlLbl val="0"/>
      </c:catAx>
      <c:valAx>
        <c:axId val="1"/>
        <c:scaling>
          <c:orientation val="minMax"/>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zh-TW"/>
          </a:p>
        </c:txPr>
        <c:crossAx val="660100000"/>
        <c:crosses val="autoZero"/>
        <c:crossBetween val="between"/>
      </c:valAx>
      <c:spPr>
        <a:noFill/>
        <a:ln w="25400">
          <a:noFill/>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zh-TW"/>
    </a:p>
  </c:txPr>
  <c:printSettings>
    <c:headerFooter alignWithMargins="0"/>
    <c:pageMargins b="1" l="0.75" r="0.75" t="1" header="0.4921259845" footer="0.4921259845"/>
    <c:pageSetup paperSize="9" orientation="landscape"/>
  </c:printSettings>
</c:chartSpac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chart" Target="../charts/chart5.xml"/><Relationship Id="rId1" Type="http://schemas.openxmlformats.org/officeDocument/2006/relationships/chart" Target="../charts/chart4.xml"/></Relationships>
</file>

<file path=xl/drawings/_rels/vmlDrawing1.vml.rels><?xml version="1.0" encoding="UTF-8" standalone="yes"?>
<Relationships xmlns="http://schemas.openxmlformats.org/package/2006/relationships"><Relationship Id="rId8" Type="http://schemas.openxmlformats.org/officeDocument/2006/relationships/image" Target="../media/image12.emf"/><Relationship Id="rId13" Type="http://schemas.openxmlformats.org/officeDocument/2006/relationships/image" Target="../media/image17.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6" Type="http://schemas.openxmlformats.org/officeDocument/2006/relationships/image" Target="../media/image20.emf"/><Relationship Id="rId1" Type="http://schemas.openxmlformats.org/officeDocument/2006/relationships/image" Target="../media/image21.png"/><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5" Type="http://schemas.openxmlformats.org/officeDocument/2006/relationships/image" Target="../media/image1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 Id="rId14" Type="http://schemas.openxmlformats.org/officeDocument/2006/relationships/image" Target="../media/image18.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24.emf"/><Relationship Id="rId2" Type="http://schemas.openxmlformats.org/officeDocument/2006/relationships/image" Target="../media/image23.emf"/><Relationship Id="rId1" Type="http://schemas.openxmlformats.org/officeDocument/2006/relationships/image" Target="../media/image22.emf"/></Relationships>
</file>

<file path=xl/drawings/drawing1.xml><?xml version="1.0" encoding="utf-8"?>
<xdr:wsDr xmlns:xdr="http://schemas.openxmlformats.org/drawingml/2006/spreadsheetDrawing" xmlns:a="http://schemas.openxmlformats.org/drawingml/2006/main">
  <xdr:twoCellAnchor editAs="oneCell">
    <xdr:from>
      <xdr:col>1</xdr:col>
      <xdr:colOff>3086100</xdr:colOff>
      <xdr:row>16</xdr:row>
      <xdr:rowOff>63500</xdr:rowOff>
    </xdr:from>
    <xdr:to>
      <xdr:col>1</xdr:col>
      <xdr:colOff>6267450</xdr:colOff>
      <xdr:row>26</xdr:row>
      <xdr:rowOff>44450</xdr:rowOff>
    </xdr:to>
    <xdr:pic>
      <xdr:nvPicPr>
        <xdr:cNvPr id="14024646" name="Picture 1" descr="logoPreSTo_l.gif">
          <a:extLst>
            <a:ext uri="{FF2B5EF4-FFF2-40B4-BE49-F238E27FC236}">
              <a16:creationId xmlns:a16="http://schemas.microsoft.com/office/drawing/2014/main" id="{69DA17DC-E110-AA62-F875-742961B6736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727450" y="3860800"/>
          <a:ext cx="3181350" cy="1822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82550</xdr:colOff>
      <xdr:row>0</xdr:row>
      <xdr:rowOff>95250</xdr:rowOff>
    </xdr:from>
    <xdr:to>
      <xdr:col>1</xdr:col>
      <xdr:colOff>3879850</xdr:colOff>
      <xdr:row>5</xdr:row>
      <xdr:rowOff>6350</xdr:rowOff>
    </xdr:to>
    <xdr:pic>
      <xdr:nvPicPr>
        <xdr:cNvPr id="14024647" name="Picture 2" descr="logoFZT-D.gif">
          <a:extLst>
            <a:ext uri="{FF2B5EF4-FFF2-40B4-BE49-F238E27FC236}">
              <a16:creationId xmlns:a16="http://schemas.microsoft.com/office/drawing/2014/main" id="{62CECEDB-1EC9-0936-9C80-424CE82A3097}"/>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23900" y="95250"/>
          <a:ext cx="3797300" cy="831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88900</xdr:colOff>
      <xdr:row>6</xdr:row>
      <xdr:rowOff>44450</xdr:rowOff>
    </xdr:from>
    <xdr:to>
      <xdr:col>1</xdr:col>
      <xdr:colOff>2216150</xdr:colOff>
      <xdr:row>12</xdr:row>
      <xdr:rowOff>158750</xdr:rowOff>
    </xdr:to>
    <xdr:pic>
      <xdr:nvPicPr>
        <xdr:cNvPr id="14024648" name="Picture 3" descr="logoAero_l.gif">
          <a:extLst>
            <a:ext uri="{FF2B5EF4-FFF2-40B4-BE49-F238E27FC236}">
              <a16:creationId xmlns:a16="http://schemas.microsoft.com/office/drawing/2014/main" id="{7F4781B7-0A7B-1CB0-0823-E5DD6786631C}"/>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730250" y="1149350"/>
          <a:ext cx="2127250" cy="1219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4997450</xdr:colOff>
      <xdr:row>0</xdr:row>
      <xdr:rowOff>95250</xdr:rowOff>
    </xdr:from>
    <xdr:to>
      <xdr:col>1</xdr:col>
      <xdr:colOff>9105900</xdr:colOff>
      <xdr:row>5</xdr:row>
      <xdr:rowOff>19050</xdr:rowOff>
    </xdr:to>
    <xdr:pic>
      <xdr:nvPicPr>
        <xdr:cNvPr id="14024649" name="Picture 4" descr="logoBishop_l.jpg">
          <a:extLst>
            <a:ext uri="{FF2B5EF4-FFF2-40B4-BE49-F238E27FC236}">
              <a16:creationId xmlns:a16="http://schemas.microsoft.com/office/drawing/2014/main" id="{7EF8C58C-B246-2D47-2A72-AAB20BC36BFF}"/>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5638800" y="95250"/>
          <a:ext cx="4108450" cy="844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41</xdr:row>
      <xdr:rowOff>0</xdr:rowOff>
    </xdr:from>
    <xdr:to>
      <xdr:col>1</xdr:col>
      <xdr:colOff>2114550</xdr:colOff>
      <xdr:row>45</xdr:row>
      <xdr:rowOff>44450</xdr:rowOff>
    </xdr:to>
    <xdr:pic>
      <xdr:nvPicPr>
        <xdr:cNvPr id="14024650" name="Picture 5" descr="gplv3-127x51.png">
          <a:extLst>
            <a:ext uri="{FF2B5EF4-FFF2-40B4-BE49-F238E27FC236}">
              <a16:creationId xmlns:a16="http://schemas.microsoft.com/office/drawing/2014/main" id="{AFF39BBB-11A9-AF58-69CA-130CEDE6D669}"/>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641350" y="8401050"/>
          <a:ext cx="2114550" cy="781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8</xdr:col>
      <xdr:colOff>1752600</xdr:colOff>
      <xdr:row>13</xdr:row>
      <xdr:rowOff>114300</xdr:rowOff>
    </xdr:from>
    <xdr:to>
      <xdr:col>10</xdr:col>
      <xdr:colOff>660400</xdr:colOff>
      <xdr:row>14</xdr:row>
      <xdr:rowOff>95250</xdr:rowOff>
    </xdr:to>
    <xdr:sp macro="" textlink="">
      <xdr:nvSpPr>
        <xdr:cNvPr id="15000603" name="Freeform 6">
          <a:extLst>
            <a:ext uri="{FF2B5EF4-FFF2-40B4-BE49-F238E27FC236}">
              <a16:creationId xmlns:a16="http://schemas.microsoft.com/office/drawing/2014/main" id="{6D675453-EF89-BE9D-28E9-C8C547E82E7D}"/>
            </a:ext>
          </a:extLst>
        </xdr:cNvPr>
        <xdr:cNvSpPr>
          <a:spLocks/>
        </xdr:cNvSpPr>
      </xdr:nvSpPr>
      <xdr:spPr bwMode="auto">
        <a:xfrm>
          <a:off x="8001000" y="2590800"/>
          <a:ext cx="2647950" cy="158750"/>
        </a:xfrm>
        <a:custGeom>
          <a:avLst/>
          <a:gdLst>
            <a:gd name="T0" fmla="*/ 2147483646 w 479"/>
            <a:gd name="T1" fmla="*/ 0 h 19"/>
            <a:gd name="T2" fmla="*/ 2147483646 w 479"/>
            <a:gd name="T3" fmla="*/ 0 h 19"/>
            <a:gd name="T4" fmla="*/ 0 w 479"/>
            <a:gd name="T5" fmla="*/ 0 h 19"/>
            <a:gd name="T6" fmla="*/ 0 60000 65536"/>
            <a:gd name="T7" fmla="*/ 0 60000 65536"/>
            <a:gd name="T8" fmla="*/ 0 60000 65536"/>
            <a:gd name="T9" fmla="*/ 0 w 479"/>
            <a:gd name="T10" fmla="*/ 0 h 19"/>
            <a:gd name="T11" fmla="*/ 479 w 479"/>
            <a:gd name="T12" fmla="*/ 0 h 19"/>
          </a:gdLst>
          <a:ahLst/>
          <a:cxnLst>
            <a:cxn ang="T6">
              <a:pos x="T0" y="T1"/>
            </a:cxn>
            <a:cxn ang="T7">
              <a:pos x="T2" y="T3"/>
            </a:cxn>
            <a:cxn ang="T8">
              <a:pos x="T4" y="T5"/>
            </a:cxn>
          </a:cxnLst>
          <a:rect l="T9" t="T10" r="T11" b="T12"/>
          <a:pathLst>
            <a:path w="479" h="19">
              <a:moveTo>
                <a:pt x="479" y="0"/>
              </a:moveTo>
              <a:lnTo>
                <a:pt x="479" y="19"/>
              </a:lnTo>
              <a:lnTo>
                <a:pt x="0" y="19"/>
              </a:lnTo>
            </a:path>
          </a:pathLst>
        </a:custGeom>
        <a:noFill/>
        <a:ln w="19050" cap="flat" cmpd="sng">
          <a:solidFill>
            <a:srgbClr val="000000"/>
          </a:solidFill>
          <a:prstDash val="dash"/>
          <a:round/>
          <a:headEnd type="none" w="med" len="med"/>
          <a:tailEnd type="none" w="med" len="med"/>
        </a:ln>
        <a:extLst>
          <a:ext uri="{909E8E84-426E-40DD-AFC4-6F175D3DCCD1}">
            <a14:hiddenFill xmlns:a14="http://schemas.microsoft.com/office/drawing/2010/main">
              <a:solidFill>
                <a:srgbClr val="FFFFFF"/>
              </a:solidFill>
            </a14:hiddenFill>
          </a:ext>
        </a:extLst>
      </xdr:spPr>
    </xdr:sp>
    <xdr:clientData/>
  </xdr:twoCellAnchor>
  <xdr:twoCellAnchor>
    <xdr:from>
      <xdr:col>6</xdr:col>
      <xdr:colOff>19050</xdr:colOff>
      <xdr:row>14</xdr:row>
      <xdr:rowOff>95250</xdr:rowOff>
    </xdr:from>
    <xdr:to>
      <xdr:col>8</xdr:col>
      <xdr:colOff>977900</xdr:colOff>
      <xdr:row>14</xdr:row>
      <xdr:rowOff>95250</xdr:rowOff>
    </xdr:to>
    <xdr:sp macro="" textlink="">
      <xdr:nvSpPr>
        <xdr:cNvPr id="15000604" name="Line 7">
          <a:extLst>
            <a:ext uri="{FF2B5EF4-FFF2-40B4-BE49-F238E27FC236}">
              <a16:creationId xmlns:a16="http://schemas.microsoft.com/office/drawing/2014/main" id="{D5A448A7-F90B-3BDE-AAE0-BFAA1F8A945A}"/>
            </a:ext>
          </a:extLst>
        </xdr:cNvPr>
        <xdr:cNvSpPr>
          <a:spLocks noChangeShapeType="1"/>
        </xdr:cNvSpPr>
      </xdr:nvSpPr>
      <xdr:spPr bwMode="auto">
        <a:xfrm flipH="1">
          <a:off x="5638800" y="2749550"/>
          <a:ext cx="1587500" cy="0"/>
        </a:xfrm>
        <a:prstGeom prst="line">
          <a:avLst/>
        </a:prstGeom>
        <a:noFill/>
        <a:ln w="19050">
          <a:solidFill>
            <a:srgbClr val="000000"/>
          </a:solidFill>
          <a:prstDash val="dash"/>
          <a:round/>
          <a:headEnd/>
          <a:tailEnd type="arrow" w="med" len="med"/>
        </a:ln>
        <a:extLst>
          <a:ext uri="{909E8E84-426E-40DD-AFC4-6F175D3DCCD1}">
            <a14:hiddenFill xmlns:a14="http://schemas.microsoft.com/office/drawing/2010/main">
              <a:noFill/>
            </a14:hiddenFill>
          </a:ext>
        </a:extLst>
      </xdr:spPr>
    </xdr:sp>
    <xdr:clientData/>
  </xdr:twoCellAnchor>
  <xdr:twoCellAnchor>
    <xdr:from>
      <xdr:col>8</xdr:col>
      <xdr:colOff>260350</xdr:colOff>
      <xdr:row>124</xdr:row>
      <xdr:rowOff>19050</xdr:rowOff>
    </xdr:from>
    <xdr:to>
      <xdr:col>10</xdr:col>
      <xdr:colOff>57150</xdr:colOff>
      <xdr:row>142</xdr:row>
      <xdr:rowOff>152400</xdr:rowOff>
    </xdr:to>
    <xdr:graphicFrame macro="">
      <xdr:nvGraphicFramePr>
        <xdr:cNvPr id="15000605" name="Chart 55">
          <a:extLst>
            <a:ext uri="{FF2B5EF4-FFF2-40B4-BE49-F238E27FC236}">
              <a16:creationId xmlns:a16="http://schemas.microsoft.com/office/drawing/2014/main" id="{C2627B53-ECE1-1994-9AD5-1782CC3FF8E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222250</xdr:colOff>
      <xdr:row>173</xdr:row>
      <xdr:rowOff>6350</xdr:rowOff>
    </xdr:from>
    <xdr:to>
      <xdr:col>11</xdr:col>
      <xdr:colOff>673100</xdr:colOff>
      <xdr:row>205</xdr:row>
      <xdr:rowOff>0</xdr:rowOff>
    </xdr:to>
    <xdr:graphicFrame macro="">
      <xdr:nvGraphicFramePr>
        <xdr:cNvPr id="15000606" name="Chart 147">
          <a:extLst>
            <a:ext uri="{FF2B5EF4-FFF2-40B4-BE49-F238E27FC236}">
              <a16:creationId xmlns:a16="http://schemas.microsoft.com/office/drawing/2014/main" id="{6ACEDC05-989D-4CC7-B33D-36B2D5A03A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57150</xdr:colOff>
      <xdr:row>344</xdr:row>
      <xdr:rowOff>76200</xdr:rowOff>
    </xdr:from>
    <xdr:to>
      <xdr:col>11</xdr:col>
      <xdr:colOff>781050</xdr:colOff>
      <xdr:row>356</xdr:row>
      <xdr:rowOff>114300</xdr:rowOff>
    </xdr:to>
    <xdr:graphicFrame macro="">
      <xdr:nvGraphicFramePr>
        <xdr:cNvPr id="15000607" name="Chart 158">
          <a:extLst>
            <a:ext uri="{FF2B5EF4-FFF2-40B4-BE49-F238E27FC236}">
              <a16:creationId xmlns:a16="http://schemas.microsoft.com/office/drawing/2014/main" id="{A303EE81-C8E5-F768-77E4-582E9DB058F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260350</xdr:colOff>
      <xdr:row>415</xdr:row>
      <xdr:rowOff>95250</xdr:rowOff>
    </xdr:from>
    <xdr:to>
      <xdr:col>7</xdr:col>
      <xdr:colOff>209550</xdr:colOff>
      <xdr:row>415</xdr:row>
      <xdr:rowOff>95250</xdr:rowOff>
    </xdr:to>
    <xdr:sp macro="" textlink="">
      <xdr:nvSpPr>
        <xdr:cNvPr id="15000608" name="Line 3565">
          <a:extLst>
            <a:ext uri="{FF2B5EF4-FFF2-40B4-BE49-F238E27FC236}">
              <a16:creationId xmlns:a16="http://schemas.microsoft.com/office/drawing/2014/main" id="{8FE5CA85-ED51-3316-0882-0A844F8B02BD}"/>
            </a:ext>
          </a:extLst>
        </xdr:cNvPr>
        <xdr:cNvSpPr>
          <a:spLocks noChangeShapeType="1"/>
        </xdr:cNvSpPr>
      </xdr:nvSpPr>
      <xdr:spPr bwMode="auto">
        <a:xfrm>
          <a:off x="5060950" y="67633850"/>
          <a:ext cx="1085850" cy="0"/>
        </a:xfrm>
        <a:prstGeom prst="line">
          <a:avLst/>
        </a:prstGeom>
        <a:noFill/>
        <a:ln w="9525">
          <a:solidFill>
            <a:srgbClr val="000000"/>
          </a:solidFill>
          <a:round/>
          <a:headEnd type="triangle" w="med" len="med"/>
          <a:tailEnd type="triangle" w="med" len="med"/>
        </a:ln>
        <a:extLst>
          <a:ext uri="{909E8E84-426E-40DD-AFC4-6F175D3DCCD1}">
            <a14:hiddenFill xmlns:a14="http://schemas.microsoft.com/office/drawing/2010/main">
              <a:noFill/>
            </a14:hiddenFill>
          </a:ext>
        </a:extLst>
      </xdr:spPr>
    </xdr:sp>
    <xdr:clientData/>
  </xdr:twoCellAnchor>
  <xdr:twoCellAnchor>
    <xdr:from>
      <xdr:col>4</xdr:col>
      <xdr:colOff>260350</xdr:colOff>
      <xdr:row>417</xdr:row>
      <xdr:rowOff>101600</xdr:rowOff>
    </xdr:from>
    <xdr:to>
      <xdr:col>7</xdr:col>
      <xdr:colOff>209550</xdr:colOff>
      <xdr:row>417</xdr:row>
      <xdr:rowOff>101600</xdr:rowOff>
    </xdr:to>
    <xdr:sp macro="" textlink="">
      <xdr:nvSpPr>
        <xdr:cNvPr id="15000609" name="Line 3566">
          <a:extLst>
            <a:ext uri="{FF2B5EF4-FFF2-40B4-BE49-F238E27FC236}">
              <a16:creationId xmlns:a16="http://schemas.microsoft.com/office/drawing/2014/main" id="{5501CCF5-9CFF-9522-9AA3-D04EF0A7596A}"/>
            </a:ext>
          </a:extLst>
        </xdr:cNvPr>
        <xdr:cNvSpPr>
          <a:spLocks noChangeShapeType="1"/>
        </xdr:cNvSpPr>
      </xdr:nvSpPr>
      <xdr:spPr bwMode="auto">
        <a:xfrm>
          <a:off x="5060950" y="67995800"/>
          <a:ext cx="1085850" cy="0"/>
        </a:xfrm>
        <a:prstGeom prst="line">
          <a:avLst/>
        </a:prstGeom>
        <a:noFill/>
        <a:ln w="9525">
          <a:solidFill>
            <a:srgbClr val="000000"/>
          </a:solidFill>
          <a:round/>
          <a:headEnd type="triangle" w="med" len="med"/>
          <a:tailEnd type="triangle" w="med" len="med"/>
        </a:ln>
        <a:extLst>
          <a:ext uri="{909E8E84-426E-40DD-AFC4-6F175D3DCCD1}">
            <a14:hiddenFill xmlns:a14="http://schemas.microsoft.com/office/drawing/2010/main">
              <a:noFill/>
            </a14:hiddenFill>
          </a:ext>
        </a:extLst>
      </xdr:spPr>
    </xdr:sp>
    <xdr:clientData/>
  </xdr:twoCellAnchor>
  <xdr:twoCellAnchor>
    <xdr:from>
      <xdr:col>4</xdr:col>
      <xdr:colOff>260350</xdr:colOff>
      <xdr:row>419</xdr:row>
      <xdr:rowOff>101600</xdr:rowOff>
    </xdr:from>
    <xdr:to>
      <xdr:col>7</xdr:col>
      <xdr:colOff>209550</xdr:colOff>
      <xdr:row>419</xdr:row>
      <xdr:rowOff>101600</xdr:rowOff>
    </xdr:to>
    <xdr:sp macro="" textlink="">
      <xdr:nvSpPr>
        <xdr:cNvPr id="15000610" name="Line 3567">
          <a:extLst>
            <a:ext uri="{FF2B5EF4-FFF2-40B4-BE49-F238E27FC236}">
              <a16:creationId xmlns:a16="http://schemas.microsoft.com/office/drawing/2014/main" id="{236FA539-3C92-DAFE-7CD0-573236DB2EF6}"/>
            </a:ext>
          </a:extLst>
        </xdr:cNvPr>
        <xdr:cNvSpPr>
          <a:spLocks noChangeShapeType="1"/>
        </xdr:cNvSpPr>
      </xdr:nvSpPr>
      <xdr:spPr bwMode="auto">
        <a:xfrm>
          <a:off x="5060950" y="68351400"/>
          <a:ext cx="1085850" cy="0"/>
        </a:xfrm>
        <a:prstGeom prst="line">
          <a:avLst/>
        </a:prstGeom>
        <a:noFill/>
        <a:ln w="9525">
          <a:solidFill>
            <a:srgbClr val="000000"/>
          </a:solidFill>
          <a:round/>
          <a:headEnd type="triangle" w="med" len="med"/>
          <a:tailEnd type="triangle" w="med" len="med"/>
        </a:ln>
        <a:extLst>
          <a:ext uri="{909E8E84-426E-40DD-AFC4-6F175D3DCCD1}">
            <a14:hiddenFill xmlns:a14="http://schemas.microsoft.com/office/drawing/2010/main">
              <a:noFill/>
            </a14:hiddenFill>
          </a:ext>
        </a:extLst>
      </xdr:spPr>
    </xdr:sp>
    <xdr:clientData/>
  </xdr:twoCellAnchor>
  <xdr:twoCellAnchor>
    <xdr:from>
      <xdr:col>4</xdr:col>
      <xdr:colOff>260350</xdr:colOff>
      <xdr:row>423</xdr:row>
      <xdr:rowOff>114300</xdr:rowOff>
    </xdr:from>
    <xdr:to>
      <xdr:col>7</xdr:col>
      <xdr:colOff>209550</xdr:colOff>
      <xdr:row>423</xdr:row>
      <xdr:rowOff>114300</xdr:rowOff>
    </xdr:to>
    <xdr:sp macro="" textlink="">
      <xdr:nvSpPr>
        <xdr:cNvPr id="15000611" name="Line 3568">
          <a:extLst>
            <a:ext uri="{FF2B5EF4-FFF2-40B4-BE49-F238E27FC236}">
              <a16:creationId xmlns:a16="http://schemas.microsoft.com/office/drawing/2014/main" id="{76ACA207-9ACE-7E1C-D1D4-67139281A705}"/>
            </a:ext>
          </a:extLst>
        </xdr:cNvPr>
        <xdr:cNvSpPr>
          <a:spLocks noChangeShapeType="1"/>
        </xdr:cNvSpPr>
      </xdr:nvSpPr>
      <xdr:spPr bwMode="auto">
        <a:xfrm>
          <a:off x="5060950" y="69075300"/>
          <a:ext cx="1085850" cy="0"/>
        </a:xfrm>
        <a:prstGeom prst="line">
          <a:avLst/>
        </a:prstGeom>
        <a:noFill/>
        <a:ln w="9525">
          <a:solidFill>
            <a:srgbClr val="000000"/>
          </a:solidFill>
          <a:round/>
          <a:headEnd type="triangle" w="med" len="med"/>
          <a:tailEnd type="triangle" w="med" len="me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xdr:from>
          <xdr:col>2</xdr:col>
          <xdr:colOff>755073</xdr:colOff>
          <xdr:row>14</xdr:row>
          <xdr:rowOff>44450</xdr:rowOff>
        </xdr:from>
        <xdr:to>
          <xdr:col>4</xdr:col>
          <xdr:colOff>258041</xdr:colOff>
          <xdr:row>15</xdr:row>
          <xdr:rowOff>106795</xdr:rowOff>
        </xdr:to>
        <xdr:sp macro="" textlink="">
          <xdr:nvSpPr>
            <xdr:cNvPr id="13802498" name="ComboBoxNumberOfClasses" hidden="1">
              <a:extLst>
                <a:ext uri="{63B3BB69-23CF-44E3-9099-C40C66FF867C}">
                  <a14:compatExt spid="_x0000_s13802498"/>
                </a:ext>
                <a:ext uri="{FF2B5EF4-FFF2-40B4-BE49-F238E27FC236}">
                  <a16:creationId xmlns:a16="http://schemas.microsoft.com/office/drawing/2014/main" id="{00000000-0008-0000-0100-0000029CD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101600</xdr:colOff>
          <xdr:row>87</xdr:row>
          <xdr:rowOff>139700</xdr:rowOff>
        </xdr:from>
        <xdr:to>
          <xdr:col>8</xdr:col>
          <xdr:colOff>2165350</xdr:colOff>
          <xdr:row>89</xdr:row>
          <xdr:rowOff>44450</xdr:rowOff>
        </xdr:to>
        <xdr:sp macro="" textlink="">
          <xdr:nvSpPr>
            <xdr:cNvPr id="13802539" name="ResetPassengerDimensions" hidden="1">
              <a:extLst>
                <a:ext uri="{63B3BB69-23CF-44E3-9099-C40C66FF867C}">
                  <a14:compatExt spid="_x0000_s13802539"/>
                </a:ext>
                <a:ext uri="{FF2B5EF4-FFF2-40B4-BE49-F238E27FC236}">
                  <a16:creationId xmlns:a16="http://schemas.microsoft.com/office/drawing/2014/main" id="{00000000-0008-0000-0100-00002B9CD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241300</xdr:colOff>
          <xdr:row>108</xdr:row>
          <xdr:rowOff>0</xdr:rowOff>
        </xdr:from>
        <xdr:to>
          <xdr:col>4</xdr:col>
          <xdr:colOff>158750</xdr:colOff>
          <xdr:row>109</xdr:row>
          <xdr:rowOff>44450</xdr:rowOff>
        </xdr:to>
        <xdr:sp macro="" textlink="">
          <xdr:nvSpPr>
            <xdr:cNvPr id="13802547" name="ComboBoxContainerType" hidden="1">
              <a:extLst>
                <a:ext uri="{63B3BB69-23CF-44E3-9099-C40C66FF867C}">
                  <a14:compatExt spid="_x0000_s13802547"/>
                </a:ext>
                <a:ext uri="{FF2B5EF4-FFF2-40B4-BE49-F238E27FC236}">
                  <a16:creationId xmlns:a16="http://schemas.microsoft.com/office/drawing/2014/main" id="{00000000-0008-0000-0100-0000339CD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889000</xdr:colOff>
          <xdr:row>123</xdr:row>
          <xdr:rowOff>12700</xdr:rowOff>
        </xdr:from>
        <xdr:to>
          <xdr:col>8</xdr:col>
          <xdr:colOff>1924050</xdr:colOff>
          <xdr:row>124</xdr:row>
          <xdr:rowOff>6350</xdr:rowOff>
        </xdr:to>
        <xdr:sp macro="" textlink="">
          <xdr:nvSpPr>
            <xdr:cNvPr id="13802578" name="ScrollBarRatioHeightWidth" hidden="1">
              <a:extLst>
                <a:ext uri="{63B3BB69-23CF-44E3-9099-C40C66FF867C}">
                  <a14:compatExt spid="_x0000_s13802578"/>
                </a:ext>
                <a:ext uri="{FF2B5EF4-FFF2-40B4-BE49-F238E27FC236}">
                  <a16:creationId xmlns:a16="http://schemas.microsoft.com/office/drawing/2014/main" id="{00000000-0008-0000-0100-0000529CD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19050</xdr:colOff>
          <xdr:row>38</xdr:row>
          <xdr:rowOff>0</xdr:rowOff>
        </xdr:from>
        <xdr:to>
          <xdr:col>4</xdr:col>
          <xdr:colOff>0</xdr:colOff>
          <xdr:row>39</xdr:row>
          <xdr:rowOff>44450</xdr:rowOff>
        </xdr:to>
        <xdr:sp macro="" textlink="">
          <xdr:nvSpPr>
            <xdr:cNvPr id="13802595" name="ComboBoxNumberOfAisles" hidden="1">
              <a:extLst>
                <a:ext uri="{63B3BB69-23CF-44E3-9099-C40C66FF867C}">
                  <a14:compatExt spid="_x0000_s13802595"/>
                </a:ext>
                <a:ext uri="{FF2B5EF4-FFF2-40B4-BE49-F238E27FC236}">
                  <a16:creationId xmlns:a16="http://schemas.microsoft.com/office/drawing/2014/main" id="{00000000-0008-0000-0100-0000639CD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152400</xdr:colOff>
          <xdr:row>169</xdr:row>
          <xdr:rowOff>139700</xdr:rowOff>
        </xdr:from>
        <xdr:to>
          <xdr:col>4</xdr:col>
          <xdr:colOff>69850</xdr:colOff>
          <xdr:row>171</xdr:row>
          <xdr:rowOff>6350</xdr:rowOff>
        </xdr:to>
        <xdr:sp macro="" textlink="">
          <xdr:nvSpPr>
            <xdr:cNvPr id="13802600" name="ComboBox4" hidden="1">
              <a:extLst>
                <a:ext uri="{63B3BB69-23CF-44E3-9099-C40C66FF867C}">
                  <a14:compatExt spid="_x0000_s13802600"/>
                </a:ext>
                <a:ext uri="{FF2B5EF4-FFF2-40B4-BE49-F238E27FC236}">
                  <a16:creationId xmlns:a16="http://schemas.microsoft.com/office/drawing/2014/main" id="{00000000-0008-0000-0100-0000689CD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2851150</xdr:colOff>
          <xdr:row>177</xdr:row>
          <xdr:rowOff>171450</xdr:rowOff>
        </xdr:from>
        <xdr:to>
          <xdr:col>4</xdr:col>
          <xdr:colOff>50800</xdr:colOff>
          <xdr:row>179</xdr:row>
          <xdr:rowOff>25400</xdr:rowOff>
        </xdr:to>
        <xdr:sp macro="" textlink="">
          <xdr:nvSpPr>
            <xdr:cNvPr id="13802646" name="CheckBoxSideSeatRails" hidden="1">
              <a:extLst>
                <a:ext uri="{63B3BB69-23CF-44E3-9099-C40C66FF867C}">
                  <a14:compatExt spid="_x0000_s13802646"/>
                </a:ext>
                <a:ext uri="{FF2B5EF4-FFF2-40B4-BE49-F238E27FC236}">
                  <a16:creationId xmlns:a16="http://schemas.microsoft.com/office/drawing/2014/main" id="{00000000-0008-0000-0100-0000969CD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615950</xdr:colOff>
          <xdr:row>343</xdr:row>
          <xdr:rowOff>0</xdr:rowOff>
        </xdr:from>
        <xdr:to>
          <xdr:col>5</xdr:col>
          <xdr:colOff>330200</xdr:colOff>
          <xdr:row>344</xdr:row>
          <xdr:rowOff>82550</xdr:rowOff>
        </xdr:to>
        <xdr:sp macro="" textlink="">
          <xdr:nvSpPr>
            <xdr:cNvPr id="13802659" name="CommandButtonUpdateCabinColors" hidden="1">
              <a:extLst>
                <a:ext uri="{63B3BB69-23CF-44E3-9099-C40C66FF867C}">
                  <a14:compatExt spid="_x0000_s13802659"/>
                </a:ext>
                <a:ext uri="{FF2B5EF4-FFF2-40B4-BE49-F238E27FC236}">
                  <a16:creationId xmlns:a16="http://schemas.microsoft.com/office/drawing/2014/main" id="{00000000-0008-0000-0100-0000A39CD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0</xdr:colOff>
          <xdr:row>343</xdr:row>
          <xdr:rowOff>6350</xdr:rowOff>
        </xdr:from>
        <xdr:to>
          <xdr:col>8</xdr:col>
          <xdr:colOff>1473200</xdr:colOff>
          <xdr:row>344</xdr:row>
          <xdr:rowOff>44450</xdr:rowOff>
        </xdr:to>
        <xdr:sp macro="" textlink="">
          <xdr:nvSpPr>
            <xdr:cNvPr id="13802679" name="CheckBox3" hidden="1">
              <a:extLst>
                <a:ext uri="{63B3BB69-23CF-44E3-9099-C40C66FF867C}">
                  <a14:compatExt spid="_x0000_s13802679"/>
                </a:ext>
                <a:ext uri="{FF2B5EF4-FFF2-40B4-BE49-F238E27FC236}">
                  <a16:creationId xmlns:a16="http://schemas.microsoft.com/office/drawing/2014/main" id="{00000000-0008-0000-0100-0000B79CD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2501900</xdr:colOff>
          <xdr:row>429</xdr:row>
          <xdr:rowOff>158750</xdr:rowOff>
        </xdr:from>
        <xdr:to>
          <xdr:col>4</xdr:col>
          <xdr:colOff>12700</xdr:colOff>
          <xdr:row>431</xdr:row>
          <xdr:rowOff>0</xdr:rowOff>
        </xdr:to>
        <xdr:sp macro="" textlink="">
          <xdr:nvSpPr>
            <xdr:cNvPr id="13802694" name="CheckBox4" hidden="1">
              <a:extLst>
                <a:ext uri="{63B3BB69-23CF-44E3-9099-C40C66FF867C}">
                  <a14:compatExt spid="_x0000_s13802694"/>
                </a:ext>
                <a:ext uri="{FF2B5EF4-FFF2-40B4-BE49-F238E27FC236}">
                  <a16:creationId xmlns:a16="http://schemas.microsoft.com/office/drawing/2014/main" id="{00000000-0008-0000-0100-0000C69CD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2501900</xdr:colOff>
          <xdr:row>431</xdr:row>
          <xdr:rowOff>133350</xdr:rowOff>
        </xdr:from>
        <xdr:to>
          <xdr:col>4</xdr:col>
          <xdr:colOff>12700</xdr:colOff>
          <xdr:row>432</xdr:row>
          <xdr:rowOff>152400</xdr:rowOff>
        </xdr:to>
        <xdr:sp macro="" textlink="">
          <xdr:nvSpPr>
            <xdr:cNvPr id="13802695" name="CheckBox5" hidden="1">
              <a:extLst>
                <a:ext uri="{63B3BB69-23CF-44E3-9099-C40C66FF867C}">
                  <a14:compatExt spid="_x0000_s13802695"/>
                </a:ext>
                <a:ext uri="{FF2B5EF4-FFF2-40B4-BE49-F238E27FC236}">
                  <a16:creationId xmlns:a16="http://schemas.microsoft.com/office/drawing/2014/main" id="{00000000-0008-0000-0100-0000C79CD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2870200</xdr:colOff>
          <xdr:row>120</xdr:row>
          <xdr:rowOff>171450</xdr:rowOff>
        </xdr:from>
        <xdr:to>
          <xdr:col>5</xdr:col>
          <xdr:colOff>0</xdr:colOff>
          <xdr:row>122</xdr:row>
          <xdr:rowOff>0</xdr:rowOff>
        </xdr:to>
        <xdr:sp macro="" textlink="">
          <xdr:nvSpPr>
            <xdr:cNvPr id="13815097" name="CheckBox6" hidden="1">
              <a:extLst>
                <a:ext uri="{63B3BB69-23CF-44E3-9099-C40C66FF867C}">
                  <a14:compatExt spid="_x0000_s13815097"/>
                </a:ext>
                <a:ext uri="{FF2B5EF4-FFF2-40B4-BE49-F238E27FC236}">
                  <a16:creationId xmlns:a16="http://schemas.microsoft.com/office/drawing/2014/main" id="{00000000-0008-0000-0100-000039CDD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2609850</xdr:colOff>
          <xdr:row>441</xdr:row>
          <xdr:rowOff>101600</xdr:rowOff>
        </xdr:from>
        <xdr:to>
          <xdr:col>4</xdr:col>
          <xdr:colOff>381000</xdr:colOff>
          <xdr:row>443</xdr:row>
          <xdr:rowOff>0</xdr:rowOff>
        </xdr:to>
        <xdr:sp macro="" textlink="">
          <xdr:nvSpPr>
            <xdr:cNvPr id="13815121" name="CommandButton1" hidden="1">
              <a:extLst>
                <a:ext uri="{63B3BB69-23CF-44E3-9099-C40C66FF867C}">
                  <a14:compatExt spid="_x0000_s13815121"/>
                </a:ext>
                <a:ext uri="{FF2B5EF4-FFF2-40B4-BE49-F238E27FC236}">
                  <a16:creationId xmlns:a16="http://schemas.microsoft.com/office/drawing/2014/main" id="{00000000-0008-0000-0100-000051CDD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1625600</xdr:colOff>
          <xdr:row>343</xdr:row>
          <xdr:rowOff>0</xdr:rowOff>
        </xdr:from>
        <xdr:to>
          <xdr:col>9</xdr:col>
          <xdr:colOff>609600</xdr:colOff>
          <xdr:row>344</xdr:row>
          <xdr:rowOff>82550</xdr:rowOff>
        </xdr:to>
        <xdr:sp macro="" textlink="">
          <xdr:nvSpPr>
            <xdr:cNvPr id="14231045" name="CommandButtonCockpitDimensions" hidden="1">
              <a:extLst>
                <a:ext uri="{63B3BB69-23CF-44E3-9099-C40C66FF867C}">
                  <a14:compatExt spid="_x0000_s14231045"/>
                </a:ext>
                <a:ext uri="{FF2B5EF4-FFF2-40B4-BE49-F238E27FC236}">
                  <a16:creationId xmlns:a16="http://schemas.microsoft.com/office/drawing/2014/main" id="{00000000-0008-0000-0100-00000526D9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24</xdr:col>
          <xdr:colOff>469900</xdr:colOff>
          <xdr:row>343</xdr:row>
          <xdr:rowOff>0</xdr:rowOff>
        </xdr:from>
        <xdr:to>
          <xdr:col>26</xdr:col>
          <xdr:colOff>603250</xdr:colOff>
          <xdr:row>344</xdr:row>
          <xdr:rowOff>82550</xdr:rowOff>
        </xdr:to>
        <xdr:sp macro="" textlink="">
          <xdr:nvSpPr>
            <xdr:cNvPr id="14231046" name="CommandButton2" hidden="1">
              <a:extLst>
                <a:ext uri="{63B3BB69-23CF-44E3-9099-C40C66FF867C}">
                  <a14:compatExt spid="_x0000_s14231046"/>
                </a:ext>
                <a:ext uri="{FF2B5EF4-FFF2-40B4-BE49-F238E27FC236}">
                  <a16:creationId xmlns:a16="http://schemas.microsoft.com/office/drawing/2014/main" id="{00000000-0008-0000-0100-00000626D9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xdr:col>
      <xdr:colOff>647700</xdr:colOff>
      <xdr:row>256</xdr:row>
      <xdr:rowOff>127000</xdr:rowOff>
    </xdr:from>
    <xdr:to>
      <xdr:col>11</xdr:col>
      <xdr:colOff>50800</xdr:colOff>
      <xdr:row>279</xdr:row>
      <xdr:rowOff>63500</xdr:rowOff>
    </xdr:to>
    <xdr:graphicFrame macro="">
      <xdr:nvGraphicFramePr>
        <xdr:cNvPr id="13811199" name="Chart 12">
          <a:extLst>
            <a:ext uri="{FF2B5EF4-FFF2-40B4-BE49-F238E27FC236}">
              <a16:creationId xmlns:a16="http://schemas.microsoft.com/office/drawing/2014/main" id="{293562D5-7FE8-A695-2A31-5E1E7014CF2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946150</xdr:colOff>
      <xdr:row>280</xdr:row>
      <xdr:rowOff>158750</xdr:rowOff>
    </xdr:from>
    <xdr:to>
      <xdr:col>9</xdr:col>
      <xdr:colOff>628650</xdr:colOff>
      <xdr:row>300</xdr:row>
      <xdr:rowOff>0</xdr:rowOff>
    </xdr:to>
    <xdr:graphicFrame macro="">
      <xdr:nvGraphicFramePr>
        <xdr:cNvPr id="13811200" name="Chart 93">
          <a:extLst>
            <a:ext uri="{FF2B5EF4-FFF2-40B4-BE49-F238E27FC236}">
              <a16:creationId xmlns:a16="http://schemas.microsoft.com/office/drawing/2014/main" id="{82C3C157-3DAA-025B-BCCA-41FD306E645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158750</xdr:colOff>
          <xdr:row>0</xdr:row>
          <xdr:rowOff>177800</xdr:rowOff>
        </xdr:from>
        <xdr:to>
          <xdr:col>2</xdr:col>
          <xdr:colOff>984250</xdr:colOff>
          <xdr:row>3</xdr:row>
          <xdr:rowOff>38100</xdr:rowOff>
        </xdr:to>
        <xdr:sp macro="" textlink="">
          <xdr:nvSpPr>
            <xdr:cNvPr id="13810707" name="CommandButton6" hidden="1">
              <a:extLst>
                <a:ext uri="{63B3BB69-23CF-44E3-9099-C40C66FF867C}">
                  <a14:compatExt spid="_x0000_s13810707"/>
                </a:ext>
                <a:ext uri="{FF2B5EF4-FFF2-40B4-BE49-F238E27FC236}">
                  <a16:creationId xmlns:a16="http://schemas.microsoft.com/office/drawing/2014/main" id="{00000000-0008-0000-0200-000013BCD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768350</xdr:colOff>
          <xdr:row>258</xdr:row>
          <xdr:rowOff>44450</xdr:rowOff>
        </xdr:from>
        <xdr:to>
          <xdr:col>5</xdr:col>
          <xdr:colOff>260350</xdr:colOff>
          <xdr:row>259</xdr:row>
          <xdr:rowOff>95250</xdr:rowOff>
        </xdr:to>
        <xdr:sp macro="" textlink="">
          <xdr:nvSpPr>
            <xdr:cNvPr id="13810776" name="ComboBox2" hidden="1">
              <a:extLst>
                <a:ext uri="{63B3BB69-23CF-44E3-9099-C40C66FF867C}">
                  <a14:compatExt spid="_x0000_s13810776"/>
                </a:ext>
                <a:ext uri="{FF2B5EF4-FFF2-40B4-BE49-F238E27FC236}">
                  <a16:creationId xmlns:a16="http://schemas.microsoft.com/office/drawing/2014/main" id="{00000000-0008-0000-0200-000058BCD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107950</xdr:colOff>
          <xdr:row>277</xdr:row>
          <xdr:rowOff>25400</xdr:rowOff>
        </xdr:from>
        <xdr:to>
          <xdr:col>10</xdr:col>
          <xdr:colOff>717550</xdr:colOff>
          <xdr:row>278</xdr:row>
          <xdr:rowOff>76200</xdr:rowOff>
        </xdr:to>
        <xdr:sp macro="" textlink="">
          <xdr:nvSpPr>
            <xdr:cNvPr id="13810777" name="ComboBox1" hidden="1">
              <a:extLst>
                <a:ext uri="{63B3BB69-23CF-44E3-9099-C40C66FF867C}">
                  <a14:compatExt spid="_x0000_s13810777"/>
                </a:ext>
                <a:ext uri="{FF2B5EF4-FFF2-40B4-BE49-F238E27FC236}">
                  <a16:creationId xmlns:a16="http://schemas.microsoft.com/office/drawing/2014/main" id="{00000000-0008-0000-0200-000059BCD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DOKUME~1/PMONTA~1/LOKALE~1/Temp/student%20works/mba/PreSTo_2.2_a320_redesign%202806%20Marcin.xls" TargetMode="External"/><Relationship Id="rId1" Type="http://schemas.openxmlformats.org/officeDocument/2006/relationships/externalLinkPath" Target="/DOKUME~1/PMONTA~1/LOKALE~1/Temp/student%20works/mba/PreSTo_2.2_a320_redesign%202806%20Marcin.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Preliminary sizing"/>
      <sheetName val="Fuselage2"/>
      <sheetName val="Data Fuselage2"/>
      <sheetName val="Wing"/>
      <sheetName val="High-lift"/>
      <sheetName val="Mass and CG"/>
      <sheetName val="CG-Travel"/>
      <sheetName val="Tailplane_I"/>
      <sheetName val="Landing gear "/>
      <sheetName val="3-View"/>
      <sheetName val="DOC"/>
      <sheetName val="graphs II"/>
      <sheetName val="Plane data II"/>
      <sheetName val="airfoil data II"/>
      <sheetName val="Constants"/>
      <sheetName val="CEASIOM"/>
      <sheetName val=" PrADO DB2-7"/>
      <sheetName val="Statistics_jet"/>
      <sheetName val="Statistics_prop"/>
      <sheetName val="Statistics_engines"/>
      <sheetName val="Graphs_Statistics"/>
      <sheetName val="Analysis"/>
    </sheetNames>
    <sheetDataSet>
      <sheetData sheetId="0" refreshError="1"/>
      <sheetData sheetId="1">
        <row r="182">
          <cell r="D182">
            <v>0.2</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Set>
  </externalBook>
</externalLink>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spPr>
      <a:bodyPr vertOverflow="clip" wrap="square" lIns="18288" tIns="0" rIns="0" bIns="0" upright="1"/>
      <a:lstStyle/>
    </a:spDef>
    <a:ln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presto.profscholz.de/" TargetMode="External"/><Relationship Id="rId1" Type="http://schemas.openxmlformats.org/officeDocument/2006/relationships/hyperlink" Target="http://www.gnu.org/licenses/"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3" Type="http://schemas.openxmlformats.org/officeDocument/2006/relationships/image" Target="../media/image10.emf"/><Relationship Id="rId18" Type="http://schemas.openxmlformats.org/officeDocument/2006/relationships/control" Target="../activeX/activeX8.xml"/><Relationship Id="rId26" Type="http://schemas.openxmlformats.org/officeDocument/2006/relationships/control" Target="../activeX/activeX12.xml"/><Relationship Id="rId3" Type="http://schemas.openxmlformats.org/officeDocument/2006/relationships/vmlDrawing" Target="../drawings/vmlDrawing1.vml"/><Relationship Id="rId21" Type="http://schemas.openxmlformats.org/officeDocument/2006/relationships/image" Target="../media/image14.emf"/><Relationship Id="rId34" Type="http://schemas.openxmlformats.org/officeDocument/2006/relationships/comments" Target="../comments1.xml"/><Relationship Id="rId7" Type="http://schemas.openxmlformats.org/officeDocument/2006/relationships/image" Target="../media/image7.emf"/><Relationship Id="rId12" Type="http://schemas.openxmlformats.org/officeDocument/2006/relationships/control" Target="../activeX/activeX5.xml"/><Relationship Id="rId17" Type="http://schemas.openxmlformats.org/officeDocument/2006/relationships/image" Target="../media/image12.emf"/><Relationship Id="rId25" Type="http://schemas.openxmlformats.org/officeDocument/2006/relationships/image" Target="../media/image16.emf"/><Relationship Id="rId33" Type="http://schemas.openxmlformats.org/officeDocument/2006/relationships/image" Target="../media/image20.emf"/><Relationship Id="rId2" Type="http://schemas.openxmlformats.org/officeDocument/2006/relationships/drawing" Target="../drawings/drawing2.xml"/><Relationship Id="rId16" Type="http://schemas.openxmlformats.org/officeDocument/2006/relationships/control" Target="../activeX/activeX7.xml"/><Relationship Id="rId20" Type="http://schemas.openxmlformats.org/officeDocument/2006/relationships/control" Target="../activeX/activeX9.xml"/><Relationship Id="rId29" Type="http://schemas.openxmlformats.org/officeDocument/2006/relationships/image" Target="../media/image18.emf"/><Relationship Id="rId1" Type="http://schemas.openxmlformats.org/officeDocument/2006/relationships/printerSettings" Target="../printerSettings/printerSettings2.bin"/><Relationship Id="rId6" Type="http://schemas.openxmlformats.org/officeDocument/2006/relationships/control" Target="../activeX/activeX2.xml"/><Relationship Id="rId11" Type="http://schemas.openxmlformats.org/officeDocument/2006/relationships/image" Target="../media/image9.emf"/><Relationship Id="rId24" Type="http://schemas.openxmlformats.org/officeDocument/2006/relationships/control" Target="../activeX/activeX11.xml"/><Relationship Id="rId32" Type="http://schemas.openxmlformats.org/officeDocument/2006/relationships/control" Target="../activeX/activeX15.xml"/><Relationship Id="rId5" Type="http://schemas.openxmlformats.org/officeDocument/2006/relationships/image" Target="../media/image6.emf"/><Relationship Id="rId15" Type="http://schemas.openxmlformats.org/officeDocument/2006/relationships/image" Target="../media/image11.emf"/><Relationship Id="rId23" Type="http://schemas.openxmlformats.org/officeDocument/2006/relationships/image" Target="../media/image15.emf"/><Relationship Id="rId28" Type="http://schemas.openxmlformats.org/officeDocument/2006/relationships/control" Target="../activeX/activeX13.xml"/><Relationship Id="rId10" Type="http://schemas.openxmlformats.org/officeDocument/2006/relationships/control" Target="../activeX/activeX4.xml"/><Relationship Id="rId19" Type="http://schemas.openxmlformats.org/officeDocument/2006/relationships/image" Target="../media/image13.emf"/><Relationship Id="rId31" Type="http://schemas.openxmlformats.org/officeDocument/2006/relationships/image" Target="../media/image19.emf"/><Relationship Id="rId4" Type="http://schemas.openxmlformats.org/officeDocument/2006/relationships/control" Target="../activeX/activeX1.xml"/><Relationship Id="rId9" Type="http://schemas.openxmlformats.org/officeDocument/2006/relationships/image" Target="../media/image8.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7.emf"/><Relationship Id="rId30" Type="http://schemas.openxmlformats.org/officeDocument/2006/relationships/control" Target="../activeX/activeX14.xml"/><Relationship Id="rId8" Type="http://schemas.openxmlformats.org/officeDocument/2006/relationships/control" Target="../activeX/activeX3.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18.xml"/><Relationship Id="rId3" Type="http://schemas.openxmlformats.org/officeDocument/2006/relationships/vmlDrawing" Target="../drawings/vmlDrawing2.vml"/><Relationship Id="rId7" Type="http://schemas.openxmlformats.org/officeDocument/2006/relationships/image" Target="../media/image23.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17.xml"/><Relationship Id="rId5" Type="http://schemas.openxmlformats.org/officeDocument/2006/relationships/image" Target="../media/image22.emf"/><Relationship Id="rId4" Type="http://schemas.openxmlformats.org/officeDocument/2006/relationships/control" Target="../activeX/activeX16.xml"/><Relationship Id="rId9" Type="http://schemas.openxmlformats.org/officeDocument/2006/relationships/image" Target="../media/image24.emf"/></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540BAF-CD45-4261-9413-EB3BF647191C}">
  <sheetPr codeName="Sheet1"/>
  <dimension ref="B7:D56"/>
  <sheetViews>
    <sheetView topLeftCell="A63" workbookViewId="0">
      <selection activeCell="B56" sqref="B56"/>
    </sheetView>
  </sheetViews>
  <sheetFormatPr defaultColWidth="9.1796875" defaultRowHeight="14.5"/>
  <cols>
    <col min="1" max="1" width="9.1796875" style="283"/>
    <col min="2" max="2" width="134.1796875" style="283" customWidth="1"/>
    <col min="3" max="16384" width="9.1796875" style="283"/>
  </cols>
  <sheetData>
    <row r="7" spans="2:4">
      <c r="C7" s="284"/>
      <c r="D7" s="284"/>
    </row>
    <row r="15" spans="2:4" ht="60">
      <c r="B15" s="287" t="s">
        <v>716</v>
      </c>
    </row>
    <row r="16" spans="2:4" ht="36">
      <c r="B16" s="288" t="s">
        <v>717</v>
      </c>
    </row>
    <row r="28" spans="2:2">
      <c r="B28" s="283" t="s">
        <v>756</v>
      </c>
    </row>
    <row r="29" spans="2:2">
      <c r="B29" s="283" t="s">
        <v>718</v>
      </c>
    </row>
    <row r="30" spans="2:2">
      <c r="B30" s="283" t="s">
        <v>757</v>
      </c>
    </row>
    <row r="31" spans="2:2">
      <c r="B31" s="283" t="s">
        <v>762</v>
      </c>
    </row>
    <row r="33" spans="2:2">
      <c r="B33" s="283" t="s">
        <v>719</v>
      </c>
    </row>
    <row r="34" spans="2:2">
      <c r="B34" s="285" t="s">
        <v>720</v>
      </c>
    </row>
    <row r="35" spans="2:2">
      <c r="B35" s="285"/>
    </row>
    <row r="36" spans="2:2">
      <c r="B36" s="283" t="s">
        <v>773</v>
      </c>
    </row>
    <row r="37" spans="2:2">
      <c r="B37" s="283" t="s">
        <v>721</v>
      </c>
    </row>
    <row r="39" spans="2:2">
      <c r="B39" s="283" t="s">
        <v>722</v>
      </c>
    </row>
    <row r="40" spans="2:2">
      <c r="B40" s="283" t="s">
        <v>733</v>
      </c>
    </row>
    <row r="47" spans="2:2">
      <c r="B47" s="286" t="s">
        <v>763</v>
      </c>
    </row>
    <row r="48" spans="2:2">
      <c r="B48" s="286" t="s">
        <v>711</v>
      </c>
    </row>
    <row r="49" spans="2:2">
      <c r="B49" s="286" t="s">
        <v>712</v>
      </c>
    </row>
    <row r="50" spans="2:2">
      <c r="B50" s="286"/>
    </row>
    <row r="51" spans="2:2">
      <c r="B51" s="286" t="s">
        <v>764</v>
      </c>
    </row>
    <row r="52" spans="2:2">
      <c r="B52" s="286" t="s">
        <v>715</v>
      </c>
    </row>
    <row r="53" spans="2:2">
      <c r="B53" s="286" t="s">
        <v>713</v>
      </c>
    </row>
    <row r="54" spans="2:2">
      <c r="B54" s="286" t="s">
        <v>714</v>
      </c>
    </row>
    <row r="56" spans="2:2">
      <c r="B56" s="285" t="s">
        <v>710</v>
      </c>
    </row>
  </sheetData>
  <phoneticPr fontId="34" type="noConversion"/>
  <hyperlinks>
    <hyperlink ref="B56" r:id="rId1" xr:uid="{C2AAA3FD-8071-43D2-AEC5-5C404A4BEA81}"/>
    <hyperlink ref="B34" r:id="rId2" xr:uid="{B079DCA2-18DD-4382-BAB9-AFA6D3E42D2B}"/>
  </hyperlinks>
  <pageMargins left="0.7" right="0.7" top="0.75" bottom="0.75" header="0.3" footer="0.3"/>
  <pageSetup paperSize="9" orientation="portrait" r:id="rId3"/>
  <drawing r:id="rId4"/>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C85675-883D-4A0A-B3AB-AC1DA8EDE977}">
  <sheetPr codeName="Tabelle15">
    <outlinePr summaryBelow="0"/>
  </sheetPr>
  <dimension ref="A1:AO491"/>
  <sheetViews>
    <sheetView tabSelected="1" zoomScale="65" zoomScaleNormal="110" workbookViewId="0">
      <selection activeCell="O22" sqref="O22"/>
    </sheetView>
  </sheetViews>
  <sheetFormatPr defaultColWidth="11.453125" defaultRowHeight="14.5" outlineLevelRow="1"/>
  <cols>
    <col min="1" max="1" width="5" customWidth="1"/>
    <col min="2" max="2" width="41.26953125" customWidth="1"/>
    <col min="3" max="3" width="11" style="82" customWidth="1"/>
    <col min="5" max="5" width="6.453125" customWidth="1"/>
    <col min="6" max="6" width="5.26953125" customWidth="1"/>
    <col min="7" max="7" width="4.54296875" customWidth="1"/>
    <col min="8" max="8" width="4.453125" customWidth="1"/>
    <col min="9" max="9" width="39.26953125" style="85" customWidth="1"/>
    <col min="10" max="10" width="14.26953125" style="82" customWidth="1"/>
    <col min="11" max="11" width="12.26953125" customWidth="1"/>
    <col min="34" max="34" width="15.54296875" customWidth="1"/>
  </cols>
  <sheetData>
    <row r="1" spans="1:30" s="40" customFormat="1" ht="27" customHeight="1">
      <c r="A1" s="39" t="s">
        <v>279</v>
      </c>
      <c r="C1" s="41"/>
      <c r="D1" s="41"/>
      <c r="E1" s="42"/>
      <c r="F1" s="39"/>
      <c r="G1" s="41"/>
      <c r="H1" s="39"/>
      <c r="I1" s="39"/>
      <c r="J1" s="79"/>
      <c r="M1" s="39"/>
      <c r="N1" s="39"/>
      <c r="O1" s="43"/>
      <c r="Q1" s="41"/>
    </row>
    <row r="2" spans="1:30" s="48" customFormat="1" ht="14.25" customHeight="1">
      <c r="A2" s="44" t="s">
        <v>611</v>
      </c>
      <c r="B2" s="45" t="s">
        <v>401</v>
      </c>
      <c r="C2" s="44"/>
      <c r="D2" s="44"/>
      <c r="E2" s="46"/>
      <c r="F2" s="45"/>
      <c r="G2" s="44"/>
      <c r="H2" s="45"/>
      <c r="I2" s="45"/>
      <c r="J2" s="80"/>
      <c r="M2" s="45"/>
      <c r="N2" s="45"/>
      <c r="O2" s="47"/>
      <c r="Q2" s="44"/>
    </row>
    <row r="3" spans="1:30" s="37" customFormat="1" ht="14.25" customHeight="1" outlineLevel="1">
      <c r="A3" s="8"/>
      <c r="B3" s="16"/>
      <c r="C3" s="7"/>
      <c r="D3" s="8"/>
      <c r="E3" s="18"/>
      <c r="F3" s="16"/>
      <c r="G3" s="8"/>
      <c r="H3" s="16"/>
      <c r="I3" s="16"/>
      <c r="J3" s="81"/>
      <c r="M3" s="16"/>
      <c r="N3" s="16"/>
      <c r="O3" s="15"/>
      <c r="Q3" s="8"/>
    </row>
    <row r="4" spans="1:30" s="37" customFormat="1" ht="14.25" customHeight="1" outlineLevel="1">
      <c r="A4" s="8"/>
      <c r="B4" s="12" t="s">
        <v>402</v>
      </c>
      <c r="C4" s="7" t="s">
        <v>403</v>
      </c>
      <c r="D4" s="282">
        <v>70</v>
      </c>
      <c r="E4" s="21" t="s">
        <v>395</v>
      </c>
      <c r="F4" s="16"/>
      <c r="G4" s="8"/>
      <c r="H4" s="16"/>
      <c r="I4" s="37" t="s">
        <v>125</v>
      </c>
      <c r="J4" s="9" t="s">
        <v>196</v>
      </c>
      <c r="K4" s="28">
        <v>2500000</v>
      </c>
      <c r="L4" s="281" t="s">
        <v>266</v>
      </c>
      <c r="M4" s="16"/>
      <c r="N4" s="16"/>
      <c r="O4" s="15"/>
      <c r="Q4" s="8"/>
    </row>
    <row r="5" spans="1:30" s="37" customFormat="1" ht="14.25" customHeight="1" outlineLevel="1">
      <c r="A5" s="8"/>
      <c r="B5" s="12"/>
      <c r="C5" s="7"/>
      <c r="D5" s="280"/>
      <c r="E5" s="21"/>
      <c r="F5" s="16"/>
      <c r="G5" s="8"/>
      <c r="H5" s="16"/>
      <c r="J5" s="81"/>
      <c r="M5" s="16"/>
      <c r="N5" s="16"/>
      <c r="O5" s="15"/>
      <c r="Q5" s="8"/>
    </row>
    <row r="6" spans="1:30" s="37" customFormat="1" ht="14.25" customHeight="1" outlineLevel="1">
      <c r="A6" s="8"/>
      <c r="B6" s="16" t="s">
        <v>50</v>
      </c>
      <c r="C6" s="7" t="s">
        <v>584</v>
      </c>
      <c r="D6" s="51">
        <v>2004</v>
      </c>
      <c r="E6" s="37" t="s">
        <v>264</v>
      </c>
      <c r="F6" s="16"/>
      <c r="G6" s="8"/>
      <c r="H6" s="16"/>
      <c r="I6" s="21" t="s">
        <v>56</v>
      </c>
      <c r="J6" s="9" t="s">
        <v>397</v>
      </c>
      <c r="K6" s="312">
        <v>32113.5</v>
      </c>
      <c r="L6" s="21" t="s">
        <v>264</v>
      </c>
      <c r="M6" s="16"/>
      <c r="N6" s="16"/>
      <c r="O6" s="15"/>
      <c r="Q6" s="8"/>
    </row>
    <row r="7" spans="1:30" s="37" customFormat="1" ht="14.25" customHeight="1" outlineLevel="1">
      <c r="A7" s="8"/>
      <c r="B7" s="12"/>
      <c r="C7" s="7"/>
      <c r="D7" s="280"/>
      <c r="E7" s="21"/>
      <c r="F7" s="16"/>
      <c r="G7" s="8"/>
      <c r="H7" s="16"/>
      <c r="J7" s="81"/>
      <c r="M7" s="16"/>
      <c r="N7" s="16"/>
      <c r="O7" s="15"/>
      <c r="Q7" s="8"/>
    </row>
    <row r="8" spans="1:30" s="37" customFormat="1" ht="14.25" customHeight="1" outlineLevel="1">
      <c r="A8" s="8"/>
      <c r="B8" s="12"/>
      <c r="C8" s="7"/>
      <c r="D8" s="280"/>
      <c r="E8" s="21"/>
      <c r="F8" s="16"/>
      <c r="G8" s="8"/>
      <c r="H8" s="16"/>
      <c r="J8" s="81"/>
      <c r="M8" s="16"/>
      <c r="N8" s="16"/>
      <c r="O8" s="15"/>
      <c r="Q8" s="8"/>
    </row>
    <row r="9" spans="1:30" s="48" customFormat="1" ht="14.25" customHeight="1">
      <c r="A9" s="44" t="s">
        <v>328</v>
      </c>
      <c r="B9" s="13" t="s">
        <v>620</v>
      </c>
      <c r="C9" s="44"/>
      <c r="D9" s="49"/>
      <c r="E9" s="45"/>
      <c r="F9" s="45"/>
      <c r="G9" s="44"/>
      <c r="H9" s="45"/>
      <c r="I9" s="45"/>
      <c r="J9" s="80"/>
      <c r="M9" s="45"/>
      <c r="N9" s="45"/>
      <c r="O9" s="47"/>
      <c r="Q9" s="44"/>
    </row>
    <row r="10" spans="1:30" s="37" customFormat="1" ht="14.25" customHeight="1" outlineLevel="1" thickBot="1">
      <c r="A10" s="8"/>
      <c r="B10" s="16"/>
      <c r="C10" s="7"/>
      <c r="D10" s="8"/>
      <c r="E10" s="18"/>
      <c r="F10" s="16"/>
      <c r="G10" s="8"/>
      <c r="H10" s="16"/>
      <c r="I10" s="16"/>
      <c r="J10" s="81"/>
      <c r="M10" s="16"/>
      <c r="N10" s="16"/>
      <c r="O10" s="15"/>
      <c r="Q10" s="8"/>
    </row>
    <row r="11" spans="1:30" s="37" customFormat="1" ht="14.25" customHeight="1" outlineLevel="1">
      <c r="A11" s="8"/>
      <c r="B11" s="86" t="s">
        <v>485</v>
      </c>
      <c r="C11" s="87"/>
      <c r="D11" s="57"/>
      <c r="E11" s="58"/>
      <c r="F11" s="60"/>
      <c r="G11" s="57"/>
      <c r="H11" s="60"/>
      <c r="I11" s="60"/>
      <c r="J11" s="88"/>
      <c r="K11" s="59"/>
      <c r="L11" s="74"/>
      <c r="M11" s="16"/>
      <c r="N11" s="16"/>
      <c r="O11" s="15"/>
      <c r="Q11" s="8"/>
    </row>
    <row r="12" spans="1:30" s="37" customFormat="1" ht="14.25" customHeight="1" outlineLevel="1">
      <c r="A12" s="8"/>
      <c r="B12" s="61"/>
      <c r="C12" s="7"/>
      <c r="D12" s="8"/>
      <c r="E12" s="18"/>
      <c r="F12" s="16"/>
      <c r="G12" s="8"/>
      <c r="H12" s="16"/>
      <c r="J12" s="81"/>
      <c r="L12" s="63"/>
      <c r="M12" s="16"/>
      <c r="N12" s="16"/>
      <c r="O12" s="15"/>
      <c r="Q12" s="8"/>
      <c r="AD12" s="37" t="s">
        <v>521</v>
      </c>
    </row>
    <row r="13" spans="1:30" s="37" customFormat="1" ht="14.25" customHeight="1" outlineLevel="1">
      <c r="A13" s="8"/>
      <c r="B13" s="61" t="s">
        <v>327</v>
      </c>
      <c r="C13" s="9" t="s">
        <v>196</v>
      </c>
      <c r="D13" s="26">
        <f>REQUIREMENT_R/1852</f>
        <v>1349.8920086393089</v>
      </c>
      <c r="E13" s="21" t="s">
        <v>490</v>
      </c>
      <c r="F13" s="16"/>
      <c r="G13" s="16"/>
      <c r="I13" s="16" t="s">
        <v>516</v>
      </c>
      <c r="J13" s="9" t="s">
        <v>489</v>
      </c>
      <c r="K13" s="24">
        <f>IF(REQUIREMENT_R  &lt;(3000000*1.852),1,IF(REQUIREMENT_R  &lt;(5500000*1.852),2,3))</f>
        <v>1</v>
      </c>
      <c r="L13" s="63"/>
      <c r="M13" s="16"/>
      <c r="N13" s="16"/>
      <c r="O13" s="15"/>
      <c r="Q13" s="8"/>
      <c r="Z13" s="37" t="s">
        <v>486</v>
      </c>
      <c r="AA13" s="37" t="s">
        <v>487</v>
      </c>
      <c r="AB13" s="149">
        <f>VALUE(LEFT(AA13,1))</f>
        <v>2</v>
      </c>
      <c r="AD13" s="37">
        <v>2</v>
      </c>
    </row>
    <row r="14" spans="1:30" s="37" customFormat="1" ht="14.25" customHeight="1" outlineLevel="1">
      <c r="A14" s="8"/>
      <c r="B14" s="61"/>
      <c r="C14" s="9"/>
      <c r="D14" s="8"/>
      <c r="E14" s="18"/>
      <c r="F14" s="16"/>
      <c r="H14" s="16"/>
      <c r="I14" s="16"/>
      <c r="J14" s="9"/>
      <c r="L14" s="63"/>
      <c r="M14" s="16"/>
      <c r="N14" s="16"/>
      <c r="O14" s="15"/>
      <c r="Q14" s="8"/>
      <c r="Z14" s="37" t="s">
        <v>487</v>
      </c>
    </row>
    <row r="15" spans="1:30" s="37" customFormat="1" ht="14.25" customHeight="1" outlineLevel="1">
      <c r="A15" s="8"/>
      <c r="B15" s="61" t="s">
        <v>485</v>
      </c>
      <c r="C15" s="9" t="s">
        <v>489</v>
      </c>
      <c r="D15" s="8"/>
      <c r="E15" s="18"/>
      <c r="F15" s="16"/>
      <c r="G15" s="8"/>
      <c r="I15" s="8" t="s">
        <v>96</v>
      </c>
      <c r="J15" s="9"/>
      <c r="L15" s="63"/>
      <c r="M15" s="16"/>
      <c r="N15" s="16"/>
      <c r="O15" s="15"/>
      <c r="Q15" s="8"/>
      <c r="Z15" s="37" t="s">
        <v>488</v>
      </c>
    </row>
    <row r="16" spans="1:30" s="37" customFormat="1" ht="14.25" customHeight="1" outlineLevel="1">
      <c r="A16" s="8"/>
      <c r="B16" s="61"/>
      <c r="C16" s="9"/>
      <c r="D16" s="8"/>
      <c r="E16" s="18"/>
      <c r="F16" s="16"/>
      <c r="G16" s="8"/>
      <c r="H16" s="16"/>
      <c r="I16" s="16"/>
      <c r="J16" s="9"/>
      <c r="L16" s="63"/>
      <c r="M16" s="16"/>
      <c r="N16" s="16"/>
      <c r="O16" s="15"/>
      <c r="Q16" s="8"/>
      <c r="Z16" s="75"/>
      <c r="AA16" s="154" t="s">
        <v>613</v>
      </c>
      <c r="AB16" s="154">
        <v>1</v>
      </c>
      <c r="AC16" s="154">
        <v>2</v>
      </c>
      <c r="AD16" s="52">
        <v>3</v>
      </c>
    </row>
    <row r="17" spans="1:30" s="37" customFormat="1" ht="14.25" customHeight="1" outlineLevel="1">
      <c r="A17" s="8"/>
      <c r="B17" s="61" t="s">
        <v>412</v>
      </c>
      <c r="C17" s="7" t="s">
        <v>517</v>
      </c>
      <c r="D17" s="83">
        <v>6</v>
      </c>
      <c r="E17" s="21" t="s">
        <v>395</v>
      </c>
      <c r="F17" s="16"/>
      <c r="G17" s="7" t="s">
        <v>617</v>
      </c>
      <c r="H17" s="16"/>
      <c r="I17" s="16" t="s">
        <v>444</v>
      </c>
      <c r="J17" s="7" t="s">
        <v>517</v>
      </c>
      <c r="K17" s="26">
        <f>INT(FUSELAGE_n_pax*FUSELAGE_pourcentage_FC/100)</f>
        <v>5</v>
      </c>
      <c r="L17" s="30" t="s">
        <v>395</v>
      </c>
      <c r="M17" s="16"/>
      <c r="N17" s="16"/>
      <c r="O17" s="15"/>
      <c r="Q17" s="8"/>
      <c r="Z17" s="76" t="s">
        <v>261</v>
      </c>
      <c r="AA17" s="153">
        <f>IF(FUSELAGE_nclasses=1,AB17,IF(FUSELAGE_nclasses=2,AC17,AD17))</f>
        <v>8</v>
      </c>
      <c r="AB17" s="152">
        <v>0</v>
      </c>
      <c r="AC17" s="149">
        <v>8</v>
      </c>
      <c r="AD17" s="149">
        <v>5</v>
      </c>
    </row>
    <row r="18" spans="1:30" s="37" customFormat="1" ht="14.25" customHeight="1" outlineLevel="1">
      <c r="A18" s="8"/>
      <c r="B18" s="61"/>
      <c r="C18" s="9"/>
      <c r="D18" s="8"/>
      <c r="E18" s="18"/>
      <c r="F18" s="16"/>
      <c r="G18" s="7"/>
      <c r="H18" s="16"/>
      <c r="I18" s="16"/>
      <c r="J18" s="9"/>
      <c r="K18" s="17"/>
      <c r="L18" s="89"/>
      <c r="M18" s="16"/>
      <c r="N18" s="16"/>
      <c r="O18" s="15"/>
      <c r="Q18" s="8"/>
      <c r="Z18" s="76" t="s">
        <v>262</v>
      </c>
      <c r="AA18" s="153">
        <f>IF(FUSELAGE_nclasses=1,AB18,IF(FUSELAGE_nclasses=2,AC18,AD18))</f>
        <v>0</v>
      </c>
      <c r="AB18" s="152">
        <v>0</v>
      </c>
      <c r="AC18" s="149">
        <v>0</v>
      </c>
      <c r="AD18" s="149">
        <v>18</v>
      </c>
    </row>
    <row r="19" spans="1:30" s="37" customFormat="1" ht="14.25" hidden="1" customHeight="1" outlineLevel="1">
      <c r="A19" s="8"/>
      <c r="B19" s="61" t="s">
        <v>413</v>
      </c>
      <c r="C19" s="7" t="s">
        <v>409</v>
      </c>
      <c r="D19" s="83">
        <v>0</v>
      </c>
      <c r="E19" s="21" t="s">
        <v>395</v>
      </c>
      <c r="F19" s="16"/>
      <c r="G19" s="7" t="s">
        <v>617</v>
      </c>
      <c r="H19" s="16"/>
      <c r="I19" s="16" t="s">
        <v>445</v>
      </c>
      <c r="J19" s="7" t="s">
        <v>409</v>
      </c>
      <c r="K19" s="26">
        <f>INT(FUSELAGE_n_pax*FUSELAGE_pourcentage_BC/100)</f>
        <v>0</v>
      </c>
      <c r="L19" s="30" t="s">
        <v>395</v>
      </c>
      <c r="M19" s="16"/>
      <c r="N19" s="16"/>
      <c r="O19" s="15"/>
      <c r="Q19" s="8"/>
      <c r="Z19" s="155" t="s">
        <v>612</v>
      </c>
      <c r="AA19" s="153">
        <f>IF(FUSELAGE_nclasses=1,AB19,IF(FUSELAGE_nclasses=2,AC19,AD19))</f>
        <v>92</v>
      </c>
      <c r="AB19" s="152">
        <v>100</v>
      </c>
      <c r="AC19" s="149">
        <v>92</v>
      </c>
      <c r="AD19" s="149">
        <v>77</v>
      </c>
    </row>
    <row r="20" spans="1:30" s="37" customFormat="1" ht="14.25" hidden="1" customHeight="1" outlineLevel="1">
      <c r="A20" s="8"/>
      <c r="B20" s="61"/>
      <c r="C20" s="9"/>
      <c r="D20" s="8"/>
      <c r="E20" s="18"/>
      <c r="F20" s="16"/>
      <c r="G20" s="7"/>
      <c r="H20" s="16"/>
      <c r="I20" s="16"/>
      <c r="J20" s="9"/>
      <c r="K20" s="17"/>
      <c r="L20" s="89"/>
      <c r="M20" s="16"/>
      <c r="N20" s="16"/>
      <c r="O20" s="15"/>
      <c r="Q20" s="8"/>
    </row>
    <row r="21" spans="1:30" s="37" customFormat="1" ht="14.25" customHeight="1" outlineLevel="1">
      <c r="A21" s="8"/>
      <c r="B21" s="61" t="s">
        <v>154</v>
      </c>
      <c r="C21" s="7" t="s">
        <v>410</v>
      </c>
      <c r="D21" s="26">
        <f>FUSELAGE_n_pax-FUSELAGE_n_pax_FC-FUSELAGE_n_pax_BC</f>
        <v>64</v>
      </c>
      <c r="E21" s="21" t="s">
        <v>395</v>
      </c>
      <c r="F21" s="16"/>
      <c r="G21" s="7" t="s">
        <v>617</v>
      </c>
      <c r="H21" s="16"/>
      <c r="I21" s="16" t="s">
        <v>616</v>
      </c>
      <c r="J21" s="7" t="s">
        <v>410</v>
      </c>
      <c r="K21" s="26">
        <f>INT(FUSELAGE_n_pax*FUSELAGE_pourcentage_YC/100)</f>
        <v>64</v>
      </c>
      <c r="L21" s="30" t="s">
        <v>395</v>
      </c>
      <c r="M21" s="16"/>
      <c r="N21" s="16"/>
      <c r="O21" s="15"/>
      <c r="Q21" s="8"/>
    </row>
    <row r="22" spans="1:30" s="37" customFormat="1" ht="14.25" customHeight="1" outlineLevel="1" thickBot="1">
      <c r="A22" s="8"/>
      <c r="B22" s="65"/>
      <c r="C22" s="90"/>
      <c r="D22" s="91"/>
      <c r="E22" s="32"/>
      <c r="F22" s="66"/>
      <c r="G22" s="90"/>
      <c r="H22" s="66"/>
      <c r="I22" s="66"/>
      <c r="J22" s="90"/>
      <c r="K22" s="91"/>
      <c r="L22" s="33"/>
      <c r="M22" s="16"/>
      <c r="N22" s="16"/>
      <c r="O22" s="15"/>
      <c r="Q22" s="8"/>
      <c r="Z22" s="22"/>
    </row>
    <row r="23" spans="1:30" s="37" customFormat="1" ht="14.25" customHeight="1" outlineLevel="1" thickBot="1">
      <c r="A23" s="8"/>
      <c r="B23" s="16"/>
      <c r="C23" s="7"/>
      <c r="D23" s="84"/>
      <c r="E23" s="21"/>
      <c r="F23" s="16"/>
      <c r="G23" s="8"/>
      <c r="H23" s="16"/>
      <c r="I23" s="16"/>
      <c r="J23" s="9"/>
      <c r="K23" s="38"/>
      <c r="M23" s="16"/>
      <c r="N23" s="16"/>
      <c r="O23" s="15"/>
      <c r="Q23" s="8"/>
    </row>
    <row r="24" spans="1:30" s="37" customFormat="1" ht="14.25" customHeight="1" outlineLevel="1">
      <c r="A24" s="8"/>
      <c r="B24" s="86" t="s">
        <v>415</v>
      </c>
      <c r="C24" s="87"/>
      <c r="D24" s="92"/>
      <c r="E24" s="29"/>
      <c r="F24" s="60"/>
      <c r="G24" s="57"/>
      <c r="H24" s="60"/>
      <c r="I24" s="60"/>
      <c r="J24" s="10"/>
      <c r="K24" s="93"/>
      <c r="L24" s="74"/>
      <c r="M24" s="16"/>
      <c r="N24" s="16"/>
      <c r="O24" s="15"/>
      <c r="Q24" s="8"/>
    </row>
    <row r="25" spans="1:30" s="37" customFormat="1" ht="14.25" customHeight="1" outlineLevel="1">
      <c r="A25" s="8"/>
      <c r="B25" s="94"/>
      <c r="C25" s="7"/>
      <c r="D25" s="84"/>
      <c r="E25" s="21"/>
      <c r="F25" s="16"/>
      <c r="G25" s="8"/>
      <c r="H25" s="16"/>
      <c r="I25" s="16"/>
      <c r="J25" s="9"/>
      <c r="K25" s="38"/>
      <c r="L25" s="63"/>
      <c r="M25" s="16"/>
      <c r="N25" s="16"/>
      <c r="O25" s="15"/>
      <c r="Q25" s="8"/>
    </row>
    <row r="26" spans="1:30" s="37" customFormat="1" ht="14.25" customHeight="1" outlineLevel="1">
      <c r="A26" s="8"/>
      <c r="B26" s="61" t="s">
        <v>425</v>
      </c>
      <c r="C26" s="7" t="s">
        <v>424</v>
      </c>
      <c r="D26" s="26">
        <f>ROUND(0.45*SQRT(FUSELAGE_n_pax),0)</f>
        <v>4</v>
      </c>
      <c r="E26" s="21" t="s">
        <v>395</v>
      </c>
      <c r="F26" s="16"/>
      <c r="G26" s="8"/>
      <c r="H26" s="16"/>
      <c r="I26" s="16"/>
      <c r="K26" s="38"/>
      <c r="L26" s="63"/>
      <c r="M26" s="16"/>
      <c r="N26" s="16"/>
      <c r="O26" s="15"/>
      <c r="Q26" s="8"/>
    </row>
    <row r="27" spans="1:30" s="37" customFormat="1" ht="14.25" customHeight="1" outlineLevel="1">
      <c r="A27" s="8"/>
      <c r="B27" s="95"/>
      <c r="C27" s="9"/>
      <c r="D27" s="8"/>
      <c r="E27" s="18"/>
      <c r="F27" s="16"/>
      <c r="G27" s="8"/>
      <c r="H27" s="16"/>
      <c r="I27" s="16"/>
      <c r="J27" s="9"/>
      <c r="K27" s="38"/>
      <c r="L27" s="63"/>
      <c r="M27" s="16"/>
      <c r="N27" s="16"/>
      <c r="O27" s="15"/>
      <c r="Q27" s="8"/>
    </row>
    <row r="28" spans="1:30" s="37" customFormat="1" ht="14.25" customHeight="1" outlineLevel="1">
      <c r="A28" s="8"/>
      <c r="B28" s="61" t="s">
        <v>411</v>
      </c>
      <c r="C28" s="7" t="s">
        <v>421</v>
      </c>
      <c r="D28" s="83">
        <v>3</v>
      </c>
      <c r="E28" s="21" t="s">
        <v>395</v>
      </c>
      <c r="F28" s="16"/>
      <c r="G28" s="7" t="s">
        <v>618</v>
      </c>
      <c r="H28" s="16"/>
      <c r="I28" s="16" t="s">
        <v>88</v>
      </c>
      <c r="J28" s="7" t="s">
        <v>416</v>
      </c>
      <c r="K28" s="26">
        <f>INT(IF(FUSELAGE_n_pax_FC&gt;0,FUSELAGE_n_pax_FC/FUSELAGE_n_SA_FC,0))</f>
        <v>2</v>
      </c>
      <c r="L28" s="30" t="s">
        <v>395</v>
      </c>
      <c r="M28" s="16"/>
      <c r="N28" s="16"/>
      <c r="O28" s="15"/>
      <c r="Q28" s="8"/>
      <c r="Z28" s="37">
        <f>IF(FUSELAGE_nclasses&gt;1,FUSELAGE_n_SA_FC)</f>
        <v>3</v>
      </c>
    </row>
    <row r="29" spans="1:30" s="37" customFormat="1" ht="14.25" customHeight="1" outlineLevel="1">
      <c r="A29" s="8"/>
      <c r="B29" s="61"/>
      <c r="C29" s="9"/>
      <c r="D29" s="8"/>
      <c r="E29" s="18"/>
      <c r="F29" s="16"/>
      <c r="G29" s="7"/>
      <c r="H29" s="16"/>
      <c r="I29" s="37" t="s">
        <v>759</v>
      </c>
      <c r="J29" s="9"/>
      <c r="K29" s="306">
        <f>FUSELAGE_n_SA_FC*FUSELAGE_n_rows_FC</f>
        <v>6</v>
      </c>
      <c r="L29" s="62" t="s">
        <v>395</v>
      </c>
      <c r="M29" s="16"/>
      <c r="N29" s="16"/>
      <c r="O29" s="15"/>
      <c r="Q29" s="8"/>
    </row>
    <row r="30" spans="1:30" s="37" customFormat="1" ht="14.25" hidden="1" customHeight="1" outlineLevel="1">
      <c r="A30" s="8"/>
      <c r="B30" s="61" t="s">
        <v>414</v>
      </c>
      <c r="C30" s="7" t="s">
        <v>422</v>
      </c>
      <c r="D30" s="83">
        <v>5</v>
      </c>
      <c r="E30" s="21" t="s">
        <v>395</v>
      </c>
      <c r="F30" s="16"/>
      <c r="G30" s="7" t="s">
        <v>618</v>
      </c>
      <c r="H30" s="16"/>
      <c r="I30" s="16" t="s">
        <v>89</v>
      </c>
      <c r="J30" s="7" t="s">
        <v>417</v>
      </c>
      <c r="K30" s="26">
        <f>INT(IF(FUSELAGE_n_pax_BC &gt; 0,FUSELAGE_n_pax_BC/FUSELAGE_n_SA_BC,0))</f>
        <v>0</v>
      </c>
      <c r="L30" s="30" t="s">
        <v>395</v>
      </c>
      <c r="M30" s="16"/>
      <c r="N30" s="16"/>
      <c r="O30" s="15"/>
      <c r="Q30" s="8"/>
    </row>
    <row r="31" spans="1:30" s="37" customFormat="1" ht="14.25" hidden="1" customHeight="1" outlineLevel="1">
      <c r="A31" s="8"/>
      <c r="B31" s="61"/>
      <c r="C31" s="9"/>
      <c r="D31" s="8"/>
      <c r="E31" s="18"/>
      <c r="F31" s="16"/>
      <c r="G31" s="7"/>
      <c r="H31" s="16"/>
      <c r="I31" s="37" t="s">
        <v>760</v>
      </c>
      <c r="J31" s="9"/>
      <c r="K31" s="306">
        <f>FUSELAGE_n_SA_BC*FUSELAGE_n_rows_BC</f>
        <v>0</v>
      </c>
      <c r="L31" s="62" t="s">
        <v>395</v>
      </c>
      <c r="M31" s="16"/>
      <c r="N31" s="16"/>
      <c r="O31" s="15"/>
      <c r="Q31" s="8"/>
    </row>
    <row r="32" spans="1:30" s="37" customFormat="1" ht="14.25" customHeight="1" outlineLevel="1">
      <c r="A32" s="8"/>
      <c r="B32" s="61" t="s">
        <v>155</v>
      </c>
      <c r="C32" s="7" t="s">
        <v>423</v>
      </c>
      <c r="D32" s="83">
        <v>4</v>
      </c>
      <c r="E32" s="21" t="s">
        <v>395</v>
      </c>
      <c r="F32" s="16"/>
      <c r="G32" s="7" t="s">
        <v>618</v>
      </c>
      <c r="H32" s="16"/>
      <c r="I32" s="16" t="s">
        <v>90</v>
      </c>
      <c r="J32" s="7" t="s">
        <v>418</v>
      </c>
      <c r="K32" s="26">
        <f>INT(IF(FUSELAGE_n_pax_YC &gt; 0,FUSELAGE_n_pax_YC/FUSELAGE_n_SA_YC,0))</f>
        <v>16</v>
      </c>
      <c r="L32" s="30" t="s">
        <v>395</v>
      </c>
      <c r="M32" s="16"/>
      <c r="N32" s="16"/>
      <c r="O32" s="15"/>
      <c r="Q32" s="8"/>
    </row>
    <row r="33" spans="1:31" s="37" customFormat="1" ht="14.25" customHeight="1" outlineLevel="1">
      <c r="A33" s="8"/>
      <c r="B33" s="61"/>
      <c r="C33" s="9"/>
      <c r="D33" s="8"/>
      <c r="E33" s="18"/>
      <c r="F33" s="16"/>
      <c r="G33" s="8"/>
      <c r="H33" s="16"/>
      <c r="I33" s="37" t="s">
        <v>761</v>
      </c>
      <c r="J33" s="9"/>
      <c r="K33" s="55">
        <f>FUSELAGE_n_SA_YC*FUSELAGE_n_rows_YC</f>
        <v>64</v>
      </c>
      <c r="L33" s="63" t="s">
        <v>395</v>
      </c>
      <c r="M33" s="16"/>
      <c r="N33" s="16"/>
      <c r="O33" s="15"/>
      <c r="Q33" s="8"/>
    </row>
    <row r="34" spans="1:31" s="37" customFormat="1" ht="14.25" customHeight="1" outlineLevel="1">
      <c r="A34" s="8"/>
      <c r="B34" s="95" t="s">
        <v>419</v>
      </c>
      <c r="C34" s="7" t="s">
        <v>420</v>
      </c>
      <c r="D34" s="26">
        <f>SUM(FUSELAGE_n_SA_FC *FUSELAGE_n_rows_FC,FUSELAGE_n_SA_BC*FUSELAGE_n_rows_BC,FUSELAGE_n_SA_YC*FUSELAGE_n_rows_YC)</f>
        <v>70</v>
      </c>
      <c r="E34" s="21" t="s">
        <v>395</v>
      </c>
      <c r="F34" s="16"/>
      <c r="G34" s="7" t="s">
        <v>618</v>
      </c>
      <c r="H34" s="16"/>
      <c r="I34" s="99" t="str">
        <f>IF(D34=D4,"Number of seats is correct", "Wrong number of seats!")</f>
        <v>Number of seats is correct</v>
      </c>
      <c r="J34" s="9"/>
      <c r="L34" s="63"/>
      <c r="M34" s="16"/>
      <c r="N34" s="16"/>
      <c r="O34" s="15"/>
      <c r="Q34" s="8"/>
    </row>
    <row r="35" spans="1:31" s="37" customFormat="1" ht="14.25" customHeight="1" outlineLevel="1" thickBot="1">
      <c r="A35" s="8"/>
      <c r="B35" s="96"/>
      <c r="C35" s="68"/>
      <c r="D35" s="68"/>
      <c r="E35" s="68"/>
      <c r="F35" s="66"/>
      <c r="G35" s="67"/>
      <c r="H35" s="66"/>
      <c r="I35" s="66"/>
      <c r="J35" s="11"/>
      <c r="K35" s="68"/>
      <c r="L35" s="69"/>
      <c r="M35" s="16"/>
      <c r="N35" s="16"/>
      <c r="O35" s="15"/>
      <c r="Q35" s="8"/>
    </row>
    <row r="36" spans="1:31" s="37" customFormat="1" ht="14.25" customHeight="1" outlineLevel="1" thickBot="1">
      <c r="A36" s="8"/>
      <c r="F36" s="16"/>
      <c r="G36" s="8"/>
      <c r="H36" s="16"/>
      <c r="I36" s="16"/>
      <c r="J36" s="9"/>
      <c r="M36" s="16"/>
      <c r="N36" s="16"/>
      <c r="O36" s="15"/>
      <c r="Q36" s="8"/>
    </row>
    <row r="37" spans="1:31" s="37" customFormat="1" ht="14.25" customHeight="1" outlineLevel="1">
      <c r="A37" s="8"/>
      <c r="B37" s="97" t="s">
        <v>389</v>
      </c>
      <c r="C37" s="59"/>
      <c r="D37" s="59"/>
      <c r="E37" s="59"/>
      <c r="F37" s="60"/>
      <c r="G37" s="57"/>
      <c r="H37" s="60"/>
      <c r="I37" s="60"/>
      <c r="J37" s="10"/>
      <c r="K37" s="59"/>
      <c r="L37" s="74"/>
      <c r="M37" s="16"/>
      <c r="N37" s="16"/>
      <c r="O37" s="15"/>
      <c r="Q37" s="8"/>
    </row>
    <row r="38" spans="1:31" s="37" customFormat="1" ht="14.25" customHeight="1" outlineLevel="1">
      <c r="A38" s="8"/>
      <c r="B38" s="95"/>
      <c r="F38" s="16"/>
      <c r="G38" s="8"/>
      <c r="H38" s="16"/>
      <c r="I38" s="16"/>
      <c r="J38" s="9"/>
      <c r="L38" s="63"/>
      <c r="M38" s="16"/>
      <c r="N38" s="16"/>
      <c r="O38" s="15"/>
      <c r="Q38" s="8"/>
      <c r="AE38" s="37" t="s">
        <v>520</v>
      </c>
    </row>
    <row r="39" spans="1:31" s="37" customFormat="1" ht="14.25" customHeight="1" outlineLevel="1">
      <c r="A39" s="8"/>
      <c r="B39" s="95" t="s">
        <v>766</v>
      </c>
      <c r="C39" s="7" t="s">
        <v>466</v>
      </c>
      <c r="E39" s="21" t="s">
        <v>395</v>
      </c>
      <c r="F39" s="16"/>
      <c r="G39" s="7" t="s">
        <v>617</v>
      </c>
      <c r="H39" s="16"/>
      <c r="I39" s="16" t="s">
        <v>765</v>
      </c>
      <c r="J39" s="7" t="s">
        <v>466</v>
      </c>
      <c r="K39" s="26" t="str">
        <f>IF(Z39&gt;6, 2, IF(Z39&lt;3, 1, "1 or 2"))</f>
        <v>1 or 2</v>
      </c>
      <c r="L39" s="30" t="s">
        <v>395</v>
      </c>
      <c r="M39" s="16"/>
      <c r="N39" s="16"/>
      <c r="O39" s="15"/>
      <c r="Q39" s="8"/>
      <c r="Z39" s="38">
        <f>MAX(IF(FUSELAGE_nclasses&gt;1,FUSELAGE_n_SA_FC),IF(FUSELAGE_nclasses&gt;2,FUSELAGE_n_SA_BC),FUSELAGE_n_SA_YC)</f>
        <v>4</v>
      </c>
      <c r="AA39" s="37">
        <v>1</v>
      </c>
      <c r="AB39" s="37" t="s">
        <v>755</v>
      </c>
      <c r="AC39" s="26">
        <f>VALUE(FUSELAGE_n_aisles_result)</f>
        <v>1</v>
      </c>
      <c r="AE39" s="37">
        <v>1</v>
      </c>
    </row>
    <row r="40" spans="1:31" s="37" customFormat="1" ht="14.25" customHeight="1" outlineLevel="1">
      <c r="A40" s="8"/>
      <c r="B40" s="61"/>
      <c r="C40" s="9"/>
      <c r="D40" s="8"/>
      <c r="E40" s="18"/>
      <c r="F40" s="16"/>
      <c r="G40" s="8"/>
      <c r="H40" s="16"/>
      <c r="I40" s="16"/>
      <c r="J40" s="9"/>
      <c r="L40" s="63"/>
      <c r="M40" s="16"/>
      <c r="N40" s="16"/>
      <c r="O40" s="15"/>
      <c r="Q40" s="8"/>
      <c r="AA40" s="37">
        <v>2</v>
      </c>
    </row>
    <row r="41" spans="1:31" s="37" customFormat="1" ht="14.25" customHeight="1" outlineLevel="1">
      <c r="A41" s="8"/>
      <c r="B41" s="61"/>
      <c r="C41" s="9"/>
      <c r="D41" s="8"/>
      <c r="E41" s="18"/>
      <c r="F41" s="16"/>
      <c r="G41" s="8"/>
      <c r="H41" s="16"/>
      <c r="I41" s="305" t="str">
        <f>IF(VALUE(FUSELAGE_n_aisles_result)=K39, "Number of aisles is correct", IF(K39="1 or 2", "Number of aisles is correct", "Wrong number of aisles!"))</f>
        <v>Number of aisles is correct</v>
      </c>
      <c r="J41" s="9"/>
      <c r="L41" s="63"/>
      <c r="M41" s="16"/>
      <c r="N41" s="16"/>
      <c r="O41" s="15"/>
      <c r="Q41" s="8"/>
    </row>
    <row r="42" spans="1:31" s="37" customFormat="1" ht="14.25" customHeight="1" outlineLevel="1" thickBot="1">
      <c r="A42" s="8"/>
      <c r="B42" s="65"/>
      <c r="C42" s="11"/>
      <c r="D42" s="67"/>
      <c r="E42" s="98"/>
      <c r="F42" s="66"/>
      <c r="G42" s="67"/>
      <c r="H42" s="66"/>
      <c r="I42" s="66"/>
      <c r="J42" s="11"/>
      <c r="K42" s="68"/>
      <c r="L42" s="69"/>
      <c r="M42" s="16"/>
      <c r="N42" s="16"/>
      <c r="O42" s="15"/>
      <c r="Q42" s="8"/>
    </row>
    <row r="43" spans="1:31" s="37" customFormat="1" ht="14.25" customHeight="1" outlineLevel="1">
      <c r="A43" s="8"/>
      <c r="B43" s="16"/>
      <c r="C43" s="9"/>
      <c r="D43" s="8"/>
      <c r="E43" s="18"/>
      <c r="F43" s="16"/>
      <c r="G43" s="8"/>
      <c r="H43" s="16"/>
      <c r="I43" s="16"/>
      <c r="J43" s="9"/>
      <c r="M43" s="16"/>
      <c r="N43" s="16"/>
      <c r="O43" s="15"/>
      <c r="Q43" s="8"/>
    </row>
    <row r="44" spans="1:31" s="48" customFormat="1" ht="14.25" customHeight="1">
      <c r="A44" s="44" t="s">
        <v>329</v>
      </c>
      <c r="B44" s="13" t="s">
        <v>619</v>
      </c>
      <c r="C44" s="44"/>
      <c r="D44" s="49"/>
      <c r="E44" s="45"/>
      <c r="F44" s="45"/>
      <c r="G44" s="44"/>
      <c r="H44" s="45"/>
      <c r="I44" s="45"/>
      <c r="J44" s="80"/>
      <c r="M44" s="45"/>
      <c r="N44" s="45"/>
      <c r="O44" s="47"/>
      <c r="Q44" s="44"/>
    </row>
    <row r="45" spans="1:31" s="37" customFormat="1" ht="14.25" customHeight="1" outlineLevel="1" thickBot="1">
      <c r="A45" s="8"/>
      <c r="B45" s="16"/>
      <c r="C45" s="7"/>
      <c r="D45" s="8"/>
      <c r="E45" s="18"/>
      <c r="F45" s="16"/>
      <c r="G45" s="8"/>
      <c r="H45" s="16"/>
      <c r="I45" s="16"/>
      <c r="J45" s="81"/>
      <c r="M45" s="16"/>
      <c r="N45" s="16"/>
      <c r="O45" s="15"/>
      <c r="Q45" s="8"/>
    </row>
    <row r="46" spans="1:31" s="37" customFormat="1" ht="14.25" customHeight="1" outlineLevel="1">
      <c r="A46" s="8"/>
      <c r="B46" s="86" t="s">
        <v>548</v>
      </c>
      <c r="C46" s="87"/>
      <c r="D46" s="57"/>
      <c r="E46" s="58"/>
      <c r="F46" s="60"/>
      <c r="G46" s="57"/>
      <c r="H46" s="60"/>
      <c r="I46" s="60"/>
      <c r="J46" s="101"/>
      <c r="K46" s="60"/>
      <c r="L46" s="102"/>
      <c r="M46" s="16"/>
      <c r="N46" s="16"/>
      <c r="O46" s="15"/>
      <c r="Q46" s="8"/>
      <c r="AA46" s="37" t="s">
        <v>266</v>
      </c>
    </row>
    <row r="47" spans="1:31" s="37" customFormat="1" ht="14.25" customHeight="1" outlineLevel="1">
      <c r="A47" s="8"/>
      <c r="B47" s="61"/>
      <c r="C47" s="7"/>
      <c r="D47" s="8"/>
      <c r="E47" s="18"/>
      <c r="F47" s="16"/>
      <c r="G47" s="8"/>
      <c r="H47" s="16"/>
      <c r="I47" s="16"/>
      <c r="J47" s="100"/>
      <c r="K47" s="16"/>
      <c r="L47" s="62"/>
      <c r="M47" s="16"/>
      <c r="N47" s="16"/>
      <c r="O47" s="15"/>
      <c r="Q47" s="8"/>
      <c r="AA47" s="37" t="s">
        <v>108</v>
      </c>
    </row>
    <row r="48" spans="1:31" s="37" customFormat="1" ht="14.25" customHeight="1" outlineLevel="1">
      <c r="A48" s="8"/>
      <c r="B48" s="61" t="s">
        <v>621</v>
      </c>
      <c r="C48" s="7" t="s">
        <v>532</v>
      </c>
      <c r="D48" s="34">
        <v>0.5</v>
      </c>
      <c r="E48" s="31" t="s">
        <v>266</v>
      </c>
      <c r="F48" s="16"/>
      <c r="G48" s="7" t="s">
        <v>618</v>
      </c>
      <c r="H48" s="16"/>
      <c r="I48" s="16"/>
      <c r="J48" s="7" t="s">
        <v>532</v>
      </c>
      <c r="K48" s="25">
        <f>IF(E48="[m]",D48,IF(E48="[inch]",D48*0.0254))</f>
        <v>0.5</v>
      </c>
      <c r="L48" s="62" t="s">
        <v>266</v>
      </c>
      <c r="M48" s="16"/>
      <c r="N48" s="16"/>
      <c r="O48" s="15"/>
      <c r="Q48" s="8"/>
    </row>
    <row r="49" spans="1:17" s="37" customFormat="1" ht="14.25" customHeight="1" outlineLevel="1">
      <c r="A49" s="8"/>
      <c r="B49" s="61"/>
      <c r="C49" s="7"/>
      <c r="D49" s="8"/>
      <c r="E49" s="8"/>
      <c r="F49" s="16"/>
      <c r="G49" s="8"/>
      <c r="H49" s="16"/>
      <c r="I49" s="16"/>
      <c r="J49" s="7"/>
      <c r="K49" s="8"/>
      <c r="L49" s="62"/>
      <c r="M49" s="16"/>
      <c r="N49" s="16"/>
      <c r="O49" s="15"/>
      <c r="Q49" s="8"/>
    </row>
    <row r="50" spans="1:17" s="37" customFormat="1" ht="14.25" customHeight="1" outlineLevel="1">
      <c r="A50" s="8"/>
      <c r="B50" s="61" t="s">
        <v>470</v>
      </c>
      <c r="C50" s="7" t="s">
        <v>471</v>
      </c>
      <c r="D50" s="34">
        <f>(135.95+283.53)/1000</f>
        <v>0.41947999999999996</v>
      </c>
      <c r="E50" s="31" t="s">
        <v>266</v>
      </c>
      <c r="F50" s="16"/>
      <c r="G50" s="7" t="s">
        <v>618</v>
      </c>
      <c r="H50" s="16"/>
      <c r="I50" s="16"/>
      <c r="J50" s="7" t="s">
        <v>471</v>
      </c>
      <c r="K50" s="25">
        <f>IF(E50="[m]",D50,IF(E50="[inch]",D50*0.0254))</f>
        <v>0.41947999999999996</v>
      </c>
      <c r="L50" s="62" t="s">
        <v>266</v>
      </c>
      <c r="M50" s="16"/>
      <c r="N50" s="16"/>
      <c r="O50" s="15"/>
      <c r="Q50" s="8"/>
    </row>
    <row r="51" spans="1:17" s="37" customFormat="1" ht="14.25" customHeight="1" outlineLevel="1">
      <c r="A51" s="8"/>
      <c r="B51" s="61"/>
      <c r="C51" s="7"/>
      <c r="D51" s="8"/>
      <c r="E51" s="14"/>
      <c r="F51" s="16"/>
      <c r="G51" s="8"/>
      <c r="H51" s="16"/>
      <c r="I51" s="16"/>
      <c r="J51" s="7"/>
      <c r="K51" s="8"/>
      <c r="L51" s="62"/>
      <c r="M51" s="16"/>
      <c r="N51" s="16"/>
      <c r="O51" s="15"/>
      <c r="Q51" s="8"/>
    </row>
    <row r="52" spans="1:17" s="37" customFormat="1" ht="14.25" customHeight="1" outlineLevel="1">
      <c r="A52" s="8"/>
      <c r="B52" s="61" t="s">
        <v>614</v>
      </c>
      <c r="C52" s="7" t="s">
        <v>615</v>
      </c>
      <c r="D52" s="34">
        <f>0.13595</f>
        <v>0.13594999999999999</v>
      </c>
      <c r="E52" s="31" t="s">
        <v>266</v>
      </c>
      <c r="F52" s="16"/>
      <c r="G52" s="7" t="s">
        <v>618</v>
      </c>
      <c r="H52" s="16"/>
      <c r="I52" s="16"/>
      <c r="J52" s="7" t="s">
        <v>615</v>
      </c>
      <c r="K52" s="25">
        <f>IF(E52="[m]",D52,IF(E52="[inch]",D52*0.0254))</f>
        <v>0.13594999999999999</v>
      </c>
      <c r="L52" s="62" t="s">
        <v>266</v>
      </c>
      <c r="M52" s="16"/>
      <c r="N52" s="16"/>
      <c r="O52" s="15"/>
      <c r="Q52" s="8"/>
    </row>
    <row r="53" spans="1:17" s="37" customFormat="1" ht="14.25" customHeight="1" outlineLevel="1">
      <c r="A53" s="8"/>
      <c r="B53" s="61"/>
      <c r="C53" s="7"/>
      <c r="D53" s="8"/>
      <c r="E53" s="8"/>
      <c r="F53" s="16"/>
      <c r="G53" s="8"/>
      <c r="H53" s="16"/>
      <c r="I53" s="16"/>
      <c r="J53" s="7"/>
      <c r="K53" s="8"/>
      <c r="L53" s="62"/>
      <c r="M53" s="16"/>
      <c r="N53" s="16"/>
      <c r="O53" s="15"/>
      <c r="Q53" s="8"/>
    </row>
    <row r="54" spans="1:17" s="37" customFormat="1" ht="14.25" customHeight="1" outlineLevel="1">
      <c r="A54" s="8"/>
      <c r="B54" s="61" t="s">
        <v>405</v>
      </c>
      <c r="C54" s="7" t="s">
        <v>533</v>
      </c>
      <c r="D54" s="34">
        <v>0.06</v>
      </c>
      <c r="E54" s="31" t="s">
        <v>266</v>
      </c>
      <c r="F54" s="16"/>
      <c r="G54" s="7" t="s">
        <v>618</v>
      </c>
      <c r="H54" s="16"/>
      <c r="I54" s="16"/>
      <c r="J54" s="7" t="s">
        <v>533</v>
      </c>
      <c r="K54" s="25">
        <f>IF(E54="[m]",D54,IF(E54="[inch]",D54*0.0254))</f>
        <v>0.06</v>
      </c>
      <c r="L54" s="62" t="s">
        <v>266</v>
      </c>
      <c r="M54" s="16"/>
      <c r="N54" s="16"/>
      <c r="O54" s="15"/>
      <c r="Q54" s="8"/>
    </row>
    <row r="55" spans="1:17" s="37" customFormat="1" ht="14.25" customHeight="1" outlineLevel="1">
      <c r="A55" s="8"/>
      <c r="B55" s="61"/>
      <c r="C55" s="7"/>
      <c r="D55" s="8"/>
      <c r="E55" s="8"/>
      <c r="F55" s="16"/>
      <c r="G55" s="8"/>
      <c r="H55" s="16"/>
      <c r="I55" s="16"/>
      <c r="J55" s="7"/>
      <c r="K55" s="8"/>
      <c r="L55" s="62"/>
      <c r="M55" s="16"/>
      <c r="N55" s="16"/>
      <c r="O55" s="15"/>
      <c r="Q55" s="8"/>
    </row>
    <row r="56" spans="1:17" s="37" customFormat="1" ht="14.25" customHeight="1" outlineLevel="1">
      <c r="A56" s="8"/>
      <c r="B56" s="61" t="s">
        <v>360</v>
      </c>
      <c r="C56" s="7" t="s">
        <v>362</v>
      </c>
      <c r="D56" s="34">
        <v>0.6</v>
      </c>
      <c r="E56" s="31" t="s">
        <v>266</v>
      </c>
      <c r="F56" s="16"/>
      <c r="G56" s="7" t="s">
        <v>618</v>
      </c>
      <c r="H56" s="16"/>
      <c r="I56" s="16"/>
      <c r="J56" s="7" t="s">
        <v>362</v>
      </c>
      <c r="K56" s="25">
        <f>IF(E56="[m]",D56,IF(E56="[inch]",D56*0.0254))</f>
        <v>0.6</v>
      </c>
      <c r="L56" s="62" t="s">
        <v>266</v>
      </c>
      <c r="M56" s="16"/>
      <c r="N56" s="16"/>
      <c r="O56" s="15"/>
      <c r="Q56" s="8"/>
    </row>
    <row r="57" spans="1:17" s="37" customFormat="1" ht="14.25" customHeight="1" outlineLevel="1">
      <c r="A57" s="8"/>
      <c r="B57" s="61"/>
      <c r="C57" s="7"/>
      <c r="D57" s="56"/>
      <c r="E57" s="14"/>
      <c r="F57" s="16"/>
      <c r="G57" s="8"/>
      <c r="H57" s="16"/>
      <c r="I57" s="16"/>
      <c r="J57" s="7"/>
      <c r="K57" s="56"/>
      <c r="L57" s="62"/>
      <c r="M57" s="16"/>
      <c r="N57" s="16"/>
      <c r="O57" s="15"/>
      <c r="Q57" s="8"/>
    </row>
    <row r="58" spans="1:17" s="37" customFormat="1" ht="14.25" customHeight="1" outlineLevel="1">
      <c r="A58" s="8"/>
      <c r="B58" s="61" t="s">
        <v>361</v>
      </c>
      <c r="C58" s="7" t="s">
        <v>363</v>
      </c>
      <c r="D58" s="34">
        <v>0.5</v>
      </c>
      <c r="E58" s="31" t="s">
        <v>266</v>
      </c>
      <c r="F58" s="16"/>
      <c r="G58" s="7" t="s">
        <v>618</v>
      </c>
      <c r="H58" s="16"/>
      <c r="I58" s="16"/>
      <c r="J58" s="7" t="s">
        <v>363</v>
      </c>
      <c r="K58" s="25">
        <f>IF(E58="[m]",D58,IF(E58="[inch]",D58*0.0254))</f>
        <v>0.5</v>
      </c>
      <c r="L58" s="62" t="s">
        <v>266</v>
      </c>
      <c r="M58" s="16"/>
      <c r="N58" s="16"/>
      <c r="O58" s="15"/>
      <c r="Q58" s="8"/>
    </row>
    <row r="59" spans="1:17" s="37" customFormat="1" ht="14.25" customHeight="1" outlineLevel="1">
      <c r="A59" s="8"/>
      <c r="B59" s="61"/>
      <c r="C59" s="7"/>
      <c r="D59" s="8"/>
      <c r="E59" s="8"/>
      <c r="F59" s="16"/>
      <c r="G59" s="8"/>
      <c r="H59" s="16"/>
      <c r="I59" s="16"/>
      <c r="J59" s="7"/>
      <c r="K59" s="8"/>
      <c r="L59" s="62"/>
      <c r="M59" s="16"/>
      <c r="N59" s="16"/>
      <c r="O59" s="15"/>
      <c r="Q59" s="8"/>
    </row>
    <row r="60" spans="1:17" s="37" customFormat="1" ht="14.25" customHeight="1" outlineLevel="1">
      <c r="A60" s="8"/>
      <c r="B60" s="61" t="s">
        <v>622</v>
      </c>
      <c r="C60" s="7" t="s">
        <v>473</v>
      </c>
      <c r="D60" s="34">
        <v>0.8</v>
      </c>
      <c r="E60" s="31" t="s">
        <v>266</v>
      </c>
      <c r="F60" s="16"/>
      <c r="G60" s="7" t="s">
        <v>618</v>
      </c>
      <c r="H60" s="16"/>
      <c r="I60" s="16"/>
      <c r="J60" s="7" t="s">
        <v>473</v>
      </c>
      <c r="K60" s="25">
        <f>IF(E60="[m]",D60,IF(E60="[inch]",D60*0.0254))</f>
        <v>0.8</v>
      </c>
      <c r="L60" s="62" t="s">
        <v>266</v>
      </c>
      <c r="M60" s="16"/>
      <c r="N60" s="16"/>
      <c r="O60" s="15"/>
      <c r="Q60" s="8"/>
    </row>
    <row r="61" spans="1:17" s="37" customFormat="1" ht="14.25" customHeight="1" outlineLevel="1">
      <c r="A61" s="8"/>
      <c r="B61" s="61"/>
      <c r="C61" s="7"/>
      <c r="D61" s="56"/>
      <c r="E61" s="14"/>
      <c r="F61" s="16"/>
      <c r="G61" s="8"/>
      <c r="H61" s="16"/>
      <c r="I61" s="16"/>
      <c r="J61" s="7"/>
      <c r="K61" s="56"/>
      <c r="L61" s="62"/>
      <c r="M61" s="16"/>
      <c r="N61" s="16"/>
      <c r="O61" s="15"/>
      <c r="Q61" s="8"/>
    </row>
    <row r="62" spans="1:17" s="37" customFormat="1" ht="14.25" customHeight="1" outlineLevel="1">
      <c r="A62" s="8"/>
      <c r="B62" s="61" t="s">
        <v>535</v>
      </c>
      <c r="C62" s="7" t="s">
        <v>536</v>
      </c>
      <c r="D62" s="34">
        <v>0.43</v>
      </c>
      <c r="E62" s="31" t="s">
        <v>266</v>
      </c>
      <c r="F62" s="16"/>
      <c r="G62" s="7" t="s">
        <v>618</v>
      </c>
      <c r="H62" s="16"/>
      <c r="I62" s="16"/>
      <c r="J62" s="7" t="s">
        <v>536</v>
      </c>
      <c r="K62" s="25">
        <f>IF(E62="[m]",D62,IF(E62="[inch]",D62*0.0254))</f>
        <v>0.43</v>
      </c>
      <c r="L62" s="62" t="s">
        <v>266</v>
      </c>
      <c r="M62" s="16"/>
      <c r="N62" s="16"/>
      <c r="O62" s="15"/>
      <c r="Q62" s="8"/>
    </row>
    <row r="63" spans="1:17" s="37" customFormat="1" ht="14.25" customHeight="1" outlineLevel="1" thickBot="1">
      <c r="A63" s="8"/>
      <c r="B63" s="65"/>
      <c r="C63" s="90"/>
      <c r="D63" s="67"/>
      <c r="E63" s="98"/>
      <c r="F63" s="66"/>
      <c r="G63" s="67"/>
      <c r="H63" s="66"/>
      <c r="I63" s="66"/>
      <c r="J63" s="103"/>
      <c r="K63" s="66"/>
      <c r="L63" s="104"/>
      <c r="M63" s="16"/>
      <c r="N63" s="16"/>
      <c r="O63" s="15"/>
      <c r="Q63" s="8"/>
    </row>
    <row r="64" spans="1:17" s="37" customFormat="1" ht="14.25" customHeight="1" outlineLevel="1" thickBot="1">
      <c r="A64" s="8"/>
      <c r="B64" s="16"/>
      <c r="C64" s="7"/>
      <c r="D64" s="8"/>
      <c r="E64" s="18"/>
      <c r="F64" s="16"/>
      <c r="G64" s="8"/>
      <c r="H64" s="16"/>
      <c r="I64" s="16"/>
      <c r="J64" s="100"/>
      <c r="K64" s="16"/>
      <c r="L64" s="16"/>
      <c r="M64" s="16"/>
      <c r="N64" s="16"/>
      <c r="O64" s="15"/>
      <c r="Q64" s="8"/>
    </row>
    <row r="65" spans="1:17" s="37" customFormat="1" ht="14.25" customHeight="1" outlineLevel="1">
      <c r="A65" s="8"/>
      <c r="B65" s="86" t="s">
        <v>527</v>
      </c>
      <c r="C65" s="87"/>
      <c r="D65" s="57"/>
      <c r="E65" s="58"/>
      <c r="F65" s="60"/>
      <c r="G65" s="57"/>
      <c r="H65" s="60"/>
      <c r="I65" s="60"/>
      <c r="J65" s="101"/>
      <c r="K65" s="60"/>
      <c r="L65" s="102"/>
      <c r="M65" s="16"/>
      <c r="N65" s="16"/>
      <c r="O65" s="15"/>
      <c r="Q65" s="8"/>
    </row>
    <row r="66" spans="1:17" s="37" customFormat="1" ht="14.25" customHeight="1" outlineLevel="1">
      <c r="A66" s="8"/>
      <c r="B66" s="61"/>
      <c r="C66" s="7"/>
      <c r="D66" s="8"/>
      <c r="E66" s="18"/>
      <c r="F66" s="16"/>
      <c r="G66" s="8"/>
      <c r="H66" s="16"/>
      <c r="I66" s="16"/>
      <c r="J66" s="100"/>
      <c r="K66" s="16"/>
      <c r="L66" s="62"/>
      <c r="M66" s="16"/>
      <c r="N66" s="16"/>
      <c r="O66" s="15"/>
      <c r="Q66" s="8"/>
    </row>
    <row r="67" spans="1:17" s="37" customFormat="1" ht="14.25" customHeight="1" outlineLevel="1">
      <c r="A67" s="8"/>
      <c r="B67" s="61" t="s">
        <v>621</v>
      </c>
      <c r="C67" s="7" t="s">
        <v>526</v>
      </c>
      <c r="D67" s="34">
        <v>0.65</v>
      </c>
      <c r="E67" s="31" t="s">
        <v>266</v>
      </c>
      <c r="F67" s="16"/>
      <c r="G67" s="7" t="s">
        <v>618</v>
      </c>
      <c r="H67" s="16"/>
      <c r="I67" s="16"/>
      <c r="J67" s="7" t="s">
        <v>526</v>
      </c>
      <c r="K67" s="25">
        <f>IF(E67="[m]",D67,IF(E67="[inch]",D67*0.0254))</f>
        <v>0.65</v>
      </c>
      <c r="L67" s="62" t="s">
        <v>266</v>
      </c>
      <c r="M67" s="16"/>
      <c r="N67" s="16"/>
      <c r="O67" s="15"/>
      <c r="Q67" s="8"/>
    </row>
    <row r="68" spans="1:17" s="37" customFormat="1" ht="14.25" customHeight="1" outlineLevel="1">
      <c r="A68" s="8"/>
      <c r="B68" s="61"/>
      <c r="C68" s="7"/>
      <c r="D68" s="8"/>
      <c r="E68" s="8"/>
      <c r="F68" s="16"/>
      <c r="G68" s="8"/>
      <c r="H68" s="16"/>
      <c r="I68" s="16"/>
      <c r="J68" s="7"/>
      <c r="K68" s="8"/>
      <c r="L68" s="62"/>
      <c r="M68" s="16"/>
      <c r="N68" s="16"/>
      <c r="O68" s="15"/>
      <c r="Q68" s="8"/>
    </row>
    <row r="69" spans="1:17" s="37" customFormat="1" ht="14.25" customHeight="1" outlineLevel="1">
      <c r="A69" s="8"/>
      <c r="B69" s="61" t="s">
        <v>405</v>
      </c>
      <c r="C69" s="7" t="s">
        <v>530</v>
      </c>
      <c r="D69" s="34">
        <v>7.0000000000000007E-2</v>
      </c>
      <c r="E69" s="31" t="s">
        <v>266</v>
      </c>
      <c r="F69" s="16"/>
      <c r="G69" s="7" t="s">
        <v>618</v>
      </c>
      <c r="H69" s="16"/>
      <c r="I69" s="16"/>
      <c r="J69" s="7" t="s">
        <v>530</v>
      </c>
      <c r="K69" s="25">
        <f>IF(E69="[m]",D69,IF(E69="[inch]",D69*0.0254))</f>
        <v>7.0000000000000007E-2</v>
      </c>
      <c r="L69" s="62" t="s">
        <v>266</v>
      </c>
      <c r="M69" s="16"/>
      <c r="N69" s="16"/>
      <c r="O69" s="15"/>
      <c r="Q69" s="8"/>
    </row>
    <row r="70" spans="1:17" s="37" customFormat="1" ht="14.25" customHeight="1" outlineLevel="1">
      <c r="A70" s="8"/>
      <c r="B70" s="61"/>
      <c r="C70" s="7"/>
      <c r="D70" s="56"/>
      <c r="E70" s="14"/>
      <c r="F70" s="16"/>
      <c r="G70" s="8"/>
      <c r="H70" s="16"/>
      <c r="I70" s="16"/>
      <c r="J70" s="7"/>
      <c r="K70" s="56"/>
      <c r="L70" s="62"/>
      <c r="M70" s="16"/>
      <c r="N70" s="16"/>
      <c r="O70" s="15"/>
      <c r="Q70" s="8"/>
    </row>
    <row r="71" spans="1:17" s="37" customFormat="1" ht="14.25" customHeight="1" outlineLevel="1">
      <c r="A71" s="8"/>
      <c r="B71" s="61" t="s">
        <v>535</v>
      </c>
      <c r="C71" s="7" t="s">
        <v>537</v>
      </c>
      <c r="D71" s="34">
        <v>0.46</v>
      </c>
      <c r="E71" s="31" t="s">
        <v>266</v>
      </c>
      <c r="F71" s="16"/>
      <c r="G71" s="7" t="s">
        <v>618</v>
      </c>
      <c r="H71" s="16"/>
      <c r="I71" s="16"/>
      <c r="J71" s="7" t="s">
        <v>537</v>
      </c>
      <c r="K71" s="25">
        <f>IF(E71="[m]",D71,IF(E71="[inch]",D71*0.0254))</f>
        <v>0.46</v>
      </c>
      <c r="L71" s="62" t="s">
        <v>266</v>
      </c>
      <c r="M71" s="16"/>
      <c r="N71" s="16"/>
      <c r="O71" s="15"/>
      <c r="Q71" s="8"/>
    </row>
    <row r="72" spans="1:17" s="37" customFormat="1" ht="14.25" customHeight="1" outlineLevel="1" thickBot="1">
      <c r="A72" s="8"/>
      <c r="B72" s="65"/>
      <c r="C72" s="90"/>
      <c r="D72" s="67"/>
      <c r="E72" s="98"/>
      <c r="F72" s="66"/>
      <c r="G72" s="67"/>
      <c r="H72" s="66"/>
      <c r="I72" s="66"/>
      <c r="J72" s="103"/>
      <c r="K72" s="66"/>
      <c r="L72" s="104"/>
      <c r="M72" s="16"/>
      <c r="N72" s="16"/>
      <c r="O72" s="15"/>
      <c r="Q72" s="8"/>
    </row>
    <row r="73" spans="1:17" s="37" customFormat="1" ht="14.25" customHeight="1" outlineLevel="1" thickBot="1">
      <c r="A73" s="8"/>
      <c r="B73" s="16"/>
      <c r="C73" s="7"/>
      <c r="D73" s="8"/>
      <c r="E73" s="18"/>
      <c r="F73" s="16"/>
      <c r="G73" s="8"/>
      <c r="H73" s="16"/>
      <c r="I73" s="16"/>
      <c r="J73" s="100"/>
      <c r="K73" s="16"/>
      <c r="L73" s="16"/>
      <c r="M73" s="16"/>
      <c r="N73" s="16"/>
      <c r="O73" s="15"/>
      <c r="Q73" s="8"/>
    </row>
    <row r="74" spans="1:17" s="37" customFormat="1" ht="14.25" hidden="1" customHeight="1" outlineLevel="1">
      <c r="A74" s="8"/>
      <c r="B74" s="86" t="s">
        <v>528</v>
      </c>
      <c r="C74" s="87"/>
      <c r="D74" s="57"/>
      <c r="E74" s="58"/>
      <c r="F74" s="60"/>
      <c r="G74" s="57"/>
      <c r="H74" s="60"/>
      <c r="I74" s="60"/>
      <c r="J74" s="101"/>
      <c r="K74" s="60"/>
      <c r="L74" s="102"/>
      <c r="M74" s="16"/>
      <c r="N74" s="16"/>
      <c r="O74" s="15"/>
      <c r="Q74" s="8"/>
    </row>
    <row r="75" spans="1:17" s="37" customFormat="1" ht="14.25" hidden="1" customHeight="1" outlineLevel="1">
      <c r="A75" s="8"/>
      <c r="B75" s="61"/>
      <c r="C75" s="7"/>
      <c r="D75" s="8"/>
      <c r="E75" s="18"/>
      <c r="F75" s="16"/>
      <c r="G75" s="8"/>
      <c r="H75" s="16"/>
      <c r="I75" s="16"/>
      <c r="J75" s="100"/>
      <c r="K75" s="16"/>
      <c r="L75" s="62"/>
      <c r="M75" s="16"/>
      <c r="N75" s="16"/>
      <c r="O75" s="15"/>
      <c r="Q75" s="8"/>
    </row>
    <row r="76" spans="1:17" s="37" customFormat="1" ht="14.25" hidden="1" customHeight="1" outlineLevel="1">
      <c r="A76" s="8"/>
      <c r="B76" s="61" t="s">
        <v>621</v>
      </c>
      <c r="C76" s="7" t="s">
        <v>529</v>
      </c>
      <c r="D76" s="34">
        <v>0.54</v>
      </c>
      <c r="E76" s="31" t="s">
        <v>266</v>
      </c>
      <c r="F76" s="16"/>
      <c r="G76" s="7" t="s">
        <v>618</v>
      </c>
      <c r="H76" s="16"/>
      <c r="I76" s="16"/>
      <c r="J76" s="7" t="s">
        <v>529</v>
      </c>
      <c r="K76" s="25">
        <f>IF(E76="[m]",D76,IF(E76="[inch]",D76*0.0254))</f>
        <v>0.54</v>
      </c>
      <c r="L76" s="62" t="s">
        <v>266</v>
      </c>
      <c r="M76" s="16"/>
      <c r="N76" s="16"/>
      <c r="O76" s="15"/>
      <c r="Q76" s="8"/>
    </row>
    <row r="77" spans="1:17" s="37" customFormat="1" ht="14.25" hidden="1" customHeight="1" outlineLevel="1">
      <c r="A77" s="8"/>
      <c r="B77" s="61"/>
      <c r="C77" s="7"/>
      <c r="D77" s="8"/>
      <c r="E77" s="8"/>
      <c r="F77" s="16"/>
      <c r="G77" s="8"/>
      <c r="H77" s="16"/>
      <c r="I77" s="16"/>
      <c r="J77" s="7"/>
      <c r="K77" s="8"/>
      <c r="L77" s="62"/>
      <c r="M77" s="16"/>
      <c r="N77" s="16"/>
      <c r="O77" s="15"/>
      <c r="Q77" s="8"/>
    </row>
    <row r="78" spans="1:17" s="37" customFormat="1" ht="14.25" hidden="1" customHeight="1" outlineLevel="1">
      <c r="A78" s="8"/>
      <c r="B78" s="61" t="s">
        <v>405</v>
      </c>
      <c r="C78" s="7" t="s">
        <v>531</v>
      </c>
      <c r="D78" s="34">
        <v>0.05</v>
      </c>
      <c r="E78" s="31" t="s">
        <v>266</v>
      </c>
      <c r="F78" s="16"/>
      <c r="G78" s="7" t="s">
        <v>618</v>
      </c>
      <c r="H78" s="16"/>
      <c r="I78" s="16"/>
      <c r="J78" s="7" t="s">
        <v>531</v>
      </c>
      <c r="K78" s="25">
        <f>IF(E78="[m]",D78,IF(E78="[inch]",D78*0.0254))</f>
        <v>0.05</v>
      </c>
      <c r="L78" s="62" t="s">
        <v>266</v>
      </c>
      <c r="M78" s="16"/>
      <c r="N78" s="16"/>
      <c r="O78" s="15"/>
      <c r="Q78" s="8"/>
    </row>
    <row r="79" spans="1:17" s="37" customFormat="1" ht="14.25" hidden="1" customHeight="1" outlineLevel="1">
      <c r="A79" s="8"/>
      <c r="B79" s="61"/>
      <c r="C79" s="7"/>
      <c r="D79" s="56"/>
      <c r="E79" s="14"/>
      <c r="F79" s="16"/>
      <c r="G79" s="8"/>
      <c r="H79" s="16"/>
      <c r="I79" s="16"/>
      <c r="J79" s="7"/>
      <c r="K79" s="56"/>
      <c r="L79" s="62"/>
      <c r="M79" s="16"/>
      <c r="N79" s="16"/>
      <c r="O79" s="15"/>
      <c r="Q79" s="8"/>
    </row>
    <row r="80" spans="1:17" s="37" customFormat="1" ht="14.25" hidden="1" customHeight="1" outlineLevel="1">
      <c r="A80" s="8"/>
      <c r="B80" s="61" t="s">
        <v>535</v>
      </c>
      <c r="C80" s="7" t="s">
        <v>538</v>
      </c>
      <c r="D80" s="34">
        <v>0.7</v>
      </c>
      <c r="E80" s="31" t="s">
        <v>266</v>
      </c>
      <c r="F80" s="16"/>
      <c r="G80" s="7" t="s">
        <v>618</v>
      </c>
      <c r="H80" s="16"/>
      <c r="I80" s="16"/>
      <c r="J80" s="7" t="s">
        <v>538</v>
      </c>
      <c r="K80" s="25">
        <f>IF(E80="[m]",D80,IF(E80="[inch]",D80*0.0254))</f>
        <v>0.7</v>
      </c>
      <c r="L80" s="62" t="s">
        <v>266</v>
      </c>
      <c r="M80" s="16"/>
      <c r="N80" s="16"/>
      <c r="O80" s="15"/>
      <c r="Q80" s="8"/>
    </row>
    <row r="81" spans="1:17" s="37" customFormat="1" ht="14.25" hidden="1" customHeight="1" outlineLevel="1" thickBot="1">
      <c r="A81" s="8"/>
      <c r="B81" s="65"/>
      <c r="C81" s="90"/>
      <c r="D81" s="67"/>
      <c r="E81" s="98"/>
      <c r="F81" s="66"/>
      <c r="G81" s="67"/>
      <c r="H81" s="66"/>
      <c r="I81" s="66"/>
      <c r="J81" s="103"/>
      <c r="K81" s="66"/>
      <c r="L81" s="104"/>
      <c r="M81" s="16"/>
      <c r="N81" s="16"/>
      <c r="O81" s="15"/>
      <c r="Q81" s="8"/>
    </row>
    <row r="82" spans="1:17" s="37" customFormat="1" ht="14.25" hidden="1" customHeight="1" outlineLevel="1" thickBot="1">
      <c r="A82" s="8"/>
      <c r="B82" s="16"/>
      <c r="C82" s="7"/>
      <c r="D82" s="8"/>
      <c r="E82" s="18"/>
      <c r="F82" s="16"/>
      <c r="G82" s="8"/>
      <c r="H82" s="16"/>
      <c r="I82" s="16"/>
      <c r="J82" s="100"/>
      <c r="K82" s="16"/>
      <c r="L82" s="16"/>
      <c r="M82" s="16"/>
      <c r="N82" s="16"/>
      <c r="O82" s="15"/>
      <c r="Q82" s="8"/>
    </row>
    <row r="83" spans="1:17" s="37" customFormat="1" ht="14.25" customHeight="1" outlineLevel="1">
      <c r="A83" s="8"/>
      <c r="B83" s="86" t="s">
        <v>331</v>
      </c>
      <c r="C83" s="87"/>
      <c r="D83" s="57"/>
      <c r="E83" s="58"/>
      <c r="F83" s="60"/>
      <c r="G83" s="57"/>
      <c r="H83" s="60"/>
      <c r="I83" s="60"/>
      <c r="J83" s="101"/>
      <c r="K83" s="60"/>
      <c r="L83" s="102"/>
      <c r="M83" s="16"/>
      <c r="N83" s="16"/>
      <c r="O83" s="15"/>
      <c r="Q83" s="8"/>
    </row>
    <row r="84" spans="1:17" s="37" customFormat="1" ht="14.25" customHeight="1" outlineLevel="1">
      <c r="A84" s="8"/>
      <c r="B84" s="61"/>
      <c r="C84" s="7"/>
      <c r="D84" s="8"/>
      <c r="E84" s="18"/>
      <c r="F84" s="16"/>
      <c r="G84" s="8"/>
      <c r="H84" s="16"/>
      <c r="I84" s="16"/>
      <c r="J84" s="100"/>
      <c r="K84" s="16"/>
      <c r="L84" s="62"/>
      <c r="M84" s="16"/>
      <c r="N84" s="16"/>
      <c r="O84" s="15"/>
      <c r="Q84" s="8"/>
    </row>
    <row r="85" spans="1:17" s="37" customFormat="1" ht="14.25" customHeight="1" outlineLevel="1">
      <c r="A85" s="8"/>
      <c r="B85" s="61" t="s">
        <v>332</v>
      </c>
      <c r="C85" s="7" t="s">
        <v>333</v>
      </c>
      <c r="D85" s="34">
        <v>0.6</v>
      </c>
      <c r="E85" s="21" t="s">
        <v>266</v>
      </c>
      <c r="F85" s="16"/>
      <c r="G85" s="8"/>
      <c r="H85" s="16"/>
      <c r="I85" s="16"/>
      <c r="J85" s="7"/>
      <c r="K85" s="16"/>
      <c r="L85" s="62"/>
      <c r="M85" s="16"/>
      <c r="N85" s="16"/>
      <c r="O85" s="15"/>
      <c r="Q85" s="8"/>
    </row>
    <row r="86" spans="1:17" s="37" customFormat="1" ht="14.25" customHeight="1" outlineLevel="1">
      <c r="A86" s="8"/>
      <c r="B86" s="61"/>
      <c r="C86" s="7"/>
      <c r="D86" s="8"/>
      <c r="E86" s="18"/>
      <c r="F86" s="16"/>
      <c r="G86" s="8"/>
      <c r="H86" s="16"/>
      <c r="I86" s="16"/>
      <c r="J86" s="7"/>
      <c r="K86" s="16"/>
      <c r="L86" s="62"/>
      <c r="M86" s="16"/>
      <c r="N86" s="16"/>
      <c r="O86" s="15"/>
      <c r="Q86" s="8"/>
    </row>
    <row r="87" spans="1:17" s="37" customFormat="1" ht="14.25" customHeight="1" outlineLevel="1">
      <c r="A87" s="8"/>
      <c r="B87" s="61" t="s">
        <v>588</v>
      </c>
      <c r="C87" s="7" t="s">
        <v>589</v>
      </c>
      <c r="D87" s="34">
        <v>0.48</v>
      </c>
      <c r="E87" s="21" t="s">
        <v>266</v>
      </c>
      <c r="F87" s="16"/>
      <c r="G87" s="8"/>
      <c r="H87" s="16"/>
      <c r="I87" s="16"/>
      <c r="J87" s="7"/>
      <c r="K87" s="16"/>
      <c r="L87" s="62"/>
      <c r="M87" s="16"/>
      <c r="N87" s="16"/>
      <c r="O87" s="15"/>
      <c r="Q87" s="8"/>
    </row>
    <row r="88" spans="1:17" s="37" customFormat="1" ht="14.25" customHeight="1" outlineLevel="1">
      <c r="A88" s="8"/>
      <c r="B88" s="61"/>
      <c r="C88" s="7"/>
      <c r="D88" s="8"/>
      <c r="E88" s="18"/>
      <c r="F88" s="16"/>
      <c r="G88" s="8"/>
      <c r="H88" s="16"/>
      <c r="I88" s="16"/>
      <c r="J88" s="313" t="s">
        <v>126</v>
      </c>
      <c r="K88" s="314"/>
      <c r="L88" s="62"/>
      <c r="M88" s="16"/>
      <c r="N88" s="16"/>
      <c r="O88" s="15"/>
      <c r="Q88" s="8"/>
    </row>
    <row r="89" spans="1:17" s="37" customFormat="1" ht="14.25" customHeight="1" outlineLevel="1">
      <c r="A89" s="8"/>
      <c r="B89" s="61" t="s">
        <v>590</v>
      </c>
      <c r="C89" s="7" t="s">
        <v>591</v>
      </c>
      <c r="D89" s="34">
        <v>0.78</v>
      </c>
      <c r="E89" s="21" t="s">
        <v>266</v>
      </c>
      <c r="F89" s="16"/>
      <c r="G89" s="8"/>
      <c r="H89" s="16"/>
      <c r="I89" s="18" t="s">
        <v>124</v>
      </c>
      <c r="J89" s="314"/>
      <c r="K89" s="314"/>
      <c r="L89" s="62"/>
      <c r="M89" s="16"/>
      <c r="N89" s="16"/>
      <c r="O89" s="15"/>
      <c r="Q89" s="8"/>
    </row>
    <row r="90" spans="1:17" s="37" customFormat="1" ht="14.25" customHeight="1" outlineLevel="1">
      <c r="A90" s="8"/>
      <c r="B90" s="61"/>
      <c r="C90" s="7"/>
      <c r="D90" s="8"/>
      <c r="E90" s="18"/>
      <c r="F90" s="16"/>
      <c r="G90" s="8"/>
      <c r="H90" s="16"/>
      <c r="I90" s="16"/>
      <c r="J90" s="314"/>
      <c r="K90" s="314"/>
      <c r="L90" s="62"/>
      <c r="M90" s="16"/>
      <c r="N90" s="16"/>
      <c r="O90" s="15"/>
      <c r="Q90" s="8"/>
    </row>
    <row r="91" spans="1:17" s="37" customFormat="1" ht="14.25" customHeight="1" outlineLevel="1">
      <c r="A91" s="8"/>
      <c r="B91" s="61" t="s">
        <v>592</v>
      </c>
      <c r="C91" s="7" t="s">
        <v>596</v>
      </c>
      <c r="D91" s="34">
        <v>0.05</v>
      </c>
      <c r="E91" s="21" t="s">
        <v>266</v>
      </c>
      <c r="F91" s="16"/>
      <c r="G91" s="8"/>
      <c r="H91" s="16"/>
      <c r="I91" s="16"/>
      <c r="J91" s="314"/>
      <c r="K91" s="314"/>
      <c r="L91" s="62"/>
      <c r="M91" s="16"/>
      <c r="N91" s="16"/>
      <c r="O91" s="15"/>
      <c r="Q91" s="8"/>
    </row>
    <row r="92" spans="1:17" s="37" customFormat="1" ht="14.25" customHeight="1" outlineLevel="1">
      <c r="A92" s="8"/>
      <c r="B92" s="61"/>
      <c r="D92" s="8"/>
      <c r="E92" s="18"/>
      <c r="F92" s="16"/>
      <c r="G92" s="8"/>
      <c r="H92" s="16"/>
      <c r="I92" s="16"/>
      <c r="K92" s="16"/>
      <c r="L92" s="62"/>
      <c r="M92" s="16"/>
      <c r="N92" s="16"/>
      <c r="O92" s="15"/>
      <c r="Q92" s="8"/>
    </row>
    <row r="93" spans="1:17" s="37" customFormat="1" ht="14.25" customHeight="1" outlineLevel="1">
      <c r="A93" s="8"/>
      <c r="B93" s="61" t="s">
        <v>593</v>
      </c>
      <c r="C93" s="7" t="s">
        <v>597</v>
      </c>
      <c r="D93" s="34">
        <v>0.05</v>
      </c>
      <c r="E93" s="21" t="s">
        <v>266</v>
      </c>
      <c r="F93" s="16"/>
      <c r="G93" s="8"/>
      <c r="H93" s="16"/>
      <c r="I93" s="16"/>
      <c r="J93" s="7"/>
      <c r="K93" s="16"/>
      <c r="L93" s="62"/>
      <c r="M93" s="16"/>
      <c r="N93" s="16"/>
      <c r="O93" s="15"/>
      <c r="Q93" s="8"/>
    </row>
    <row r="94" spans="1:17" s="37" customFormat="1" ht="14.25" customHeight="1" outlineLevel="1" thickBot="1">
      <c r="A94" s="8"/>
      <c r="B94" s="65"/>
      <c r="C94" s="90"/>
      <c r="D94" s="67"/>
      <c r="E94" s="98"/>
      <c r="F94" s="66"/>
      <c r="G94" s="67"/>
      <c r="H94" s="66"/>
      <c r="I94" s="66"/>
      <c r="J94" s="103"/>
      <c r="K94" s="66"/>
      <c r="L94" s="104"/>
      <c r="M94" s="16"/>
      <c r="N94" s="16"/>
      <c r="O94" s="15"/>
      <c r="Q94" s="8"/>
    </row>
    <row r="95" spans="1:17" s="37" customFormat="1" ht="14.25" customHeight="1" outlineLevel="1" thickBot="1">
      <c r="A95" s="8"/>
      <c r="B95" s="16"/>
      <c r="C95" s="7"/>
      <c r="D95" s="8"/>
      <c r="E95" s="18"/>
      <c r="F95" s="16"/>
      <c r="G95" s="8"/>
      <c r="H95" s="16"/>
      <c r="I95" s="16"/>
      <c r="J95" s="100"/>
      <c r="K95" s="16"/>
      <c r="L95" s="60"/>
      <c r="M95" s="16"/>
      <c r="N95" s="16"/>
      <c r="O95" s="15"/>
      <c r="Q95" s="8"/>
    </row>
    <row r="96" spans="1:17" s="37" customFormat="1" ht="14.25" customHeight="1" outlineLevel="1">
      <c r="A96" s="8"/>
      <c r="B96" s="86" t="s">
        <v>505</v>
      </c>
      <c r="C96" s="87"/>
      <c r="D96" s="57"/>
      <c r="E96" s="58"/>
      <c r="F96" s="60"/>
      <c r="G96" s="57"/>
      <c r="H96" s="60"/>
      <c r="I96" s="60"/>
      <c r="J96" s="101"/>
      <c r="K96" s="60"/>
      <c r="L96" s="102"/>
      <c r="M96" s="16"/>
      <c r="N96" s="16"/>
      <c r="O96" s="15"/>
      <c r="Q96" s="8"/>
    </row>
    <row r="97" spans="1:28" s="37" customFormat="1" ht="14.25" customHeight="1" outlineLevel="1">
      <c r="A97" s="8"/>
      <c r="B97" s="61"/>
      <c r="C97" s="7"/>
      <c r="D97" s="8"/>
      <c r="E97" s="18"/>
      <c r="F97" s="16"/>
      <c r="G97" s="8"/>
      <c r="H97" s="16"/>
      <c r="I97" s="16"/>
      <c r="J97" s="100"/>
      <c r="K97" s="16"/>
      <c r="L97" s="62"/>
      <c r="M97" s="16"/>
      <c r="N97" s="16"/>
      <c r="O97" s="15"/>
      <c r="Q97" s="8"/>
    </row>
    <row r="98" spans="1:28" s="37" customFormat="1" ht="14.25" customHeight="1" outlineLevel="1">
      <c r="A98" s="8"/>
      <c r="B98" s="61" t="s">
        <v>407</v>
      </c>
      <c r="C98" s="7" t="s">
        <v>599</v>
      </c>
      <c r="D98" s="34">
        <v>0.52</v>
      </c>
      <c r="E98" s="71" t="s">
        <v>266</v>
      </c>
      <c r="F98" s="16"/>
      <c r="G98" s="7"/>
      <c r="H98" s="16"/>
      <c r="I98" s="16"/>
      <c r="J98" s="7"/>
      <c r="L98" s="62"/>
      <c r="M98" s="16"/>
      <c r="N98" s="16"/>
      <c r="O98" s="15"/>
      <c r="Q98" s="8"/>
    </row>
    <row r="99" spans="1:28" s="37" customFormat="1" ht="14.25" customHeight="1" outlineLevel="1">
      <c r="A99" s="8"/>
      <c r="B99" s="61"/>
      <c r="C99" s="7"/>
      <c r="E99" s="8"/>
      <c r="F99" s="16"/>
      <c r="G99" s="8"/>
      <c r="H99" s="16"/>
      <c r="I99" s="16"/>
      <c r="J99" s="7"/>
      <c r="L99" s="62"/>
      <c r="M99" s="16"/>
      <c r="N99" s="16"/>
      <c r="O99" s="15"/>
      <c r="Q99" s="8"/>
      <c r="Z99" s="135"/>
      <c r="AA99" s="135"/>
    </row>
    <row r="100" spans="1:28" s="37" customFormat="1" ht="14.25" customHeight="1" outlineLevel="1">
      <c r="A100" s="8"/>
      <c r="B100" s="61" t="s">
        <v>87</v>
      </c>
      <c r="C100" s="7" t="s">
        <v>599</v>
      </c>
      <c r="D100" s="25">
        <f>IF(E98="[m]",D98,IF(E98="[inch]",D98*0.0254))</f>
        <v>0.52</v>
      </c>
      <c r="E100" s="21" t="s">
        <v>266</v>
      </c>
      <c r="F100" s="16"/>
      <c r="G100" s="216" t="s">
        <v>383</v>
      </c>
      <c r="H100" s="16"/>
      <c r="I100" s="16"/>
      <c r="J100" s="7" t="s">
        <v>599</v>
      </c>
      <c r="K100" s="25">
        <f>0.0254*AA103</f>
        <v>0.50800000000000001</v>
      </c>
      <c r="L100" s="62" t="s">
        <v>266</v>
      </c>
      <c r="M100" s="16"/>
      <c r="N100" s="16"/>
      <c r="O100" s="15"/>
      <c r="Q100" s="8"/>
      <c r="Z100" s="208" t="s">
        <v>83</v>
      </c>
      <c r="AA100" s="149" t="s">
        <v>86</v>
      </c>
      <c r="AB100" s="176"/>
    </row>
    <row r="101" spans="1:28" s="37" customFormat="1" ht="14.25" customHeight="1" outlineLevel="1">
      <c r="A101" s="8"/>
      <c r="B101" s="61"/>
      <c r="C101" s="7"/>
      <c r="E101" s="8"/>
      <c r="F101" s="16"/>
      <c r="G101" s="8"/>
      <c r="H101" s="16"/>
      <c r="I101" s="16"/>
      <c r="J101" s="7"/>
      <c r="L101" s="62"/>
      <c r="M101" s="16"/>
      <c r="N101" s="16"/>
      <c r="O101" s="15"/>
      <c r="Q101" s="8"/>
      <c r="Z101" s="149" t="s">
        <v>84</v>
      </c>
      <c r="AA101" s="152">
        <v>15</v>
      </c>
    </row>
    <row r="102" spans="1:28" s="37" customFormat="1" ht="14.25" customHeight="1" outlineLevel="1">
      <c r="A102" s="8"/>
      <c r="B102" s="95"/>
      <c r="C102" s="315" t="str">
        <f>IF(FUSELAGE_w_aisle_YC&gt;=K100,"Aisle width is correct","Aisle width is too small")</f>
        <v>Aisle width is correct</v>
      </c>
      <c r="D102" s="316"/>
      <c r="E102" s="316"/>
      <c r="F102" s="316"/>
      <c r="G102" s="316"/>
      <c r="H102" s="316"/>
      <c r="I102" s="317"/>
      <c r="J102" s="37" t="s">
        <v>751</v>
      </c>
      <c r="L102" s="63"/>
      <c r="M102" s="16"/>
      <c r="N102" s="16"/>
      <c r="O102" s="15"/>
      <c r="Q102" s="8"/>
      <c r="Z102" s="55" t="s">
        <v>85</v>
      </c>
      <c r="AA102" s="53">
        <v>20</v>
      </c>
    </row>
    <row r="103" spans="1:28" s="37" customFormat="1" ht="14.25" customHeight="1" outlineLevel="1">
      <c r="A103" s="8"/>
      <c r="B103" s="61"/>
      <c r="C103" s="7"/>
      <c r="D103" s="16"/>
      <c r="E103" s="16"/>
      <c r="F103" s="16"/>
      <c r="G103" s="7"/>
      <c r="H103" s="16"/>
      <c r="I103" s="16"/>
      <c r="J103" s="7"/>
      <c r="K103" s="56"/>
      <c r="L103" s="62"/>
      <c r="M103" s="16"/>
      <c r="N103" s="16"/>
      <c r="O103" s="15"/>
      <c r="Q103" s="8"/>
      <c r="Z103" s="149">
        <f>FUSELAGE_n_pax</f>
        <v>70</v>
      </c>
      <c r="AA103" s="152">
        <f>IF(Z103&lt;=10,AA101,AA102)</f>
        <v>20</v>
      </c>
    </row>
    <row r="104" spans="1:28" s="37" customFormat="1" ht="14.25" customHeight="1" outlineLevel="1">
      <c r="A104" s="8"/>
      <c r="B104" s="61" t="s">
        <v>408</v>
      </c>
      <c r="C104" s="7" t="s">
        <v>595</v>
      </c>
      <c r="D104" s="34">
        <v>1.9</v>
      </c>
      <c r="E104" s="71" t="s">
        <v>266</v>
      </c>
      <c r="F104" s="16"/>
      <c r="G104" s="7" t="s">
        <v>618</v>
      </c>
      <c r="H104" s="16"/>
      <c r="I104" s="16"/>
      <c r="J104" s="7" t="s">
        <v>595</v>
      </c>
      <c r="K104" s="25">
        <f>IF(E104="[m]",D104,IF(E104="[inch]",D104*0.0254))</f>
        <v>1.9</v>
      </c>
      <c r="L104" s="62" t="s">
        <v>266</v>
      </c>
      <c r="M104" s="16"/>
      <c r="N104" s="16"/>
      <c r="O104" s="15"/>
      <c r="Q104" s="8"/>
    </row>
    <row r="105" spans="1:28" s="37" customFormat="1" ht="14.25" customHeight="1" outlineLevel="1" thickBot="1">
      <c r="A105" s="8"/>
      <c r="B105" s="65"/>
      <c r="C105" s="90"/>
      <c r="D105" s="67"/>
      <c r="E105" s="98"/>
      <c r="F105" s="66"/>
      <c r="G105" s="67"/>
      <c r="H105" s="66"/>
      <c r="I105" s="66"/>
      <c r="J105" s="103"/>
      <c r="K105" s="66"/>
      <c r="L105" s="104"/>
      <c r="M105" s="16"/>
      <c r="N105" s="16"/>
      <c r="O105" s="15"/>
      <c r="Q105" s="8"/>
    </row>
    <row r="106" spans="1:28" s="37" customFormat="1" ht="14.25" customHeight="1" outlineLevel="1" thickBot="1">
      <c r="A106" s="8"/>
      <c r="B106" s="16"/>
      <c r="C106" s="7"/>
      <c r="D106" s="8"/>
      <c r="E106" s="18"/>
      <c r="F106" s="16"/>
      <c r="G106" s="8"/>
      <c r="H106" s="16"/>
      <c r="I106" s="16"/>
      <c r="J106" s="100"/>
      <c r="K106" s="16"/>
      <c r="L106" s="60"/>
      <c r="M106" s="16"/>
      <c r="N106" s="16"/>
      <c r="O106" s="15"/>
      <c r="Q106" s="8"/>
    </row>
    <row r="107" spans="1:28" s="37" customFormat="1" ht="14.25" customHeight="1" outlineLevel="1">
      <c r="A107" s="8"/>
      <c r="B107" s="86" t="s">
        <v>467</v>
      </c>
      <c r="C107" s="87"/>
      <c r="D107" s="57"/>
      <c r="E107" s="58"/>
      <c r="F107" s="60"/>
      <c r="G107" s="57"/>
      <c r="H107" s="60"/>
      <c r="I107" s="60"/>
      <c r="J107" s="101"/>
      <c r="K107" s="60"/>
      <c r="L107" s="102"/>
      <c r="M107" s="16"/>
      <c r="N107" s="16"/>
      <c r="O107" s="15"/>
      <c r="Q107" s="8"/>
    </row>
    <row r="108" spans="1:28" s="37" customFormat="1" ht="14.25" customHeight="1" outlineLevel="1">
      <c r="A108" s="8"/>
      <c r="B108" s="61"/>
      <c r="C108" s="7"/>
      <c r="D108" s="8"/>
      <c r="E108" s="18"/>
      <c r="F108" s="16"/>
      <c r="G108" s="8"/>
      <c r="H108" s="16"/>
      <c r="I108" s="16"/>
      <c r="J108" s="100"/>
      <c r="K108" s="16"/>
      <c r="L108" s="62"/>
      <c r="M108" s="16"/>
      <c r="N108" s="16"/>
      <c r="O108" s="15"/>
      <c r="Q108" s="8"/>
    </row>
    <row r="109" spans="1:28" s="37" customFormat="1" ht="14.25" customHeight="1" outlineLevel="1">
      <c r="A109" s="8"/>
      <c r="B109" s="61" t="s">
        <v>594</v>
      </c>
      <c r="C109" s="7"/>
      <c r="D109" s="8"/>
      <c r="E109" s="18"/>
      <c r="F109" s="16"/>
      <c r="G109" s="8"/>
      <c r="H109" s="16"/>
      <c r="I109" s="16"/>
      <c r="J109" s="100"/>
      <c r="K109" s="16"/>
      <c r="L109" s="62"/>
      <c r="M109" s="16"/>
      <c r="N109" s="16"/>
      <c r="O109" s="15"/>
      <c r="Q109" s="8"/>
    </row>
    <row r="110" spans="1:28" s="37" customFormat="1" ht="14.25" customHeight="1" outlineLevel="1">
      <c r="A110" s="8"/>
      <c r="B110" s="61"/>
      <c r="C110" s="7"/>
      <c r="D110" s="8"/>
      <c r="E110" s="18"/>
      <c r="F110" s="16"/>
      <c r="G110" s="8"/>
      <c r="H110" s="16"/>
      <c r="I110" s="18"/>
      <c r="J110" s="100"/>
      <c r="K110" s="16"/>
      <c r="L110" s="62"/>
      <c r="M110" s="16"/>
      <c r="N110" s="16"/>
      <c r="O110" s="15"/>
      <c r="Q110" s="8"/>
    </row>
    <row r="111" spans="1:28" s="37" customFormat="1" ht="14.25" hidden="1" customHeight="1" outlineLevel="1">
      <c r="A111" s="8"/>
      <c r="B111" s="61" t="s">
        <v>463</v>
      </c>
      <c r="C111" s="7"/>
      <c r="D111" s="34" t="s">
        <v>464</v>
      </c>
      <c r="F111" s="16"/>
      <c r="G111" s="8"/>
      <c r="H111" s="16"/>
      <c r="I111" s="16"/>
      <c r="J111" s="100"/>
      <c r="K111" s="16"/>
      <c r="L111" s="62"/>
      <c r="M111" s="16"/>
      <c r="N111" s="16"/>
      <c r="O111" s="15"/>
      <c r="Q111" s="8"/>
    </row>
    <row r="112" spans="1:28" s="37" customFormat="1" ht="14.25" hidden="1" customHeight="1" outlineLevel="1">
      <c r="A112" s="8"/>
      <c r="B112" s="61"/>
      <c r="F112" s="16"/>
      <c r="G112" s="8"/>
      <c r="H112" s="16"/>
      <c r="I112" s="16"/>
      <c r="J112" s="100"/>
      <c r="K112" s="16"/>
      <c r="L112" s="62"/>
      <c r="M112" s="16"/>
      <c r="N112" s="16"/>
      <c r="O112" s="15"/>
      <c r="Q112" s="8"/>
    </row>
    <row r="113" spans="1:41" s="37" customFormat="1" ht="14.25" customHeight="1" outlineLevel="1">
      <c r="A113" s="8"/>
      <c r="B113" s="95"/>
      <c r="F113" s="16"/>
      <c r="G113" s="8"/>
      <c r="H113" s="16"/>
      <c r="I113" s="16" t="s">
        <v>141</v>
      </c>
      <c r="J113" s="7" t="s">
        <v>143</v>
      </c>
      <c r="K113" s="25">
        <f>AL119</f>
        <v>0</v>
      </c>
      <c r="L113" s="63" t="s">
        <v>266</v>
      </c>
      <c r="M113" s="16"/>
      <c r="N113" s="16"/>
      <c r="O113" s="15"/>
      <c r="Q113" s="8"/>
    </row>
    <row r="114" spans="1:41" s="37" customFormat="1" ht="14.25" customHeight="1" outlineLevel="1">
      <c r="A114" s="8"/>
      <c r="B114" s="95"/>
      <c r="F114" s="16"/>
      <c r="G114" s="8"/>
      <c r="H114" s="16"/>
      <c r="I114" s="16"/>
      <c r="J114" s="7"/>
      <c r="L114" s="89"/>
      <c r="M114" s="16"/>
      <c r="N114" s="16"/>
      <c r="O114" s="15"/>
      <c r="Q114" s="8"/>
    </row>
    <row r="115" spans="1:41" s="37" customFormat="1" ht="14.25" customHeight="1" outlineLevel="1">
      <c r="A115" s="8"/>
      <c r="B115" s="95"/>
      <c r="F115" s="16"/>
      <c r="G115" s="8"/>
      <c r="H115" s="16"/>
      <c r="I115" s="16" t="s">
        <v>140</v>
      </c>
      <c r="J115" s="7" t="s">
        <v>142</v>
      </c>
      <c r="K115" s="25">
        <f>AL120</f>
        <v>0</v>
      </c>
      <c r="L115" s="63" t="s">
        <v>266</v>
      </c>
      <c r="M115" s="16"/>
      <c r="N115" s="16"/>
      <c r="O115" s="15"/>
      <c r="Q115" s="8"/>
      <c r="AH115" s="37" t="s">
        <v>293</v>
      </c>
      <c r="AI115" s="37" t="s">
        <v>508</v>
      </c>
      <c r="AK115" s="37" t="s">
        <v>681</v>
      </c>
      <c r="AL115" s="37" t="s">
        <v>299</v>
      </c>
    </row>
    <row r="116" spans="1:41" s="37" customFormat="1" ht="14.25" customHeight="1" outlineLevel="1">
      <c r="A116" s="8"/>
      <c r="B116" s="95"/>
      <c r="F116" s="16"/>
      <c r="G116" s="8"/>
      <c r="H116" s="16"/>
      <c r="I116" s="16"/>
      <c r="J116" s="7"/>
      <c r="L116" s="89"/>
      <c r="M116" s="16"/>
      <c r="N116" s="16"/>
      <c r="O116" s="15"/>
      <c r="Q116" s="8"/>
    </row>
    <row r="117" spans="1:41" s="37" customFormat="1" ht="14.25" customHeight="1" outlineLevel="1">
      <c r="A117" s="8"/>
      <c r="B117" s="95"/>
      <c r="F117" s="16"/>
      <c r="G117" s="8"/>
      <c r="H117" s="16"/>
      <c r="I117" s="16" t="s">
        <v>585</v>
      </c>
      <c r="J117" s="7" t="s">
        <v>586</v>
      </c>
      <c r="K117" s="25">
        <f>AL122</f>
        <v>0</v>
      </c>
      <c r="L117" s="63" t="s">
        <v>266</v>
      </c>
      <c r="M117" s="16"/>
      <c r="N117" s="16"/>
      <c r="O117" s="15"/>
      <c r="Q117" s="8"/>
    </row>
    <row r="118" spans="1:41" s="37" customFormat="1" ht="14.25" customHeight="1" outlineLevel="1" thickBot="1">
      <c r="A118" s="8"/>
      <c r="B118" s="65"/>
      <c r="C118" s="90"/>
      <c r="D118" s="67"/>
      <c r="E118" s="98"/>
      <c r="F118" s="66"/>
      <c r="G118" s="67"/>
      <c r="H118" s="66"/>
      <c r="I118" s="66"/>
      <c r="J118" s="103"/>
      <c r="K118" s="66"/>
      <c r="L118" s="104"/>
      <c r="M118" s="16"/>
      <c r="N118" s="16"/>
      <c r="O118" s="15"/>
      <c r="Q118" s="8"/>
      <c r="AH118" s="37" t="s">
        <v>294</v>
      </c>
      <c r="AI118" s="37">
        <f>LOOKUP(AI115,Z120:Z136,AA120:AA136)</f>
        <v>17</v>
      </c>
    </row>
    <row r="119" spans="1:41" s="37" customFormat="1" ht="14.25" customHeight="1" outlineLevel="1" thickBot="1">
      <c r="A119" s="8"/>
      <c r="B119" s="108"/>
      <c r="C119" s="109"/>
      <c r="D119" s="110"/>
      <c r="E119" s="111"/>
      <c r="F119" s="108"/>
      <c r="G119" s="110"/>
      <c r="H119" s="108"/>
      <c r="I119" s="108"/>
      <c r="J119" s="112"/>
      <c r="K119" s="108"/>
      <c r="L119" s="108"/>
      <c r="M119" s="16"/>
      <c r="N119" s="16"/>
      <c r="O119" s="15"/>
      <c r="Q119" s="8"/>
      <c r="Z119" s="117" t="s">
        <v>681</v>
      </c>
      <c r="AA119" s="117" t="s">
        <v>681</v>
      </c>
      <c r="AB119" s="118" t="s">
        <v>427</v>
      </c>
      <c r="AC119" s="118" t="s">
        <v>428</v>
      </c>
      <c r="AD119" s="118" t="s">
        <v>429</v>
      </c>
      <c r="AE119" s="118" t="s">
        <v>430</v>
      </c>
      <c r="AF119" s="119" t="s">
        <v>431</v>
      </c>
      <c r="AH119" s="37" t="s">
        <v>295</v>
      </c>
      <c r="AI119" s="37">
        <f>INDEX($Z$120:$AF$136,$AI$118,3)</f>
        <v>0</v>
      </c>
      <c r="AK119" s="37">
        <f>IF(FUSELAGE_has_container,IF($AO$124,AI119*2,AI119),0)</f>
        <v>0</v>
      </c>
      <c r="AL119" s="37">
        <f>IF(FUSELAGE_has_container,IF($AO$124,AI119*2+0.1,AI119),0)</f>
        <v>0</v>
      </c>
    </row>
    <row r="120" spans="1:41" s="37" customFormat="1" ht="14.25" customHeight="1" outlineLevel="1">
      <c r="A120" s="8"/>
      <c r="B120" s="94" t="s">
        <v>506</v>
      </c>
      <c r="C120" s="7"/>
      <c r="D120" s="8"/>
      <c r="E120" s="18"/>
      <c r="F120" s="16"/>
      <c r="G120" s="8"/>
      <c r="H120" s="16"/>
      <c r="I120" s="16"/>
      <c r="J120" s="100"/>
      <c r="K120" s="16"/>
      <c r="L120" s="62"/>
      <c r="M120" s="16"/>
      <c r="N120" s="16"/>
      <c r="O120" s="15"/>
      <c r="Q120" s="8"/>
      <c r="Z120" s="113" t="s">
        <v>71</v>
      </c>
      <c r="AA120" s="37">
        <v>1</v>
      </c>
      <c r="AB120" s="2">
        <f>61.5*2.54/100</f>
        <v>1.5621</v>
      </c>
      <c r="AC120" s="2">
        <f>92*2.54/100</f>
        <v>2.3368000000000002</v>
      </c>
      <c r="AD120" s="2">
        <f>60.4*2.54/100</f>
        <v>1.53416</v>
      </c>
      <c r="AE120" s="2">
        <f t="shared" ref="AE120:AE125" si="0">64*2.54/100</f>
        <v>1.6255999999999999</v>
      </c>
      <c r="AF120" s="114" t="b">
        <f>TRUE()</f>
        <v>1</v>
      </c>
      <c r="AH120" s="37" t="s">
        <v>296</v>
      </c>
      <c r="AI120" s="37">
        <f>INDEX($Z$120:$AF$136,$AI$118,4)</f>
        <v>0</v>
      </c>
      <c r="AK120" s="37">
        <f>IF(FUSELAGE_has_container,IF($AO$124,AI120*2,AI120),0)</f>
        <v>0</v>
      </c>
      <c r="AL120" s="37">
        <f>IF(FUSELAGE_has_container,IF($AO$124,AI120*2+0.1,AI120+0.1),0)</f>
        <v>0</v>
      </c>
    </row>
    <row r="121" spans="1:41" s="37" customFormat="1" ht="14.25" customHeight="1" outlineLevel="1">
      <c r="A121" s="8"/>
      <c r="B121" s="61"/>
      <c r="C121" s="7"/>
      <c r="D121" s="8"/>
      <c r="E121" s="18"/>
      <c r="F121" s="16"/>
      <c r="G121" s="8"/>
      <c r="H121" s="16"/>
      <c r="J121" s="100"/>
      <c r="K121" s="16"/>
      <c r="L121" s="62"/>
      <c r="M121" s="16"/>
      <c r="N121" s="16"/>
      <c r="O121" s="15"/>
      <c r="Q121" s="8"/>
      <c r="Z121" s="113" t="s">
        <v>677</v>
      </c>
      <c r="AA121" s="37">
        <v>2</v>
      </c>
      <c r="AB121" s="2">
        <f>125*2.54/100</f>
        <v>3.1749999999999998</v>
      </c>
      <c r="AC121" s="2">
        <f>125*2.54/100</f>
        <v>3.1749999999999998</v>
      </c>
      <c r="AD121" s="2">
        <f>60.4*2.54/100</f>
        <v>1.53416</v>
      </c>
      <c r="AE121" s="2">
        <f t="shared" si="0"/>
        <v>1.6255999999999999</v>
      </c>
      <c r="AF121" s="114" t="b">
        <f>FALSE()</f>
        <v>0</v>
      </c>
      <c r="AH121" s="37" t="s">
        <v>297</v>
      </c>
      <c r="AI121" s="37">
        <f>INDEX($Z$120:$AF$136,$AI$118,5)</f>
        <v>0</v>
      </c>
      <c r="AL121" s="37" t="s">
        <v>300</v>
      </c>
    </row>
    <row r="122" spans="1:41" s="37" customFormat="1" ht="14.25" customHeight="1" outlineLevel="1">
      <c r="A122" s="8"/>
      <c r="B122" s="61" t="s">
        <v>443</v>
      </c>
      <c r="C122" s="7"/>
      <c r="D122" s="16"/>
      <c r="E122" s="18"/>
      <c r="F122" s="16"/>
      <c r="G122" s="8"/>
      <c r="H122" s="16"/>
      <c r="I122" s="16"/>
      <c r="J122" s="100"/>
      <c r="K122" s="16"/>
      <c r="L122" s="62"/>
      <c r="M122" s="16"/>
      <c r="N122" s="16"/>
      <c r="O122" s="15"/>
      <c r="Q122" s="8"/>
      <c r="Z122" s="113" t="s">
        <v>72</v>
      </c>
      <c r="AA122" s="37">
        <v>3</v>
      </c>
      <c r="AB122" s="2">
        <f>47*2.54/100</f>
        <v>1.1938</v>
      </c>
      <c r="AC122" s="2">
        <f>61.5*2.54/100</f>
        <v>1.5621</v>
      </c>
      <c r="AD122" s="2">
        <f>60.4*2.54/100</f>
        <v>1.53416</v>
      </c>
      <c r="AE122" s="2">
        <f t="shared" si="0"/>
        <v>1.6255999999999999</v>
      </c>
      <c r="AF122" s="114" t="b">
        <f>TRUE()</f>
        <v>1</v>
      </c>
      <c r="AH122" s="37" t="s">
        <v>708</v>
      </c>
      <c r="AI122" s="37">
        <f>INDEX($Z$120:$AF$136,$AI$118,6)</f>
        <v>0</v>
      </c>
      <c r="AK122" s="37">
        <f>IF(FUSELAGE_has_container,AI122,0)</f>
        <v>0</v>
      </c>
      <c r="AL122" s="37">
        <f>IF(FUSELAGE_has_container,AI122+0.05,0)</f>
        <v>0</v>
      </c>
    </row>
    <row r="123" spans="1:41" s="37" customFormat="1" ht="14.25" customHeight="1" outlineLevel="1">
      <c r="A123" s="8"/>
      <c r="B123" s="61"/>
      <c r="C123" s="7"/>
      <c r="D123" s="16"/>
      <c r="E123" s="18"/>
      <c r="F123" s="16"/>
      <c r="G123" s="8"/>
      <c r="H123" s="16"/>
      <c r="I123" s="16"/>
      <c r="J123" s="100"/>
      <c r="K123" s="16"/>
      <c r="L123" s="62"/>
      <c r="M123" s="16"/>
      <c r="N123" s="16"/>
      <c r="O123" s="15"/>
      <c r="Q123" s="8"/>
      <c r="Z123" s="113" t="s">
        <v>678</v>
      </c>
      <c r="AA123" s="37">
        <v>4</v>
      </c>
      <c r="AB123" s="2">
        <f>125*2.54/100</f>
        <v>3.1749999999999998</v>
      </c>
      <c r="AC123" s="2">
        <f>160*2.54/100</f>
        <v>4.0640000000000001</v>
      </c>
      <c r="AD123" s="2">
        <f>88*2.54/100</f>
        <v>2.2352000000000003</v>
      </c>
      <c r="AE123" s="2">
        <f t="shared" si="0"/>
        <v>1.6255999999999999</v>
      </c>
      <c r="AF123" s="114" t="b">
        <f>FALSE()</f>
        <v>0</v>
      </c>
      <c r="AH123" s="37" t="s">
        <v>298</v>
      </c>
      <c r="AI123" s="37" t="b">
        <f>INDEX($Z$120:$AF$136,$AI$118,7)</f>
        <v>0</v>
      </c>
    </row>
    <row r="124" spans="1:41" s="37" customFormat="1" ht="14.25" customHeight="1" outlineLevel="1">
      <c r="A124" s="8"/>
      <c r="B124" s="61" t="s">
        <v>457</v>
      </c>
      <c r="C124" s="7" t="s">
        <v>462</v>
      </c>
      <c r="D124" s="148">
        <f>FUSELAGE_height_width_ratio_scrollbar/100</f>
        <v>1</v>
      </c>
      <c r="E124" s="37" t="s">
        <v>395</v>
      </c>
      <c r="F124" s="16"/>
      <c r="G124" s="7" t="s">
        <v>617</v>
      </c>
      <c r="H124" s="16"/>
      <c r="I124" s="8" t="s">
        <v>460</v>
      </c>
      <c r="J124" s="100"/>
      <c r="K124" s="16"/>
      <c r="L124" s="62"/>
      <c r="M124" s="16"/>
      <c r="N124" s="16"/>
      <c r="O124" s="15"/>
      <c r="Q124" s="8"/>
      <c r="Z124" s="113" t="s">
        <v>679</v>
      </c>
      <c r="AA124" s="37">
        <v>5</v>
      </c>
      <c r="AB124" s="2">
        <f>125*2.54/100</f>
        <v>3.1749999999999998</v>
      </c>
      <c r="AC124" s="2">
        <f>186*2.54/100</f>
        <v>4.7244000000000002</v>
      </c>
      <c r="AD124" s="2">
        <f>88*2.54/100</f>
        <v>2.2352000000000003</v>
      </c>
      <c r="AE124" s="2">
        <f t="shared" si="0"/>
        <v>1.6255999999999999</v>
      </c>
      <c r="AF124" s="114" t="b">
        <f>FALSE()</f>
        <v>0</v>
      </c>
      <c r="AH124" s="37" t="s">
        <v>377</v>
      </c>
      <c r="AI124" s="37" t="b">
        <f>IF(AI119=AI120,TRUE(),FALSE())</f>
        <v>1</v>
      </c>
      <c r="AM124" s="149" t="s">
        <v>464</v>
      </c>
      <c r="AO124" s="37" t="b">
        <f>IF(FUSELAGE_double_containers_result=AM124,IF(CONTAINER_is_half_sized,TRUE(),FALSE()),FALSE())</f>
        <v>0</v>
      </c>
    </row>
    <row r="125" spans="1:41" s="37" customFormat="1" ht="14.25" customHeight="1" outlineLevel="1">
      <c r="A125" s="8"/>
      <c r="B125" s="61"/>
      <c r="C125" s="7"/>
      <c r="D125" s="8"/>
      <c r="F125" s="16"/>
      <c r="G125" s="8"/>
      <c r="H125" s="16"/>
      <c r="J125" s="100"/>
      <c r="K125" s="16"/>
      <c r="L125" s="62"/>
      <c r="M125" s="16"/>
      <c r="N125" s="16"/>
      <c r="O125" s="15"/>
      <c r="Q125" s="8"/>
      <c r="Z125" s="113" t="s">
        <v>73</v>
      </c>
      <c r="AA125" s="37">
        <v>6</v>
      </c>
      <c r="AB125" s="2">
        <f>61.5*2.54/100</f>
        <v>1.5621</v>
      </c>
      <c r="AC125" s="2">
        <f>79*2.54/100</f>
        <v>2.0066000000000002</v>
      </c>
      <c r="AD125" s="2">
        <f>60.4*2.54/100</f>
        <v>1.53416</v>
      </c>
      <c r="AE125" s="2">
        <f t="shared" si="0"/>
        <v>1.6255999999999999</v>
      </c>
      <c r="AF125" s="114" t="b">
        <f>TRUE()</f>
        <v>1</v>
      </c>
      <c r="AM125" s="149" t="s">
        <v>465</v>
      </c>
    </row>
    <row r="126" spans="1:41" s="37" customFormat="1" ht="14.25" customHeight="1" outlineLevel="1">
      <c r="A126" s="8"/>
      <c r="B126" s="61" t="s">
        <v>628</v>
      </c>
      <c r="C126" s="70" t="s">
        <v>598</v>
      </c>
      <c r="D126" s="148">
        <v>0.79075062499999993</v>
      </c>
      <c r="E126" s="37" t="s">
        <v>266</v>
      </c>
      <c r="F126" s="16"/>
      <c r="G126" s="8"/>
      <c r="H126" s="16"/>
      <c r="J126" s="100"/>
      <c r="K126" s="16"/>
      <c r="L126" s="62"/>
      <c r="M126" s="16"/>
      <c r="N126" s="16"/>
      <c r="O126" s="15"/>
      <c r="Q126" s="8"/>
      <c r="Z126" s="113" t="s">
        <v>671</v>
      </c>
      <c r="AA126" s="37">
        <v>7</v>
      </c>
      <c r="AB126" s="2">
        <f>61.5*2.54/100</f>
        <v>1.5621</v>
      </c>
      <c r="AC126" s="2">
        <f>79*2.54/100</f>
        <v>2.0066000000000002</v>
      </c>
      <c r="AD126" s="2">
        <f>60.4*2.54/100</f>
        <v>1.53416</v>
      </c>
      <c r="AE126" s="2">
        <f>45*2.54/100</f>
        <v>1.143</v>
      </c>
      <c r="AF126" s="114" t="b">
        <f>TRUE()</f>
        <v>1</v>
      </c>
      <c r="AH126" s="37" t="s">
        <v>469</v>
      </c>
      <c r="AI126" s="37" t="b">
        <f>IF(AI119&gt;0,TRUE(),FALSE())</f>
        <v>0</v>
      </c>
    </row>
    <row r="127" spans="1:41" s="37" customFormat="1" ht="14.25" customHeight="1" outlineLevel="1">
      <c r="A127" s="8"/>
      <c r="B127" s="61"/>
      <c r="C127" s="7"/>
      <c r="D127" s="8"/>
      <c r="E127" s="18"/>
      <c r="F127" s="16"/>
      <c r="G127" s="8"/>
      <c r="H127" s="16"/>
      <c r="I127" s="16"/>
      <c r="J127" s="100"/>
      <c r="K127" s="16"/>
      <c r="L127" s="62"/>
      <c r="M127" s="16"/>
      <c r="N127" s="16"/>
      <c r="O127" s="15"/>
      <c r="Q127" s="8"/>
      <c r="Z127" s="113" t="s">
        <v>375</v>
      </c>
      <c r="AA127" s="37">
        <v>8</v>
      </c>
      <c r="AB127" s="2">
        <f>61.5*2.54/100</f>
        <v>1.5621</v>
      </c>
      <c r="AC127" s="2">
        <f>61.5*2.54/100</f>
        <v>1.5621</v>
      </c>
      <c r="AD127" s="2">
        <f>60.4*2.54/100</f>
        <v>1.53416</v>
      </c>
      <c r="AE127" s="2">
        <f>45*2.54/100</f>
        <v>1.143</v>
      </c>
      <c r="AF127" s="114" t="b">
        <f>FALSE()</f>
        <v>0</v>
      </c>
    </row>
    <row r="128" spans="1:41" s="37" customFormat="1" ht="14.25" customHeight="1" outlineLevel="1">
      <c r="A128" s="8"/>
      <c r="B128" s="61" t="s">
        <v>145</v>
      </c>
      <c r="C128" s="7" t="s">
        <v>254</v>
      </c>
      <c r="D128" s="25">
        <f>FUSELAGE_b_ellipse*2</f>
        <v>2.9921140024657418</v>
      </c>
      <c r="E128" s="37" t="s">
        <v>266</v>
      </c>
      <c r="F128" s="16"/>
      <c r="G128" s="8"/>
      <c r="H128" s="16"/>
      <c r="I128" s="16"/>
      <c r="J128" s="100"/>
      <c r="K128" s="16"/>
      <c r="L128" s="62"/>
      <c r="M128" s="16"/>
      <c r="N128" s="16"/>
      <c r="O128" s="15"/>
      <c r="Q128" s="8"/>
      <c r="Z128" s="113" t="s">
        <v>672</v>
      </c>
      <c r="AA128" s="37">
        <v>9</v>
      </c>
      <c r="AB128" s="2">
        <f>56.3*2.54/100</f>
        <v>1.4300199999999998</v>
      </c>
      <c r="AC128" s="2">
        <f>95.7*2.54/100</f>
        <v>2.4307799999999999</v>
      </c>
      <c r="AD128" s="2">
        <f>55.9*2.54/100</f>
        <v>1.4198599999999999</v>
      </c>
      <c r="AE128" s="2">
        <f>42.9*2.54/100</f>
        <v>1.0896599999999999</v>
      </c>
      <c r="AF128" s="114" t="b">
        <f>FALSE()</f>
        <v>0</v>
      </c>
    </row>
    <row r="129" spans="1:32" s="37" customFormat="1" ht="14.25" customHeight="1" outlineLevel="1">
      <c r="A129" s="8"/>
      <c r="B129" s="61"/>
      <c r="C129" s="7"/>
      <c r="D129" s="8"/>
      <c r="E129" s="18"/>
      <c r="J129" s="100"/>
      <c r="K129" s="16"/>
      <c r="L129" s="62"/>
      <c r="M129" s="16"/>
      <c r="N129" s="16"/>
      <c r="O129" s="15"/>
      <c r="Q129" s="8"/>
      <c r="Z129" s="113" t="s">
        <v>680</v>
      </c>
      <c r="AA129" s="2">
        <v>10</v>
      </c>
      <c r="AB129" s="2">
        <f>125*2.54/100</f>
        <v>3.1749999999999998</v>
      </c>
      <c r="AC129" s="2">
        <f>186*2.54/100</f>
        <v>4.7244000000000002</v>
      </c>
      <c r="AD129" s="2">
        <f>96*2.54/100</f>
        <v>2.4384000000000001</v>
      </c>
      <c r="AE129" s="2">
        <f t="shared" ref="AE129:AE135" si="1">64*2.54/100</f>
        <v>1.6255999999999999</v>
      </c>
      <c r="AF129" s="114" t="b">
        <f>FALSE()</f>
        <v>0</v>
      </c>
    </row>
    <row r="130" spans="1:32" s="37" customFormat="1" ht="14.25" customHeight="1" outlineLevel="1">
      <c r="A130" s="8"/>
      <c r="B130" s="61" t="s">
        <v>144</v>
      </c>
      <c r="C130" s="7" t="s">
        <v>253</v>
      </c>
      <c r="D130" s="25">
        <f>FUSELAGE_a_ellipse*2</f>
        <v>2.9921140024657418</v>
      </c>
      <c r="E130" s="37" t="s">
        <v>266</v>
      </c>
      <c r="F130" s="16"/>
      <c r="G130" s="8"/>
      <c r="H130" s="16"/>
      <c r="I130" s="16"/>
      <c r="J130" s="100"/>
      <c r="K130" s="16"/>
      <c r="L130" s="62"/>
      <c r="M130" s="16"/>
      <c r="N130" s="16"/>
      <c r="O130" s="15"/>
      <c r="Q130" s="8"/>
      <c r="Z130" s="113" t="s">
        <v>674</v>
      </c>
      <c r="AA130" s="37">
        <v>11</v>
      </c>
      <c r="AB130" s="2">
        <f>96*2.54/100</f>
        <v>2.4384000000000001</v>
      </c>
      <c r="AC130" s="2">
        <f>96*2.54/100</f>
        <v>2.4384000000000001</v>
      </c>
      <c r="AD130" s="2">
        <f>60.4*2.54/100</f>
        <v>1.53416</v>
      </c>
      <c r="AE130" s="2">
        <f t="shared" si="1"/>
        <v>1.6255999999999999</v>
      </c>
      <c r="AF130" s="114" t="b">
        <f>FALSE()</f>
        <v>0</v>
      </c>
    </row>
    <row r="131" spans="1:32" s="37" customFormat="1" ht="14.25" customHeight="1" outlineLevel="1">
      <c r="A131" s="8"/>
      <c r="B131" s="61"/>
      <c r="C131" s="7"/>
      <c r="D131" s="8"/>
      <c r="E131" s="18"/>
      <c r="F131" s="16"/>
      <c r="G131" s="8"/>
      <c r="H131" s="16" t="s">
        <v>259</v>
      </c>
      <c r="I131" s="16"/>
      <c r="J131" s="100"/>
      <c r="K131" s="16"/>
      <c r="L131" s="62"/>
      <c r="M131" s="16"/>
      <c r="N131" s="16"/>
      <c r="O131" s="15"/>
      <c r="Q131" s="8"/>
      <c r="Z131" s="113" t="s">
        <v>675</v>
      </c>
      <c r="AA131" s="37">
        <v>12</v>
      </c>
      <c r="AB131" s="2">
        <f>125*2.54/100</f>
        <v>3.1749999999999998</v>
      </c>
      <c r="AC131" s="2">
        <f>160*2.54/100</f>
        <v>4.0640000000000001</v>
      </c>
      <c r="AD131" s="2">
        <f>60.4*2.54/100</f>
        <v>1.53416</v>
      </c>
      <c r="AE131" s="2">
        <f t="shared" si="1"/>
        <v>1.6255999999999999</v>
      </c>
      <c r="AF131" s="114" t="b">
        <f>FALSE()</f>
        <v>0</v>
      </c>
    </row>
    <row r="132" spans="1:32" s="37" customFormat="1" ht="14.25" customHeight="1" outlineLevel="1">
      <c r="A132" s="8"/>
      <c r="B132" s="61" t="s">
        <v>139</v>
      </c>
      <c r="C132" s="7" t="s">
        <v>255</v>
      </c>
      <c r="D132" s="25">
        <f>2*SQRT(FUSELAGE_a_ellipse*FUSELAGE_b_ellipse)</f>
        <v>2.9921140024657418</v>
      </c>
      <c r="E132" s="37" t="s">
        <v>266</v>
      </c>
      <c r="F132" s="16"/>
      <c r="G132" s="8"/>
      <c r="H132" s="16"/>
      <c r="I132" s="16"/>
      <c r="J132" s="100"/>
      <c r="K132" s="16"/>
      <c r="L132" s="62"/>
      <c r="M132" s="16"/>
      <c r="N132" s="16"/>
      <c r="O132" s="15"/>
      <c r="Q132" s="8"/>
      <c r="Z132" s="113" t="s">
        <v>676</v>
      </c>
      <c r="AA132" s="37">
        <v>13</v>
      </c>
      <c r="AB132" s="2">
        <f>125*2.54/100</f>
        <v>3.1749999999999998</v>
      </c>
      <c r="AC132" s="2">
        <f>160*2.54/100</f>
        <v>4.0640000000000001</v>
      </c>
      <c r="AD132" s="2">
        <f>88*2.54/100</f>
        <v>2.2352000000000003</v>
      </c>
      <c r="AE132" s="2">
        <f t="shared" si="1"/>
        <v>1.6255999999999999</v>
      </c>
      <c r="AF132" s="114" t="b">
        <f>FALSE()</f>
        <v>0</v>
      </c>
    </row>
    <row r="133" spans="1:32" s="37" customFormat="1" ht="14.25" customHeight="1" outlineLevel="1">
      <c r="A133" s="8"/>
      <c r="B133" s="61"/>
      <c r="C133" s="7"/>
      <c r="D133" s="8"/>
      <c r="E133" s="18"/>
      <c r="F133" s="16"/>
      <c r="G133" s="8"/>
      <c r="H133" s="16"/>
      <c r="I133" s="16"/>
      <c r="J133" s="100"/>
      <c r="K133" s="16"/>
      <c r="L133" s="62"/>
      <c r="M133" s="16"/>
      <c r="N133" s="16"/>
      <c r="O133" s="15"/>
      <c r="Q133" s="8"/>
      <c r="Z133" s="113" t="s">
        <v>376</v>
      </c>
      <c r="AA133" s="37">
        <v>14</v>
      </c>
      <c r="AB133" s="2">
        <f>125*2.54/100</f>
        <v>3.1749999999999998</v>
      </c>
      <c r="AC133" s="2">
        <f>125*2.54/100</f>
        <v>3.1749999999999998</v>
      </c>
      <c r="AD133" s="2">
        <f>88*2.54/100</f>
        <v>2.2352000000000003</v>
      </c>
      <c r="AE133" s="2">
        <f t="shared" si="1"/>
        <v>1.6255999999999999</v>
      </c>
      <c r="AF133" s="114" t="b">
        <f>FALSE()</f>
        <v>0</v>
      </c>
    </row>
    <row r="134" spans="1:32" s="37" customFormat="1" ht="14.25" customHeight="1" outlineLevel="1">
      <c r="A134" s="8"/>
      <c r="B134" s="61" t="s">
        <v>268</v>
      </c>
      <c r="C134" s="7" t="s">
        <v>449</v>
      </c>
      <c r="D134" s="23">
        <f>(0.084+0.045*FUSELAGE_d_fi)/2</f>
        <v>0.10932256505547919</v>
      </c>
      <c r="E134" s="37" t="s">
        <v>266</v>
      </c>
      <c r="F134" s="16"/>
      <c r="G134" s="8"/>
      <c r="H134" s="16"/>
      <c r="I134" s="16"/>
      <c r="J134" s="100"/>
      <c r="K134" s="16"/>
      <c r="L134" s="62"/>
      <c r="M134" s="16"/>
      <c r="N134" s="16"/>
      <c r="O134" s="15"/>
      <c r="Q134" s="8"/>
      <c r="Z134" s="113" t="s">
        <v>673</v>
      </c>
      <c r="AA134" s="37">
        <v>15</v>
      </c>
      <c r="AB134" s="2">
        <f>96*2.54/100</f>
        <v>2.4384000000000001</v>
      </c>
      <c r="AC134" s="2">
        <f>125*2.54/100</f>
        <v>3.1749999999999998</v>
      </c>
      <c r="AD134" s="2">
        <f>60.4*2.54/100</f>
        <v>1.53416</v>
      </c>
      <c r="AE134" s="2">
        <f t="shared" si="1"/>
        <v>1.6255999999999999</v>
      </c>
      <c r="AF134" s="114" t="b">
        <f>FALSE()</f>
        <v>0</v>
      </c>
    </row>
    <row r="135" spans="1:32" s="37" customFormat="1" ht="14.25" customHeight="1" outlineLevel="1">
      <c r="A135" s="8"/>
      <c r="B135" s="61"/>
      <c r="C135" s="7"/>
      <c r="D135" s="8"/>
      <c r="E135" s="18"/>
      <c r="F135" s="16"/>
      <c r="G135" s="8"/>
      <c r="H135" s="16"/>
      <c r="I135" s="16"/>
      <c r="J135" s="100"/>
      <c r="K135" s="16"/>
      <c r="L135" s="62"/>
      <c r="M135" s="16"/>
      <c r="N135" s="16"/>
      <c r="O135" s="15"/>
      <c r="Q135" s="8"/>
      <c r="Z135" s="113" t="s">
        <v>74</v>
      </c>
      <c r="AA135" s="37">
        <v>16</v>
      </c>
      <c r="AB135" s="2">
        <f>125*2.54/100</f>
        <v>3.1749999999999998</v>
      </c>
      <c r="AC135" s="2">
        <f>125*2.54/100</f>
        <v>3.1749999999999998</v>
      </c>
      <c r="AD135" s="2">
        <f>88*2.54/100</f>
        <v>2.2352000000000003</v>
      </c>
      <c r="AE135" s="2">
        <f t="shared" si="1"/>
        <v>1.6255999999999999</v>
      </c>
      <c r="AF135" s="114" t="b">
        <f>FALSE()</f>
        <v>0</v>
      </c>
    </row>
    <row r="136" spans="1:32" s="37" customFormat="1" ht="14.25" customHeight="1" outlineLevel="1">
      <c r="A136" s="8"/>
      <c r="B136" s="61" t="s">
        <v>732</v>
      </c>
      <c r="C136" s="7" t="s">
        <v>256</v>
      </c>
      <c r="D136" s="25">
        <f>FUSELAGE_d_fi+2*FUSELAGE_t_fuselage</f>
        <v>3.2107591325767002</v>
      </c>
      <c r="E136" s="37" t="s">
        <v>266</v>
      </c>
      <c r="F136" s="16"/>
      <c r="G136" s="8"/>
      <c r="H136" s="16"/>
      <c r="I136" s="16"/>
      <c r="J136" s="100"/>
      <c r="K136" s="16"/>
      <c r="L136" s="62"/>
      <c r="M136" s="16"/>
      <c r="N136" s="16"/>
      <c r="O136" s="15"/>
      <c r="Q136" s="8"/>
      <c r="Z136" s="161" t="s">
        <v>508</v>
      </c>
      <c r="AA136" s="135">
        <v>17</v>
      </c>
      <c r="AB136" s="115">
        <v>0</v>
      </c>
      <c r="AC136" s="115">
        <v>0</v>
      </c>
      <c r="AD136" s="115">
        <v>0</v>
      </c>
      <c r="AE136" s="115">
        <v>0</v>
      </c>
      <c r="AF136" s="116" t="b">
        <f>FALSE()</f>
        <v>0</v>
      </c>
    </row>
    <row r="137" spans="1:32" s="37" customFormat="1" ht="14.25" customHeight="1" outlineLevel="1">
      <c r="A137" s="8"/>
      <c r="B137" s="61"/>
      <c r="C137" s="7"/>
      <c r="D137" s="8"/>
      <c r="E137" s="18"/>
      <c r="F137" s="16"/>
      <c r="G137" s="8"/>
      <c r="H137" s="16"/>
      <c r="I137" s="16"/>
      <c r="J137" s="100"/>
      <c r="K137" s="16"/>
      <c r="L137" s="62"/>
      <c r="M137" s="16"/>
      <c r="N137" s="16"/>
      <c r="O137" s="15"/>
      <c r="Q137" s="8"/>
      <c r="Z137" s="37">
        <v>100</v>
      </c>
      <c r="AA137" s="37" t="b">
        <v>1</v>
      </c>
    </row>
    <row r="138" spans="1:32" s="37" customFormat="1" ht="14.25" customHeight="1" outlineLevel="1">
      <c r="A138" s="8"/>
      <c r="B138" s="61" t="s">
        <v>267</v>
      </c>
      <c r="C138" s="7" t="s">
        <v>689</v>
      </c>
      <c r="D138" s="23">
        <v>0.10794963491502191</v>
      </c>
      <c r="E138" s="37" t="s">
        <v>266</v>
      </c>
      <c r="F138" s="16"/>
      <c r="G138" s="8"/>
      <c r="H138" s="16"/>
      <c r="I138" s="16"/>
      <c r="J138" s="25">
        <f>0.035*(D132+D136)/2</f>
        <v>0.10855027986324274</v>
      </c>
      <c r="K138" s="16"/>
      <c r="L138" s="62"/>
      <c r="M138" s="16"/>
      <c r="N138" s="16"/>
      <c r="O138" s="15"/>
      <c r="Q138" s="8"/>
    </row>
    <row r="139" spans="1:32" s="37" customFormat="1" ht="14.25" customHeight="1" outlineLevel="1">
      <c r="A139" s="8"/>
      <c r="B139" s="61"/>
      <c r="C139" s="7"/>
      <c r="D139" s="8"/>
      <c r="E139" s="18"/>
      <c r="F139" s="16"/>
      <c r="G139" s="8"/>
      <c r="H139" s="16"/>
      <c r="I139" s="16"/>
      <c r="J139" s="100"/>
      <c r="K139" s="16"/>
      <c r="L139" s="62"/>
      <c r="M139" s="16"/>
      <c r="N139" s="16"/>
      <c r="O139" s="15"/>
      <c r="Q139" s="8"/>
    </row>
    <row r="140" spans="1:32" s="37" customFormat="1" ht="14.25" customHeight="1" outlineLevel="1">
      <c r="A140" s="8"/>
      <c r="B140" s="61" t="s">
        <v>252</v>
      </c>
      <c r="C140" s="7" t="s">
        <v>258</v>
      </c>
      <c r="D140" s="25">
        <f>(FUSELAGE_b_ellipse+FUSELAGE_t_fuselage)*2</f>
        <v>3.2107591325767002</v>
      </c>
      <c r="E140" s="37" t="s">
        <v>266</v>
      </c>
      <c r="F140" s="16"/>
      <c r="K140" s="16"/>
      <c r="L140" s="62"/>
      <c r="M140" s="16"/>
      <c r="N140" s="16"/>
      <c r="O140" s="15"/>
      <c r="Q140" s="8"/>
    </row>
    <row r="141" spans="1:32" s="37" customFormat="1" ht="14.25" customHeight="1" outlineLevel="1">
      <c r="A141" s="8"/>
      <c r="B141" s="61"/>
      <c r="C141" s="7"/>
      <c r="D141" s="8"/>
      <c r="E141" s="18"/>
      <c r="F141" s="16"/>
      <c r="G141" s="8"/>
      <c r="H141" s="16"/>
      <c r="I141" s="16"/>
      <c r="J141" s="100"/>
      <c r="K141" s="16"/>
      <c r="L141" s="62"/>
      <c r="M141" s="16"/>
      <c r="N141" s="16"/>
      <c r="O141" s="15"/>
      <c r="Q141" s="8"/>
    </row>
    <row r="142" spans="1:32" s="37" customFormat="1" ht="14.25" customHeight="1" outlineLevel="1">
      <c r="A142" s="8"/>
      <c r="B142" s="61" t="s">
        <v>251</v>
      </c>
      <c r="C142" s="7" t="s">
        <v>257</v>
      </c>
      <c r="D142" s="25">
        <f>(FUSELAGE_a_ellipse+FUSELAGE_t_fuselage)*2</f>
        <v>3.2107591325767002</v>
      </c>
      <c r="E142" s="37" t="s">
        <v>266</v>
      </c>
      <c r="F142" s="16"/>
      <c r="G142" s="8"/>
      <c r="H142" s="16"/>
      <c r="I142" s="16"/>
      <c r="J142" s="100"/>
      <c r="K142" s="16"/>
      <c r="L142" s="62"/>
      <c r="M142" s="16"/>
      <c r="N142" s="16"/>
      <c r="O142" s="15"/>
      <c r="Q142" s="8"/>
    </row>
    <row r="143" spans="1:32" s="37" customFormat="1" ht="14.25" customHeight="1" outlineLevel="1" thickBot="1">
      <c r="A143" s="8"/>
      <c r="B143" s="65"/>
      <c r="C143" s="90"/>
      <c r="D143" s="67"/>
      <c r="E143" s="98"/>
      <c r="F143" s="66"/>
      <c r="G143" s="67"/>
      <c r="H143" s="66"/>
      <c r="I143" s="66"/>
      <c r="J143" s="103"/>
      <c r="K143" s="66"/>
      <c r="L143" s="104"/>
      <c r="M143" s="16"/>
      <c r="N143" s="16"/>
      <c r="O143" s="15"/>
      <c r="Q143" s="8"/>
    </row>
    <row r="144" spans="1:32" s="37" customFormat="1" ht="14.25" customHeight="1" outlineLevel="1" thickBot="1">
      <c r="A144" s="8"/>
      <c r="B144" s="108"/>
      <c r="C144" s="109"/>
      <c r="D144" s="110"/>
      <c r="E144" s="111"/>
      <c r="F144" s="108"/>
      <c r="G144" s="110"/>
      <c r="H144" s="108"/>
      <c r="I144" s="108"/>
      <c r="J144" s="112"/>
      <c r="K144" s="108"/>
      <c r="L144" s="108"/>
      <c r="M144" s="16"/>
      <c r="N144" s="16"/>
      <c r="O144" s="15"/>
      <c r="Q144" s="8"/>
    </row>
    <row r="145" spans="1:17" s="37" customFormat="1" ht="14.25" customHeight="1" outlineLevel="1">
      <c r="A145" s="8"/>
      <c r="B145" s="94" t="s">
        <v>153</v>
      </c>
      <c r="C145" s="7"/>
      <c r="D145" s="147"/>
      <c r="E145" s="18"/>
      <c r="F145" s="16"/>
      <c r="G145" s="8"/>
      <c r="H145" s="16"/>
      <c r="I145" s="16"/>
      <c r="J145" s="100"/>
      <c r="K145" s="16"/>
      <c r="L145" s="62"/>
      <c r="M145" s="16"/>
      <c r="N145" s="16"/>
      <c r="O145" s="15"/>
      <c r="Q145" s="8"/>
    </row>
    <row r="146" spans="1:17" s="37" customFormat="1" ht="14.25" customHeight="1" outlineLevel="1">
      <c r="A146" s="8"/>
      <c r="B146" s="61"/>
      <c r="C146" s="7"/>
      <c r="D146" s="8"/>
      <c r="E146" s="18"/>
      <c r="F146" s="16"/>
      <c r="G146" s="8"/>
      <c r="H146" s="16"/>
      <c r="I146" s="16"/>
      <c r="J146" s="100"/>
      <c r="K146" s="16"/>
      <c r="L146" s="62"/>
      <c r="M146" s="16"/>
      <c r="N146" s="16"/>
      <c r="O146" s="15"/>
      <c r="Q146" s="8"/>
    </row>
    <row r="147" spans="1:17" s="37" customFormat="1" ht="14.25" customHeight="1" outlineLevel="1">
      <c r="A147" s="8"/>
      <c r="B147" s="61" t="s">
        <v>159</v>
      </c>
      <c r="C147" s="7" t="s">
        <v>207</v>
      </c>
      <c r="D147" s="73">
        <v>2</v>
      </c>
      <c r="E147" s="21" t="s">
        <v>395</v>
      </c>
      <c r="F147" s="16"/>
      <c r="G147" s="8"/>
      <c r="H147" s="16"/>
      <c r="I147" s="16"/>
      <c r="K147" s="16"/>
      <c r="L147" s="62"/>
      <c r="M147" s="16"/>
      <c r="N147" s="16"/>
      <c r="O147" s="15"/>
      <c r="Q147" s="8"/>
    </row>
    <row r="148" spans="1:17" s="37" customFormat="1" ht="14.25" customHeight="1" outlineLevel="1">
      <c r="A148" s="8"/>
      <c r="B148" s="61"/>
      <c r="C148" s="7"/>
      <c r="D148" s="8"/>
      <c r="E148" s="18"/>
      <c r="F148" s="16"/>
      <c r="G148" s="8"/>
      <c r="H148" s="16"/>
      <c r="I148" s="16"/>
      <c r="K148" s="16"/>
      <c r="L148" s="62"/>
      <c r="M148" s="16"/>
      <c r="N148" s="16"/>
      <c r="O148" s="15"/>
      <c r="Q148" s="8"/>
    </row>
    <row r="149" spans="1:17" s="37" customFormat="1" ht="14.25" hidden="1" customHeight="1" outlineLevel="1">
      <c r="A149" s="8"/>
      <c r="B149" s="61" t="s">
        <v>160</v>
      </c>
      <c r="C149" s="7" t="s">
        <v>146</v>
      </c>
      <c r="D149" s="73">
        <v>0</v>
      </c>
      <c r="E149" s="21" t="s">
        <v>395</v>
      </c>
      <c r="F149" s="16"/>
      <c r="G149" s="8"/>
      <c r="H149" s="16"/>
      <c r="I149" s="16"/>
      <c r="K149" s="16"/>
      <c r="L149" s="62"/>
      <c r="M149" s="16"/>
      <c r="N149" s="16"/>
      <c r="O149" s="15"/>
      <c r="Q149" s="8"/>
    </row>
    <row r="150" spans="1:17" s="37" customFormat="1" ht="14.25" hidden="1" customHeight="1" outlineLevel="1">
      <c r="A150" s="8"/>
      <c r="B150" s="61"/>
      <c r="C150" s="7"/>
      <c r="D150" s="8"/>
      <c r="E150" s="18"/>
      <c r="F150" s="16"/>
      <c r="G150" s="8"/>
      <c r="H150" s="16"/>
      <c r="I150" s="16"/>
      <c r="K150" s="16"/>
      <c r="L150" s="62"/>
      <c r="M150" s="16"/>
      <c r="N150" s="16"/>
      <c r="O150" s="15"/>
      <c r="Q150" s="8"/>
    </row>
    <row r="151" spans="1:17" s="37" customFormat="1" ht="14.25" customHeight="1" outlineLevel="1">
      <c r="A151" s="8"/>
      <c r="B151" s="61" t="s">
        <v>600</v>
      </c>
      <c r="C151" s="7" t="s">
        <v>147</v>
      </c>
      <c r="D151" s="73">
        <v>1</v>
      </c>
      <c r="E151" s="21" t="s">
        <v>395</v>
      </c>
      <c r="F151" s="16"/>
      <c r="G151" s="8"/>
      <c r="H151" s="16"/>
      <c r="I151" s="16"/>
      <c r="K151" s="16"/>
      <c r="L151" s="62"/>
      <c r="M151" s="16"/>
      <c r="N151" s="16"/>
      <c r="O151" s="15"/>
      <c r="Q151" s="8"/>
    </row>
    <row r="152" spans="1:17" s="37" customFormat="1" ht="14.25" customHeight="1" outlineLevel="1">
      <c r="A152" s="8"/>
      <c r="B152" s="61"/>
      <c r="E152" s="18"/>
      <c r="F152" s="16"/>
      <c r="G152" s="8"/>
      <c r="H152" s="16"/>
      <c r="I152" s="16"/>
      <c r="K152" s="16"/>
      <c r="L152" s="62"/>
      <c r="M152" s="16"/>
      <c r="N152" s="16"/>
      <c r="O152" s="15"/>
      <c r="Q152" s="8"/>
    </row>
    <row r="153" spans="1:17" s="37" customFormat="1" ht="14.25" customHeight="1" outlineLevel="1">
      <c r="A153" s="8"/>
      <c r="B153" s="95" t="s">
        <v>601</v>
      </c>
      <c r="C153" s="7" t="s">
        <v>148</v>
      </c>
      <c r="D153" s="26">
        <f>FUSELAGE_n_SA_FC</f>
        <v>3</v>
      </c>
      <c r="E153" s="21" t="s">
        <v>395</v>
      </c>
      <c r="F153" s="16"/>
      <c r="G153" s="7" t="s">
        <v>618</v>
      </c>
      <c r="H153" s="16"/>
      <c r="I153" s="177" t="str">
        <f>IF(SUM(FUSELAGE_nseats_right_FC,FUSELAGE_nseats_middle_FC,FUSELAGE_nseats_left_FC)=FUSELAGE_n_SA_FC,"Number of seats abreast is correct", "Wrong number of seats abreast!")</f>
        <v>Number of seats abreast is correct</v>
      </c>
      <c r="K153" s="16"/>
      <c r="L153" s="62"/>
      <c r="M153" s="16"/>
      <c r="N153" s="16"/>
      <c r="O153" s="15"/>
      <c r="Q153" s="8"/>
    </row>
    <row r="154" spans="1:17" s="37" customFormat="1" ht="14.25" customHeight="1" outlineLevel="1">
      <c r="A154" s="8"/>
      <c r="B154" s="95"/>
      <c r="K154" s="16"/>
      <c r="L154" s="62"/>
      <c r="M154" s="16"/>
      <c r="N154" s="16"/>
      <c r="O154" s="15"/>
      <c r="Q154" s="8"/>
    </row>
    <row r="155" spans="1:17" s="37" customFormat="1" ht="14.25" hidden="1" customHeight="1" outlineLevel="1">
      <c r="A155" s="8"/>
      <c r="B155" s="61" t="s">
        <v>602</v>
      </c>
      <c r="C155" s="7" t="s">
        <v>149</v>
      </c>
      <c r="D155" s="73">
        <v>2</v>
      </c>
      <c r="E155" s="21" t="s">
        <v>395</v>
      </c>
      <c r="F155" s="16"/>
      <c r="G155" s="8"/>
      <c r="H155" s="16"/>
      <c r="I155" s="16"/>
      <c r="J155" s="100"/>
      <c r="K155" s="16"/>
      <c r="L155" s="62"/>
      <c r="M155" s="16"/>
      <c r="N155" s="16"/>
      <c r="O155" s="15"/>
      <c r="Q155" s="8"/>
    </row>
    <row r="156" spans="1:17" s="37" customFormat="1" ht="14.25" hidden="1" customHeight="1" outlineLevel="1">
      <c r="A156" s="8"/>
      <c r="B156" s="61"/>
      <c r="C156" s="7"/>
      <c r="D156" s="8"/>
      <c r="E156" s="18"/>
      <c r="F156" s="16"/>
      <c r="G156" s="8"/>
      <c r="H156" s="16"/>
      <c r="I156" s="16"/>
      <c r="J156" s="100"/>
      <c r="K156" s="16"/>
      <c r="L156" s="62"/>
      <c r="M156" s="16"/>
      <c r="N156" s="16"/>
      <c r="O156" s="15"/>
      <c r="Q156" s="8"/>
    </row>
    <row r="157" spans="1:17" s="37" customFormat="1" ht="14.25" hidden="1" customHeight="1" outlineLevel="1">
      <c r="A157" s="8"/>
      <c r="B157" s="61" t="s">
        <v>603</v>
      </c>
      <c r="C157" s="7" t="s">
        <v>150</v>
      </c>
      <c r="D157" s="73">
        <v>0</v>
      </c>
      <c r="E157" s="21" t="s">
        <v>395</v>
      </c>
      <c r="F157" s="16"/>
      <c r="G157" s="8"/>
      <c r="H157" s="16"/>
      <c r="I157" s="16"/>
      <c r="J157" s="100"/>
      <c r="K157" s="16"/>
      <c r="L157" s="62"/>
      <c r="M157" s="16"/>
      <c r="N157" s="16"/>
      <c r="O157" s="15"/>
      <c r="Q157" s="8"/>
    </row>
    <row r="158" spans="1:17" s="37" customFormat="1" ht="14.25" hidden="1" customHeight="1" outlineLevel="1">
      <c r="A158" s="8"/>
      <c r="B158" s="61"/>
      <c r="C158" s="7"/>
      <c r="D158" s="8"/>
      <c r="E158" s="18"/>
      <c r="F158" s="16"/>
      <c r="G158" s="8"/>
      <c r="H158" s="16"/>
      <c r="I158" s="16"/>
      <c r="J158" s="100"/>
      <c r="K158" s="16"/>
      <c r="L158" s="62"/>
      <c r="M158" s="16"/>
      <c r="N158" s="16"/>
      <c r="O158" s="15"/>
      <c r="Q158" s="8"/>
    </row>
    <row r="159" spans="1:17" s="37" customFormat="1" ht="14.25" hidden="1" customHeight="1" outlineLevel="1">
      <c r="A159" s="8"/>
      <c r="B159" s="61" t="s">
        <v>604</v>
      </c>
      <c r="C159" s="7" t="s">
        <v>151</v>
      </c>
      <c r="D159" s="73">
        <v>3</v>
      </c>
      <c r="E159" s="21" t="s">
        <v>395</v>
      </c>
      <c r="F159" s="16"/>
      <c r="G159" s="8"/>
      <c r="H159" s="16"/>
      <c r="I159" s="16"/>
      <c r="J159" s="100"/>
      <c r="K159" s="16"/>
      <c r="L159" s="62"/>
      <c r="M159" s="16"/>
      <c r="N159" s="16"/>
      <c r="O159" s="15"/>
      <c r="Q159" s="8"/>
    </row>
    <row r="160" spans="1:17" s="37" customFormat="1" ht="14.25" hidden="1" customHeight="1" outlineLevel="1">
      <c r="A160" s="8"/>
      <c r="B160" s="61"/>
      <c r="E160" s="18"/>
      <c r="F160" s="16"/>
      <c r="G160" s="8"/>
      <c r="H160" s="16"/>
      <c r="I160" s="16"/>
      <c r="J160" s="100"/>
      <c r="K160" s="16"/>
      <c r="L160" s="62"/>
      <c r="M160" s="16"/>
      <c r="N160" s="16"/>
      <c r="O160" s="15"/>
      <c r="Q160" s="8"/>
    </row>
    <row r="161" spans="1:28" s="37" customFormat="1" ht="14.25" hidden="1" customHeight="1" outlineLevel="1">
      <c r="A161" s="8"/>
      <c r="B161" s="95" t="s">
        <v>605</v>
      </c>
      <c r="C161" s="7" t="s">
        <v>152</v>
      </c>
      <c r="D161" s="26">
        <f>FUSELAGE_n_SA_BC</f>
        <v>5</v>
      </c>
      <c r="E161" s="21" t="s">
        <v>395</v>
      </c>
      <c r="F161" s="16"/>
      <c r="G161" s="7" t="s">
        <v>618</v>
      </c>
      <c r="H161" s="16"/>
      <c r="I161" s="177" t="str">
        <f>IF(SUM(FUSELAGE_nseats_right_BC,FUSELAGE_nseats_middle_BC,FUSELAGE_nseats_left_BC)=FUSELAGE_n_SA_BC,"Number of seats abreast is correct", "Wrong number of seats abreast!")</f>
        <v>Number of seats abreast is correct</v>
      </c>
      <c r="J161" s="100"/>
      <c r="K161" s="16"/>
      <c r="L161" s="62"/>
      <c r="M161" s="16"/>
      <c r="N161" s="16"/>
      <c r="O161" s="15"/>
      <c r="Q161" s="8"/>
    </row>
    <row r="162" spans="1:28" s="37" customFormat="1" ht="14.25" hidden="1" customHeight="1" outlineLevel="1">
      <c r="A162" s="8"/>
      <c r="B162" s="61"/>
      <c r="E162" s="18"/>
      <c r="F162" s="16"/>
      <c r="G162" s="8"/>
      <c r="H162" s="16"/>
      <c r="I162" s="16"/>
      <c r="J162" s="100"/>
      <c r="K162" s="16"/>
      <c r="L162" s="62"/>
      <c r="M162" s="16"/>
      <c r="N162" s="16"/>
      <c r="O162" s="15"/>
      <c r="Q162" s="8"/>
    </row>
    <row r="163" spans="1:28" s="37" customFormat="1" ht="14.25" customHeight="1" outlineLevel="1">
      <c r="A163" s="8"/>
      <c r="B163" s="61" t="s">
        <v>156</v>
      </c>
      <c r="C163" s="7" t="s">
        <v>65</v>
      </c>
      <c r="D163" s="73">
        <v>2</v>
      </c>
      <c r="E163" s="21" t="s">
        <v>395</v>
      </c>
      <c r="F163" s="16"/>
      <c r="G163" s="8"/>
      <c r="H163" s="16"/>
      <c r="I163" s="16"/>
      <c r="J163" s="100"/>
      <c r="K163" s="16"/>
      <c r="L163" s="62"/>
      <c r="M163" s="16"/>
      <c r="N163" s="16"/>
      <c r="O163" s="15"/>
      <c r="Q163" s="8"/>
    </row>
    <row r="164" spans="1:28" s="37" customFormat="1" ht="14.25" customHeight="1" outlineLevel="1">
      <c r="A164" s="8"/>
      <c r="B164" s="61"/>
      <c r="C164" s="7"/>
      <c r="D164" s="8"/>
      <c r="E164" s="18"/>
      <c r="F164" s="16"/>
      <c r="G164" s="8"/>
      <c r="H164" s="16"/>
      <c r="I164" s="16"/>
      <c r="J164" s="100"/>
      <c r="K164" s="16"/>
      <c r="L164" s="62"/>
      <c r="M164" s="16"/>
      <c r="N164" s="16"/>
      <c r="O164" s="15"/>
      <c r="Q164" s="8"/>
    </row>
    <row r="165" spans="1:28" s="37" customFormat="1" ht="14.25" hidden="1" customHeight="1" outlineLevel="1">
      <c r="A165" s="8"/>
      <c r="B165" s="61" t="s">
        <v>668</v>
      </c>
      <c r="C165" s="7" t="s">
        <v>66</v>
      </c>
      <c r="D165" s="73">
        <v>0</v>
      </c>
      <c r="E165" s="21" t="s">
        <v>395</v>
      </c>
      <c r="F165" s="16"/>
      <c r="G165" s="8"/>
      <c r="H165" s="16"/>
      <c r="I165" s="16"/>
      <c r="J165" s="100"/>
      <c r="K165" s="16"/>
      <c r="L165" s="62"/>
      <c r="M165" s="16"/>
      <c r="N165" s="16"/>
      <c r="O165" s="15"/>
      <c r="Q165" s="8"/>
    </row>
    <row r="166" spans="1:28" s="37" customFormat="1" ht="14.25" hidden="1" customHeight="1" outlineLevel="1">
      <c r="A166" s="8"/>
      <c r="B166" s="61"/>
      <c r="C166" s="7"/>
      <c r="D166" s="8"/>
      <c r="E166" s="18"/>
      <c r="F166" s="16"/>
      <c r="G166" s="8"/>
      <c r="H166" s="16"/>
      <c r="I166" s="16"/>
      <c r="J166" s="100"/>
      <c r="K166" s="16"/>
      <c r="L166" s="62"/>
      <c r="M166" s="16"/>
      <c r="N166" s="16"/>
      <c r="O166" s="15"/>
      <c r="Q166" s="8"/>
    </row>
    <row r="167" spans="1:28" s="37" customFormat="1" ht="14.25" customHeight="1" outlineLevel="1">
      <c r="A167" s="8"/>
      <c r="B167" s="61" t="s">
        <v>157</v>
      </c>
      <c r="C167" s="7" t="s">
        <v>64</v>
      </c>
      <c r="D167" s="73">
        <v>2</v>
      </c>
      <c r="E167" s="21" t="s">
        <v>395</v>
      </c>
      <c r="F167" s="16"/>
      <c r="G167" s="8"/>
      <c r="H167" s="16"/>
      <c r="I167" s="16"/>
      <c r="J167" s="100"/>
      <c r="K167" s="16"/>
      <c r="L167" s="62"/>
      <c r="M167" s="16"/>
      <c r="N167" s="16"/>
      <c r="O167" s="15"/>
      <c r="Q167" s="8"/>
    </row>
    <row r="168" spans="1:28" s="37" customFormat="1" ht="14.25" customHeight="1" outlineLevel="1">
      <c r="A168" s="8"/>
      <c r="B168" s="61"/>
      <c r="E168" s="18"/>
      <c r="F168" s="16"/>
      <c r="G168" s="8"/>
      <c r="H168" s="16"/>
      <c r="I168" s="16"/>
      <c r="J168" s="100"/>
      <c r="K168" s="16"/>
      <c r="L168" s="62"/>
      <c r="M168" s="16"/>
      <c r="N168" s="16"/>
      <c r="O168" s="15"/>
      <c r="Q168" s="8"/>
    </row>
    <row r="169" spans="1:28" s="37" customFormat="1" ht="14.25" customHeight="1" outlineLevel="1">
      <c r="A169" s="8"/>
      <c r="B169" s="95" t="s">
        <v>158</v>
      </c>
      <c r="C169" s="7" t="s">
        <v>67</v>
      </c>
      <c r="D169" s="26">
        <f>FUSELAGE_n_SA_YC</f>
        <v>4</v>
      </c>
      <c r="E169" s="21" t="s">
        <v>395</v>
      </c>
      <c r="F169" s="16"/>
      <c r="G169" s="7" t="s">
        <v>618</v>
      </c>
      <c r="H169" s="16"/>
      <c r="I169" s="177" t="str">
        <f>IF(SUM(FUSELAGE_nseats_left_YC,FUSELAGE_nseats_middle_YC,FUSELAGE_nseats_right_YC)=FUSELAGE_n_SA_YC,"Number of seats abreast is correct", "Wrong number of seats abreast!")</f>
        <v>Number of seats abreast is correct</v>
      </c>
      <c r="J169" s="100"/>
      <c r="K169" s="16"/>
      <c r="L169" s="62"/>
      <c r="M169" s="16"/>
      <c r="N169" s="16"/>
      <c r="O169" s="15"/>
      <c r="Q169" s="8"/>
    </row>
    <row r="170" spans="1:28" s="37" customFormat="1" ht="14.25" customHeight="1" outlineLevel="1">
      <c r="A170" s="8"/>
      <c r="B170" s="61"/>
      <c r="C170" s="7"/>
      <c r="D170" s="8"/>
      <c r="E170" s="21"/>
      <c r="F170" s="16"/>
      <c r="G170" s="8"/>
      <c r="H170" s="16"/>
      <c r="I170" s="16"/>
      <c r="J170" s="100"/>
      <c r="K170" s="16"/>
      <c r="L170" s="62"/>
      <c r="M170" s="16"/>
      <c r="N170" s="16"/>
      <c r="O170" s="15"/>
      <c r="Q170" s="8"/>
    </row>
    <row r="171" spans="1:28" s="37" customFormat="1" ht="14.25" customHeight="1" outlineLevel="1">
      <c r="A171" s="8"/>
      <c r="B171" s="61" t="s">
        <v>606</v>
      </c>
      <c r="C171" s="7"/>
      <c r="D171" s="8"/>
      <c r="E171" s="21"/>
      <c r="F171" s="16"/>
      <c r="G171" s="8"/>
      <c r="H171" s="16"/>
      <c r="I171" s="16"/>
      <c r="J171" s="100"/>
      <c r="K171" s="16"/>
      <c r="L171" s="62"/>
      <c r="M171" s="16"/>
      <c r="N171" s="16"/>
      <c r="O171" s="15"/>
      <c r="Q171" s="8"/>
      <c r="Z171" s="37" t="str">
        <f>IF(FUSELAGE_nclasses&gt;1,"First class","Economy class")</f>
        <v>First class</v>
      </c>
      <c r="AA171" s="37" t="s">
        <v>779</v>
      </c>
      <c r="AB171" s="37">
        <f>IF(FUSELAGE_display_class_result="First class",1,IF(FUSELAGE_display_class_result="Business class",2,3))</f>
        <v>1</v>
      </c>
    </row>
    <row r="172" spans="1:28" s="37" customFormat="1" ht="14.25" customHeight="1" outlineLevel="1" thickBot="1">
      <c r="A172" s="8"/>
      <c r="B172" s="65"/>
      <c r="C172" s="90"/>
      <c r="D172" s="67"/>
      <c r="E172" s="67"/>
      <c r="F172" s="66"/>
      <c r="G172" s="67"/>
      <c r="H172" s="66"/>
      <c r="I172" s="66"/>
      <c r="J172" s="103"/>
      <c r="K172" s="66"/>
      <c r="L172" s="104"/>
      <c r="M172" s="16"/>
      <c r="N172" s="16"/>
      <c r="O172" s="15"/>
      <c r="Q172" s="8"/>
      <c r="Z172" s="37" t="str">
        <f>IF(FUSELAGE_nclasses&gt;2,"Business class","Economy class")</f>
        <v>Economy class</v>
      </c>
    </row>
    <row r="173" spans="1:28" s="37" customFormat="1" ht="14.25" customHeight="1" outlineLevel="1" thickBot="1">
      <c r="A173" s="8"/>
      <c r="B173" s="108"/>
      <c r="C173" s="109"/>
      <c r="D173" s="110"/>
      <c r="E173" s="110"/>
      <c r="F173" s="60"/>
      <c r="G173" s="57"/>
      <c r="H173" s="60"/>
      <c r="I173" s="60"/>
      <c r="J173" s="101"/>
      <c r="K173" s="60"/>
      <c r="L173" s="60"/>
      <c r="M173" s="16"/>
      <c r="N173" s="16"/>
      <c r="O173" s="15"/>
      <c r="Q173" s="8"/>
      <c r="Z173" s="37" t="s">
        <v>607</v>
      </c>
    </row>
    <row r="174" spans="1:28" s="37" customFormat="1" ht="14.25" customHeight="1" outlineLevel="1">
      <c r="A174" s="8"/>
      <c r="B174" s="86" t="s">
        <v>549</v>
      </c>
      <c r="C174" s="87"/>
      <c r="D174" s="239"/>
      <c r="E174" s="240"/>
      <c r="F174" s="16"/>
      <c r="G174" s="8"/>
      <c r="H174" s="16"/>
      <c r="I174" s="16"/>
      <c r="J174" s="100"/>
      <c r="K174" s="16"/>
      <c r="L174" s="16"/>
      <c r="M174" s="16"/>
      <c r="N174" s="16"/>
      <c r="O174" s="15"/>
      <c r="Q174" s="8"/>
    </row>
    <row r="175" spans="1:28" s="37" customFormat="1" ht="14.25" customHeight="1" outlineLevel="1">
      <c r="A175" s="8"/>
      <c r="B175" s="61"/>
      <c r="C175" s="7"/>
      <c r="D175" s="8"/>
      <c r="E175" s="89"/>
      <c r="F175" s="16"/>
      <c r="G175" s="8"/>
      <c r="H175" s="16"/>
      <c r="I175" s="16"/>
      <c r="J175" s="100"/>
      <c r="K175" s="16"/>
      <c r="L175" s="16"/>
      <c r="M175" s="16"/>
      <c r="N175" s="16"/>
      <c r="O175" s="15"/>
      <c r="Q175" s="8"/>
    </row>
    <row r="176" spans="1:28" s="37" customFormat="1" ht="14.25" customHeight="1" outlineLevel="1">
      <c r="A176" s="64"/>
      <c r="B176" s="95"/>
      <c r="C176" s="8" t="s">
        <v>752</v>
      </c>
      <c r="D176" s="8"/>
      <c r="E176" s="64"/>
      <c r="F176" s="16"/>
      <c r="G176" s="8"/>
      <c r="H176" s="16"/>
      <c r="I176" s="16"/>
      <c r="J176" s="100"/>
      <c r="K176" s="16"/>
      <c r="L176" s="16"/>
      <c r="M176" s="16"/>
      <c r="N176" s="16"/>
      <c r="O176" s="15"/>
      <c r="Q176" s="8"/>
      <c r="Y176" s="18" t="s">
        <v>426</v>
      </c>
      <c r="Z176" s="37" t="b">
        <v>0</v>
      </c>
    </row>
    <row r="177" spans="1:26" s="37" customFormat="1" ht="14.25" customHeight="1" outlineLevel="1">
      <c r="A177" s="64"/>
      <c r="B177" s="95"/>
      <c r="C177" s="8" t="s">
        <v>753</v>
      </c>
      <c r="D177" s="8"/>
      <c r="E177" s="64"/>
      <c r="F177" s="16"/>
      <c r="G177" s="8"/>
      <c r="H177" s="16"/>
      <c r="I177" s="16"/>
      <c r="J177" s="100"/>
      <c r="K177" s="16"/>
      <c r="L177" s="16"/>
      <c r="M177" s="16"/>
      <c r="N177" s="16"/>
      <c r="O177" s="15"/>
      <c r="Q177" s="8"/>
    </row>
    <row r="178" spans="1:26" s="37" customFormat="1" ht="14.25" customHeight="1" outlineLevel="1">
      <c r="A178" s="64"/>
      <c r="B178" s="95"/>
      <c r="C178" s="8"/>
      <c r="D178" s="8"/>
      <c r="E178" s="64"/>
      <c r="F178" s="16"/>
      <c r="G178" s="8"/>
      <c r="H178" s="16"/>
      <c r="I178" s="16"/>
      <c r="J178" s="100"/>
      <c r="K178" s="16"/>
      <c r="L178" s="16"/>
      <c r="M178" s="16"/>
      <c r="N178" s="16"/>
      <c r="O178" s="15"/>
      <c r="Q178" s="8"/>
      <c r="Y178" s="18" t="s">
        <v>503</v>
      </c>
      <c r="Z178" s="37" t="b">
        <v>1</v>
      </c>
    </row>
    <row r="179" spans="1:26" s="37" customFormat="1" ht="14.25" customHeight="1" outlineLevel="1">
      <c r="A179" s="64"/>
      <c r="B179" s="95"/>
      <c r="C179" s="7"/>
      <c r="D179" s="8"/>
      <c r="E179" s="64"/>
      <c r="F179" s="16"/>
      <c r="G179" s="8"/>
      <c r="H179" s="16"/>
      <c r="I179" s="16"/>
      <c r="J179" s="100"/>
      <c r="K179" s="16"/>
      <c r="L179" s="16"/>
      <c r="M179" s="16"/>
      <c r="N179" s="16"/>
      <c r="O179" s="15"/>
      <c r="Q179" s="8"/>
    </row>
    <row r="180" spans="1:26" s="37" customFormat="1" ht="14.25" customHeight="1" outlineLevel="1">
      <c r="A180" s="64"/>
      <c r="B180" s="95"/>
      <c r="C180" s="7"/>
      <c r="D180" s="8"/>
      <c r="E180" s="64"/>
      <c r="F180" s="16"/>
      <c r="G180" s="8"/>
      <c r="H180" s="16"/>
      <c r="I180" s="16"/>
      <c r="J180" s="100"/>
      <c r="K180" s="16"/>
      <c r="L180" s="16"/>
      <c r="M180" s="16"/>
      <c r="N180" s="16"/>
      <c r="O180" s="15"/>
      <c r="Q180" s="8"/>
    </row>
    <row r="181" spans="1:26" s="37" customFormat="1" ht="14.25" customHeight="1" outlineLevel="1">
      <c r="A181" s="64"/>
      <c r="B181" s="61"/>
      <c r="C181" s="7"/>
      <c r="D181" s="8"/>
      <c r="E181" s="64"/>
      <c r="F181" s="16"/>
      <c r="G181" s="8"/>
      <c r="H181" s="16"/>
      <c r="I181" s="16"/>
      <c r="J181" s="100"/>
      <c r="K181" s="16"/>
      <c r="L181" s="16"/>
      <c r="M181" s="16"/>
      <c r="N181" s="16"/>
      <c r="O181" s="15"/>
      <c r="Q181" s="8"/>
    </row>
    <row r="182" spans="1:26" s="37" customFormat="1" ht="14.25" customHeight="1" outlineLevel="1">
      <c r="A182" s="64"/>
      <c r="B182" s="61" t="s">
        <v>550</v>
      </c>
      <c r="C182" s="7" t="s">
        <v>479</v>
      </c>
      <c r="D182" s="73">
        <v>2</v>
      </c>
      <c r="E182" s="30" t="s">
        <v>395</v>
      </c>
      <c r="F182" s="16"/>
      <c r="G182" s="8"/>
      <c r="H182" s="16"/>
      <c r="I182" s="16"/>
      <c r="J182" s="100"/>
      <c r="K182" s="16"/>
      <c r="L182" s="16"/>
      <c r="M182" s="16"/>
      <c r="N182" s="16"/>
      <c r="O182" s="15"/>
      <c r="Q182" s="8"/>
    </row>
    <row r="183" spans="1:26" s="37" customFormat="1" ht="14.25" customHeight="1" outlineLevel="1">
      <c r="A183" s="64"/>
      <c r="B183" s="61"/>
      <c r="C183" s="7"/>
      <c r="D183" s="8"/>
      <c r="E183" s="64"/>
      <c r="F183" s="16"/>
      <c r="G183" s="8"/>
      <c r="H183" s="16"/>
      <c r="I183" s="16"/>
      <c r="J183" s="100"/>
      <c r="K183" s="16"/>
      <c r="L183" s="16"/>
      <c r="M183" s="16"/>
      <c r="N183" s="16"/>
      <c r="O183" s="15"/>
      <c r="Q183" s="8"/>
    </row>
    <row r="184" spans="1:26" s="37" customFormat="1" ht="14.25" hidden="1" customHeight="1" outlineLevel="1">
      <c r="A184" s="64"/>
      <c r="B184" s="61" t="s">
        <v>551</v>
      </c>
      <c r="C184" s="7" t="s">
        <v>478</v>
      </c>
      <c r="D184" s="73">
        <v>0</v>
      </c>
      <c r="E184" s="30" t="s">
        <v>395</v>
      </c>
      <c r="F184" s="16"/>
      <c r="G184" s="8"/>
      <c r="H184" s="16"/>
      <c r="I184" s="16"/>
      <c r="J184" s="100"/>
      <c r="K184" s="16"/>
      <c r="L184" s="16"/>
      <c r="M184" s="16"/>
      <c r="N184" s="16"/>
      <c r="O184" s="15"/>
      <c r="Q184" s="8"/>
    </row>
    <row r="185" spans="1:26" s="37" customFormat="1" ht="14.25" hidden="1" customHeight="1" outlineLevel="1">
      <c r="A185" s="64"/>
      <c r="B185" s="61"/>
      <c r="C185" s="7"/>
      <c r="D185" s="8"/>
      <c r="E185" s="64"/>
      <c r="F185" s="16"/>
      <c r="G185" s="8"/>
      <c r="H185" s="16"/>
      <c r="I185" s="16"/>
      <c r="J185" s="100"/>
      <c r="K185" s="16"/>
      <c r="L185" s="16"/>
      <c r="M185" s="16"/>
      <c r="N185" s="16"/>
      <c r="O185" s="15"/>
      <c r="Q185" s="8"/>
    </row>
    <row r="186" spans="1:26" s="37" customFormat="1" ht="14.25" customHeight="1" outlineLevel="1">
      <c r="A186" s="64"/>
      <c r="B186" s="61" t="s">
        <v>552</v>
      </c>
      <c r="C186" s="7" t="s">
        <v>477</v>
      </c>
      <c r="D186" s="73">
        <v>2</v>
      </c>
      <c r="E186" s="30" t="s">
        <v>395</v>
      </c>
      <c r="F186" s="16"/>
      <c r="G186" s="8"/>
      <c r="H186" s="16"/>
      <c r="I186" s="16"/>
      <c r="J186" s="100"/>
      <c r="K186" s="16"/>
      <c r="L186" s="16"/>
      <c r="M186" s="16"/>
      <c r="N186" s="16"/>
      <c r="O186" s="15"/>
      <c r="Q186" s="8"/>
    </row>
    <row r="187" spans="1:26" s="37" customFormat="1" ht="14.25" customHeight="1" outlineLevel="1">
      <c r="A187" s="64"/>
      <c r="B187" s="61"/>
      <c r="C187" s="7"/>
      <c r="D187" s="8"/>
      <c r="E187" s="30"/>
      <c r="F187" s="16"/>
      <c r="G187" s="8"/>
      <c r="H187" s="16"/>
      <c r="I187" s="16"/>
      <c r="J187" s="100"/>
      <c r="K187" s="16"/>
      <c r="L187" s="16"/>
      <c r="M187" s="16"/>
      <c r="N187" s="16"/>
      <c r="O187" s="15"/>
      <c r="Q187" s="8"/>
      <c r="Z187" s="37" t="s">
        <v>504</v>
      </c>
    </row>
    <row r="188" spans="1:26" s="37" customFormat="1" ht="14.25" customHeight="1" outlineLevel="1">
      <c r="A188" s="64"/>
      <c r="B188" s="95" t="s">
        <v>631</v>
      </c>
      <c r="C188" s="7" t="s">
        <v>632</v>
      </c>
      <c r="D188" s="294" t="s">
        <v>386</v>
      </c>
      <c r="E188" s="30" t="s">
        <v>266</v>
      </c>
      <c r="F188" s="16"/>
      <c r="G188" s="8"/>
      <c r="H188" s="16"/>
      <c r="I188" s="16"/>
      <c r="J188" s="100"/>
      <c r="K188" s="16"/>
      <c r="L188" s="16"/>
      <c r="M188" s="16"/>
      <c r="N188" s="16"/>
      <c r="O188" s="15"/>
      <c r="Q188" s="8"/>
      <c r="Z188" s="37">
        <v>0.1</v>
      </c>
    </row>
    <row r="189" spans="1:26" s="37" customFormat="1" ht="14.25" customHeight="1" outlineLevel="1">
      <c r="A189" s="64"/>
      <c r="B189" s="95"/>
      <c r="E189" s="63"/>
      <c r="F189" s="16"/>
      <c r="G189" s="8"/>
      <c r="H189" s="16"/>
      <c r="I189" s="16"/>
      <c r="J189" s="100"/>
      <c r="K189" s="16"/>
      <c r="L189" s="16"/>
      <c r="M189" s="16"/>
      <c r="N189" s="16"/>
      <c r="O189" s="15"/>
      <c r="Q189" s="8"/>
    </row>
    <row r="190" spans="1:26" s="37" customFormat="1" ht="14.25" customHeight="1" outlineLevel="1">
      <c r="A190" s="64"/>
      <c r="B190" s="95" t="s">
        <v>222</v>
      </c>
      <c r="C190" s="7" t="s">
        <v>48</v>
      </c>
      <c r="D190" s="293">
        <v>0.2</v>
      </c>
      <c r="E190" s="30" t="s">
        <v>266</v>
      </c>
      <c r="F190" s="16"/>
      <c r="G190" s="8"/>
      <c r="H190" s="16"/>
      <c r="I190" s="16"/>
      <c r="J190" s="100"/>
      <c r="K190" s="16"/>
      <c r="L190" s="16"/>
      <c r="M190" s="16"/>
      <c r="N190" s="16"/>
      <c r="O190" s="15"/>
      <c r="Q190" s="8"/>
      <c r="Z190" s="37">
        <v>0.2</v>
      </c>
    </row>
    <row r="191" spans="1:26" s="37" customFormat="1" ht="14.25" customHeight="1" outlineLevel="1">
      <c r="A191" s="64"/>
      <c r="B191" s="95"/>
      <c r="E191" s="63"/>
      <c r="F191" s="16"/>
      <c r="G191" s="8"/>
      <c r="H191" s="16"/>
      <c r="I191" s="16"/>
      <c r="J191" s="100"/>
      <c r="K191" s="16"/>
      <c r="L191" s="16"/>
      <c r="M191" s="16"/>
      <c r="N191" s="16"/>
      <c r="O191" s="15"/>
      <c r="Q191" s="8"/>
    </row>
    <row r="192" spans="1:26" s="37" customFormat="1" ht="14.25" customHeight="1" outlineLevel="1">
      <c r="A192" s="64"/>
      <c r="B192" s="61" t="s">
        <v>553</v>
      </c>
      <c r="C192" s="7" t="s">
        <v>480</v>
      </c>
      <c r="D192" s="294">
        <f>IF(FUSELAGE_use_side_seatrails,(SEAT_w_armrest_YC*(FUSELAGE_nseats_right_YC-1)+SEAT_w_cushion_YC*FUSELAGE_nseats_right_YC)/(FUSELAGE_nrails_right-1),(SEAT_w_armrest_YC*(FUSELAGE_nseats_right_YC-1)+SEAT_w_cushion_YC*FUSELAGE_nseats_right_YC-FUSELAGE_dseat_seat_rail*2)/(FUSELAGE_nrails_right-1))</f>
        <v>0.66</v>
      </c>
      <c r="E192" s="30" t="s">
        <v>266</v>
      </c>
      <c r="F192" s="16"/>
      <c r="G192" s="8"/>
      <c r="H192" s="16"/>
      <c r="I192" s="16"/>
      <c r="J192" s="100"/>
      <c r="K192" s="16"/>
      <c r="L192" s="16"/>
      <c r="M192" s="16"/>
      <c r="N192" s="16"/>
      <c r="O192" s="15"/>
      <c r="Q192" s="8"/>
      <c r="Z192" s="37">
        <v>0.5</v>
      </c>
    </row>
    <row r="193" spans="1:26" s="37" customFormat="1" ht="14.25" customHeight="1" outlineLevel="1">
      <c r="A193" s="64"/>
      <c r="B193" s="61"/>
      <c r="C193" s="7"/>
      <c r="D193" s="8"/>
      <c r="E193" s="64"/>
      <c r="F193" s="16"/>
      <c r="G193" s="8"/>
      <c r="H193" s="16"/>
      <c r="I193" s="16"/>
      <c r="J193" s="100"/>
      <c r="K193" s="16"/>
      <c r="L193" s="16"/>
      <c r="M193" s="16"/>
      <c r="N193" s="16"/>
      <c r="O193" s="15"/>
      <c r="Q193" s="8"/>
    </row>
    <row r="194" spans="1:26" s="37" customFormat="1" ht="14.25" hidden="1" customHeight="1" outlineLevel="1">
      <c r="A194" s="64"/>
      <c r="B194" s="61" t="s">
        <v>554</v>
      </c>
      <c r="C194" s="7" t="s">
        <v>481</v>
      </c>
      <c r="D194" s="294">
        <f>((FUSELAGE_nseats_middle_YC-1)*SEAT_w_armrest_YC+FUSELAGE_nseats_middle_YC*SEAT_w_cushion_YC-2*FUSELAGE_dseat_seat_rail)/(FUSELAGE_nrails_middle-1)</f>
        <v>0.46</v>
      </c>
      <c r="E194" s="30" t="s">
        <v>266</v>
      </c>
      <c r="F194" s="16"/>
      <c r="G194" s="8"/>
      <c r="H194" s="16"/>
      <c r="I194" s="16"/>
      <c r="J194" s="100"/>
      <c r="K194" s="16"/>
      <c r="L194" s="16"/>
      <c r="M194" s="16"/>
      <c r="N194" s="16"/>
      <c r="O194" s="15"/>
      <c r="Q194" s="8"/>
      <c r="Z194" s="37">
        <v>0.45080000000000003</v>
      </c>
    </row>
    <row r="195" spans="1:26" s="37" customFormat="1" ht="14.25" hidden="1" customHeight="1" outlineLevel="1">
      <c r="A195" s="64"/>
      <c r="B195" s="61"/>
      <c r="C195" s="7"/>
      <c r="D195" s="8"/>
      <c r="E195" s="64"/>
      <c r="F195" s="16"/>
      <c r="G195" s="8"/>
      <c r="H195" s="16"/>
      <c r="I195" s="16"/>
      <c r="J195" s="100"/>
      <c r="K195" s="16"/>
      <c r="L195" s="16"/>
      <c r="M195" s="16"/>
      <c r="N195" s="16"/>
      <c r="O195" s="15"/>
      <c r="Q195" s="8"/>
    </row>
    <row r="196" spans="1:26" s="37" customFormat="1" ht="14.25" customHeight="1" outlineLevel="1">
      <c r="A196" s="64"/>
      <c r="B196" s="61" t="s">
        <v>555</v>
      </c>
      <c r="C196" s="7" t="s">
        <v>482</v>
      </c>
      <c r="D196" s="294">
        <f>IF(FUSELAGE_use_side_seatrails,(SEAT_w_armrest_YC*(FUSELAGE_nseats_left_YC-1)+SEAT_w_cushion_YC*FUSELAGE_nseats_left_YC)/(FUSELAGE_nrails_left-1),(SEAT_w_armrest_YC*(FUSELAGE_nseats_left_YC-1)+SEAT_w_cushion_YC*FUSELAGE_nseats_left_YC-FUSELAGE_dseat_seat_rail*2)/(FUSELAGE_nrails_left-1))</f>
        <v>0.66</v>
      </c>
      <c r="E196" s="30" t="s">
        <v>266</v>
      </c>
      <c r="F196" s="16"/>
      <c r="G196" s="8"/>
      <c r="H196" s="16"/>
      <c r="I196" s="16"/>
      <c r="J196" s="100"/>
      <c r="K196" s="16"/>
      <c r="L196" s="16"/>
      <c r="M196" s="16"/>
      <c r="N196" s="16"/>
      <c r="O196" s="15"/>
      <c r="Q196" s="8"/>
      <c r="Z196" s="37">
        <v>0.5</v>
      </c>
    </row>
    <row r="197" spans="1:26" s="37" customFormat="1" ht="14.25" customHeight="1" outlineLevel="1">
      <c r="A197" s="64"/>
      <c r="B197" s="61"/>
      <c r="C197" s="7"/>
      <c r="D197" s="8"/>
      <c r="E197" s="64"/>
      <c r="F197" s="16"/>
      <c r="G197" s="8"/>
      <c r="H197" s="16"/>
      <c r="I197" s="16"/>
      <c r="J197" s="100"/>
      <c r="K197" s="16"/>
      <c r="L197" s="16"/>
      <c r="M197" s="16"/>
      <c r="N197" s="16"/>
      <c r="O197" s="15"/>
      <c r="Q197" s="8"/>
    </row>
    <row r="198" spans="1:26" s="37" customFormat="1" ht="14.25" customHeight="1" outlineLevel="1">
      <c r="A198" s="64"/>
      <c r="B198" s="61" t="s">
        <v>475</v>
      </c>
      <c r="C198" s="7" t="s">
        <v>483</v>
      </c>
      <c r="D198" s="294">
        <f>(2-FUSELAGE_n_aisles)*FUSELAGE_w_aisle_YC/2+FUSELAGE_dseat_seat_rail</f>
        <v>0.46</v>
      </c>
      <c r="E198" s="30" t="s">
        <v>266</v>
      </c>
      <c r="F198" s="16"/>
      <c r="G198" s="8"/>
      <c r="H198" s="16"/>
      <c r="I198" s="16"/>
      <c r="J198" s="100"/>
      <c r="K198" s="16"/>
      <c r="L198" s="16"/>
      <c r="M198" s="16"/>
      <c r="N198" s="16"/>
      <c r="O198" s="15"/>
      <c r="Q198" s="8"/>
      <c r="Z198" s="37">
        <v>0</v>
      </c>
    </row>
    <row r="199" spans="1:26" s="37" customFormat="1" ht="14.25" customHeight="1" outlineLevel="1">
      <c r="A199" s="64"/>
      <c r="B199" s="61"/>
      <c r="C199" s="7"/>
      <c r="D199" s="8"/>
      <c r="E199" s="64"/>
      <c r="F199" s="16"/>
      <c r="G199" s="8"/>
      <c r="H199" s="16"/>
      <c r="I199" s="16"/>
      <c r="J199" s="100"/>
      <c r="K199" s="16"/>
      <c r="L199" s="16"/>
      <c r="M199" s="16"/>
      <c r="N199" s="16"/>
      <c r="O199" s="15"/>
      <c r="Q199" s="8"/>
    </row>
    <row r="200" spans="1:26" s="37" customFormat="1" ht="14.25" customHeight="1" outlineLevel="1">
      <c r="A200" s="64"/>
      <c r="B200" s="61" t="s">
        <v>476</v>
      </c>
      <c r="C200" s="7" t="s">
        <v>484</v>
      </c>
      <c r="D200" s="294">
        <f>(2-FUSELAGE_n_aisles)*FUSELAGE_w_aisle_YC/2+FUSELAGE_dseat_seat_rail</f>
        <v>0.46</v>
      </c>
      <c r="E200" s="30" t="s">
        <v>266</v>
      </c>
      <c r="F200" s="16"/>
      <c r="G200" s="8"/>
      <c r="H200" s="16"/>
      <c r="I200" s="16"/>
      <c r="J200" s="100"/>
      <c r="K200" s="16"/>
      <c r="L200" s="16"/>
      <c r="M200" s="16"/>
      <c r="N200" s="16"/>
      <c r="O200" s="15"/>
      <c r="Q200" s="8"/>
      <c r="Z200" s="37">
        <v>0.1</v>
      </c>
    </row>
    <row r="201" spans="1:26" s="37" customFormat="1" ht="14.25" customHeight="1" outlineLevel="1" thickBot="1">
      <c r="A201" s="64"/>
      <c r="B201" s="96"/>
      <c r="C201" s="68"/>
      <c r="D201" s="68"/>
      <c r="E201" s="69"/>
      <c r="F201" s="16"/>
      <c r="G201" s="8"/>
      <c r="H201" s="16"/>
      <c r="I201" s="16"/>
      <c r="J201" s="100"/>
      <c r="K201" s="16"/>
      <c r="L201" s="16"/>
      <c r="M201" s="16"/>
      <c r="N201" s="16"/>
      <c r="O201" s="15"/>
      <c r="Q201" s="8"/>
    </row>
    <row r="202" spans="1:26" s="37" customFormat="1" ht="14.25" customHeight="1" outlineLevel="1">
      <c r="A202" s="8"/>
      <c r="F202" s="16"/>
      <c r="G202" s="8"/>
      <c r="H202" s="16"/>
      <c r="I202" s="16"/>
      <c r="J202" s="100"/>
      <c r="K202" s="16"/>
      <c r="L202" s="16"/>
      <c r="M202" s="16"/>
      <c r="N202" s="16"/>
      <c r="O202" s="15"/>
      <c r="Q202" s="8"/>
    </row>
    <row r="203" spans="1:26" s="37" customFormat="1" ht="14.25" customHeight="1" outlineLevel="1">
      <c r="A203" s="8"/>
      <c r="F203" s="16"/>
      <c r="G203" s="8"/>
      <c r="H203" s="16"/>
      <c r="I203" s="16"/>
      <c r="J203" s="100"/>
      <c r="K203" s="16"/>
      <c r="L203" s="16"/>
      <c r="M203" s="16"/>
      <c r="N203" s="16"/>
      <c r="O203" s="15"/>
      <c r="Q203" s="8"/>
    </row>
    <row r="204" spans="1:26" s="37" customFormat="1" ht="14.25" customHeight="1" outlineLevel="1">
      <c r="A204" s="8"/>
      <c r="F204" s="16"/>
      <c r="G204" s="8"/>
      <c r="H204" s="16"/>
      <c r="I204" s="16"/>
      <c r="J204" s="100"/>
      <c r="K204" s="16"/>
      <c r="L204" s="16"/>
      <c r="M204" s="16"/>
      <c r="N204" s="16"/>
      <c r="O204" s="15"/>
      <c r="Q204" s="8"/>
    </row>
    <row r="205" spans="1:26" s="37" customFormat="1" ht="14.25" customHeight="1" outlineLevel="1">
      <c r="A205" s="8"/>
      <c r="B205" s="16"/>
      <c r="C205" s="7"/>
      <c r="D205" s="8"/>
      <c r="E205" s="8"/>
      <c r="F205" s="16"/>
      <c r="G205" s="8"/>
      <c r="H205" s="16"/>
      <c r="I205" s="16"/>
      <c r="J205" s="100"/>
      <c r="K205" s="16"/>
      <c r="L205" s="16"/>
      <c r="M205" s="16"/>
      <c r="N205" s="16"/>
      <c r="O205" s="15"/>
      <c r="Q205" s="8"/>
    </row>
    <row r="206" spans="1:26" s="37" customFormat="1" ht="14.25" customHeight="1" outlineLevel="1" thickBot="1">
      <c r="A206" s="8"/>
      <c r="B206" s="16"/>
      <c r="C206" s="7"/>
      <c r="D206" s="8"/>
      <c r="E206" s="8"/>
      <c r="F206" s="16"/>
      <c r="G206" s="8"/>
      <c r="H206" s="16"/>
      <c r="I206" s="16"/>
      <c r="J206" s="100"/>
      <c r="K206" s="16"/>
      <c r="L206" s="16"/>
      <c r="M206" s="16"/>
      <c r="N206" s="16"/>
      <c r="O206" s="15"/>
      <c r="Q206" s="8"/>
    </row>
    <row r="207" spans="1:26" s="37" customFormat="1" ht="14.25" customHeight="1" outlineLevel="1">
      <c r="A207" s="8"/>
      <c r="B207" s="86" t="s">
        <v>47</v>
      </c>
      <c r="C207" s="87"/>
      <c r="D207" s="57"/>
      <c r="E207" s="57"/>
      <c r="F207" s="60"/>
      <c r="G207" s="57"/>
      <c r="H207" s="60"/>
      <c r="I207" s="60"/>
      <c r="J207" s="101"/>
      <c r="K207" s="60"/>
      <c r="L207" s="102"/>
      <c r="M207" s="16"/>
      <c r="N207" s="16"/>
      <c r="O207" s="15"/>
      <c r="Q207" s="8"/>
    </row>
    <row r="208" spans="1:26" s="37" customFormat="1" ht="14.25" customHeight="1" outlineLevel="1">
      <c r="A208" s="8"/>
      <c r="B208" s="61"/>
      <c r="C208" s="7"/>
      <c r="D208" s="8"/>
      <c r="E208" s="8"/>
      <c r="F208" s="16"/>
      <c r="G208" s="8"/>
      <c r="H208" s="16"/>
      <c r="I208" s="16"/>
      <c r="J208" s="100"/>
      <c r="K208" s="16"/>
      <c r="L208" s="62"/>
      <c r="M208" s="16"/>
      <c r="N208" s="16"/>
      <c r="O208" s="15"/>
      <c r="Q208" s="8"/>
    </row>
    <row r="209" spans="1:30" s="37" customFormat="1" ht="14.25" customHeight="1" outlineLevel="1">
      <c r="A209" s="8"/>
      <c r="B209" s="61" t="s">
        <v>43</v>
      </c>
      <c r="C209" s="7" t="s">
        <v>44</v>
      </c>
      <c r="D209" s="25">
        <f>('Data Fuselage'!$C$13-(FUSELAGE_n_SA_FC)*(SEAT_w_cushion_FC+SEAT_w_armrest_FC)-(1-FUSELAGE_n_aisles)*SEAT_w_armrest_FC)/FUSELAGE_n_aisles</f>
        <v>0.59999999999999964</v>
      </c>
      <c r="E209" s="248" t="s">
        <v>266</v>
      </c>
      <c r="F209" s="16"/>
      <c r="G209" s="7" t="s">
        <v>618</v>
      </c>
      <c r="H209" s="16"/>
      <c r="I209" s="322" t="str">
        <f>IF(FUSELAGE_w_aisle_FC&gt;=FUSELAGE_w_aisle_YC,"First class aisle width is equal or bigger than economy class", "First class aisle width is smaller than economy class!")</f>
        <v>First class aisle width is equal or bigger than economy class</v>
      </c>
      <c r="J209" s="323"/>
      <c r="K209" s="16"/>
      <c r="L209" s="62"/>
      <c r="M209" s="16"/>
      <c r="N209" s="16"/>
      <c r="O209" s="15"/>
      <c r="Q209" s="8"/>
      <c r="AA209" s="36"/>
    </row>
    <row r="210" spans="1:30" s="37" customFormat="1" ht="14.25" hidden="1" customHeight="1" outlineLevel="1">
      <c r="A210" s="8"/>
      <c r="B210" s="61"/>
      <c r="C210" s="7"/>
      <c r="D210" s="8"/>
      <c r="E210" s="8"/>
      <c r="F210" s="16"/>
      <c r="G210" s="8"/>
      <c r="H210" s="16"/>
      <c r="I210" s="16"/>
      <c r="J210" s="100"/>
      <c r="K210" s="16"/>
      <c r="L210" s="62"/>
      <c r="M210" s="16"/>
      <c r="N210" s="16"/>
      <c r="O210" s="15"/>
      <c r="Q210" s="8"/>
    </row>
    <row r="211" spans="1:30" s="37" customFormat="1" ht="14.25" hidden="1" customHeight="1" outlineLevel="1">
      <c r="A211" s="8"/>
      <c r="B211" s="61" t="s">
        <v>46</v>
      </c>
      <c r="C211" s="7" t="s">
        <v>45</v>
      </c>
      <c r="D211" s="25">
        <f>('Data Fuselage'!$C$13-(FUSELAGE_n_SA_BC)*(SEAT_w_cushion_BC+SEAT_w_armrest_BC)-(1-FUSELAGE_n_aisles)*SEAT_w_armrest_BC)/FUSELAGE_n_aisles</f>
        <v>-0.19000000000000039</v>
      </c>
      <c r="E211" s="248" t="s">
        <v>266</v>
      </c>
      <c r="F211" s="16"/>
      <c r="G211" s="7" t="s">
        <v>618</v>
      </c>
      <c r="H211" s="16"/>
      <c r="I211" s="322" t="str">
        <f>IF(FUSELAGE_w_aisle_BC&gt;=FUSELAGE_w_aisle_YC,"Business class aisle width is bigger than economy class", "Business class aisle width is smaller than economy class!")</f>
        <v>Business class aisle width is smaller than economy class!</v>
      </c>
      <c r="J211" s="323"/>
      <c r="K211" s="16"/>
      <c r="L211" s="62"/>
      <c r="M211" s="16"/>
      <c r="N211" s="16"/>
      <c r="O211" s="15"/>
      <c r="Q211" s="8"/>
    </row>
    <row r="212" spans="1:30" s="37" customFormat="1" ht="14.25" customHeight="1" outlineLevel="1" thickBot="1">
      <c r="A212" s="8"/>
      <c r="B212" s="65"/>
      <c r="C212" s="90"/>
      <c r="D212" s="67"/>
      <c r="E212" s="67"/>
      <c r="F212" s="66"/>
      <c r="G212" s="67"/>
      <c r="H212" s="66"/>
      <c r="I212" s="66"/>
      <c r="J212" s="103"/>
      <c r="K212" s="66"/>
      <c r="L212" s="104"/>
      <c r="M212" s="16"/>
      <c r="N212" s="16"/>
      <c r="O212" s="15"/>
      <c r="Q212" s="8"/>
    </row>
    <row r="213" spans="1:30" s="37" customFormat="1" ht="14.25" customHeight="1" outlineLevel="1">
      <c r="A213" s="8"/>
      <c r="B213" s="16"/>
      <c r="C213" s="7"/>
      <c r="D213" s="8"/>
      <c r="E213" s="8"/>
      <c r="F213" s="16"/>
      <c r="G213" s="8"/>
      <c r="H213" s="16"/>
      <c r="I213" s="16"/>
      <c r="J213" s="100"/>
      <c r="K213" s="16"/>
      <c r="L213" s="16"/>
      <c r="M213" s="16"/>
      <c r="N213" s="16"/>
      <c r="O213" s="15"/>
      <c r="Q213" s="8"/>
      <c r="AA213" s="36"/>
    </row>
    <row r="214" spans="1:30" s="48" customFormat="1" ht="14.25" customHeight="1">
      <c r="A214" s="44" t="s">
        <v>330</v>
      </c>
      <c r="B214" s="13" t="s">
        <v>69</v>
      </c>
      <c r="C214" s="44"/>
      <c r="D214" s="49"/>
      <c r="E214" s="45"/>
      <c r="F214" s="45"/>
      <c r="G214" s="44"/>
      <c r="H214" s="45"/>
      <c r="I214" s="45"/>
      <c r="J214" s="80"/>
      <c r="M214" s="45"/>
      <c r="N214" s="45"/>
      <c r="O214" s="47"/>
      <c r="Q214" s="44"/>
    </row>
    <row r="215" spans="1:30" s="37" customFormat="1" ht="14.25" customHeight="1" outlineLevel="1" thickBot="1">
      <c r="A215" s="8"/>
      <c r="B215" s="66"/>
      <c r="C215" s="90"/>
      <c r="D215" s="67"/>
      <c r="E215" s="67"/>
      <c r="F215" s="66"/>
      <c r="G215" s="67"/>
      <c r="H215" s="66"/>
      <c r="I215" s="66"/>
      <c r="J215" s="103"/>
      <c r="K215" s="66"/>
      <c r="L215" s="66"/>
      <c r="M215" s="16"/>
      <c r="N215" s="16"/>
      <c r="O215" s="15"/>
      <c r="Q215" s="8"/>
      <c r="AA215" s="36"/>
    </row>
    <row r="216" spans="1:30" s="37" customFormat="1" ht="14.25" customHeight="1" outlineLevel="1">
      <c r="A216" s="64"/>
      <c r="B216" s="86" t="s">
        <v>68</v>
      </c>
      <c r="C216" s="87"/>
      <c r="D216" s="57"/>
      <c r="E216" s="57"/>
      <c r="F216" s="60"/>
      <c r="G216" s="57"/>
      <c r="H216" s="60"/>
      <c r="I216" s="60"/>
      <c r="J216" s="101"/>
      <c r="K216" s="60"/>
      <c r="L216" s="102"/>
      <c r="M216" s="16"/>
      <c r="N216" s="16"/>
      <c r="O216" s="15"/>
      <c r="Q216" s="8"/>
    </row>
    <row r="217" spans="1:30" s="37" customFormat="1" ht="14.25" customHeight="1" outlineLevel="1">
      <c r="A217" s="64"/>
      <c r="B217" s="61"/>
      <c r="C217" s="7"/>
      <c r="D217" s="8"/>
      <c r="E217" s="21"/>
      <c r="F217" s="16"/>
      <c r="G217" s="8"/>
      <c r="H217" s="16"/>
      <c r="I217" s="16"/>
      <c r="J217" s="100"/>
      <c r="K217" s="16"/>
      <c r="L217" s="62"/>
      <c r="M217" s="16"/>
      <c r="N217" s="16"/>
      <c r="O217" s="15"/>
      <c r="Q217" s="8"/>
      <c r="AA217" s="36"/>
    </row>
    <row r="218" spans="1:30" s="37" customFormat="1" ht="14.25" customHeight="1" outlineLevel="1">
      <c r="A218" s="64"/>
      <c r="B218" s="61" t="s">
        <v>667</v>
      </c>
      <c r="C218" s="7" t="s">
        <v>682</v>
      </c>
      <c r="D218" s="170">
        <v>1</v>
      </c>
      <c r="E218" s="21" t="s">
        <v>395</v>
      </c>
      <c r="F218" s="16"/>
      <c r="G218" s="7" t="s">
        <v>617</v>
      </c>
      <c r="H218" s="16"/>
      <c r="I218" s="16" t="s">
        <v>778</v>
      </c>
      <c r="J218" s="7" t="s">
        <v>517</v>
      </c>
      <c r="K218" s="26">
        <f>ROUND(FUSELAGE_n_pax_FC/FUSELAGE_lavatory_recommandation_FC,0)</f>
        <v>0</v>
      </c>
      <c r="L218" s="62"/>
      <c r="M218" s="16"/>
      <c r="N218" s="16"/>
      <c r="O218" s="15"/>
      <c r="Q218" s="8"/>
      <c r="Z218" s="75"/>
      <c r="AA218" s="154" t="s">
        <v>685</v>
      </c>
      <c r="AB218" s="154" t="s">
        <v>686</v>
      </c>
      <c r="AC218" s="169" t="s">
        <v>687</v>
      </c>
      <c r="AD218" s="52" t="s">
        <v>688</v>
      </c>
    </row>
    <row r="219" spans="1:30" s="37" customFormat="1" ht="14.25" hidden="1" customHeight="1" outlineLevel="1">
      <c r="A219" s="64"/>
      <c r="B219" s="61"/>
      <c r="C219" s="7"/>
      <c r="D219" s="8"/>
      <c r="E219" s="21"/>
      <c r="F219" s="16"/>
      <c r="G219" s="8"/>
      <c r="H219" s="16"/>
      <c r="I219" s="16"/>
      <c r="J219" s="100"/>
      <c r="K219" s="16"/>
      <c r="L219" s="62"/>
      <c r="M219" s="16"/>
      <c r="N219" s="16"/>
      <c r="O219" s="15"/>
      <c r="Q219" s="8"/>
      <c r="Z219" s="76" t="s">
        <v>261</v>
      </c>
      <c r="AA219" s="153">
        <f>IF(REQUIREMENT_R/1852&lt;=3000,AB219,IF(REQUIREMENT_R/1852&lt;=5500,AC219,AD219))</f>
        <v>14</v>
      </c>
      <c r="AB219" s="152">
        <v>14</v>
      </c>
      <c r="AC219" s="149">
        <v>14</v>
      </c>
      <c r="AD219" s="149">
        <v>14</v>
      </c>
    </row>
    <row r="220" spans="1:30" s="37" customFormat="1" ht="14.25" hidden="1" customHeight="1" outlineLevel="1">
      <c r="A220" s="64"/>
      <c r="B220" s="61" t="s">
        <v>629</v>
      </c>
      <c r="C220" s="7" t="s">
        <v>683</v>
      </c>
      <c r="D220" s="170">
        <v>0</v>
      </c>
      <c r="E220" s="21" t="s">
        <v>395</v>
      </c>
      <c r="F220" s="16"/>
      <c r="G220" s="7" t="s">
        <v>617</v>
      </c>
      <c r="H220" s="16"/>
      <c r="I220" s="16" t="s">
        <v>539</v>
      </c>
      <c r="J220" s="7" t="s">
        <v>409</v>
      </c>
      <c r="K220" s="26">
        <f>ROUND(FUSELAGE_n_pax_BC/FUSELAGE_lavatory_recommandation_BC,0)</f>
        <v>0</v>
      </c>
      <c r="L220" s="62"/>
      <c r="M220" s="16"/>
      <c r="N220" s="16"/>
      <c r="O220" s="15"/>
      <c r="Q220" s="8"/>
      <c r="Z220" s="76" t="s">
        <v>262</v>
      </c>
      <c r="AA220" s="153">
        <f>IF(REQUIREMENT_R/1852&lt;=3000,AB220,IF(REQUIREMENT_R/1852&lt;=5500,AC220,AD220))</f>
        <v>25</v>
      </c>
      <c r="AB220" s="152">
        <v>25</v>
      </c>
      <c r="AC220" s="149">
        <v>25</v>
      </c>
      <c r="AD220" s="149">
        <v>25</v>
      </c>
    </row>
    <row r="221" spans="1:30" s="37" customFormat="1" ht="14.25" customHeight="1" outlineLevel="1">
      <c r="A221" s="64"/>
      <c r="B221" s="61"/>
      <c r="C221" s="7"/>
      <c r="D221" s="8"/>
      <c r="E221" s="21"/>
      <c r="F221" s="16"/>
      <c r="G221" s="8"/>
      <c r="H221" s="16"/>
      <c r="I221" s="16"/>
      <c r="J221" s="100"/>
      <c r="K221" s="16"/>
      <c r="L221" s="62"/>
      <c r="M221" s="16"/>
      <c r="N221" s="16"/>
      <c r="O221" s="15"/>
      <c r="Q221" s="8"/>
      <c r="Z221" s="155" t="s">
        <v>612</v>
      </c>
      <c r="AA221" s="153">
        <f>IF(REQUIREMENT_R/1852&lt;=3000,AB221,IF(REQUIREMENT_R/1852&lt;=5500,AC221,AD221))</f>
        <v>60</v>
      </c>
      <c r="AB221" s="152">
        <v>60</v>
      </c>
      <c r="AC221" s="149">
        <v>45</v>
      </c>
      <c r="AD221" s="149">
        <v>45</v>
      </c>
    </row>
    <row r="222" spans="1:30" s="37" customFormat="1" ht="14.25" customHeight="1" outlineLevel="1">
      <c r="A222" s="8"/>
      <c r="B222" s="61" t="s">
        <v>666</v>
      </c>
      <c r="C222" s="7" t="s">
        <v>684</v>
      </c>
      <c r="D222" s="170">
        <v>1</v>
      </c>
      <c r="E222" s="21" t="s">
        <v>395</v>
      </c>
      <c r="F222" s="16"/>
      <c r="G222" s="7" t="s">
        <v>617</v>
      </c>
      <c r="H222" s="16"/>
      <c r="I222" s="16" t="s">
        <v>540</v>
      </c>
      <c r="J222" s="7" t="s">
        <v>410</v>
      </c>
      <c r="K222" s="26">
        <f>ROUND(FUSELAGE_n_pax_YC/FUSELAGE_lavatory_recommandation_YC,0)</f>
        <v>1</v>
      </c>
      <c r="L222" s="62"/>
      <c r="M222" s="16"/>
      <c r="N222" s="16"/>
      <c r="O222" s="15"/>
      <c r="Q222" s="8"/>
    </row>
    <row r="223" spans="1:30" s="37" customFormat="1" ht="14.25" customHeight="1" outlineLevel="1">
      <c r="A223" s="8"/>
      <c r="B223" s="61"/>
      <c r="C223" s="7"/>
      <c r="D223" s="8"/>
      <c r="E223" s="18"/>
      <c r="F223" s="16"/>
      <c r="G223" s="8"/>
      <c r="H223" s="16"/>
      <c r="I223" s="16"/>
      <c r="J223" s="100"/>
      <c r="K223" s="16"/>
      <c r="L223" s="62"/>
      <c r="M223" s="16"/>
      <c r="N223" s="16"/>
      <c r="O223" s="15"/>
      <c r="Q223" s="8"/>
    </row>
    <row r="224" spans="1:30" s="37" customFormat="1" ht="14.25" customHeight="1" outlineLevel="1">
      <c r="A224" s="8"/>
      <c r="B224" s="61" t="s">
        <v>70</v>
      </c>
      <c r="C224" s="7" t="s">
        <v>544</v>
      </c>
      <c r="D224" s="170">
        <v>1</v>
      </c>
      <c r="E224" s="21" t="s">
        <v>266</v>
      </c>
      <c r="F224" s="16"/>
      <c r="G224" s="8"/>
      <c r="H224" s="16"/>
      <c r="I224" s="16"/>
      <c r="J224" s="100"/>
      <c r="K224" s="16"/>
      <c r="L224" s="62"/>
      <c r="M224" s="16"/>
      <c r="N224" s="16"/>
      <c r="O224" s="15"/>
      <c r="Q224" s="8"/>
    </row>
    <row r="225" spans="1:17" s="37" customFormat="1" ht="14.25" customHeight="1" outlineLevel="1">
      <c r="A225" s="8"/>
      <c r="B225" s="61"/>
      <c r="C225" s="7"/>
      <c r="D225" s="8"/>
      <c r="E225" s="21"/>
      <c r="F225" s="16"/>
      <c r="G225" s="8"/>
      <c r="H225" s="16"/>
      <c r="I225" s="16"/>
      <c r="J225" s="100"/>
      <c r="K225" s="16"/>
      <c r="L225" s="62"/>
      <c r="M225" s="16"/>
      <c r="N225" s="16"/>
      <c r="O225" s="15"/>
      <c r="Q225" s="8"/>
    </row>
    <row r="226" spans="1:17" s="37" customFormat="1" ht="14.25" customHeight="1" outlineLevel="1">
      <c r="A226" s="8"/>
      <c r="B226" s="61" t="s">
        <v>339</v>
      </c>
      <c r="C226" s="7" t="s">
        <v>340</v>
      </c>
      <c r="D226" s="170">
        <v>1.2</v>
      </c>
      <c r="E226" s="21" t="s">
        <v>266</v>
      </c>
      <c r="F226" s="16"/>
      <c r="G226" s="8"/>
      <c r="H226" s="16"/>
      <c r="I226" s="16"/>
      <c r="J226" s="100"/>
      <c r="K226" s="16"/>
      <c r="L226" s="62"/>
      <c r="M226" s="16"/>
      <c r="N226" s="16"/>
      <c r="O226" s="15"/>
      <c r="Q226" s="8"/>
    </row>
    <row r="227" spans="1:17" s="37" customFormat="1" ht="14.25" customHeight="1" outlineLevel="1" thickBot="1">
      <c r="A227" s="8"/>
      <c r="B227" s="65"/>
      <c r="C227" s="90"/>
      <c r="D227" s="98"/>
      <c r="E227" s="32"/>
      <c r="F227" s="66"/>
      <c r="G227" s="67"/>
      <c r="H227" s="66"/>
      <c r="I227" s="66"/>
      <c r="J227" s="103"/>
      <c r="K227" s="66"/>
      <c r="L227" s="104"/>
      <c r="M227" s="16"/>
      <c r="N227" s="16"/>
      <c r="O227" s="15"/>
      <c r="Q227" s="8"/>
    </row>
    <row r="228" spans="1:17" s="37" customFormat="1" ht="14.25" customHeight="1" outlineLevel="1" thickBot="1">
      <c r="A228" s="8"/>
      <c r="B228" s="108"/>
      <c r="C228" s="109"/>
      <c r="D228" s="111"/>
      <c r="E228" s="182"/>
      <c r="F228" s="108"/>
      <c r="G228" s="110"/>
      <c r="H228" s="108"/>
      <c r="I228" s="108"/>
      <c r="J228" s="112"/>
      <c r="K228" s="108"/>
      <c r="L228" s="108"/>
      <c r="M228" s="16"/>
      <c r="N228" s="16"/>
      <c r="O228" s="15"/>
      <c r="Q228" s="8"/>
    </row>
    <row r="229" spans="1:17" s="37" customFormat="1" ht="14.25" customHeight="1" outlineLevel="1">
      <c r="A229" s="8"/>
      <c r="B229" s="86" t="s">
        <v>75</v>
      </c>
      <c r="C229" s="87"/>
      <c r="D229" s="58"/>
      <c r="E229" s="29"/>
      <c r="F229" s="60"/>
      <c r="G229" s="57"/>
      <c r="H229" s="60"/>
      <c r="I229" s="60"/>
      <c r="J229" s="101"/>
      <c r="K229" s="60"/>
      <c r="L229" s="102"/>
      <c r="M229" s="16"/>
      <c r="N229" s="16"/>
      <c r="O229" s="15"/>
      <c r="Q229" s="8"/>
    </row>
    <row r="230" spans="1:17" s="37" customFormat="1" ht="14.25" customHeight="1" outlineLevel="1">
      <c r="A230" s="8"/>
      <c r="B230" s="61"/>
      <c r="C230" s="7"/>
      <c r="D230" s="8"/>
      <c r="E230" s="18"/>
      <c r="F230" s="16"/>
      <c r="G230" s="8"/>
      <c r="H230" s="16"/>
      <c r="I230" s="16"/>
      <c r="J230" s="100"/>
      <c r="K230" s="16"/>
      <c r="L230" s="62"/>
      <c r="M230" s="16"/>
      <c r="N230" s="16"/>
      <c r="O230" s="15"/>
      <c r="Q230" s="8"/>
    </row>
    <row r="231" spans="1:17" s="37" customFormat="1" ht="14.25" customHeight="1" outlineLevel="1">
      <c r="A231" s="8"/>
      <c r="B231" s="61" t="s">
        <v>697</v>
      </c>
      <c r="C231" s="7" t="s">
        <v>77</v>
      </c>
      <c r="D231" s="170">
        <v>0.7</v>
      </c>
      <c r="E231" s="21" t="s">
        <v>266</v>
      </c>
      <c r="F231" s="16"/>
      <c r="G231" s="8"/>
      <c r="H231" s="16"/>
      <c r="I231" s="16"/>
      <c r="J231" s="100"/>
      <c r="K231" s="16"/>
      <c r="L231" s="62"/>
      <c r="M231" s="16"/>
      <c r="N231" s="16"/>
      <c r="O231" s="15"/>
      <c r="Q231" s="8"/>
    </row>
    <row r="232" spans="1:17" s="37" customFormat="1" ht="14.25" customHeight="1" outlineLevel="1">
      <c r="A232" s="8"/>
      <c r="B232" s="61"/>
      <c r="C232" s="7"/>
      <c r="D232" s="8"/>
      <c r="E232" s="18"/>
      <c r="F232" s="16"/>
      <c r="G232" s="8"/>
      <c r="H232" s="16"/>
      <c r="I232" s="16"/>
      <c r="J232" s="100"/>
      <c r="K232" s="16"/>
      <c r="L232" s="62"/>
      <c r="M232" s="16"/>
      <c r="N232" s="16"/>
      <c r="O232" s="15"/>
      <c r="Q232" s="8"/>
    </row>
    <row r="233" spans="1:17" s="37" customFormat="1" ht="14.25" customHeight="1" outlineLevel="1">
      <c r="A233" s="8"/>
      <c r="B233" s="61" t="s">
        <v>76</v>
      </c>
      <c r="C233" s="7" t="s">
        <v>78</v>
      </c>
      <c r="D233" s="170">
        <v>1</v>
      </c>
      <c r="E233" s="21" t="s">
        <v>266</v>
      </c>
      <c r="F233" s="16"/>
      <c r="G233" s="8"/>
      <c r="H233" s="16"/>
      <c r="I233" s="16" t="s">
        <v>79</v>
      </c>
      <c r="J233" s="7" t="s">
        <v>545</v>
      </c>
      <c r="K233" s="215">
        <f>FUSELAGE_l_galley_FC*FUSELAGE_w_galley_FC</f>
        <v>0.7</v>
      </c>
      <c r="L233" s="30" t="s">
        <v>265</v>
      </c>
      <c r="M233" s="16"/>
      <c r="N233" s="16"/>
      <c r="O233" s="15"/>
      <c r="Q233" s="8"/>
    </row>
    <row r="234" spans="1:17" s="37" customFormat="1" ht="14.25" customHeight="1" outlineLevel="1">
      <c r="A234" s="8"/>
      <c r="B234" s="61"/>
      <c r="C234" s="7"/>
      <c r="D234" s="8"/>
      <c r="E234" s="18"/>
      <c r="F234" s="16"/>
      <c r="G234" s="8"/>
      <c r="H234" s="16"/>
      <c r="I234" s="16"/>
      <c r="J234" s="100"/>
      <c r="K234" s="16"/>
      <c r="L234" s="62"/>
      <c r="M234" s="16"/>
      <c r="N234" s="16"/>
      <c r="O234" s="15"/>
      <c r="Q234" s="8"/>
    </row>
    <row r="235" spans="1:17" s="37" customFormat="1" ht="14.25" customHeight="1" outlineLevel="1">
      <c r="A235" s="8"/>
      <c r="B235" s="61" t="s">
        <v>514</v>
      </c>
      <c r="C235" s="7" t="s">
        <v>348</v>
      </c>
      <c r="D235" s="170">
        <v>0</v>
      </c>
      <c r="E235" s="21" t="s">
        <v>395</v>
      </c>
      <c r="F235" s="16"/>
      <c r="G235" s="8"/>
      <c r="I235" s="16" t="s">
        <v>80</v>
      </c>
      <c r="J235" s="7" t="s">
        <v>81</v>
      </c>
      <c r="K235" s="215">
        <f>FUSELAGE_S_galley_FC*FUSELAGE_n_galley_FC</f>
        <v>0</v>
      </c>
      <c r="L235" s="30" t="s">
        <v>265</v>
      </c>
      <c r="M235" s="16"/>
      <c r="N235" s="16"/>
      <c r="O235" s="15"/>
      <c r="Q235" s="8"/>
    </row>
    <row r="236" spans="1:17" s="37" customFormat="1" ht="14.25" customHeight="1" outlineLevel="1" thickBot="1">
      <c r="A236" s="8"/>
      <c r="B236" s="65"/>
      <c r="C236" s="90"/>
      <c r="D236" s="67"/>
      <c r="E236" s="32"/>
      <c r="F236" s="66"/>
      <c r="G236" s="67"/>
      <c r="H236" s="66"/>
      <c r="I236" s="66"/>
      <c r="J236" s="103"/>
      <c r="K236" s="66"/>
      <c r="L236" s="104"/>
      <c r="M236" s="16"/>
      <c r="N236" s="16"/>
      <c r="O236" s="15"/>
      <c r="Q236" s="8"/>
    </row>
    <row r="237" spans="1:17" s="37" customFormat="1" ht="14.25" customHeight="1" outlineLevel="1" thickBot="1">
      <c r="A237" s="8"/>
      <c r="G237" s="7"/>
      <c r="H237" s="16"/>
      <c r="I237" s="7"/>
      <c r="J237" s="100"/>
      <c r="K237" s="16"/>
      <c r="L237" s="108"/>
      <c r="M237" s="16"/>
      <c r="N237" s="16"/>
      <c r="O237" s="15"/>
      <c r="Q237" s="8"/>
    </row>
    <row r="238" spans="1:17" s="37" customFormat="1" ht="14.25" customHeight="1" outlineLevel="1">
      <c r="A238" s="8"/>
      <c r="B238" s="86" t="s">
        <v>82</v>
      </c>
      <c r="C238" s="87"/>
      <c r="D238" s="58"/>
      <c r="E238" s="29"/>
      <c r="F238" s="60"/>
      <c r="G238" s="57"/>
      <c r="H238" s="60"/>
      <c r="I238" s="60"/>
      <c r="J238" s="101"/>
      <c r="K238" s="60"/>
      <c r="L238" s="102"/>
      <c r="M238" s="16"/>
      <c r="N238" s="16"/>
      <c r="O238" s="15"/>
      <c r="Q238" s="8"/>
    </row>
    <row r="239" spans="1:17" s="37" customFormat="1" ht="14.25" customHeight="1" outlineLevel="1">
      <c r="A239" s="8"/>
      <c r="B239" s="61"/>
      <c r="C239" s="7"/>
      <c r="D239" s="8"/>
      <c r="E239" s="18"/>
      <c r="F239" s="16"/>
      <c r="G239" s="8"/>
      <c r="H239" s="16"/>
      <c r="I239" s="16"/>
      <c r="J239" s="100"/>
      <c r="K239" s="16"/>
      <c r="L239" s="62"/>
      <c r="M239" s="16"/>
      <c r="N239" s="16"/>
      <c r="O239" s="15"/>
      <c r="Q239" s="8"/>
    </row>
    <row r="240" spans="1:17" s="37" customFormat="1" ht="14.25" customHeight="1" outlineLevel="1">
      <c r="A240" s="8"/>
      <c r="B240" s="61" t="s">
        <v>697</v>
      </c>
      <c r="C240" s="7" t="s">
        <v>345</v>
      </c>
      <c r="D240" s="170">
        <v>1</v>
      </c>
      <c r="E240" s="21" t="s">
        <v>266</v>
      </c>
      <c r="F240" s="16"/>
      <c r="G240" s="8"/>
      <c r="H240" s="16"/>
      <c r="I240" s="16"/>
      <c r="J240" s="100"/>
      <c r="K240" s="16"/>
      <c r="L240" s="62"/>
      <c r="M240" s="16"/>
      <c r="N240" s="16"/>
      <c r="O240" s="15"/>
      <c r="Q240" s="8"/>
    </row>
    <row r="241" spans="1:27" s="37" customFormat="1" ht="14.25" customHeight="1" outlineLevel="1">
      <c r="A241" s="8"/>
      <c r="B241" s="61"/>
      <c r="C241" s="7"/>
      <c r="D241" s="8"/>
      <c r="E241" s="18"/>
      <c r="F241" s="16"/>
      <c r="G241" s="8"/>
      <c r="H241" s="16"/>
      <c r="I241" s="16"/>
      <c r="J241" s="100"/>
      <c r="K241" s="16"/>
      <c r="L241" s="62"/>
      <c r="M241" s="16"/>
      <c r="N241" s="16"/>
      <c r="O241" s="15"/>
      <c r="Q241" s="8"/>
    </row>
    <row r="242" spans="1:27" s="37" customFormat="1" ht="14.25" customHeight="1" outlineLevel="1">
      <c r="A242" s="8"/>
      <c r="B242" s="61" t="s">
        <v>76</v>
      </c>
      <c r="C242" s="7" t="s">
        <v>346</v>
      </c>
      <c r="D242" s="170">
        <v>2</v>
      </c>
      <c r="E242" s="21" t="s">
        <v>266</v>
      </c>
      <c r="F242" s="16"/>
      <c r="G242" s="8"/>
      <c r="H242" s="16"/>
      <c r="I242" s="16" t="s">
        <v>79</v>
      </c>
      <c r="J242" s="7" t="s">
        <v>546</v>
      </c>
      <c r="K242" s="215">
        <f>FUSELAGE_l_galley_BC*FUSELAGE_w_galley_BC</f>
        <v>2</v>
      </c>
      <c r="L242" s="30" t="s">
        <v>265</v>
      </c>
      <c r="M242" s="16"/>
      <c r="N242" s="16"/>
      <c r="O242" s="15"/>
      <c r="Q242" s="8"/>
    </row>
    <row r="243" spans="1:27" s="37" customFormat="1" ht="14.25" customHeight="1" outlineLevel="1">
      <c r="A243" s="8"/>
      <c r="B243" s="61"/>
      <c r="C243" s="7"/>
      <c r="D243" s="8"/>
      <c r="E243" s="18"/>
      <c r="F243" s="16"/>
      <c r="G243" s="8"/>
      <c r="H243" s="16"/>
      <c r="I243" s="16"/>
      <c r="J243" s="100"/>
      <c r="K243" s="16"/>
      <c r="L243" s="62"/>
      <c r="M243" s="16"/>
      <c r="N243" s="16"/>
      <c r="O243" s="15"/>
      <c r="Q243" s="8"/>
    </row>
    <row r="244" spans="1:27" s="37" customFormat="1" ht="14.25" customHeight="1" outlineLevel="1">
      <c r="A244" s="8"/>
      <c r="B244" s="61" t="s">
        <v>514</v>
      </c>
      <c r="C244" s="7" t="s">
        <v>347</v>
      </c>
      <c r="D244" s="170">
        <v>0</v>
      </c>
      <c r="E244" s="21" t="s">
        <v>395</v>
      </c>
      <c r="F244" s="16"/>
      <c r="G244" s="8"/>
      <c r="I244" s="16" t="s">
        <v>342</v>
      </c>
      <c r="J244" s="7" t="s">
        <v>349</v>
      </c>
      <c r="K244" s="215">
        <f>FUSELAGE_S_galley_BC*FUSELAGE_n_galley_BC</f>
        <v>0</v>
      </c>
      <c r="L244" s="30" t="s">
        <v>265</v>
      </c>
      <c r="M244" s="16"/>
      <c r="N244" s="16"/>
      <c r="O244" s="15"/>
      <c r="Q244" s="8"/>
    </row>
    <row r="245" spans="1:27" s="37" customFormat="1" ht="14.25" customHeight="1" outlineLevel="1" thickBot="1">
      <c r="A245" s="8"/>
      <c r="B245" s="65"/>
      <c r="C245" s="90"/>
      <c r="D245" s="67"/>
      <c r="E245" s="32"/>
      <c r="F245" s="66"/>
      <c r="G245" s="67"/>
      <c r="H245" s="66"/>
      <c r="I245" s="66"/>
      <c r="J245" s="103"/>
      <c r="K245" s="66"/>
      <c r="L245" s="104"/>
      <c r="M245" s="16"/>
      <c r="N245" s="16"/>
      <c r="O245" s="15"/>
      <c r="Q245" s="8"/>
    </row>
    <row r="246" spans="1:27" s="37" customFormat="1" ht="14.25" customHeight="1" outlineLevel="1" thickBot="1">
      <c r="A246" s="8"/>
      <c r="B246" s="16"/>
      <c r="C246" s="7"/>
      <c r="D246" s="8"/>
      <c r="E246" s="21"/>
      <c r="F246" s="16"/>
      <c r="G246" s="8"/>
      <c r="H246" s="16"/>
      <c r="I246" s="16"/>
      <c r="J246" s="100"/>
      <c r="K246" s="16"/>
      <c r="L246" s="108"/>
      <c r="M246" s="16"/>
      <c r="N246" s="16"/>
      <c r="O246" s="15"/>
      <c r="Q246" s="8"/>
    </row>
    <row r="247" spans="1:27" s="37" customFormat="1" ht="14.25" customHeight="1" outlineLevel="1">
      <c r="A247" s="8"/>
      <c r="B247" s="86" t="s">
        <v>341</v>
      </c>
      <c r="C247" s="87"/>
      <c r="D247" s="58"/>
      <c r="E247" s="29"/>
      <c r="F247" s="60"/>
      <c r="G247" s="57"/>
      <c r="H247" s="60"/>
      <c r="I247" s="60"/>
      <c r="J247" s="101"/>
      <c r="K247" s="60"/>
      <c r="L247" s="102"/>
      <c r="M247" s="16"/>
      <c r="N247" s="16"/>
      <c r="O247" s="15"/>
      <c r="Q247" s="8"/>
    </row>
    <row r="248" spans="1:27" s="37" customFormat="1" ht="14.25" customHeight="1" outlineLevel="1">
      <c r="A248" s="8"/>
      <c r="B248" s="61"/>
      <c r="C248" s="7"/>
      <c r="D248" s="8"/>
      <c r="E248" s="18"/>
      <c r="F248" s="16"/>
      <c r="G248" s="8"/>
      <c r="H248" s="16"/>
      <c r="I248" s="16"/>
      <c r="J248" s="100"/>
      <c r="K248" s="16"/>
      <c r="L248" s="62"/>
      <c r="M248" s="16"/>
      <c r="N248" s="16"/>
      <c r="O248" s="15"/>
      <c r="Q248" s="8"/>
      <c r="Z248" s="149" t="s">
        <v>357</v>
      </c>
      <c r="AA248" s="152" t="s">
        <v>356</v>
      </c>
    </row>
    <row r="249" spans="1:27" s="37" customFormat="1" ht="14.25" customHeight="1" outlineLevel="1">
      <c r="A249" s="8"/>
      <c r="B249" s="61" t="s">
        <v>697</v>
      </c>
      <c r="C249" s="7" t="s">
        <v>351</v>
      </c>
      <c r="D249" s="170">
        <v>0.9</v>
      </c>
      <c r="E249" s="21" t="s">
        <v>266</v>
      </c>
      <c r="F249" s="16"/>
      <c r="G249" s="8"/>
      <c r="H249" s="16"/>
      <c r="I249" s="16"/>
      <c r="J249" s="100"/>
      <c r="K249" s="16"/>
      <c r="L249" s="62"/>
      <c r="M249" s="16"/>
      <c r="N249" s="16"/>
      <c r="O249" s="15"/>
      <c r="Q249" s="8"/>
      <c r="Z249" s="176">
        <v>0</v>
      </c>
      <c r="AA249" s="77">
        <v>16</v>
      </c>
    </row>
    <row r="250" spans="1:27" s="37" customFormat="1" ht="14.25" customHeight="1" outlineLevel="1">
      <c r="A250" s="8"/>
      <c r="B250" s="61"/>
      <c r="C250" s="7"/>
      <c r="D250" s="8"/>
      <c r="E250" s="18"/>
      <c r="F250" s="16"/>
      <c r="G250" s="8"/>
      <c r="H250" s="16"/>
      <c r="I250" s="16"/>
      <c r="J250" s="100"/>
      <c r="K250" s="16"/>
      <c r="L250" s="62"/>
      <c r="M250" s="16"/>
      <c r="N250" s="16"/>
      <c r="O250" s="15"/>
      <c r="Q250" s="8"/>
      <c r="Z250" s="176">
        <v>700</v>
      </c>
      <c r="AA250" s="77">
        <v>23</v>
      </c>
    </row>
    <row r="251" spans="1:27" s="37" customFormat="1" ht="14.25" customHeight="1" outlineLevel="1">
      <c r="A251" s="8"/>
      <c r="B251" s="61" t="s">
        <v>76</v>
      </c>
      <c r="C251" s="7" t="s">
        <v>352</v>
      </c>
      <c r="D251" s="170">
        <v>1.1000000000000001</v>
      </c>
      <c r="E251" s="21" t="s">
        <v>266</v>
      </c>
      <c r="F251" s="16"/>
      <c r="G251" s="8"/>
      <c r="H251" s="16"/>
      <c r="I251" s="16" t="s">
        <v>79</v>
      </c>
      <c r="J251" s="7" t="s">
        <v>547</v>
      </c>
      <c r="K251" s="215">
        <f>FUSELAGE_l_galley_YC*FUSELAGE_w_galley_YC</f>
        <v>0.9900000000000001</v>
      </c>
      <c r="L251" s="30" t="s">
        <v>265</v>
      </c>
      <c r="M251" s="16"/>
      <c r="N251" s="16"/>
      <c r="O251" s="15"/>
      <c r="Q251" s="8"/>
      <c r="Z251" s="176">
        <v>1500</v>
      </c>
      <c r="AA251" s="77">
        <v>32</v>
      </c>
    </row>
    <row r="252" spans="1:27" s="37" customFormat="1" ht="14.25" customHeight="1" outlineLevel="1">
      <c r="A252" s="8"/>
      <c r="B252" s="61"/>
      <c r="C252" s="7"/>
      <c r="D252" s="8"/>
      <c r="E252" s="18"/>
      <c r="F252" s="16"/>
      <c r="G252" s="8"/>
      <c r="H252" s="16"/>
      <c r="I252" s="16"/>
      <c r="J252" s="100"/>
      <c r="K252" s="16"/>
      <c r="L252" s="62"/>
      <c r="M252" s="16"/>
      <c r="N252" s="16"/>
      <c r="O252" s="15"/>
      <c r="Q252" s="8"/>
      <c r="Z252" s="55">
        <v>4000</v>
      </c>
      <c r="AA252" s="53">
        <v>41</v>
      </c>
    </row>
    <row r="253" spans="1:27" s="37" customFormat="1" ht="14.25" customHeight="1" outlineLevel="1">
      <c r="A253" s="8"/>
      <c r="B253" s="61" t="s">
        <v>514</v>
      </c>
      <c r="C253" s="7" t="s">
        <v>343</v>
      </c>
      <c r="D253" s="170">
        <v>2</v>
      </c>
      <c r="E253" s="21" t="s">
        <v>395</v>
      </c>
      <c r="F253" s="16"/>
      <c r="G253" s="8"/>
      <c r="I253" s="16" t="s">
        <v>344</v>
      </c>
      <c r="J253" s="7" t="s">
        <v>350</v>
      </c>
      <c r="K253" s="215">
        <f>FUSELAGE_S_galley_YC*FUSELAGE_n_galley_YC</f>
        <v>1.9800000000000002</v>
      </c>
      <c r="L253" s="30" t="s">
        <v>265</v>
      </c>
      <c r="M253" s="16"/>
      <c r="N253" s="16"/>
      <c r="O253" s="15"/>
      <c r="Q253" s="8"/>
      <c r="Z253" s="37" t="s">
        <v>358</v>
      </c>
    </row>
    <row r="254" spans="1:27" s="37" customFormat="1" ht="14.25" customHeight="1" outlineLevel="1" thickBot="1">
      <c r="A254" s="8"/>
      <c r="B254" s="65"/>
      <c r="C254" s="90"/>
      <c r="D254" s="67"/>
      <c r="E254" s="32"/>
      <c r="F254" s="66"/>
      <c r="G254" s="67"/>
      <c r="H254" s="66"/>
      <c r="I254" s="66"/>
      <c r="J254" s="103"/>
      <c r="K254" s="66"/>
      <c r="L254" s="104"/>
      <c r="M254" s="16"/>
      <c r="N254" s="16"/>
      <c r="O254" s="15"/>
      <c r="Q254" s="8"/>
      <c r="Z254" s="208">
        <f>REQUIREMENT_R/1852</f>
        <v>1349.8920086393089</v>
      </c>
      <c r="AA254" s="149">
        <f>IF(Z254&gt;=Z252,AA252,IF(Z254&gt;=Z251,AA251,IF(Z254&gt;=Z250,AA250,AA249)))</f>
        <v>23</v>
      </c>
    </row>
    <row r="255" spans="1:27" s="37" customFormat="1" ht="14.25" customHeight="1" outlineLevel="1" thickBot="1">
      <c r="A255" s="8"/>
      <c r="B255" s="16"/>
      <c r="C255" s="7"/>
      <c r="D255" s="8"/>
      <c r="E255" s="21"/>
      <c r="F255" s="16"/>
      <c r="G255" s="8"/>
      <c r="H255" s="16"/>
      <c r="I255" s="16"/>
      <c r="J255" s="100"/>
      <c r="K255" s="16"/>
      <c r="L255" s="16"/>
      <c r="M255" s="16"/>
      <c r="N255" s="16"/>
      <c r="O255" s="15"/>
      <c r="Q255" s="8"/>
    </row>
    <row r="256" spans="1:27" s="37" customFormat="1" ht="14.25" customHeight="1" outlineLevel="1">
      <c r="A256" s="8"/>
      <c r="B256" s="86" t="s">
        <v>353</v>
      </c>
      <c r="C256" s="87"/>
      <c r="D256" s="58"/>
      <c r="E256" s="29"/>
      <c r="F256" s="60"/>
      <c r="G256" s="57"/>
      <c r="H256" s="60"/>
      <c r="I256" s="60"/>
      <c r="J256" s="101"/>
      <c r="K256" s="60"/>
      <c r="L256" s="102"/>
      <c r="M256" s="16"/>
      <c r="N256" s="16"/>
      <c r="O256" s="15"/>
      <c r="Q256" s="8"/>
    </row>
    <row r="257" spans="1:28" s="37" customFormat="1" ht="14.25" customHeight="1" outlineLevel="1">
      <c r="A257" s="8"/>
      <c r="B257" s="61"/>
      <c r="C257" s="7"/>
      <c r="D257" s="8"/>
      <c r="E257" s="18"/>
      <c r="F257" s="16"/>
      <c r="G257" s="8"/>
      <c r="H257" s="16"/>
      <c r="I257" s="16"/>
      <c r="J257" s="100"/>
      <c r="K257" s="16"/>
      <c r="L257" s="62"/>
      <c r="M257" s="16"/>
      <c r="N257" s="16"/>
      <c r="O257" s="15"/>
      <c r="Q257" s="8"/>
      <c r="AB257" s="37" t="s">
        <v>513</v>
      </c>
    </row>
    <row r="258" spans="1:28" s="37" customFormat="1" ht="14.25" customHeight="1" outlineLevel="1">
      <c r="A258" s="8"/>
      <c r="B258" s="61" t="s">
        <v>354</v>
      </c>
      <c r="C258" s="7" t="s">
        <v>355</v>
      </c>
      <c r="D258" s="215">
        <f>FUSELAGE_S_galleys_FC+FUSELAGE_S_galleys_BC+FUSELAGE_S_galleys_YC</f>
        <v>1.9800000000000002</v>
      </c>
      <c r="E258" s="21" t="s">
        <v>265</v>
      </c>
      <c r="F258" s="16"/>
      <c r="G258" s="216" t="s">
        <v>383</v>
      </c>
      <c r="H258" s="16"/>
      <c r="I258" s="16" t="s">
        <v>359</v>
      </c>
      <c r="J258" s="7" t="s">
        <v>355</v>
      </c>
      <c r="K258" s="215">
        <f>FUSELAGE_k_galley*FUSELAGE_n_pax/1000+1/2</f>
        <v>2.1100000000000003</v>
      </c>
      <c r="L258" s="30" t="s">
        <v>265</v>
      </c>
      <c r="M258" s="16"/>
      <c r="N258" s="16"/>
      <c r="O258" s="15"/>
      <c r="Q258" s="8"/>
      <c r="AB258" s="37" t="s">
        <v>108</v>
      </c>
    </row>
    <row r="259" spans="1:28" s="37" customFormat="1" ht="14.25" customHeight="1" outlineLevel="1">
      <c r="A259" s="8"/>
      <c r="B259" s="61"/>
      <c r="C259" s="7"/>
      <c r="D259" s="18"/>
      <c r="E259" s="21"/>
      <c r="F259" s="16"/>
      <c r="G259" s="216"/>
      <c r="H259" s="16"/>
      <c r="I259" s="16"/>
      <c r="J259" s="7"/>
      <c r="K259" s="18"/>
      <c r="L259" s="30"/>
      <c r="M259" s="16"/>
      <c r="N259" s="16"/>
      <c r="O259" s="15"/>
      <c r="Q259" s="8"/>
    </row>
    <row r="260" spans="1:28" s="37" customFormat="1" ht="14.25" customHeight="1" outlineLevel="1">
      <c r="A260" s="8"/>
      <c r="B260" s="61"/>
      <c r="C260" s="315" t="str">
        <f>IF(D258&gt;1.1*K258,"Galley surface is too big!",IF(D258&lt;0.9*K258,"Galley surface is too small!","Galley surface is correct"))</f>
        <v>Galley surface is correct</v>
      </c>
      <c r="D260" s="316"/>
      <c r="E260" s="316"/>
      <c r="F260" s="316"/>
      <c r="G260" s="316"/>
      <c r="H260" s="316"/>
      <c r="I260" s="317"/>
      <c r="J260" s="100"/>
      <c r="K260" s="16"/>
      <c r="L260" s="62"/>
      <c r="M260" s="16"/>
      <c r="N260" s="16"/>
      <c r="O260" s="15"/>
      <c r="Q260" s="8"/>
    </row>
    <row r="261" spans="1:28" s="37" customFormat="1" ht="14.25" customHeight="1" outlineLevel="1" thickBot="1">
      <c r="A261" s="8"/>
      <c r="B261" s="65"/>
      <c r="C261" s="90"/>
      <c r="D261" s="67"/>
      <c r="E261" s="98"/>
      <c r="F261" s="66"/>
      <c r="G261" s="67"/>
      <c r="H261" s="66"/>
      <c r="I261" s="66"/>
      <c r="J261" s="103"/>
      <c r="K261" s="66"/>
      <c r="L261" s="104"/>
      <c r="M261" s="16"/>
      <c r="N261" s="16"/>
      <c r="O261" s="15"/>
      <c r="Q261" s="8"/>
      <c r="AA261" s="36"/>
    </row>
    <row r="262" spans="1:28" s="37" customFormat="1" ht="14.25" customHeight="1" outlineLevel="1" thickBot="1">
      <c r="A262" s="8"/>
      <c r="B262" s="66"/>
      <c r="C262" s="90"/>
      <c r="D262" s="67"/>
      <c r="E262" s="98"/>
      <c r="F262" s="66"/>
      <c r="G262" s="67"/>
      <c r="H262" s="66"/>
      <c r="I262" s="66"/>
      <c r="J262" s="103"/>
      <c r="K262" s="66"/>
      <c r="L262" s="66"/>
      <c r="M262" s="16"/>
      <c r="N262" s="16"/>
      <c r="O262" s="15"/>
      <c r="Q262" s="8"/>
    </row>
    <row r="263" spans="1:28" s="37" customFormat="1" ht="14.25" customHeight="1" outlineLevel="1">
      <c r="A263" s="8"/>
      <c r="B263" s="94" t="s">
        <v>518</v>
      </c>
      <c r="C263" s="7"/>
      <c r="D263" s="8"/>
      <c r="E263" s="18"/>
      <c r="F263" s="16"/>
      <c r="G263" s="8"/>
      <c r="H263" s="16"/>
      <c r="I263" s="16"/>
      <c r="J263" s="100"/>
      <c r="K263" s="16"/>
      <c r="L263" s="62"/>
      <c r="M263" s="16"/>
      <c r="N263" s="16"/>
      <c r="O263" s="15"/>
      <c r="Q263" s="8"/>
    </row>
    <row r="264" spans="1:28" s="37" customFormat="1" ht="14.25" customHeight="1" outlineLevel="1">
      <c r="A264" s="8"/>
      <c r="B264" s="61"/>
      <c r="C264" s="7"/>
      <c r="D264" s="8"/>
      <c r="E264" s="18"/>
      <c r="F264" s="16"/>
      <c r="G264" s="8"/>
      <c r="H264" s="16"/>
      <c r="I264" s="16"/>
      <c r="J264" s="100"/>
      <c r="K264" s="16"/>
      <c r="L264" s="62"/>
      <c r="M264" s="16"/>
      <c r="N264" s="16"/>
      <c r="O264" s="15"/>
      <c r="Q264" s="8"/>
    </row>
    <row r="265" spans="1:28" s="37" customFormat="1" ht="14.25" customHeight="1" outlineLevel="1">
      <c r="A265" s="8"/>
      <c r="B265" s="61" t="s">
        <v>659</v>
      </c>
      <c r="C265" s="7" t="s">
        <v>660</v>
      </c>
      <c r="D265" s="83">
        <v>100</v>
      </c>
      <c r="E265" s="71" t="s">
        <v>513</v>
      </c>
      <c r="F265" s="16"/>
      <c r="G265" s="8"/>
      <c r="H265" s="16"/>
      <c r="I265" s="16"/>
      <c r="J265" s="100"/>
      <c r="K265" s="25">
        <f>IF(E265="[cm]",D265/100,IF(E265="[inch]",D265*0.0254))</f>
        <v>1</v>
      </c>
      <c r="L265" s="30" t="s">
        <v>266</v>
      </c>
      <c r="M265" s="16"/>
      <c r="N265" s="16"/>
      <c r="O265" s="15"/>
      <c r="Q265" s="8"/>
      <c r="AA265" s="36"/>
    </row>
    <row r="266" spans="1:28" s="37" customFormat="1" ht="14.25" customHeight="1" outlineLevel="1">
      <c r="A266" s="8"/>
      <c r="B266" s="61"/>
      <c r="C266" s="7"/>
      <c r="D266" s="8"/>
      <c r="F266" s="16"/>
      <c r="G266" s="8"/>
      <c r="H266" s="16"/>
      <c r="I266" s="16"/>
      <c r="J266" s="100"/>
      <c r="K266" s="8"/>
      <c r="L266" s="89"/>
      <c r="M266" s="16"/>
      <c r="N266" s="16"/>
      <c r="O266" s="15"/>
      <c r="Q266" s="8"/>
    </row>
    <row r="267" spans="1:28" s="37" customFormat="1" ht="14.25" hidden="1" customHeight="1" outlineLevel="1">
      <c r="A267" s="8"/>
      <c r="B267" s="61" t="s">
        <v>663</v>
      </c>
      <c r="C267" s="7" t="s">
        <v>661</v>
      </c>
      <c r="D267" s="83">
        <v>34</v>
      </c>
      <c r="E267" s="71" t="s">
        <v>108</v>
      </c>
      <c r="F267" s="16"/>
      <c r="G267" s="8"/>
      <c r="H267" s="16"/>
      <c r="I267" s="16"/>
      <c r="J267" s="100"/>
      <c r="K267" s="25">
        <f>IF(E267="[cm]",D267/100,IF(E267="[inch]",D267*0.0254))</f>
        <v>0.86359999999999992</v>
      </c>
      <c r="L267" s="30" t="s">
        <v>266</v>
      </c>
      <c r="M267" s="16"/>
      <c r="N267" s="16"/>
      <c r="O267" s="15"/>
      <c r="Q267" s="8"/>
      <c r="AA267" s="20"/>
    </row>
    <row r="268" spans="1:28" s="37" customFormat="1" ht="14.25" hidden="1" customHeight="1" outlineLevel="1">
      <c r="A268" s="8"/>
      <c r="B268" s="61"/>
      <c r="C268" s="7"/>
      <c r="D268" s="8"/>
      <c r="F268" s="16"/>
      <c r="G268" s="8"/>
      <c r="H268" s="16"/>
      <c r="I268" s="16"/>
      <c r="J268" s="100"/>
      <c r="K268" s="8"/>
      <c r="L268" s="89"/>
      <c r="M268" s="16"/>
      <c r="N268" s="16"/>
      <c r="O268" s="15"/>
      <c r="Q268" s="8"/>
    </row>
    <row r="269" spans="1:28" s="37" customFormat="1" ht="14.25" customHeight="1" outlineLevel="1">
      <c r="A269" s="8"/>
      <c r="B269" s="61" t="s">
        <v>284</v>
      </c>
      <c r="C269" s="7" t="s">
        <v>662</v>
      </c>
      <c r="D269" s="83">
        <v>80</v>
      </c>
      <c r="E269" s="71" t="s">
        <v>513</v>
      </c>
      <c r="F269" s="16"/>
      <c r="G269" s="8"/>
      <c r="H269" s="16"/>
      <c r="I269" s="16"/>
      <c r="J269" s="100"/>
      <c r="K269" s="25">
        <f>IF(E269="[cm]",D269/100,IF(E269="[inch]",D269*0.0254))</f>
        <v>0.8</v>
      </c>
      <c r="L269" s="30" t="s">
        <v>266</v>
      </c>
      <c r="M269" s="16"/>
      <c r="N269" s="16"/>
      <c r="O269" s="15"/>
      <c r="Q269" s="8"/>
      <c r="AA269" s="20"/>
    </row>
    <row r="270" spans="1:28" s="37" customFormat="1" ht="14.25" customHeight="1" outlineLevel="1" thickBot="1">
      <c r="A270" s="8"/>
      <c r="B270" s="65"/>
      <c r="C270" s="90"/>
      <c r="D270" s="67"/>
      <c r="E270" s="98"/>
      <c r="F270" s="66"/>
      <c r="G270" s="67"/>
      <c r="H270" s="66"/>
      <c r="I270" s="66"/>
      <c r="J270" s="103"/>
      <c r="K270" s="66"/>
      <c r="L270" s="104"/>
      <c r="M270" s="16"/>
      <c r="N270" s="16"/>
      <c r="O270" s="15"/>
      <c r="Q270" s="8"/>
    </row>
    <row r="271" spans="1:28" s="37" customFormat="1" ht="14.25" customHeight="1" outlineLevel="1" thickBot="1">
      <c r="A271" s="8"/>
      <c r="B271" s="108"/>
      <c r="C271" s="109"/>
      <c r="D271" s="110"/>
      <c r="E271" s="111"/>
      <c r="F271" s="108"/>
      <c r="G271" s="110"/>
      <c r="H271" s="108"/>
      <c r="I271" s="108"/>
      <c r="J271" s="112"/>
      <c r="K271" s="108"/>
      <c r="L271" s="108"/>
      <c r="M271" s="16"/>
      <c r="N271" s="16"/>
      <c r="O271" s="15"/>
      <c r="Q271" s="8"/>
    </row>
    <row r="272" spans="1:28" s="37" customFormat="1" ht="14.25" customHeight="1" outlineLevel="1">
      <c r="A272" s="8"/>
      <c r="B272" s="86" t="s">
        <v>767</v>
      </c>
      <c r="C272" s="87"/>
      <c r="D272" s="57"/>
      <c r="E272" s="58"/>
      <c r="F272" s="60"/>
      <c r="G272" s="57"/>
      <c r="H272" s="60"/>
      <c r="I272" s="60"/>
      <c r="J272" s="101"/>
      <c r="K272" s="60"/>
      <c r="L272" s="102"/>
      <c r="M272" s="16"/>
      <c r="N272" s="16"/>
      <c r="O272" s="15"/>
      <c r="Q272" s="8"/>
    </row>
    <row r="273" spans="1:38" s="37" customFormat="1" ht="14.25" customHeight="1" outlineLevel="1">
      <c r="A273" s="8"/>
      <c r="B273" s="61"/>
      <c r="C273" s="7"/>
      <c r="D273" s="8"/>
      <c r="E273" s="18"/>
      <c r="F273" s="16"/>
      <c r="G273" s="8"/>
      <c r="H273" s="16"/>
      <c r="I273" s="16"/>
      <c r="J273" s="100"/>
      <c r="K273" s="16"/>
      <c r="L273" s="62"/>
      <c r="M273" s="16"/>
      <c r="N273" s="16"/>
      <c r="O273" s="15"/>
      <c r="Q273" s="8"/>
    </row>
    <row r="274" spans="1:38" s="37" customFormat="1" ht="14.25" customHeight="1" outlineLevel="1">
      <c r="A274" s="8"/>
      <c r="B274" s="61"/>
      <c r="C274" s="319" t="s">
        <v>208</v>
      </c>
      <c r="D274" s="320"/>
      <c r="E274" s="321"/>
      <c r="F274" s="227"/>
      <c r="G274" s="318"/>
      <c r="H274" s="318"/>
      <c r="I274" s="318"/>
      <c r="J274" s="318"/>
      <c r="K274" s="318"/>
      <c r="L274" s="62"/>
      <c r="M274" s="16"/>
      <c r="N274" s="16"/>
      <c r="O274" s="15"/>
      <c r="Q274" s="8"/>
    </row>
    <row r="275" spans="1:38" s="37" customFormat="1" ht="27" customHeight="1" outlineLevel="1">
      <c r="A275" s="8"/>
      <c r="B275" s="232" t="s">
        <v>200</v>
      </c>
      <c r="C275" s="210" t="s">
        <v>203</v>
      </c>
      <c r="D275" s="72" t="s">
        <v>202</v>
      </c>
      <c r="E275" s="211" t="s">
        <v>201</v>
      </c>
      <c r="F275" s="218" t="s">
        <v>337</v>
      </c>
      <c r="G275" s="231" t="s">
        <v>701</v>
      </c>
      <c r="H275" s="221" t="s">
        <v>206</v>
      </c>
      <c r="I275" s="78"/>
      <c r="J275" s="229"/>
      <c r="K275" s="230"/>
      <c r="L275" s="63"/>
      <c r="M275" s="16"/>
      <c r="O275" s="15"/>
      <c r="Q275" s="8"/>
      <c r="Z275" s="184" t="s">
        <v>610</v>
      </c>
      <c r="AA275" s="184" t="s">
        <v>308</v>
      </c>
      <c r="AC275" s="183" t="s">
        <v>95</v>
      </c>
      <c r="AF275" s="214"/>
      <c r="AG275" s="214"/>
      <c r="AI275" s="149" t="s">
        <v>701</v>
      </c>
      <c r="AJ275" s="149" t="s">
        <v>127</v>
      </c>
      <c r="AK275" s="149" t="s">
        <v>128</v>
      </c>
      <c r="AL275" s="149" t="s">
        <v>390</v>
      </c>
    </row>
    <row r="276" spans="1:38" s="37" customFormat="1" ht="14.25" customHeight="1" outlineLevel="1">
      <c r="A276" s="8"/>
      <c r="B276" s="233" t="str">
        <f t="shared" ref="B276:B307" si="2">IF(AND(C276="None",D276="None",E276="None"),IF(AC276&lt;=FUSELAGE_n_rows_FC+FUSELAGE_n_rows_BC+FUSELAGE_n_rows_YC,AC276,""),"")</f>
        <v/>
      </c>
      <c r="C276" s="268" t="s">
        <v>398</v>
      </c>
      <c r="D276" s="269" t="s">
        <v>508</v>
      </c>
      <c r="E276" s="270" t="s">
        <v>199</v>
      </c>
      <c r="F276" s="219" t="str">
        <f t="shared" ref="F276:F307" si="3">IF(B276=0,"",IF(B276&lt;=FUSELAGE_n_rows_FC,1,IF(B276&lt;=FUSELAGE_n_rows_FC+FUSELAGE_n_rows_BC,2,IF(B276&lt;=FUSELAGE_n_rows_FC+FUSELAGE_n_rows_BC+FUSELAGE_n_rows_YC,3,""))))</f>
        <v/>
      </c>
      <c r="G276" s="276" t="s">
        <v>508</v>
      </c>
      <c r="H276" s="277" t="s">
        <v>465</v>
      </c>
      <c r="I276" s="304" t="s">
        <v>742</v>
      </c>
      <c r="J276" s="7" t="s">
        <v>734</v>
      </c>
      <c r="K276" s="7" t="s">
        <v>743</v>
      </c>
      <c r="L276" s="63"/>
      <c r="M276" s="16"/>
      <c r="O276" s="15"/>
      <c r="Q276" s="8"/>
      <c r="Z276" s="50" t="s">
        <v>508</v>
      </c>
      <c r="AA276" s="50" t="s">
        <v>508</v>
      </c>
      <c r="AC276" s="37">
        <v>1</v>
      </c>
      <c r="AI276" s="149" t="s">
        <v>508</v>
      </c>
      <c r="AJ276" s="149">
        <v>0</v>
      </c>
      <c r="AK276" s="149">
        <v>0</v>
      </c>
      <c r="AL276" s="149">
        <v>0</v>
      </c>
    </row>
    <row r="277" spans="1:38" s="37" customFormat="1" ht="14.25" customHeight="1" outlineLevel="1">
      <c r="A277" s="8"/>
      <c r="B277" s="233">
        <f t="shared" si="2"/>
        <v>1</v>
      </c>
      <c r="C277" s="271" t="s">
        <v>508</v>
      </c>
      <c r="D277" s="272" t="s">
        <v>508</v>
      </c>
      <c r="E277" s="270" t="s">
        <v>508</v>
      </c>
      <c r="F277" s="219">
        <f t="shared" si="3"/>
        <v>1</v>
      </c>
      <c r="G277" s="276" t="s">
        <v>707</v>
      </c>
      <c r="H277" s="277" t="s">
        <v>465</v>
      </c>
      <c r="I277" s="78" t="s">
        <v>735</v>
      </c>
      <c r="J277" s="8">
        <v>110</v>
      </c>
      <c r="K277" s="8" t="s">
        <v>745</v>
      </c>
      <c r="L277" s="63"/>
      <c r="M277" s="16"/>
      <c r="O277" s="15"/>
      <c r="Q277" s="8"/>
      <c r="Z277" s="176" t="s">
        <v>281</v>
      </c>
      <c r="AA277" s="176" t="s">
        <v>281</v>
      </c>
      <c r="AC277" s="37">
        <f>IF(AND(C276="None",D276="None",E276="None"),AC276+1,AC276)</f>
        <v>1</v>
      </c>
      <c r="AI277" s="149" t="s">
        <v>388</v>
      </c>
      <c r="AJ277" s="149">
        <v>42</v>
      </c>
      <c r="AK277" s="149">
        <v>72</v>
      </c>
      <c r="AL277" s="149">
        <v>110</v>
      </c>
    </row>
    <row r="278" spans="1:38" s="37" customFormat="1" ht="14.25" customHeight="1" outlineLevel="1">
      <c r="A278" s="8"/>
      <c r="B278" s="233">
        <f t="shared" si="2"/>
        <v>2</v>
      </c>
      <c r="C278" s="271" t="s">
        <v>508</v>
      </c>
      <c r="D278" s="272" t="s">
        <v>508</v>
      </c>
      <c r="E278" s="270" t="s">
        <v>508</v>
      </c>
      <c r="F278" s="219">
        <f t="shared" si="3"/>
        <v>1</v>
      </c>
      <c r="G278" s="276" t="s">
        <v>508</v>
      </c>
      <c r="H278" s="277" t="s">
        <v>465</v>
      </c>
      <c r="I278" s="78" t="s">
        <v>736</v>
      </c>
      <c r="J278" s="8">
        <v>75</v>
      </c>
      <c r="K278" s="8" t="s">
        <v>749</v>
      </c>
      <c r="L278" s="63"/>
      <c r="M278" s="16"/>
      <c r="O278" s="15"/>
      <c r="Q278" s="8"/>
      <c r="Z278" s="176" t="s">
        <v>282</v>
      </c>
      <c r="AA278" s="176" t="s">
        <v>282</v>
      </c>
      <c r="AC278" s="37">
        <f t="shared" ref="AC278:AC340" si="4">IF(AND(C277="None",D277="None",E277="None"),AC277+1,AC277)</f>
        <v>2</v>
      </c>
      <c r="AI278" s="149" t="s">
        <v>706</v>
      </c>
      <c r="AJ278" s="149">
        <v>32</v>
      </c>
      <c r="AK278" s="149">
        <v>72</v>
      </c>
      <c r="AL278" s="149">
        <v>75</v>
      </c>
    </row>
    <row r="279" spans="1:38" s="37" customFormat="1" ht="14.25" customHeight="1" outlineLevel="1">
      <c r="A279" s="8"/>
      <c r="B279" s="233">
        <f t="shared" si="2"/>
        <v>3</v>
      </c>
      <c r="C279" s="271" t="s">
        <v>508</v>
      </c>
      <c r="D279" s="272" t="s">
        <v>508</v>
      </c>
      <c r="E279" s="270" t="s">
        <v>508</v>
      </c>
      <c r="F279" s="219">
        <f t="shared" si="3"/>
        <v>3</v>
      </c>
      <c r="G279" s="276" t="s">
        <v>508</v>
      </c>
      <c r="H279" s="277" t="s">
        <v>465</v>
      </c>
      <c r="I279" s="78" t="s">
        <v>737</v>
      </c>
      <c r="J279" s="8">
        <v>55</v>
      </c>
      <c r="K279" s="8" t="s">
        <v>750</v>
      </c>
      <c r="L279" s="63"/>
      <c r="M279" s="16"/>
      <c r="O279" s="15"/>
      <c r="Q279" s="8"/>
      <c r="Z279" s="176" t="s">
        <v>199</v>
      </c>
      <c r="AA279" s="176" t="s">
        <v>199</v>
      </c>
      <c r="AC279" s="37">
        <f t="shared" si="4"/>
        <v>3</v>
      </c>
      <c r="AI279" s="149" t="s">
        <v>707</v>
      </c>
      <c r="AJ279" s="149">
        <v>30</v>
      </c>
      <c r="AK279" s="149">
        <v>48</v>
      </c>
      <c r="AL279" s="149">
        <v>55</v>
      </c>
    </row>
    <row r="280" spans="1:38" s="37" customFormat="1" ht="14.25" customHeight="1" outlineLevel="1">
      <c r="A280" s="8"/>
      <c r="B280" s="233">
        <f t="shared" si="2"/>
        <v>4</v>
      </c>
      <c r="C280" s="271" t="s">
        <v>508</v>
      </c>
      <c r="D280" s="272" t="s">
        <v>508</v>
      </c>
      <c r="E280" s="270" t="s">
        <v>508</v>
      </c>
      <c r="F280" s="219">
        <f t="shared" si="3"/>
        <v>3</v>
      </c>
      <c r="G280" s="276" t="s">
        <v>508</v>
      </c>
      <c r="H280" s="277" t="s">
        <v>465</v>
      </c>
      <c r="I280" s="78" t="s">
        <v>738</v>
      </c>
      <c r="J280" s="8">
        <v>45</v>
      </c>
      <c r="K280" s="16" t="s">
        <v>744</v>
      </c>
      <c r="L280" s="63"/>
      <c r="M280" s="16"/>
      <c r="O280" s="15"/>
      <c r="Q280" s="8"/>
      <c r="Z280" s="176" t="s">
        <v>398</v>
      </c>
      <c r="AA280" s="55" t="s">
        <v>398</v>
      </c>
      <c r="AC280" s="37">
        <f t="shared" si="4"/>
        <v>4</v>
      </c>
      <c r="AI280" s="149" t="s">
        <v>702</v>
      </c>
      <c r="AJ280" s="149">
        <v>24</v>
      </c>
      <c r="AK280" s="149">
        <v>48</v>
      </c>
      <c r="AL280" s="149">
        <v>45</v>
      </c>
    </row>
    <row r="281" spans="1:38" s="37" customFormat="1" ht="14.25" customHeight="1" outlineLevel="1">
      <c r="A281" s="8"/>
      <c r="B281" s="233">
        <f t="shared" si="2"/>
        <v>5</v>
      </c>
      <c r="C281" s="271" t="s">
        <v>508</v>
      </c>
      <c r="D281" s="272" t="s">
        <v>508</v>
      </c>
      <c r="E281" s="270" t="s">
        <v>508</v>
      </c>
      <c r="F281" s="219">
        <f t="shared" si="3"/>
        <v>3</v>
      </c>
      <c r="G281" s="276" t="s">
        <v>508</v>
      </c>
      <c r="H281" s="277" t="s">
        <v>465</v>
      </c>
      <c r="I281" s="78" t="s">
        <v>739</v>
      </c>
      <c r="J281" s="8">
        <v>40</v>
      </c>
      <c r="K281" s="16" t="s">
        <v>746</v>
      </c>
      <c r="L281" s="63"/>
      <c r="M281" s="16"/>
      <c r="O281" s="15"/>
      <c r="Q281" s="8"/>
      <c r="Z281" s="55" t="s">
        <v>399</v>
      </c>
      <c r="AA281" s="75"/>
      <c r="AC281" s="37">
        <f t="shared" si="4"/>
        <v>5</v>
      </c>
      <c r="AI281" s="149" t="s">
        <v>703</v>
      </c>
      <c r="AJ281" s="149">
        <v>20</v>
      </c>
      <c r="AK281" s="149">
        <v>44</v>
      </c>
      <c r="AL281" s="149">
        <v>40</v>
      </c>
    </row>
    <row r="282" spans="1:38" s="37" customFormat="1" ht="14.25" customHeight="1" outlineLevel="1">
      <c r="A282" s="8"/>
      <c r="B282" s="233">
        <f t="shared" si="2"/>
        <v>6</v>
      </c>
      <c r="C282" s="271" t="s">
        <v>508</v>
      </c>
      <c r="D282" s="272" t="s">
        <v>508</v>
      </c>
      <c r="E282" s="270" t="s">
        <v>508</v>
      </c>
      <c r="F282" s="219">
        <f t="shared" si="3"/>
        <v>3</v>
      </c>
      <c r="G282" s="276" t="s">
        <v>508</v>
      </c>
      <c r="H282" s="277" t="s">
        <v>465</v>
      </c>
      <c r="I282" s="78" t="s">
        <v>740</v>
      </c>
      <c r="J282" s="8">
        <v>35</v>
      </c>
      <c r="K282" s="16" t="s">
        <v>747</v>
      </c>
      <c r="L282" s="63"/>
      <c r="M282" s="16"/>
      <c r="O282" s="15"/>
      <c r="Q282" s="8"/>
      <c r="AC282" s="37">
        <f t="shared" si="4"/>
        <v>6</v>
      </c>
      <c r="AI282" s="149" t="s">
        <v>704</v>
      </c>
      <c r="AJ282" s="149">
        <v>20</v>
      </c>
      <c r="AK282" s="149">
        <v>36</v>
      </c>
      <c r="AL282" s="149">
        <v>35</v>
      </c>
    </row>
    <row r="283" spans="1:38" s="37" customFormat="1" ht="14.25" customHeight="1" outlineLevel="1">
      <c r="A283" s="8"/>
      <c r="B283" s="233">
        <f t="shared" si="2"/>
        <v>7</v>
      </c>
      <c r="C283" s="271" t="s">
        <v>508</v>
      </c>
      <c r="D283" s="272" t="s">
        <v>508</v>
      </c>
      <c r="E283" s="270" t="s">
        <v>508</v>
      </c>
      <c r="F283" s="219">
        <f t="shared" si="3"/>
        <v>3</v>
      </c>
      <c r="G283" s="276" t="s">
        <v>508</v>
      </c>
      <c r="H283" s="277" t="s">
        <v>465</v>
      </c>
      <c r="I283" s="78" t="s">
        <v>741</v>
      </c>
      <c r="J283" s="8">
        <v>9</v>
      </c>
      <c r="K283" s="16" t="s">
        <v>748</v>
      </c>
      <c r="L283" s="63"/>
      <c r="M283" s="16"/>
      <c r="O283" s="15"/>
      <c r="Q283" s="8"/>
      <c r="Z283" s="208" t="s">
        <v>392</v>
      </c>
      <c r="AA283" s="149" t="b">
        <v>0</v>
      </c>
      <c r="AC283" s="37">
        <f t="shared" si="4"/>
        <v>7</v>
      </c>
      <c r="AI283" s="149" t="s">
        <v>705</v>
      </c>
      <c r="AJ283" s="149">
        <v>19</v>
      </c>
      <c r="AK283" s="149">
        <v>26</v>
      </c>
      <c r="AL283" s="149">
        <v>9</v>
      </c>
    </row>
    <row r="284" spans="1:38" s="37" customFormat="1" ht="14.25" customHeight="1" outlineLevel="1">
      <c r="A284" s="8"/>
      <c r="B284" s="233">
        <f t="shared" si="2"/>
        <v>8</v>
      </c>
      <c r="C284" s="271" t="s">
        <v>508</v>
      </c>
      <c r="D284" s="272" t="s">
        <v>508</v>
      </c>
      <c r="E284" s="270" t="s">
        <v>508</v>
      </c>
      <c r="F284" s="219">
        <f t="shared" si="3"/>
        <v>3</v>
      </c>
      <c r="G284" s="276" t="s">
        <v>508</v>
      </c>
      <c r="H284" s="277" t="s">
        <v>465</v>
      </c>
      <c r="I284" s="78"/>
      <c r="J284" s="8"/>
      <c r="K284" s="8"/>
      <c r="L284" s="63"/>
      <c r="M284" s="16"/>
      <c r="O284" s="15"/>
      <c r="Q284" s="8"/>
      <c r="AA284" s="20"/>
      <c r="AC284" s="37">
        <f t="shared" si="4"/>
        <v>8</v>
      </c>
    </row>
    <row r="285" spans="1:38" s="37" customFormat="1" ht="14.25" customHeight="1" outlineLevel="1">
      <c r="A285" s="8"/>
      <c r="B285" s="233">
        <f t="shared" si="2"/>
        <v>9</v>
      </c>
      <c r="C285" s="271" t="s">
        <v>508</v>
      </c>
      <c r="D285" s="272" t="s">
        <v>508</v>
      </c>
      <c r="E285" s="270" t="s">
        <v>508</v>
      </c>
      <c r="F285" s="219">
        <f t="shared" si="3"/>
        <v>3</v>
      </c>
      <c r="G285" s="276" t="s">
        <v>508</v>
      </c>
      <c r="H285" s="277" t="s">
        <v>465</v>
      </c>
      <c r="I285" s="248" t="s">
        <v>774</v>
      </c>
      <c r="J285" s="16"/>
      <c r="K285" s="8"/>
      <c r="L285" s="63"/>
      <c r="M285" s="16"/>
      <c r="O285" s="15"/>
      <c r="Q285" s="8"/>
      <c r="Z285" s="149" t="s">
        <v>464</v>
      </c>
      <c r="AA285" s="149" t="b">
        <f>TRUE()</f>
        <v>1</v>
      </c>
      <c r="AC285" s="37">
        <f t="shared" si="4"/>
        <v>9</v>
      </c>
    </row>
    <row r="286" spans="1:38" s="37" customFormat="1" ht="14.25" customHeight="1" outlineLevel="1">
      <c r="A286" s="8"/>
      <c r="B286" s="233">
        <f t="shared" si="2"/>
        <v>10</v>
      </c>
      <c r="C286" s="271" t="s">
        <v>508</v>
      </c>
      <c r="D286" s="272" t="s">
        <v>508</v>
      </c>
      <c r="E286" s="270" t="s">
        <v>508</v>
      </c>
      <c r="F286" s="219">
        <f t="shared" si="3"/>
        <v>3</v>
      </c>
      <c r="G286" s="276" t="s">
        <v>508</v>
      </c>
      <c r="H286" s="277" t="s">
        <v>465</v>
      </c>
      <c r="I286" s="248" t="s">
        <v>775</v>
      </c>
      <c r="J286" s="8"/>
      <c r="K286" s="8"/>
      <c r="L286" s="63"/>
      <c r="M286" s="16"/>
      <c r="O286" s="15"/>
      <c r="Q286" s="8"/>
      <c r="Z286" s="149" t="s">
        <v>465</v>
      </c>
      <c r="AA286" s="55"/>
      <c r="AC286" s="37">
        <f t="shared" si="4"/>
        <v>10</v>
      </c>
    </row>
    <row r="287" spans="1:38" s="37" customFormat="1" ht="14.25" customHeight="1" outlineLevel="1">
      <c r="A287" s="8"/>
      <c r="B287" s="233">
        <f t="shared" si="2"/>
        <v>11</v>
      </c>
      <c r="C287" s="271" t="s">
        <v>508</v>
      </c>
      <c r="D287" s="272" t="s">
        <v>508</v>
      </c>
      <c r="E287" s="270" t="s">
        <v>508</v>
      </c>
      <c r="F287" s="219">
        <f t="shared" si="3"/>
        <v>3</v>
      </c>
      <c r="G287" s="276" t="s">
        <v>508</v>
      </c>
      <c r="H287" s="277" t="s">
        <v>465</v>
      </c>
      <c r="I287" s="248" t="s">
        <v>776</v>
      </c>
      <c r="J287" s="8"/>
      <c r="K287" s="8"/>
      <c r="L287" s="63"/>
      <c r="M287" s="16"/>
      <c r="O287" s="15"/>
      <c r="Q287" s="8"/>
      <c r="AC287" s="37">
        <f t="shared" si="4"/>
        <v>11</v>
      </c>
    </row>
    <row r="288" spans="1:38" s="37" customFormat="1" ht="14.25" customHeight="1" outlineLevel="1">
      <c r="A288" s="8"/>
      <c r="B288" s="233">
        <f t="shared" si="2"/>
        <v>12</v>
      </c>
      <c r="C288" s="271" t="s">
        <v>508</v>
      </c>
      <c r="D288" s="272" t="s">
        <v>508</v>
      </c>
      <c r="E288" s="270" t="s">
        <v>508</v>
      </c>
      <c r="F288" s="219">
        <f t="shared" si="3"/>
        <v>3</v>
      </c>
      <c r="G288" s="276" t="s">
        <v>704</v>
      </c>
      <c r="H288" s="277" t="s">
        <v>465</v>
      </c>
      <c r="I288" s="78"/>
      <c r="J288" s="8"/>
      <c r="K288" s="8"/>
      <c r="L288" s="63"/>
      <c r="M288" s="16"/>
      <c r="O288" s="15"/>
      <c r="Q288" s="8"/>
      <c r="Z288" s="208" t="s">
        <v>699</v>
      </c>
      <c r="AA288" s="149" t="b">
        <v>0</v>
      </c>
      <c r="AC288" s="37">
        <f t="shared" si="4"/>
        <v>12</v>
      </c>
    </row>
    <row r="289" spans="1:29" s="37" customFormat="1" ht="14.25" customHeight="1" outlineLevel="1">
      <c r="A289" s="8"/>
      <c r="B289" s="233">
        <f t="shared" si="2"/>
        <v>13</v>
      </c>
      <c r="C289" s="271" t="s">
        <v>508</v>
      </c>
      <c r="D289" s="272" t="s">
        <v>508</v>
      </c>
      <c r="E289" s="270" t="s">
        <v>508</v>
      </c>
      <c r="F289" s="219">
        <f t="shared" si="3"/>
        <v>3</v>
      </c>
      <c r="G289" s="276" t="s">
        <v>508</v>
      </c>
      <c r="H289" s="277" t="s">
        <v>465</v>
      </c>
      <c r="I289" s="78"/>
      <c r="J289" s="8"/>
      <c r="K289" s="8"/>
      <c r="L289" s="63"/>
      <c r="M289" s="16"/>
      <c r="O289" s="15"/>
      <c r="Q289" s="8"/>
      <c r="AC289" s="37">
        <f t="shared" si="4"/>
        <v>13</v>
      </c>
    </row>
    <row r="290" spans="1:29" s="37" customFormat="1" ht="14.25" customHeight="1" outlineLevel="1">
      <c r="A290" s="8"/>
      <c r="B290" s="233">
        <f t="shared" si="2"/>
        <v>14</v>
      </c>
      <c r="C290" s="271" t="s">
        <v>508</v>
      </c>
      <c r="D290" s="272" t="s">
        <v>508</v>
      </c>
      <c r="E290" s="270" t="s">
        <v>508</v>
      </c>
      <c r="F290" s="219">
        <f t="shared" si="3"/>
        <v>3</v>
      </c>
      <c r="G290" s="276" t="s">
        <v>508</v>
      </c>
      <c r="H290" s="277" t="s">
        <v>465</v>
      </c>
      <c r="I290" s="78"/>
      <c r="J290" s="8"/>
      <c r="K290" s="8"/>
      <c r="L290" s="63"/>
      <c r="M290" s="16"/>
      <c r="O290" s="15"/>
      <c r="Q290" s="8"/>
      <c r="AA290" s="20"/>
      <c r="AC290" s="37">
        <f t="shared" si="4"/>
        <v>14</v>
      </c>
    </row>
    <row r="291" spans="1:29" s="37" customFormat="1" ht="14.25" customHeight="1" outlineLevel="1">
      <c r="A291" s="8"/>
      <c r="B291" s="233">
        <f t="shared" si="2"/>
        <v>15</v>
      </c>
      <c r="C291" s="271" t="s">
        <v>508</v>
      </c>
      <c r="D291" s="272" t="s">
        <v>508</v>
      </c>
      <c r="E291" s="270" t="s">
        <v>508</v>
      </c>
      <c r="F291" s="219">
        <f t="shared" si="3"/>
        <v>3</v>
      </c>
      <c r="G291" s="276" t="s">
        <v>704</v>
      </c>
      <c r="H291" s="277" t="s">
        <v>465</v>
      </c>
      <c r="I291" s="78"/>
      <c r="J291" s="8"/>
      <c r="K291" s="8"/>
      <c r="L291" s="63"/>
      <c r="M291" s="16"/>
      <c r="O291" s="15"/>
      <c r="Q291" s="8"/>
      <c r="AC291" s="37">
        <f t="shared" si="4"/>
        <v>15</v>
      </c>
    </row>
    <row r="292" spans="1:29" s="37" customFormat="1" ht="14.25" customHeight="1" outlineLevel="1">
      <c r="A292" s="8"/>
      <c r="B292" s="233">
        <f t="shared" si="2"/>
        <v>16</v>
      </c>
      <c r="C292" s="271" t="s">
        <v>508</v>
      </c>
      <c r="D292" s="272" t="s">
        <v>508</v>
      </c>
      <c r="E292" s="270" t="s">
        <v>508</v>
      </c>
      <c r="F292" s="219">
        <f t="shared" si="3"/>
        <v>3</v>
      </c>
      <c r="G292" s="276" t="s">
        <v>508</v>
      </c>
      <c r="H292" s="277" t="s">
        <v>465</v>
      </c>
      <c r="I292" s="78"/>
      <c r="J292" s="8"/>
      <c r="K292" s="8"/>
      <c r="L292" s="63"/>
      <c r="M292" s="16"/>
      <c r="O292" s="15"/>
      <c r="Q292" s="8"/>
      <c r="Z292" s="18"/>
      <c r="AC292" s="37">
        <f t="shared" si="4"/>
        <v>16</v>
      </c>
    </row>
    <row r="293" spans="1:29" s="37" customFormat="1" ht="14.25" customHeight="1" outlineLevel="1">
      <c r="A293" s="8"/>
      <c r="B293" s="233">
        <f t="shared" si="2"/>
        <v>17</v>
      </c>
      <c r="C293" s="271" t="s">
        <v>508</v>
      </c>
      <c r="D293" s="272" t="s">
        <v>508</v>
      </c>
      <c r="E293" s="270" t="s">
        <v>508</v>
      </c>
      <c r="F293" s="219">
        <f t="shared" si="3"/>
        <v>3</v>
      </c>
      <c r="G293" s="276" t="s">
        <v>508</v>
      </c>
      <c r="H293" s="277" t="s">
        <v>465</v>
      </c>
      <c r="I293" s="78"/>
      <c r="J293" s="8"/>
      <c r="K293" s="8"/>
      <c r="L293" s="63"/>
      <c r="M293" s="16"/>
      <c r="O293" s="15"/>
      <c r="Q293" s="8"/>
      <c r="AC293" s="37">
        <f t="shared" si="4"/>
        <v>17</v>
      </c>
    </row>
    <row r="294" spans="1:29" s="37" customFormat="1" ht="14.25" customHeight="1" outlineLevel="1">
      <c r="A294" s="8"/>
      <c r="B294" s="233">
        <f t="shared" si="2"/>
        <v>18</v>
      </c>
      <c r="C294" s="271" t="s">
        <v>508</v>
      </c>
      <c r="D294" s="272" t="s">
        <v>508</v>
      </c>
      <c r="E294" s="270" t="s">
        <v>508</v>
      </c>
      <c r="F294" s="219">
        <f t="shared" si="3"/>
        <v>3</v>
      </c>
      <c r="G294" s="276" t="s">
        <v>508</v>
      </c>
      <c r="H294" s="277" t="s">
        <v>465</v>
      </c>
      <c r="I294" s="78"/>
      <c r="J294" s="8"/>
      <c r="K294" s="8"/>
      <c r="L294" s="63"/>
      <c r="M294" s="16"/>
      <c r="O294" s="15"/>
      <c r="Q294" s="8"/>
      <c r="AC294" s="37">
        <f t="shared" si="4"/>
        <v>18</v>
      </c>
    </row>
    <row r="295" spans="1:29" s="37" customFormat="1" ht="14.25" customHeight="1" outlineLevel="1">
      <c r="A295" s="8"/>
      <c r="B295" s="233" t="str">
        <f t="shared" si="2"/>
        <v/>
      </c>
      <c r="C295" s="271" t="s">
        <v>508</v>
      </c>
      <c r="D295" s="272" t="s">
        <v>508</v>
      </c>
      <c r="E295" s="270" t="s">
        <v>508</v>
      </c>
      <c r="F295" s="219" t="str">
        <f t="shared" si="3"/>
        <v/>
      </c>
      <c r="G295" s="276" t="s">
        <v>508</v>
      </c>
      <c r="H295" s="277" t="s">
        <v>465</v>
      </c>
      <c r="I295" s="78"/>
      <c r="J295" s="8"/>
      <c r="K295" s="8"/>
      <c r="L295" s="63"/>
      <c r="M295" s="16"/>
      <c r="O295" s="15"/>
      <c r="Q295" s="8"/>
      <c r="AC295" s="37">
        <f t="shared" si="4"/>
        <v>19</v>
      </c>
    </row>
    <row r="296" spans="1:29" s="37" customFormat="1" ht="14.25" customHeight="1" outlineLevel="1">
      <c r="A296" s="8"/>
      <c r="B296" s="233" t="str">
        <f t="shared" si="2"/>
        <v/>
      </c>
      <c r="C296" s="271" t="s">
        <v>508</v>
      </c>
      <c r="D296" s="272" t="s">
        <v>508</v>
      </c>
      <c r="E296" s="270" t="s">
        <v>508</v>
      </c>
      <c r="F296" s="219" t="str">
        <f t="shared" si="3"/>
        <v/>
      </c>
      <c r="G296" s="276" t="s">
        <v>508</v>
      </c>
      <c r="H296" s="277" t="s">
        <v>465</v>
      </c>
      <c r="I296" s="78"/>
      <c r="J296" s="8"/>
      <c r="K296" s="8"/>
      <c r="L296" s="63"/>
      <c r="M296" s="16"/>
      <c r="O296" s="15"/>
      <c r="Q296" s="8"/>
      <c r="AC296" s="37">
        <f t="shared" si="4"/>
        <v>20</v>
      </c>
    </row>
    <row r="297" spans="1:29" s="37" customFormat="1" ht="14.25" customHeight="1" outlineLevel="1">
      <c r="A297" s="8"/>
      <c r="B297" s="233" t="str">
        <f t="shared" si="2"/>
        <v/>
      </c>
      <c r="C297" s="271" t="s">
        <v>508</v>
      </c>
      <c r="D297" s="272" t="s">
        <v>508</v>
      </c>
      <c r="E297" s="270" t="s">
        <v>508</v>
      </c>
      <c r="F297" s="219" t="str">
        <f t="shared" si="3"/>
        <v/>
      </c>
      <c r="G297" s="276" t="s">
        <v>508</v>
      </c>
      <c r="H297" s="277" t="s">
        <v>465</v>
      </c>
      <c r="I297" s="78"/>
      <c r="J297" s="8"/>
      <c r="K297" s="8"/>
      <c r="L297" s="63"/>
      <c r="M297" s="16"/>
      <c r="O297" s="15"/>
      <c r="Q297" s="8"/>
      <c r="AC297" s="37">
        <f t="shared" si="4"/>
        <v>21</v>
      </c>
    </row>
    <row r="298" spans="1:29" s="37" customFormat="1" ht="14.25" customHeight="1" outlineLevel="1">
      <c r="A298" s="8"/>
      <c r="B298" s="233" t="str">
        <f t="shared" si="2"/>
        <v/>
      </c>
      <c r="C298" s="271" t="s">
        <v>508</v>
      </c>
      <c r="D298" s="272" t="s">
        <v>508</v>
      </c>
      <c r="E298" s="270" t="s">
        <v>508</v>
      </c>
      <c r="F298" s="219" t="str">
        <f t="shared" si="3"/>
        <v/>
      </c>
      <c r="G298" s="276" t="s">
        <v>508</v>
      </c>
      <c r="H298" s="277" t="s">
        <v>465</v>
      </c>
      <c r="I298" s="78"/>
      <c r="J298" s="8"/>
      <c r="K298" s="8"/>
      <c r="L298" s="63"/>
      <c r="M298" s="16"/>
      <c r="O298" s="15"/>
      <c r="Q298" s="8"/>
      <c r="AC298" s="37">
        <f t="shared" si="4"/>
        <v>22</v>
      </c>
    </row>
    <row r="299" spans="1:29" s="37" customFormat="1" ht="14.25" customHeight="1" outlineLevel="1">
      <c r="A299" s="8"/>
      <c r="B299" s="233" t="str">
        <f t="shared" si="2"/>
        <v/>
      </c>
      <c r="C299" s="271" t="s">
        <v>508</v>
      </c>
      <c r="D299" s="272" t="s">
        <v>508</v>
      </c>
      <c r="E299" s="270" t="s">
        <v>508</v>
      </c>
      <c r="F299" s="219" t="str">
        <f t="shared" si="3"/>
        <v/>
      </c>
      <c r="G299" s="276" t="s">
        <v>508</v>
      </c>
      <c r="H299" s="277" t="s">
        <v>465</v>
      </c>
      <c r="I299" s="78"/>
      <c r="J299" s="8"/>
      <c r="K299" s="8"/>
      <c r="L299" s="63"/>
      <c r="M299" s="16"/>
      <c r="O299" s="15"/>
      <c r="Q299" s="8"/>
      <c r="AC299" s="37">
        <f t="shared" si="4"/>
        <v>23</v>
      </c>
    </row>
    <row r="300" spans="1:29" s="37" customFormat="1" ht="14.25" customHeight="1" outlineLevel="1">
      <c r="A300" s="8"/>
      <c r="B300" s="233" t="str">
        <f t="shared" si="2"/>
        <v/>
      </c>
      <c r="C300" s="271" t="s">
        <v>508</v>
      </c>
      <c r="D300" s="272" t="s">
        <v>508</v>
      </c>
      <c r="E300" s="270" t="s">
        <v>508</v>
      </c>
      <c r="F300" s="219" t="str">
        <f t="shared" si="3"/>
        <v/>
      </c>
      <c r="G300" s="276" t="s">
        <v>508</v>
      </c>
      <c r="H300" s="277" t="s">
        <v>465</v>
      </c>
      <c r="I300" s="78"/>
      <c r="J300" s="8"/>
      <c r="K300" s="8"/>
      <c r="L300" s="63"/>
      <c r="M300" s="16"/>
      <c r="O300" s="15"/>
      <c r="Q300" s="8"/>
      <c r="AC300" s="37">
        <f t="shared" si="4"/>
        <v>24</v>
      </c>
    </row>
    <row r="301" spans="1:29" s="37" customFormat="1" ht="14.25" customHeight="1" outlineLevel="1">
      <c r="A301" s="8"/>
      <c r="B301" s="233" t="str">
        <f t="shared" si="2"/>
        <v/>
      </c>
      <c r="C301" s="271" t="s">
        <v>508</v>
      </c>
      <c r="D301" s="272" t="s">
        <v>508</v>
      </c>
      <c r="E301" s="270" t="s">
        <v>508</v>
      </c>
      <c r="F301" s="219" t="str">
        <f t="shared" si="3"/>
        <v/>
      </c>
      <c r="G301" s="276" t="s">
        <v>508</v>
      </c>
      <c r="H301" s="277" t="s">
        <v>465</v>
      </c>
      <c r="I301" s="78"/>
      <c r="J301" s="8"/>
      <c r="K301" s="8"/>
      <c r="L301" s="63"/>
      <c r="M301" s="16"/>
      <c r="O301" s="15"/>
      <c r="Q301" s="8"/>
      <c r="AC301" s="37">
        <f t="shared" si="4"/>
        <v>25</v>
      </c>
    </row>
    <row r="302" spans="1:29" s="37" customFormat="1" ht="14.25" customHeight="1" outlineLevel="1">
      <c r="A302" s="8"/>
      <c r="B302" s="233" t="str">
        <f t="shared" si="2"/>
        <v/>
      </c>
      <c r="C302" s="271" t="s">
        <v>508</v>
      </c>
      <c r="D302" s="272" t="s">
        <v>508</v>
      </c>
      <c r="E302" s="270" t="s">
        <v>508</v>
      </c>
      <c r="F302" s="219" t="str">
        <f t="shared" si="3"/>
        <v/>
      </c>
      <c r="G302" s="276" t="s">
        <v>508</v>
      </c>
      <c r="H302" s="277" t="s">
        <v>465</v>
      </c>
      <c r="I302" s="78"/>
      <c r="J302" s="8"/>
      <c r="K302" s="8"/>
      <c r="L302" s="63"/>
      <c r="M302" s="16"/>
      <c r="O302" s="15"/>
      <c r="Q302" s="8"/>
      <c r="AC302" s="37">
        <f t="shared" si="4"/>
        <v>26</v>
      </c>
    </row>
    <row r="303" spans="1:29" s="37" customFormat="1" ht="14.25" customHeight="1" outlineLevel="1">
      <c r="A303" s="8"/>
      <c r="B303" s="233" t="str">
        <f t="shared" si="2"/>
        <v/>
      </c>
      <c r="C303" s="271" t="s">
        <v>508</v>
      </c>
      <c r="D303" s="272" t="s">
        <v>508</v>
      </c>
      <c r="E303" s="270" t="s">
        <v>508</v>
      </c>
      <c r="F303" s="219" t="str">
        <f t="shared" si="3"/>
        <v/>
      </c>
      <c r="G303" s="276" t="s">
        <v>508</v>
      </c>
      <c r="H303" s="277" t="s">
        <v>465</v>
      </c>
      <c r="I303" s="78"/>
      <c r="J303" s="8"/>
      <c r="K303" s="8"/>
      <c r="L303" s="63"/>
      <c r="M303" s="16"/>
      <c r="O303" s="15"/>
      <c r="Q303" s="8"/>
      <c r="AC303" s="37">
        <f t="shared" si="4"/>
        <v>27</v>
      </c>
    </row>
    <row r="304" spans="1:29" s="37" customFormat="1" ht="14.25" customHeight="1" outlineLevel="1">
      <c r="A304" s="8"/>
      <c r="B304" s="233" t="str">
        <f t="shared" si="2"/>
        <v/>
      </c>
      <c r="C304" s="271" t="s">
        <v>508</v>
      </c>
      <c r="D304" s="272" t="s">
        <v>508</v>
      </c>
      <c r="E304" s="270" t="s">
        <v>508</v>
      </c>
      <c r="F304" s="219" t="str">
        <f t="shared" si="3"/>
        <v/>
      </c>
      <c r="G304" s="276" t="s">
        <v>508</v>
      </c>
      <c r="H304" s="277" t="s">
        <v>465</v>
      </c>
      <c r="I304" s="78"/>
      <c r="J304" s="8"/>
      <c r="K304" s="8"/>
      <c r="L304" s="63"/>
      <c r="M304" s="16"/>
      <c r="O304" s="15"/>
      <c r="Q304" s="8"/>
      <c r="AC304" s="37">
        <f t="shared" si="4"/>
        <v>28</v>
      </c>
    </row>
    <row r="305" spans="1:29" s="37" customFormat="1" ht="14.25" customHeight="1" outlineLevel="1">
      <c r="A305" s="8"/>
      <c r="B305" s="233" t="str">
        <f t="shared" si="2"/>
        <v/>
      </c>
      <c r="C305" s="271" t="s">
        <v>508</v>
      </c>
      <c r="D305" s="272" t="s">
        <v>508</v>
      </c>
      <c r="E305" s="270" t="s">
        <v>508</v>
      </c>
      <c r="F305" s="219" t="str">
        <f t="shared" si="3"/>
        <v/>
      </c>
      <c r="G305" s="276" t="s">
        <v>508</v>
      </c>
      <c r="H305" s="277" t="s">
        <v>465</v>
      </c>
      <c r="I305" s="78"/>
      <c r="J305" s="8"/>
      <c r="K305" s="8"/>
      <c r="L305" s="63"/>
      <c r="M305" s="16"/>
      <c r="O305" s="15"/>
      <c r="Q305" s="8"/>
      <c r="AC305" s="37">
        <f t="shared" si="4"/>
        <v>29</v>
      </c>
    </row>
    <row r="306" spans="1:29" s="37" customFormat="1" ht="14.25" customHeight="1" outlineLevel="1">
      <c r="A306" s="8"/>
      <c r="B306" s="233" t="str">
        <f t="shared" si="2"/>
        <v/>
      </c>
      <c r="C306" s="271" t="s">
        <v>508</v>
      </c>
      <c r="D306" s="272" t="s">
        <v>508</v>
      </c>
      <c r="E306" s="270" t="s">
        <v>508</v>
      </c>
      <c r="F306" s="219" t="str">
        <f t="shared" si="3"/>
        <v/>
      </c>
      <c r="G306" s="276" t="s">
        <v>508</v>
      </c>
      <c r="H306" s="277" t="s">
        <v>465</v>
      </c>
      <c r="I306" s="78"/>
      <c r="J306" s="8"/>
      <c r="K306" s="8"/>
      <c r="L306" s="63"/>
      <c r="M306" s="16"/>
      <c r="O306" s="15"/>
      <c r="Q306" s="8"/>
      <c r="AC306" s="37">
        <f t="shared" si="4"/>
        <v>30</v>
      </c>
    </row>
    <row r="307" spans="1:29" s="37" customFormat="1" ht="14.25" customHeight="1" outlineLevel="1">
      <c r="A307" s="8"/>
      <c r="B307" s="233" t="str">
        <f t="shared" si="2"/>
        <v/>
      </c>
      <c r="C307" s="271" t="s">
        <v>508</v>
      </c>
      <c r="D307" s="272" t="s">
        <v>508</v>
      </c>
      <c r="E307" s="270" t="s">
        <v>508</v>
      </c>
      <c r="F307" s="219" t="str">
        <f t="shared" si="3"/>
        <v/>
      </c>
      <c r="G307" s="276" t="s">
        <v>508</v>
      </c>
      <c r="H307" s="277" t="s">
        <v>465</v>
      </c>
      <c r="I307" s="78"/>
      <c r="J307" s="8"/>
      <c r="K307" s="8"/>
      <c r="L307" s="63"/>
      <c r="M307" s="16"/>
      <c r="O307" s="15"/>
      <c r="Q307" s="8"/>
      <c r="AC307" s="37">
        <f t="shared" si="4"/>
        <v>31</v>
      </c>
    </row>
    <row r="308" spans="1:29" s="37" customFormat="1" ht="14.25" customHeight="1" outlineLevel="1">
      <c r="A308" s="8"/>
      <c r="B308" s="233" t="str">
        <f t="shared" ref="B308:B339" si="5">IF(AND(C308="None",D308="None",E308="None"),IF(AC308&lt;=FUSELAGE_n_rows_FC+FUSELAGE_n_rows_BC+FUSELAGE_n_rows_YC,AC308,""),"")</f>
        <v/>
      </c>
      <c r="C308" s="271" t="s">
        <v>508</v>
      </c>
      <c r="D308" s="272" t="s">
        <v>508</v>
      </c>
      <c r="E308" s="270" t="s">
        <v>508</v>
      </c>
      <c r="F308" s="219" t="str">
        <f t="shared" ref="F308:F340" si="6">IF(B308=0,"",IF(B308&lt;=FUSELAGE_n_rows_FC,1,IF(B308&lt;=FUSELAGE_n_rows_FC+FUSELAGE_n_rows_BC,2,IF(B308&lt;=FUSELAGE_n_rows_FC+FUSELAGE_n_rows_BC+FUSELAGE_n_rows_YC,3,""))))</f>
        <v/>
      </c>
      <c r="G308" s="276" t="s">
        <v>508</v>
      </c>
      <c r="H308" s="277" t="s">
        <v>465</v>
      </c>
      <c r="I308" s="78"/>
      <c r="J308" s="8"/>
      <c r="K308" s="8"/>
      <c r="L308" s="63"/>
      <c r="M308" s="16"/>
      <c r="O308" s="15"/>
      <c r="Q308" s="8"/>
      <c r="AC308" s="37">
        <f t="shared" si="4"/>
        <v>32</v>
      </c>
    </row>
    <row r="309" spans="1:29" s="37" customFormat="1" ht="14.25" customHeight="1" outlineLevel="1">
      <c r="A309" s="8"/>
      <c r="B309" s="233" t="str">
        <f t="shared" si="5"/>
        <v/>
      </c>
      <c r="C309" s="271" t="s">
        <v>398</v>
      </c>
      <c r="D309" s="272" t="s">
        <v>508</v>
      </c>
      <c r="E309" s="270" t="s">
        <v>199</v>
      </c>
      <c r="F309" s="219" t="str">
        <f t="shared" si="6"/>
        <v/>
      </c>
      <c r="G309" s="276" t="s">
        <v>707</v>
      </c>
      <c r="H309" s="277" t="s">
        <v>465</v>
      </c>
      <c r="I309" s="78"/>
      <c r="J309" s="8"/>
      <c r="K309" s="8"/>
      <c r="L309" s="63"/>
      <c r="M309" s="16"/>
      <c r="O309" s="15"/>
      <c r="Q309" s="8"/>
      <c r="AC309" s="37">
        <f t="shared" si="4"/>
        <v>33</v>
      </c>
    </row>
    <row r="310" spans="1:29" s="37" customFormat="1" ht="14.25" customHeight="1" outlineLevel="1">
      <c r="A310" s="8"/>
      <c r="B310" s="233" t="str">
        <f t="shared" si="5"/>
        <v/>
      </c>
      <c r="C310" s="271" t="s">
        <v>508</v>
      </c>
      <c r="D310" s="272" t="s">
        <v>508</v>
      </c>
      <c r="E310" s="270" t="s">
        <v>508</v>
      </c>
      <c r="F310" s="219" t="str">
        <f t="shared" si="6"/>
        <v/>
      </c>
      <c r="G310" s="276" t="s">
        <v>508</v>
      </c>
      <c r="H310" s="277" t="s">
        <v>465</v>
      </c>
      <c r="I310" s="78"/>
      <c r="J310" s="8"/>
      <c r="K310" s="8"/>
      <c r="L310" s="63"/>
      <c r="M310" s="16"/>
      <c r="O310" s="15"/>
      <c r="Q310" s="8"/>
      <c r="AC310" s="37">
        <f t="shared" si="4"/>
        <v>33</v>
      </c>
    </row>
    <row r="311" spans="1:29" s="37" customFormat="1" ht="14.25" customHeight="1" outlineLevel="1">
      <c r="A311" s="8"/>
      <c r="B311" s="233" t="str">
        <f t="shared" si="5"/>
        <v/>
      </c>
      <c r="C311" s="271" t="s">
        <v>508</v>
      </c>
      <c r="D311" s="272" t="s">
        <v>508</v>
      </c>
      <c r="E311" s="270" t="s">
        <v>508</v>
      </c>
      <c r="F311" s="219" t="str">
        <f t="shared" si="6"/>
        <v/>
      </c>
      <c r="G311" s="276" t="s">
        <v>508</v>
      </c>
      <c r="H311" s="277" t="s">
        <v>465</v>
      </c>
      <c r="I311" s="78"/>
      <c r="J311" s="8"/>
      <c r="K311" s="8"/>
      <c r="L311" s="63"/>
      <c r="M311" s="16"/>
      <c r="O311" s="15"/>
      <c r="Q311" s="8"/>
      <c r="AC311" s="37">
        <f t="shared" si="4"/>
        <v>34</v>
      </c>
    </row>
    <row r="312" spans="1:29" s="37" customFormat="1" ht="14.25" customHeight="1" outlineLevel="1">
      <c r="A312" s="8"/>
      <c r="B312" s="233" t="str">
        <f t="shared" si="5"/>
        <v/>
      </c>
      <c r="C312" s="271" t="s">
        <v>508</v>
      </c>
      <c r="D312" s="272" t="s">
        <v>508</v>
      </c>
      <c r="E312" s="270" t="s">
        <v>508</v>
      </c>
      <c r="F312" s="219" t="str">
        <f t="shared" si="6"/>
        <v/>
      </c>
      <c r="G312" s="276" t="s">
        <v>508</v>
      </c>
      <c r="H312" s="277" t="s">
        <v>465</v>
      </c>
      <c r="I312" s="78"/>
      <c r="J312" s="8"/>
      <c r="K312" s="8"/>
      <c r="L312" s="63"/>
      <c r="M312" s="16"/>
      <c r="O312" s="15"/>
      <c r="Q312" s="8"/>
      <c r="AA312" s="35"/>
      <c r="AC312" s="37">
        <f t="shared" si="4"/>
        <v>35</v>
      </c>
    </row>
    <row r="313" spans="1:29" s="37" customFormat="1" ht="14.25" customHeight="1" outlineLevel="1">
      <c r="A313" s="8"/>
      <c r="B313" s="233" t="str">
        <f t="shared" si="5"/>
        <v/>
      </c>
      <c r="C313" s="271" t="s">
        <v>508</v>
      </c>
      <c r="D313" s="272" t="s">
        <v>508</v>
      </c>
      <c r="E313" s="270" t="s">
        <v>508</v>
      </c>
      <c r="F313" s="219" t="str">
        <f t="shared" si="6"/>
        <v/>
      </c>
      <c r="G313" s="276" t="s">
        <v>508</v>
      </c>
      <c r="H313" s="277" t="s">
        <v>465</v>
      </c>
      <c r="I313" s="78"/>
      <c r="J313" s="8"/>
      <c r="K313" s="8"/>
      <c r="L313" s="63"/>
      <c r="M313" s="16"/>
      <c r="O313" s="15"/>
      <c r="Q313" s="8"/>
      <c r="AC313" s="37">
        <f t="shared" si="4"/>
        <v>36</v>
      </c>
    </row>
    <row r="314" spans="1:29" s="37" customFormat="1" ht="14.25" customHeight="1" outlineLevel="1">
      <c r="A314" s="8"/>
      <c r="B314" s="233" t="str">
        <f t="shared" si="5"/>
        <v/>
      </c>
      <c r="C314" s="271" t="s">
        <v>508</v>
      </c>
      <c r="D314" s="272" t="s">
        <v>508</v>
      </c>
      <c r="E314" s="270" t="s">
        <v>508</v>
      </c>
      <c r="F314" s="219" t="str">
        <f t="shared" si="6"/>
        <v/>
      </c>
      <c r="G314" s="276" t="s">
        <v>508</v>
      </c>
      <c r="H314" s="277" t="s">
        <v>465</v>
      </c>
      <c r="I314" s="78"/>
      <c r="J314" s="8"/>
      <c r="K314" s="8"/>
      <c r="L314" s="63"/>
      <c r="M314" s="16"/>
      <c r="O314" s="15"/>
      <c r="Q314" s="8"/>
      <c r="AC314" s="37">
        <f t="shared" si="4"/>
        <v>37</v>
      </c>
    </row>
    <row r="315" spans="1:29" s="37" customFormat="1" ht="14.25" customHeight="1" outlineLevel="1">
      <c r="A315" s="8"/>
      <c r="B315" s="233" t="str">
        <f t="shared" si="5"/>
        <v/>
      </c>
      <c r="C315" s="271" t="s">
        <v>508</v>
      </c>
      <c r="D315" s="272" t="s">
        <v>508</v>
      </c>
      <c r="E315" s="270" t="s">
        <v>508</v>
      </c>
      <c r="F315" s="219" t="str">
        <f t="shared" si="6"/>
        <v/>
      </c>
      <c r="G315" s="276" t="s">
        <v>508</v>
      </c>
      <c r="H315" s="277" t="s">
        <v>465</v>
      </c>
      <c r="I315" s="78"/>
      <c r="J315" s="8"/>
      <c r="K315" s="8"/>
      <c r="L315" s="63"/>
      <c r="M315" s="16"/>
      <c r="O315" s="15"/>
      <c r="Q315" s="8"/>
      <c r="AC315" s="37">
        <f t="shared" si="4"/>
        <v>38</v>
      </c>
    </row>
    <row r="316" spans="1:29" s="37" customFormat="1" ht="14.25" customHeight="1" outlineLevel="1">
      <c r="A316" s="8"/>
      <c r="B316" s="233" t="str">
        <f t="shared" si="5"/>
        <v/>
      </c>
      <c r="C316" s="271" t="s">
        <v>508</v>
      </c>
      <c r="D316" s="272" t="s">
        <v>508</v>
      </c>
      <c r="E316" s="270" t="s">
        <v>508</v>
      </c>
      <c r="F316" s="219" t="str">
        <f t="shared" si="6"/>
        <v/>
      </c>
      <c r="G316" s="276" t="s">
        <v>508</v>
      </c>
      <c r="H316" s="277" t="s">
        <v>465</v>
      </c>
      <c r="I316" s="78"/>
      <c r="J316" s="8"/>
      <c r="K316" s="8"/>
      <c r="L316" s="63"/>
      <c r="M316" s="16"/>
      <c r="O316" s="15"/>
      <c r="Q316" s="8"/>
      <c r="AA316" s="35"/>
      <c r="AC316" s="37">
        <f t="shared" si="4"/>
        <v>39</v>
      </c>
    </row>
    <row r="317" spans="1:29" s="37" customFormat="1" ht="14.25" customHeight="1" outlineLevel="1">
      <c r="A317" s="8"/>
      <c r="B317" s="233" t="str">
        <f t="shared" si="5"/>
        <v/>
      </c>
      <c r="C317" s="271" t="s">
        <v>508</v>
      </c>
      <c r="D317" s="272" t="s">
        <v>508</v>
      </c>
      <c r="E317" s="270" t="s">
        <v>508</v>
      </c>
      <c r="F317" s="219" t="str">
        <f t="shared" si="6"/>
        <v/>
      </c>
      <c r="G317" s="276" t="s">
        <v>508</v>
      </c>
      <c r="H317" s="277" t="s">
        <v>465</v>
      </c>
      <c r="I317" s="78"/>
      <c r="J317" s="8"/>
      <c r="K317" s="8"/>
      <c r="L317" s="63"/>
      <c r="M317" s="16"/>
      <c r="O317" s="15"/>
      <c r="Q317" s="8"/>
      <c r="AC317" s="37">
        <f t="shared" si="4"/>
        <v>40</v>
      </c>
    </row>
    <row r="318" spans="1:29" s="37" customFormat="1" ht="14.25" customHeight="1" outlineLevel="1">
      <c r="A318" s="8"/>
      <c r="B318" s="233" t="str">
        <f t="shared" si="5"/>
        <v/>
      </c>
      <c r="C318" s="271" t="s">
        <v>508</v>
      </c>
      <c r="D318" s="272" t="s">
        <v>508</v>
      </c>
      <c r="E318" s="270" t="s">
        <v>508</v>
      </c>
      <c r="F318" s="219" t="str">
        <f t="shared" si="6"/>
        <v/>
      </c>
      <c r="G318" s="276" t="s">
        <v>508</v>
      </c>
      <c r="H318" s="277" t="s">
        <v>465</v>
      </c>
      <c r="I318" s="78"/>
      <c r="J318" s="8"/>
      <c r="K318" s="8"/>
      <c r="L318" s="63"/>
      <c r="M318" s="16"/>
      <c r="O318" s="15"/>
      <c r="Q318" s="8"/>
      <c r="AA318" s="35"/>
      <c r="AC318" s="37">
        <f t="shared" si="4"/>
        <v>41</v>
      </c>
    </row>
    <row r="319" spans="1:29" s="37" customFormat="1" ht="14.25" customHeight="1" outlineLevel="1">
      <c r="A319" s="8"/>
      <c r="B319" s="233" t="str">
        <f t="shared" si="5"/>
        <v/>
      </c>
      <c r="C319" s="271" t="s">
        <v>508</v>
      </c>
      <c r="D319" s="272" t="s">
        <v>508</v>
      </c>
      <c r="E319" s="270" t="s">
        <v>508</v>
      </c>
      <c r="F319" s="219" t="str">
        <f t="shared" si="6"/>
        <v/>
      </c>
      <c r="G319" s="276" t="s">
        <v>508</v>
      </c>
      <c r="H319" s="277" t="s">
        <v>465</v>
      </c>
      <c r="I319" s="78"/>
      <c r="J319" s="8"/>
      <c r="K319" s="8"/>
      <c r="L319" s="63"/>
      <c r="M319" s="16"/>
      <c r="O319" s="15"/>
      <c r="Q319" s="8"/>
      <c r="AC319" s="37">
        <f t="shared" si="4"/>
        <v>42</v>
      </c>
    </row>
    <row r="320" spans="1:29" s="37" customFormat="1" ht="14.25" customHeight="1" outlineLevel="1">
      <c r="A320" s="8"/>
      <c r="B320" s="233" t="str">
        <f t="shared" si="5"/>
        <v/>
      </c>
      <c r="C320" s="271" t="s">
        <v>508</v>
      </c>
      <c r="D320" s="272" t="s">
        <v>508</v>
      </c>
      <c r="E320" s="270" t="s">
        <v>508</v>
      </c>
      <c r="F320" s="219" t="str">
        <f t="shared" si="6"/>
        <v/>
      </c>
      <c r="G320" s="276" t="s">
        <v>508</v>
      </c>
      <c r="H320" s="277" t="s">
        <v>465</v>
      </c>
      <c r="I320" s="78"/>
      <c r="J320" s="8"/>
      <c r="K320" s="8"/>
      <c r="L320" s="63"/>
      <c r="M320" s="16"/>
      <c r="O320" s="15"/>
      <c r="Q320" s="8"/>
      <c r="AC320" s="37">
        <f t="shared" si="4"/>
        <v>43</v>
      </c>
    </row>
    <row r="321" spans="1:29" s="37" customFormat="1" ht="14.25" customHeight="1" outlineLevel="1">
      <c r="A321" s="8"/>
      <c r="B321" s="233" t="str">
        <f t="shared" si="5"/>
        <v/>
      </c>
      <c r="C321" s="271" t="s">
        <v>508</v>
      </c>
      <c r="D321" s="272" t="s">
        <v>508</v>
      </c>
      <c r="E321" s="270" t="s">
        <v>508</v>
      </c>
      <c r="F321" s="219" t="str">
        <f t="shared" si="6"/>
        <v/>
      </c>
      <c r="G321" s="276" t="s">
        <v>508</v>
      </c>
      <c r="H321" s="277" t="s">
        <v>465</v>
      </c>
      <c r="I321" s="78"/>
      <c r="J321" s="8"/>
      <c r="K321" s="8"/>
      <c r="L321" s="63"/>
      <c r="M321" s="16"/>
      <c r="O321" s="15"/>
      <c r="Q321" s="8"/>
      <c r="AC321" s="37">
        <f t="shared" si="4"/>
        <v>44</v>
      </c>
    </row>
    <row r="322" spans="1:29" s="37" customFormat="1" ht="14.25" customHeight="1" outlineLevel="1">
      <c r="A322" s="8"/>
      <c r="B322" s="233" t="str">
        <f t="shared" si="5"/>
        <v/>
      </c>
      <c r="C322" s="271" t="s">
        <v>508</v>
      </c>
      <c r="D322" s="272" t="s">
        <v>508</v>
      </c>
      <c r="E322" s="270" t="s">
        <v>508</v>
      </c>
      <c r="F322" s="219" t="str">
        <f t="shared" si="6"/>
        <v/>
      </c>
      <c r="G322" s="276" t="s">
        <v>508</v>
      </c>
      <c r="H322" s="277" t="s">
        <v>465</v>
      </c>
      <c r="I322" s="78"/>
      <c r="J322" s="8"/>
      <c r="K322" s="8"/>
      <c r="L322" s="63"/>
      <c r="M322" s="16"/>
      <c r="O322" s="15"/>
      <c r="Q322" s="8"/>
      <c r="AC322" s="37">
        <f t="shared" si="4"/>
        <v>45</v>
      </c>
    </row>
    <row r="323" spans="1:29" s="37" customFormat="1" ht="14.25" customHeight="1" outlineLevel="1">
      <c r="A323" s="8"/>
      <c r="B323" s="233" t="str">
        <f t="shared" si="5"/>
        <v/>
      </c>
      <c r="C323" s="271" t="s">
        <v>508</v>
      </c>
      <c r="D323" s="272" t="s">
        <v>508</v>
      </c>
      <c r="E323" s="270" t="s">
        <v>508</v>
      </c>
      <c r="F323" s="219" t="str">
        <f t="shared" si="6"/>
        <v/>
      </c>
      <c r="G323" s="276" t="s">
        <v>508</v>
      </c>
      <c r="H323" s="277" t="s">
        <v>465</v>
      </c>
      <c r="I323" s="78"/>
      <c r="J323" s="8"/>
      <c r="K323" s="8"/>
      <c r="L323" s="63"/>
      <c r="M323" s="16"/>
      <c r="O323" s="15"/>
      <c r="Q323" s="8"/>
      <c r="AC323" s="37">
        <f t="shared" si="4"/>
        <v>46</v>
      </c>
    </row>
    <row r="324" spans="1:29" s="37" customFormat="1" ht="14.25" customHeight="1" outlineLevel="1">
      <c r="A324" s="8"/>
      <c r="B324" s="233" t="str">
        <f t="shared" si="5"/>
        <v/>
      </c>
      <c r="C324" s="271" t="s">
        <v>508</v>
      </c>
      <c r="D324" s="272" t="s">
        <v>508</v>
      </c>
      <c r="E324" s="270" t="s">
        <v>508</v>
      </c>
      <c r="F324" s="219" t="str">
        <f t="shared" si="6"/>
        <v/>
      </c>
      <c r="G324" s="276" t="s">
        <v>508</v>
      </c>
      <c r="H324" s="277" t="s">
        <v>465</v>
      </c>
      <c r="I324" s="78"/>
      <c r="J324" s="8"/>
      <c r="K324" s="8"/>
      <c r="L324" s="63"/>
      <c r="M324" s="16"/>
      <c r="O324" s="15"/>
      <c r="Q324" s="8"/>
      <c r="AC324" s="37">
        <f t="shared" si="4"/>
        <v>47</v>
      </c>
    </row>
    <row r="325" spans="1:29" s="37" customFormat="1" ht="14.25" customHeight="1" outlineLevel="1">
      <c r="A325" s="8"/>
      <c r="B325" s="233" t="str">
        <f t="shared" si="5"/>
        <v/>
      </c>
      <c r="C325" s="271" t="s">
        <v>508</v>
      </c>
      <c r="D325" s="272" t="s">
        <v>508</v>
      </c>
      <c r="E325" s="270" t="s">
        <v>508</v>
      </c>
      <c r="F325" s="219" t="str">
        <f t="shared" si="6"/>
        <v/>
      </c>
      <c r="G325" s="276" t="s">
        <v>508</v>
      </c>
      <c r="H325" s="277" t="s">
        <v>465</v>
      </c>
      <c r="I325" s="78"/>
      <c r="J325" s="8"/>
      <c r="K325" s="8"/>
      <c r="L325" s="63"/>
      <c r="M325" s="16"/>
      <c r="O325" s="15"/>
      <c r="Q325" s="8"/>
      <c r="AC325" s="37">
        <f t="shared" si="4"/>
        <v>48</v>
      </c>
    </row>
    <row r="326" spans="1:29" s="37" customFormat="1" ht="14.25" customHeight="1" outlineLevel="1">
      <c r="A326" s="8"/>
      <c r="B326" s="233" t="str">
        <f t="shared" si="5"/>
        <v/>
      </c>
      <c r="C326" s="271" t="s">
        <v>508</v>
      </c>
      <c r="D326" s="272" t="s">
        <v>508</v>
      </c>
      <c r="E326" s="270" t="s">
        <v>508</v>
      </c>
      <c r="F326" s="219" t="str">
        <f t="shared" si="6"/>
        <v/>
      </c>
      <c r="G326" s="276" t="s">
        <v>508</v>
      </c>
      <c r="H326" s="277" t="s">
        <v>465</v>
      </c>
      <c r="I326" s="78"/>
      <c r="J326" s="8"/>
      <c r="K326" s="8"/>
      <c r="L326" s="63"/>
      <c r="M326" s="16"/>
      <c r="O326" s="15"/>
      <c r="Q326" s="8"/>
      <c r="AC326" s="37">
        <f t="shared" si="4"/>
        <v>49</v>
      </c>
    </row>
    <row r="327" spans="1:29" s="37" customFormat="1" ht="14.25" customHeight="1" outlineLevel="1">
      <c r="A327" s="8"/>
      <c r="B327" s="233" t="str">
        <f t="shared" si="5"/>
        <v/>
      </c>
      <c r="C327" s="271" t="s">
        <v>508</v>
      </c>
      <c r="D327" s="272" t="s">
        <v>508</v>
      </c>
      <c r="E327" s="270" t="s">
        <v>508</v>
      </c>
      <c r="F327" s="219" t="str">
        <f t="shared" si="6"/>
        <v/>
      </c>
      <c r="G327" s="276" t="s">
        <v>508</v>
      </c>
      <c r="H327" s="277" t="s">
        <v>465</v>
      </c>
      <c r="I327" s="78"/>
      <c r="J327" s="8"/>
      <c r="K327" s="8"/>
      <c r="L327" s="63"/>
      <c r="M327" s="16"/>
      <c r="O327" s="15"/>
      <c r="Q327" s="8"/>
      <c r="AC327" s="37">
        <f t="shared" si="4"/>
        <v>50</v>
      </c>
    </row>
    <row r="328" spans="1:29" s="37" customFormat="1" ht="14.25" customHeight="1" outlineLevel="1">
      <c r="A328" s="8"/>
      <c r="B328" s="233" t="str">
        <f t="shared" si="5"/>
        <v/>
      </c>
      <c r="C328" s="271" t="s">
        <v>508</v>
      </c>
      <c r="D328" s="272" t="s">
        <v>508</v>
      </c>
      <c r="E328" s="270" t="s">
        <v>508</v>
      </c>
      <c r="F328" s="219" t="str">
        <f t="shared" si="6"/>
        <v/>
      </c>
      <c r="G328" s="276" t="s">
        <v>508</v>
      </c>
      <c r="H328" s="277" t="s">
        <v>465</v>
      </c>
      <c r="I328" s="78"/>
      <c r="J328" s="8"/>
      <c r="K328" s="8"/>
      <c r="L328" s="63"/>
      <c r="M328" s="16"/>
      <c r="O328" s="15"/>
      <c r="Q328" s="8"/>
      <c r="AC328" s="37">
        <f t="shared" si="4"/>
        <v>51</v>
      </c>
    </row>
    <row r="329" spans="1:29" s="37" customFormat="1" ht="14.25" customHeight="1" outlineLevel="1">
      <c r="A329" s="8"/>
      <c r="B329" s="233" t="str">
        <f t="shared" si="5"/>
        <v/>
      </c>
      <c r="C329" s="271" t="s">
        <v>508</v>
      </c>
      <c r="D329" s="272" t="s">
        <v>508</v>
      </c>
      <c r="E329" s="270" t="s">
        <v>508</v>
      </c>
      <c r="F329" s="219" t="str">
        <f t="shared" si="6"/>
        <v/>
      </c>
      <c r="G329" s="276" t="s">
        <v>508</v>
      </c>
      <c r="H329" s="277" t="s">
        <v>465</v>
      </c>
      <c r="I329" s="78"/>
      <c r="J329" s="8"/>
      <c r="K329" s="8"/>
      <c r="L329" s="63"/>
      <c r="M329" s="16"/>
      <c r="O329" s="15"/>
      <c r="Q329" s="8"/>
      <c r="AC329" s="37">
        <f t="shared" si="4"/>
        <v>52</v>
      </c>
    </row>
    <row r="330" spans="1:29" s="37" customFormat="1" ht="14.25" customHeight="1" outlineLevel="1">
      <c r="A330" s="8"/>
      <c r="B330" s="233" t="str">
        <f t="shared" si="5"/>
        <v/>
      </c>
      <c r="C330" s="271" t="s">
        <v>508</v>
      </c>
      <c r="D330" s="272" t="s">
        <v>508</v>
      </c>
      <c r="E330" s="270" t="s">
        <v>508</v>
      </c>
      <c r="F330" s="219" t="str">
        <f t="shared" si="6"/>
        <v/>
      </c>
      <c r="G330" s="276" t="s">
        <v>508</v>
      </c>
      <c r="H330" s="277" t="s">
        <v>465</v>
      </c>
      <c r="I330" s="78"/>
      <c r="J330" s="8"/>
      <c r="K330" s="8"/>
      <c r="L330" s="63"/>
      <c r="M330" s="16"/>
      <c r="O330" s="15"/>
      <c r="Q330" s="8"/>
      <c r="AC330" s="37">
        <f t="shared" si="4"/>
        <v>53</v>
      </c>
    </row>
    <row r="331" spans="1:29" s="37" customFormat="1" ht="14.25" customHeight="1" outlineLevel="1">
      <c r="A331" s="8"/>
      <c r="B331" s="233" t="str">
        <f t="shared" si="5"/>
        <v/>
      </c>
      <c r="C331" s="271" t="s">
        <v>508</v>
      </c>
      <c r="D331" s="272" t="s">
        <v>508</v>
      </c>
      <c r="E331" s="270" t="s">
        <v>508</v>
      </c>
      <c r="F331" s="219" t="str">
        <f t="shared" si="6"/>
        <v/>
      </c>
      <c r="G331" s="276" t="s">
        <v>508</v>
      </c>
      <c r="H331" s="277" t="s">
        <v>465</v>
      </c>
      <c r="I331" s="78"/>
      <c r="J331" s="8"/>
      <c r="K331" s="8"/>
      <c r="L331" s="63"/>
      <c r="M331" s="16"/>
      <c r="O331" s="15"/>
      <c r="Q331" s="8"/>
      <c r="AC331" s="37">
        <f t="shared" si="4"/>
        <v>54</v>
      </c>
    </row>
    <row r="332" spans="1:29" s="37" customFormat="1" ht="14.25" customHeight="1" outlineLevel="1">
      <c r="A332" s="8"/>
      <c r="B332" s="233" t="str">
        <f t="shared" si="5"/>
        <v/>
      </c>
      <c r="C332" s="271" t="s">
        <v>508</v>
      </c>
      <c r="D332" s="272" t="s">
        <v>508</v>
      </c>
      <c r="E332" s="270" t="s">
        <v>508</v>
      </c>
      <c r="F332" s="219" t="str">
        <f t="shared" si="6"/>
        <v/>
      </c>
      <c r="G332" s="276" t="s">
        <v>508</v>
      </c>
      <c r="H332" s="277" t="s">
        <v>465</v>
      </c>
      <c r="I332" s="78"/>
      <c r="J332" s="8"/>
      <c r="K332" s="8"/>
      <c r="L332" s="63"/>
      <c r="M332" s="16"/>
      <c r="O332" s="15"/>
      <c r="Q332" s="8"/>
      <c r="AC332" s="37">
        <f t="shared" si="4"/>
        <v>55</v>
      </c>
    </row>
    <row r="333" spans="1:29" s="37" customFormat="1" ht="14.25" customHeight="1" outlineLevel="1">
      <c r="A333" s="8"/>
      <c r="B333" s="233" t="str">
        <f t="shared" si="5"/>
        <v/>
      </c>
      <c r="C333" s="271" t="s">
        <v>508</v>
      </c>
      <c r="D333" s="272" t="s">
        <v>508</v>
      </c>
      <c r="E333" s="270" t="s">
        <v>508</v>
      </c>
      <c r="F333" s="219" t="str">
        <f t="shared" si="6"/>
        <v/>
      </c>
      <c r="G333" s="276" t="s">
        <v>508</v>
      </c>
      <c r="H333" s="277" t="s">
        <v>465</v>
      </c>
      <c r="I333" s="78"/>
      <c r="J333" s="8"/>
      <c r="K333" s="8"/>
      <c r="L333" s="63"/>
      <c r="M333" s="16"/>
      <c r="O333" s="15"/>
      <c r="Q333" s="8"/>
      <c r="AC333" s="37">
        <f t="shared" si="4"/>
        <v>56</v>
      </c>
    </row>
    <row r="334" spans="1:29" s="37" customFormat="1" ht="14.25" customHeight="1" outlineLevel="1">
      <c r="A334" s="8"/>
      <c r="B334" s="233" t="str">
        <f t="shared" si="5"/>
        <v/>
      </c>
      <c r="C334" s="271" t="s">
        <v>508</v>
      </c>
      <c r="D334" s="272" t="s">
        <v>508</v>
      </c>
      <c r="E334" s="270" t="s">
        <v>508</v>
      </c>
      <c r="F334" s="219" t="str">
        <f t="shared" si="6"/>
        <v/>
      </c>
      <c r="G334" s="276" t="s">
        <v>508</v>
      </c>
      <c r="H334" s="277" t="s">
        <v>465</v>
      </c>
      <c r="I334" s="78"/>
      <c r="J334" s="8"/>
      <c r="K334" s="8"/>
      <c r="L334" s="63"/>
      <c r="M334" s="16"/>
      <c r="O334" s="15"/>
      <c r="Q334" s="8"/>
      <c r="AC334" s="37">
        <f t="shared" si="4"/>
        <v>57</v>
      </c>
    </row>
    <row r="335" spans="1:29" s="37" customFormat="1" ht="14.25" customHeight="1" outlineLevel="1">
      <c r="A335" s="8"/>
      <c r="B335" s="233" t="str">
        <f t="shared" si="5"/>
        <v/>
      </c>
      <c r="C335" s="271" t="s">
        <v>508</v>
      </c>
      <c r="D335" s="272" t="s">
        <v>508</v>
      </c>
      <c r="E335" s="270" t="s">
        <v>508</v>
      </c>
      <c r="F335" s="219" t="str">
        <f t="shared" si="6"/>
        <v/>
      </c>
      <c r="G335" s="276" t="s">
        <v>508</v>
      </c>
      <c r="H335" s="277" t="s">
        <v>465</v>
      </c>
      <c r="I335" s="78"/>
      <c r="J335" s="8"/>
      <c r="K335" s="8"/>
      <c r="L335" s="63"/>
      <c r="M335" s="16"/>
      <c r="O335" s="15"/>
      <c r="Q335" s="8"/>
      <c r="AC335" s="37">
        <f t="shared" si="4"/>
        <v>58</v>
      </c>
    </row>
    <row r="336" spans="1:29" s="37" customFormat="1" ht="14.25" customHeight="1" outlineLevel="1">
      <c r="A336" s="8"/>
      <c r="B336" s="233" t="str">
        <f t="shared" si="5"/>
        <v/>
      </c>
      <c r="C336" s="271" t="s">
        <v>508</v>
      </c>
      <c r="D336" s="272" t="s">
        <v>508</v>
      </c>
      <c r="E336" s="270" t="s">
        <v>508</v>
      </c>
      <c r="F336" s="219" t="str">
        <f t="shared" si="6"/>
        <v/>
      </c>
      <c r="G336" s="276" t="s">
        <v>508</v>
      </c>
      <c r="H336" s="277" t="s">
        <v>465</v>
      </c>
      <c r="I336" s="78"/>
      <c r="J336" s="8"/>
      <c r="K336" s="8"/>
      <c r="L336" s="63"/>
      <c r="M336" s="16"/>
      <c r="O336" s="15"/>
      <c r="Q336" s="8"/>
      <c r="AC336" s="37">
        <f t="shared" si="4"/>
        <v>59</v>
      </c>
    </row>
    <row r="337" spans="1:29" s="37" customFormat="1" ht="14.25" customHeight="1" outlineLevel="1">
      <c r="A337" s="8"/>
      <c r="B337" s="233" t="str">
        <f t="shared" si="5"/>
        <v/>
      </c>
      <c r="C337" s="271" t="s">
        <v>508</v>
      </c>
      <c r="D337" s="272" t="s">
        <v>508</v>
      </c>
      <c r="E337" s="270" t="s">
        <v>508</v>
      </c>
      <c r="F337" s="219" t="str">
        <f t="shared" si="6"/>
        <v/>
      </c>
      <c r="G337" s="276" t="s">
        <v>508</v>
      </c>
      <c r="H337" s="277" t="s">
        <v>465</v>
      </c>
      <c r="I337" s="78"/>
      <c r="J337" s="8"/>
      <c r="K337" s="8"/>
      <c r="L337" s="63"/>
      <c r="M337" s="16"/>
      <c r="O337" s="15"/>
      <c r="Q337" s="8"/>
      <c r="AC337" s="37">
        <f t="shared" si="4"/>
        <v>60</v>
      </c>
    </row>
    <row r="338" spans="1:29" s="37" customFormat="1" ht="14.25" customHeight="1" outlineLevel="1">
      <c r="A338" s="8"/>
      <c r="B338" s="233" t="str">
        <f t="shared" si="5"/>
        <v/>
      </c>
      <c r="C338" s="271" t="s">
        <v>508</v>
      </c>
      <c r="D338" s="272" t="s">
        <v>508</v>
      </c>
      <c r="E338" s="270" t="s">
        <v>508</v>
      </c>
      <c r="F338" s="219" t="str">
        <f t="shared" si="6"/>
        <v/>
      </c>
      <c r="G338" s="276" t="s">
        <v>508</v>
      </c>
      <c r="H338" s="277" t="s">
        <v>465</v>
      </c>
      <c r="I338" s="78"/>
      <c r="J338" s="8"/>
      <c r="K338" s="8"/>
      <c r="L338" s="63"/>
      <c r="M338" s="16"/>
      <c r="O338" s="15"/>
      <c r="Q338" s="8"/>
      <c r="AC338" s="37">
        <f t="shared" si="4"/>
        <v>61</v>
      </c>
    </row>
    <row r="339" spans="1:29" s="37" customFormat="1" ht="14.25" customHeight="1" outlineLevel="1">
      <c r="A339" s="8"/>
      <c r="B339" s="233" t="str">
        <f t="shared" si="5"/>
        <v/>
      </c>
      <c r="C339" s="271" t="s">
        <v>508</v>
      </c>
      <c r="D339" s="272" t="s">
        <v>508</v>
      </c>
      <c r="E339" s="270" t="s">
        <v>508</v>
      </c>
      <c r="F339" s="219" t="str">
        <f t="shared" si="6"/>
        <v/>
      </c>
      <c r="G339" s="276" t="s">
        <v>508</v>
      </c>
      <c r="H339" s="277" t="s">
        <v>465</v>
      </c>
      <c r="I339" s="78"/>
      <c r="J339" s="8"/>
      <c r="K339" s="8"/>
      <c r="L339" s="63"/>
      <c r="M339" s="16"/>
      <c r="O339" s="15"/>
      <c r="Q339" s="8"/>
      <c r="AC339" s="37">
        <f t="shared" si="4"/>
        <v>62</v>
      </c>
    </row>
    <row r="340" spans="1:29" s="37" customFormat="1" ht="14.25" customHeight="1" outlineLevel="1">
      <c r="A340" s="8"/>
      <c r="B340" s="234" t="str">
        <f>IF(AND(C340="None",D340="None",E340="None"),IF(AC340&lt;=FUSELAGE_n_rows_FC+FUSELAGE_n_rows_BC+FUSELAGE_n_rows_YC,AC340,""),"")</f>
        <v/>
      </c>
      <c r="C340" s="273" t="s">
        <v>508</v>
      </c>
      <c r="D340" s="274" t="s">
        <v>508</v>
      </c>
      <c r="E340" s="275" t="s">
        <v>508</v>
      </c>
      <c r="F340" s="220" t="str">
        <f t="shared" si="6"/>
        <v/>
      </c>
      <c r="G340" s="278" t="s">
        <v>508</v>
      </c>
      <c r="H340" s="279" t="s">
        <v>465</v>
      </c>
      <c r="I340" s="78"/>
      <c r="J340" s="8"/>
      <c r="K340" s="8"/>
      <c r="L340" s="63"/>
      <c r="M340" s="16"/>
      <c r="O340" s="15"/>
      <c r="Q340" s="8"/>
      <c r="AC340" s="37">
        <f t="shared" si="4"/>
        <v>63</v>
      </c>
    </row>
    <row r="341" spans="1:29" s="37" customFormat="1" ht="14.25" customHeight="1" outlineLevel="1" thickBot="1">
      <c r="A341" s="8"/>
      <c r="B341" s="65"/>
      <c r="C341" s="90"/>
      <c r="D341" s="67"/>
      <c r="E341" s="98"/>
      <c r="F341" s="66"/>
      <c r="G341" s="67"/>
      <c r="H341" s="66"/>
      <c r="I341" s="66"/>
      <c r="J341" s="103"/>
      <c r="K341" s="66"/>
      <c r="L341" s="104"/>
      <c r="M341" s="16"/>
      <c r="N341" s="16"/>
      <c r="O341" s="15"/>
      <c r="Q341" s="8"/>
    </row>
    <row r="342" spans="1:29" s="37" customFormat="1" ht="14.25" customHeight="1" outlineLevel="1">
      <c r="A342" s="8"/>
      <c r="B342" s="16"/>
      <c r="C342" s="7"/>
      <c r="D342" s="8"/>
      <c r="E342" s="18"/>
      <c r="F342" s="16"/>
      <c r="G342" s="8"/>
      <c r="H342" s="16"/>
      <c r="I342" s="16"/>
      <c r="J342" s="100"/>
      <c r="K342" s="16"/>
      <c r="L342" s="16"/>
      <c r="M342" s="16"/>
      <c r="N342" s="16"/>
      <c r="O342" s="15"/>
      <c r="Q342" s="8"/>
    </row>
    <row r="343" spans="1:29" s="37" customFormat="1" ht="14.25" customHeight="1" outlineLevel="1" thickBot="1">
      <c r="A343" s="8"/>
      <c r="B343" s="16"/>
      <c r="C343" s="7"/>
      <c r="D343" s="8"/>
      <c r="E343" s="18"/>
      <c r="F343" s="16"/>
      <c r="G343" s="8"/>
      <c r="H343" s="16"/>
      <c r="I343" s="16"/>
      <c r="J343" s="100"/>
      <c r="K343" s="16"/>
      <c r="L343" s="16"/>
      <c r="M343" s="16"/>
      <c r="N343" s="16"/>
      <c r="O343" s="15"/>
      <c r="Q343" s="8"/>
    </row>
    <row r="344" spans="1:29" s="37" customFormat="1" ht="14.25" customHeight="1" outlineLevel="1">
      <c r="A344" s="8"/>
      <c r="B344" s="246" t="s">
        <v>442</v>
      </c>
      <c r="C344" s="87"/>
      <c r="D344" s="57"/>
      <c r="E344" s="58"/>
      <c r="F344" s="60"/>
      <c r="G344" s="57"/>
      <c r="H344" s="60"/>
      <c r="I344" s="60"/>
      <c r="J344" s="101"/>
      <c r="K344" s="60"/>
      <c r="L344" s="102"/>
      <c r="M344" s="16"/>
      <c r="N344" s="16"/>
      <c r="O344" s="15"/>
      <c r="Q344" s="8"/>
    </row>
    <row r="345" spans="1:29" s="37" customFormat="1" ht="14.25" customHeight="1" outlineLevel="1">
      <c r="A345" s="8"/>
      <c r="B345" s="61"/>
      <c r="C345" s="7"/>
      <c r="D345" s="8"/>
      <c r="E345" s="18"/>
      <c r="F345" s="16"/>
      <c r="G345" s="8"/>
      <c r="H345" s="16"/>
      <c r="I345" s="16"/>
      <c r="J345" s="100"/>
      <c r="K345" s="16"/>
      <c r="L345" s="62"/>
      <c r="M345" s="16"/>
      <c r="N345" s="16"/>
      <c r="O345" s="15"/>
      <c r="Q345" s="8"/>
    </row>
    <row r="346" spans="1:29" s="37" customFormat="1" ht="14.25" customHeight="1" outlineLevel="1">
      <c r="A346" s="8"/>
      <c r="B346" s="61"/>
      <c r="C346" s="7"/>
      <c r="D346" s="8"/>
      <c r="E346" s="18"/>
      <c r="F346" s="16"/>
      <c r="G346" s="8"/>
      <c r="H346" s="16"/>
      <c r="I346" s="16"/>
      <c r="J346" s="100"/>
      <c r="K346" s="16"/>
      <c r="L346" s="62"/>
      <c r="M346" s="16"/>
      <c r="N346" s="16"/>
      <c r="O346" s="15"/>
      <c r="Q346" s="8"/>
      <c r="Y346" s="208"/>
      <c r="Z346" s="303" t="s">
        <v>731</v>
      </c>
      <c r="AA346" s="152"/>
    </row>
    <row r="347" spans="1:29" s="37" customFormat="1" ht="14.25" customHeight="1" outlineLevel="1">
      <c r="A347" s="8"/>
      <c r="B347" s="61"/>
      <c r="C347" s="7"/>
      <c r="D347" s="8"/>
      <c r="E347" s="18"/>
      <c r="F347" s="16"/>
      <c r="G347" s="8"/>
      <c r="H347" s="16"/>
      <c r="I347" s="16"/>
      <c r="J347" s="100"/>
      <c r="K347" s="16"/>
      <c r="L347" s="62"/>
      <c r="M347" s="16"/>
      <c r="N347" s="16"/>
      <c r="O347" s="15"/>
      <c r="Q347" s="8"/>
      <c r="Y347" s="208"/>
      <c r="Z347" s="301" t="s">
        <v>727</v>
      </c>
      <c r="AA347" s="299">
        <v>2</v>
      </c>
      <c r="AB347" s="37" t="s">
        <v>266</v>
      </c>
    </row>
    <row r="348" spans="1:29" s="37" customFormat="1" ht="14.25" customHeight="1" outlineLevel="1">
      <c r="A348" s="8"/>
      <c r="B348" s="61"/>
      <c r="C348" s="7"/>
      <c r="D348" s="8"/>
      <c r="E348" s="18"/>
      <c r="F348" s="16"/>
      <c r="G348" s="8"/>
      <c r="H348" s="16"/>
      <c r="I348" s="16"/>
      <c r="J348" s="100"/>
      <c r="K348" s="16"/>
      <c r="L348" s="62"/>
      <c r="M348" s="16"/>
      <c r="N348" s="16"/>
      <c r="O348" s="15"/>
      <c r="Q348" s="8"/>
      <c r="Y348" s="208"/>
      <c r="Z348" s="301" t="s">
        <v>728</v>
      </c>
      <c r="AA348" s="300">
        <v>2</v>
      </c>
      <c r="AB348" s="37" t="s">
        <v>266</v>
      </c>
    </row>
    <row r="349" spans="1:29" s="37" customFormat="1" ht="14.25" customHeight="1" outlineLevel="1">
      <c r="A349" s="8"/>
      <c r="B349" s="61"/>
      <c r="C349" s="7"/>
      <c r="D349" s="8"/>
      <c r="E349" s="18"/>
      <c r="F349" s="16"/>
      <c r="G349" s="8"/>
      <c r="H349" s="16"/>
      <c r="I349" s="16"/>
      <c r="J349" s="100"/>
      <c r="K349" s="16"/>
      <c r="L349" s="62"/>
      <c r="M349" s="16"/>
      <c r="N349" s="16"/>
      <c r="O349" s="15"/>
      <c r="Q349" s="8"/>
      <c r="Y349" s="208"/>
      <c r="Z349" s="301" t="s">
        <v>729</v>
      </c>
      <c r="AA349" s="299">
        <v>0.4</v>
      </c>
      <c r="AB349" s="37" t="s">
        <v>266</v>
      </c>
    </row>
    <row r="350" spans="1:29" s="37" customFormat="1" ht="14.25" customHeight="1" outlineLevel="1">
      <c r="A350" s="8"/>
      <c r="B350" s="61"/>
      <c r="C350" s="7"/>
      <c r="D350" s="8"/>
      <c r="E350" s="18"/>
      <c r="F350" s="16"/>
      <c r="G350" s="8"/>
      <c r="H350" s="16"/>
      <c r="I350" s="16"/>
      <c r="J350" s="100"/>
      <c r="K350" s="16"/>
      <c r="L350" s="62"/>
      <c r="M350" s="16"/>
      <c r="N350" s="16"/>
      <c r="O350" s="15"/>
      <c r="Q350" s="8"/>
      <c r="Y350" s="208"/>
      <c r="Z350" s="301" t="s">
        <v>535</v>
      </c>
      <c r="AA350" s="299">
        <v>0.8</v>
      </c>
      <c r="AB350" s="37" t="s">
        <v>266</v>
      </c>
    </row>
    <row r="351" spans="1:29" s="37" customFormat="1" ht="14.25" customHeight="1" outlineLevel="1">
      <c r="A351" s="8"/>
      <c r="B351" s="61"/>
      <c r="C351" s="7"/>
      <c r="D351" s="8"/>
      <c r="E351" s="18"/>
      <c r="F351" s="16"/>
      <c r="G351" s="8"/>
      <c r="H351" s="16"/>
      <c r="I351" s="16"/>
      <c r="J351" s="100"/>
      <c r="K351" s="16"/>
      <c r="L351" s="62"/>
      <c r="M351" s="16"/>
      <c r="N351" s="16"/>
      <c r="O351" s="15"/>
      <c r="Q351" s="8"/>
      <c r="Y351" s="155"/>
      <c r="Z351" s="302" t="s">
        <v>730</v>
      </c>
      <c r="AA351" s="299">
        <v>0.7</v>
      </c>
      <c r="AB351" s="37" t="s">
        <v>266</v>
      </c>
    </row>
    <row r="352" spans="1:29" s="37" customFormat="1" ht="14.25" customHeight="1" outlineLevel="1">
      <c r="A352" s="8"/>
      <c r="B352" s="61"/>
      <c r="C352" s="7"/>
      <c r="D352" s="8"/>
      <c r="E352" s="18"/>
      <c r="F352" s="16"/>
      <c r="G352" s="8"/>
      <c r="H352" s="16"/>
      <c r="I352" s="16"/>
      <c r="J352" s="100"/>
      <c r="K352" s="16"/>
      <c r="L352" s="62"/>
      <c r="M352" s="16"/>
      <c r="N352" s="16"/>
      <c r="O352" s="15"/>
      <c r="Q352" s="8"/>
    </row>
    <row r="353" spans="1:17" s="37" customFormat="1" ht="14.25" customHeight="1" outlineLevel="1">
      <c r="A353" s="8"/>
      <c r="B353" s="61"/>
      <c r="C353" s="7"/>
      <c r="D353" s="8"/>
      <c r="E353" s="18"/>
      <c r="F353" s="16"/>
      <c r="G353" s="8"/>
      <c r="H353" s="16"/>
      <c r="I353" s="16"/>
      <c r="J353" s="100"/>
      <c r="K353" s="16"/>
      <c r="L353" s="62"/>
      <c r="M353" s="16"/>
      <c r="N353" s="16"/>
      <c r="O353" s="15"/>
      <c r="Q353" s="8"/>
    </row>
    <row r="354" spans="1:17" s="37" customFormat="1" ht="14.25" customHeight="1" outlineLevel="1">
      <c r="A354" s="8"/>
      <c r="B354" s="61"/>
      <c r="C354" s="7"/>
      <c r="D354" s="8"/>
      <c r="E354" s="18"/>
      <c r="F354" s="16"/>
      <c r="G354" s="8"/>
      <c r="H354" s="16"/>
      <c r="I354" s="16"/>
      <c r="J354" s="100"/>
      <c r="K354" s="16"/>
      <c r="L354" s="62"/>
      <c r="M354" s="16"/>
      <c r="N354" s="16"/>
      <c r="O354" s="15"/>
      <c r="Q354" s="8"/>
    </row>
    <row r="355" spans="1:17" s="37" customFormat="1" ht="14.25" customHeight="1" outlineLevel="1">
      <c r="A355" s="8"/>
      <c r="B355" s="61"/>
      <c r="C355" s="7"/>
      <c r="D355" s="8"/>
      <c r="E355" s="18"/>
      <c r="F355" s="16"/>
      <c r="G355" s="8"/>
      <c r="H355" s="16"/>
      <c r="I355" s="16"/>
      <c r="J355" s="100"/>
      <c r="K355" s="16"/>
      <c r="L355" s="62"/>
      <c r="M355" s="16"/>
      <c r="N355" s="16"/>
      <c r="O355" s="15"/>
      <c r="Q355" s="8"/>
    </row>
    <row r="356" spans="1:17" s="37" customFormat="1" ht="14.25" customHeight="1" outlineLevel="1">
      <c r="A356" s="8"/>
      <c r="B356" s="61"/>
      <c r="C356" s="7"/>
      <c r="D356" s="8"/>
      <c r="E356" s="18"/>
      <c r="F356" s="16"/>
      <c r="G356" s="8"/>
      <c r="H356" s="16"/>
      <c r="I356" s="16"/>
      <c r="J356" s="100"/>
      <c r="K356" s="16"/>
      <c r="L356" s="62"/>
      <c r="M356" s="16"/>
      <c r="N356" s="16"/>
      <c r="O356" s="15"/>
      <c r="Q356" s="8"/>
    </row>
    <row r="357" spans="1:17" s="37" customFormat="1" ht="14.25" customHeight="1" outlineLevel="1">
      <c r="A357" s="8"/>
      <c r="B357" s="61"/>
      <c r="C357" s="7"/>
      <c r="D357" s="8"/>
      <c r="E357" s="18"/>
      <c r="F357" s="16"/>
      <c r="G357" s="8"/>
      <c r="H357" s="16"/>
      <c r="I357" s="16"/>
      <c r="J357" s="100"/>
      <c r="K357" s="16"/>
      <c r="L357" s="62"/>
      <c r="M357" s="16"/>
      <c r="N357" s="16"/>
      <c r="O357" s="15"/>
      <c r="Q357" s="8"/>
    </row>
    <row r="358" spans="1:17" s="37" customFormat="1" ht="14.25" customHeight="1" outlineLevel="1" thickBot="1">
      <c r="A358" s="8"/>
      <c r="B358" s="65"/>
      <c r="C358" s="90"/>
      <c r="D358" s="67"/>
      <c r="E358" s="98"/>
      <c r="F358" s="66"/>
      <c r="G358" s="67"/>
      <c r="H358" s="66"/>
      <c r="I358" s="66"/>
      <c r="J358" s="103"/>
      <c r="K358" s="66"/>
      <c r="L358" s="104"/>
      <c r="M358" s="16"/>
      <c r="N358" s="16"/>
      <c r="O358" s="15"/>
      <c r="Q358" s="8"/>
    </row>
    <row r="359" spans="1:17" s="37" customFormat="1" ht="14.25" customHeight="1" outlineLevel="1">
      <c r="A359" s="8"/>
      <c r="B359" s="60"/>
      <c r="C359" s="87"/>
      <c r="D359" s="57"/>
      <c r="E359" s="58"/>
      <c r="F359" s="60"/>
      <c r="G359" s="57"/>
      <c r="H359" s="60"/>
      <c r="I359" s="60"/>
      <c r="J359" s="101"/>
      <c r="K359" s="60"/>
      <c r="L359" s="60"/>
      <c r="M359" s="16"/>
      <c r="N359" s="16"/>
      <c r="O359" s="15"/>
      <c r="Q359" s="8"/>
    </row>
    <row r="360" spans="1:17" s="48" customFormat="1" ht="14.25" customHeight="1">
      <c r="A360" s="44" t="s">
        <v>587</v>
      </c>
      <c r="B360" s="13" t="s">
        <v>97</v>
      </c>
      <c r="C360" s="44"/>
      <c r="D360" s="49"/>
      <c r="E360" s="45"/>
      <c r="F360" s="45"/>
      <c r="G360" s="44"/>
      <c r="H360" s="45"/>
      <c r="I360" s="45"/>
      <c r="J360" s="80"/>
      <c r="M360" s="45"/>
      <c r="N360" s="45"/>
      <c r="O360" s="47"/>
      <c r="Q360" s="44"/>
    </row>
    <row r="361" spans="1:17" s="37" customFormat="1" ht="14.25" customHeight="1" outlineLevel="1" thickBot="1">
      <c r="A361" s="8"/>
      <c r="B361" s="6"/>
      <c r="C361" s="7"/>
      <c r="D361" s="8"/>
      <c r="E361" s="18"/>
      <c r="F361" s="16"/>
      <c r="G361" s="8"/>
      <c r="H361" s="16"/>
      <c r="I361" s="16"/>
      <c r="J361" s="100"/>
      <c r="K361" s="16"/>
      <c r="L361" s="66"/>
      <c r="M361" s="16"/>
      <c r="N361" s="16"/>
      <c r="O361" s="15"/>
      <c r="Q361" s="8"/>
    </row>
    <row r="362" spans="1:17" s="37" customFormat="1" ht="14.25" customHeight="1" outlineLevel="1">
      <c r="A362" s="8"/>
      <c r="B362" s="86" t="s">
        <v>301</v>
      </c>
      <c r="C362" s="87"/>
      <c r="D362" s="57"/>
      <c r="E362" s="58"/>
      <c r="F362" s="60"/>
      <c r="G362" s="57"/>
      <c r="H362" s="60"/>
      <c r="I362" s="60"/>
      <c r="J362" s="101"/>
      <c r="K362" s="60"/>
      <c r="L362" s="102"/>
      <c r="M362" s="16"/>
      <c r="N362" s="16"/>
      <c r="O362" s="15"/>
      <c r="Q362" s="8"/>
    </row>
    <row r="363" spans="1:17" s="37" customFormat="1" ht="14.25" customHeight="1" outlineLevel="1">
      <c r="A363" s="8"/>
      <c r="B363" s="61"/>
      <c r="C363" s="7"/>
      <c r="D363" s="8"/>
      <c r="E363" s="18"/>
      <c r="F363" s="16"/>
      <c r="G363" s="8"/>
      <c r="H363" s="16"/>
      <c r="I363" s="16"/>
      <c r="J363" s="100"/>
      <c r="K363" s="16"/>
      <c r="L363" s="62"/>
      <c r="M363" s="16"/>
      <c r="N363" s="16"/>
      <c r="O363" s="15"/>
      <c r="Q363" s="8"/>
    </row>
    <row r="364" spans="1:17" s="37" customFormat="1" ht="14.25" customHeight="1" outlineLevel="1">
      <c r="A364" s="8"/>
      <c r="B364" s="61" t="s">
        <v>99</v>
      </c>
      <c r="C364" s="7" t="s">
        <v>519</v>
      </c>
      <c r="D364" s="51">
        <v>1.53</v>
      </c>
      <c r="E364" s="37" t="s">
        <v>395</v>
      </c>
      <c r="F364" s="16"/>
      <c r="G364" s="7" t="s">
        <v>618</v>
      </c>
      <c r="H364" s="16"/>
      <c r="I364" s="16" t="s">
        <v>515</v>
      </c>
      <c r="J364" s="7" t="s">
        <v>102</v>
      </c>
      <c r="K364" s="148">
        <f>FUSELAGE_d_fo*FUSELAGE_lnose_df</f>
        <v>4.9124614728423515</v>
      </c>
      <c r="L364" s="62" t="s">
        <v>266</v>
      </c>
      <c r="M364" s="16"/>
      <c r="N364" s="16"/>
      <c r="O364" s="15"/>
      <c r="Q364" s="8"/>
    </row>
    <row r="365" spans="1:17" s="37" customFormat="1" ht="14.25" customHeight="1" outlineLevel="1">
      <c r="A365" s="8"/>
      <c r="B365" s="61"/>
      <c r="C365" s="7"/>
      <c r="D365" s="8"/>
      <c r="E365" s="18"/>
      <c r="F365" s="16"/>
      <c r="G365" s="7"/>
      <c r="H365" s="16"/>
      <c r="I365" s="16"/>
      <c r="J365" s="100"/>
      <c r="K365" s="16"/>
      <c r="L365" s="62"/>
      <c r="M365" s="16"/>
      <c r="N365" s="16"/>
      <c r="O365" s="15"/>
      <c r="Q365" s="8"/>
    </row>
    <row r="366" spans="1:17" s="37" customFormat="1" ht="14.25" customHeight="1" outlineLevel="1">
      <c r="A366" s="8"/>
      <c r="B366" s="61" t="s">
        <v>105</v>
      </c>
      <c r="C366" s="7" t="s">
        <v>36</v>
      </c>
      <c r="D366" s="51">
        <v>-9.0999999999999998E-2</v>
      </c>
      <c r="E366" s="37" t="s">
        <v>266</v>
      </c>
      <c r="L366" s="63"/>
      <c r="M366" s="16"/>
      <c r="N366" s="16"/>
      <c r="O366" s="15"/>
      <c r="Q366" s="8"/>
    </row>
    <row r="367" spans="1:17" s="37" customFormat="1" ht="14.25" customHeight="1" outlineLevel="1">
      <c r="A367" s="8"/>
      <c r="B367" s="61"/>
      <c r="C367" s="7"/>
      <c r="D367" s="8"/>
      <c r="E367" s="18"/>
      <c r="F367" s="16"/>
      <c r="G367" s="8"/>
      <c r="H367" s="16"/>
      <c r="I367" s="16"/>
      <c r="J367" s="100"/>
      <c r="K367" s="16"/>
      <c r="L367" s="62"/>
      <c r="M367" s="16"/>
      <c r="N367" s="16"/>
      <c r="O367" s="15"/>
      <c r="Q367" s="8"/>
    </row>
    <row r="368" spans="1:17" s="37" customFormat="1" ht="14.25" customHeight="1" outlineLevel="1">
      <c r="A368" s="8"/>
      <c r="B368" s="61" t="s">
        <v>100</v>
      </c>
      <c r="C368" s="7" t="s">
        <v>94</v>
      </c>
      <c r="D368" s="51">
        <v>2.8</v>
      </c>
      <c r="E368" s="16" t="s">
        <v>395</v>
      </c>
      <c r="F368" s="16"/>
      <c r="G368" s="7" t="s">
        <v>618</v>
      </c>
      <c r="H368" s="16"/>
      <c r="I368" s="16" t="s">
        <v>101</v>
      </c>
      <c r="J368" s="7" t="s">
        <v>103</v>
      </c>
      <c r="K368" s="148">
        <f>FUSELAGE_d_fo*FUSELAGE_ltail_df</f>
        <v>8.9901255712147599</v>
      </c>
      <c r="L368" s="62" t="s">
        <v>266</v>
      </c>
      <c r="M368" s="16"/>
      <c r="N368" s="16"/>
      <c r="O368" s="15"/>
      <c r="Q368" s="8"/>
    </row>
    <row r="369" spans="1:17" s="37" customFormat="1" ht="14.25" customHeight="1" outlineLevel="1">
      <c r="A369" s="8"/>
      <c r="B369" s="61"/>
      <c r="C369" s="7"/>
      <c r="D369" s="8"/>
      <c r="E369" s="18"/>
      <c r="F369" s="16"/>
      <c r="G369" s="8"/>
      <c r="H369" s="16"/>
      <c r="I369" s="16"/>
      <c r="J369" s="100"/>
      <c r="K369" s="16"/>
      <c r="L369" s="62"/>
      <c r="M369" s="16"/>
      <c r="N369" s="16"/>
      <c r="O369" s="15"/>
      <c r="Q369" s="8"/>
    </row>
    <row r="370" spans="1:17" s="37" customFormat="1" ht="14.25" customHeight="1" outlineLevel="1">
      <c r="A370" s="8"/>
      <c r="B370" s="61" t="s">
        <v>91</v>
      </c>
      <c r="C370" s="7" t="s">
        <v>92</v>
      </c>
      <c r="D370" s="51">
        <v>-0.114</v>
      </c>
      <c r="F370" s="16"/>
      <c r="G370" s="7" t="s">
        <v>618</v>
      </c>
      <c r="H370" s="16"/>
      <c r="I370" s="16" t="s">
        <v>106</v>
      </c>
      <c r="J370" s="7" t="s">
        <v>37</v>
      </c>
      <c r="K370" s="148">
        <f>D370*FUSELAGE_d_fo</f>
        <v>-0.36602654111374383</v>
      </c>
      <c r="L370" s="62" t="s">
        <v>266</v>
      </c>
      <c r="M370" s="16"/>
      <c r="N370" s="16"/>
      <c r="O370" s="15"/>
      <c r="Q370" s="8"/>
    </row>
    <row r="371" spans="1:17" s="37" customFormat="1" ht="14.25" customHeight="1" outlineLevel="1">
      <c r="A371" s="8"/>
      <c r="B371" s="61"/>
      <c r="C371" s="7"/>
      <c r="D371" s="8"/>
      <c r="E371" s="18"/>
      <c r="F371" s="16"/>
      <c r="G371" s="8"/>
      <c r="H371" s="16"/>
      <c r="I371" s="16"/>
      <c r="J371" s="100"/>
      <c r="K371" s="16"/>
      <c r="L371" s="62"/>
      <c r="M371" s="16"/>
      <c r="N371" s="16"/>
      <c r="O371" s="15"/>
      <c r="Q371" s="8"/>
    </row>
    <row r="372" spans="1:17" s="37" customFormat="1" ht="14.25" customHeight="1" outlineLevel="1">
      <c r="A372" s="8"/>
      <c r="B372" s="61" t="s">
        <v>391</v>
      </c>
      <c r="C372" s="7" t="s">
        <v>98</v>
      </c>
      <c r="D372" s="148">
        <f ca="1">ABS('Data Fuselage'!L2505)</f>
        <v>18.624000000000006</v>
      </c>
      <c r="E372" s="21" t="s">
        <v>266</v>
      </c>
      <c r="F372" s="16"/>
      <c r="G372" s="7" t="s">
        <v>618</v>
      </c>
      <c r="H372" s="16"/>
      <c r="I372" s="16" t="s">
        <v>301</v>
      </c>
      <c r="J372" s="7" t="s">
        <v>33</v>
      </c>
      <c r="K372" s="148">
        <f ca="1">FUSELAGE_l_cabin+FUSELAGE_lnose-FUSELAGE_Δxnose+FUSELAGE_ltail-FUSELAGE_Δxtail</f>
        <v>32.983613585170865</v>
      </c>
      <c r="L372" s="62" t="s">
        <v>266</v>
      </c>
      <c r="M372" s="16"/>
      <c r="N372" s="16"/>
      <c r="O372" s="15"/>
      <c r="Q372" s="8"/>
    </row>
    <row r="373" spans="1:17" s="37" customFormat="1" ht="14.25" customHeight="1" outlineLevel="1" thickBot="1">
      <c r="A373" s="8"/>
      <c r="B373" s="65"/>
      <c r="C373" s="90"/>
      <c r="D373" s="241"/>
      <c r="E373" s="32"/>
      <c r="F373" s="66"/>
      <c r="G373" s="67"/>
      <c r="H373" s="66"/>
      <c r="I373" s="66"/>
      <c r="J373" s="103"/>
      <c r="K373" s="66"/>
      <c r="L373" s="104"/>
      <c r="M373" s="16"/>
      <c r="N373" s="16"/>
      <c r="O373" s="15"/>
      <c r="Q373" s="8"/>
    </row>
    <row r="374" spans="1:17" s="37" customFormat="1" ht="14.25" customHeight="1" outlineLevel="1" thickBot="1">
      <c r="A374" s="8"/>
      <c r="B374" s="16"/>
      <c r="C374" s="7"/>
      <c r="D374" s="204"/>
      <c r="E374" s="21"/>
      <c r="F374" s="16"/>
      <c r="G374" s="8"/>
      <c r="H374" s="16"/>
      <c r="I374" s="16"/>
      <c r="J374" s="100"/>
      <c r="K374" s="16"/>
      <c r="L374" s="16"/>
      <c r="M374" s="16"/>
      <c r="N374" s="16"/>
      <c r="O374" s="15"/>
      <c r="Q374" s="8"/>
    </row>
    <row r="375" spans="1:17" s="37" customFormat="1" ht="14.25" customHeight="1" outlineLevel="1">
      <c r="A375" s="8"/>
      <c r="B375" s="86" t="s">
        <v>758</v>
      </c>
      <c r="C375" s="87"/>
      <c r="D375" s="242"/>
      <c r="E375" s="29"/>
      <c r="F375" s="60"/>
      <c r="G375" s="57"/>
      <c r="H375" s="60"/>
      <c r="I375" s="60"/>
      <c r="J375" s="101"/>
      <c r="K375" s="60"/>
      <c r="L375" s="102"/>
      <c r="M375" s="16"/>
      <c r="N375" s="16"/>
      <c r="O375" s="15"/>
      <c r="Q375" s="8"/>
    </row>
    <row r="376" spans="1:17" s="37" customFormat="1" ht="14.25" customHeight="1" outlineLevel="1">
      <c r="A376" s="8"/>
      <c r="B376" s="61"/>
      <c r="C376" s="7"/>
      <c r="D376" s="204"/>
      <c r="E376" s="21"/>
      <c r="F376" s="16"/>
      <c r="G376" s="8"/>
      <c r="H376" s="16"/>
      <c r="I376" s="16"/>
      <c r="J376" s="100"/>
      <c r="K376" s="16"/>
      <c r="L376" s="62"/>
      <c r="M376" s="16"/>
      <c r="N376" s="16"/>
      <c r="O376" s="15"/>
      <c r="Q376" s="8"/>
    </row>
    <row r="377" spans="1:17" s="37" customFormat="1" ht="14.25" customHeight="1" outlineLevel="1">
      <c r="A377" s="8"/>
      <c r="B377" s="61" t="s">
        <v>625</v>
      </c>
      <c r="C377" s="7" t="s">
        <v>626</v>
      </c>
      <c r="D377" s="51">
        <v>0.98</v>
      </c>
      <c r="E377" s="37" t="s">
        <v>627</v>
      </c>
      <c r="F377" s="16"/>
      <c r="G377" s="7" t="s">
        <v>617</v>
      </c>
      <c r="H377" s="16"/>
      <c r="I377" s="16" t="s">
        <v>137</v>
      </c>
      <c r="J377" s="7" t="s">
        <v>626</v>
      </c>
      <c r="K377" s="148">
        <f>LOWERDECK_w_ldtop*LOWERDECK_h_ld-((LOWERDECK_w_ldtop-LOWERDECK_w_ldbottom)/2)^2</f>
        <v>0</v>
      </c>
      <c r="L377" s="62" t="s">
        <v>627</v>
      </c>
      <c r="M377" s="16"/>
      <c r="N377" s="16"/>
      <c r="O377" s="15"/>
      <c r="Q377" s="8"/>
    </row>
    <row r="378" spans="1:17" s="37" customFormat="1" ht="14.25" customHeight="1" outlineLevel="1">
      <c r="A378" s="8"/>
      <c r="B378" s="61"/>
      <c r="C378" s="7"/>
      <c r="D378" s="204"/>
      <c r="E378" s="21"/>
      <c r="F378" s="16"/>
      <c r="G378" s="8"/>
      <c r="H378" s="16"/>
      <c r="I378" s="16"/>
      <c r="J378" s="100"/>
      <c r="K378" s="16"/>
      <c r="L378" s="62"/>
      <c r="M378" s="16"/>
      <c r="N378" s="16"/>
      <c r="O378" s="15"/>
      <c r="Q378" s="8"/>
    </row>
    <row r="379" spans="1:17" s="37" customFormat="1" ht="14.25" customHeight="1" outlineLevel="1">
      <c r="A379" s="8"/>
      <c r="B379" s="61" t="s">
        <v>623</v>
      </c>
      <c r="C379" s="7" t="s">
        <v>624</v>
      </c>
      <c r="D379" s="51">
        <v>0.48</v>
      </c>
      <c r="E379" s="37" t="s">
        <v>395</v>
      </c>
      <c r="F379" s="16"/>
      <c r="G379" s="7"/>
      <c r="H379" s="16"/>
      <c r="L379" s="63"/>
      <c r="M379" s="16"/>
      <c r="N379" s="16"/>
      <c r="O379" s="15"/>
      <c r="Q379" s="8"/>
    </row>
    <row r="380" spans="1:17" s="37" customFormat="1" ht="14.25" customHeight="1" outlineLevel="1">
      <c r="A380" s="8"/>
      <c r="B380" s="95"/>
      <c r="L380" s="63"/>
      <c r="M380" s="16"/>
      <c r="N380" s="16"/>
      <c r="O380" s="15"/>
      <c r="Q380" s="8"/>
    </row>
    <row r="381" spans="1:17" s="37" customFormat="1" ht="14.25" customHeight="1" outlineLevel="1">
      <c r="A381" s="8"/>
      <c r="B381" s="95"/>
      <c r="I381" s="16" t="s">
        <v>226</v>
      </c>
      <c r="J381" s="7" t="s">
        <v>227</v>
      </c>
      <c r="K381" s="148">
        <f ca="1">FUSELAGE_kCC*FUSELAGE_l_fuselage*FUSELAGE_SCC</f>
        <v>15.515491830464374</v>
      </c>
      <c r="L381" s="62" t="s">
        <v>228</v>
      </c>
      <c r="M381" s="16"/>
      <c r="N381" s="16"/>
      <c r="O381" s="15"/>
      <c r="Q381" s="8"/>
    </row>
    <row r="382" spans="1:17" s="37" customFormat="1" ht="14.25" customHeight="1" outlineLevel="1">
      <c r="A382" s="8"/>
      <c r="B382" s="95"/>
      <c r="L382" s="63"/>
      <c r="M382" s="16"/>
      <c r="N382" s="16"/>
      <c r="O382" s="15"/>
      <c r="Q382" s="8"/>
    </row>
    <row r="383" spans="1:17" s="37" customFormat="1" ht="14.25" customHeight="1" outlineLevel="1">
      <c r="A383" s="8"/>
      <c r="B383" s="95"/>
      <c r="L383" s="63"/>
      <c r="M383" s="16"/>
      <c r="N383" s="16"/>
      <c r="O383" s="15"/>
      <c r="Q383" s="8"/>
    </row>
    <row r="384" spans="1:17" s="37" customFormat="1" ht="14.25" customHeight="1" outlineLevel="1">
      <c r="A384" s="8"/>
      <c r="B384" s="95" t="s">
        <v>229</v>
      </c>
      <c r="C384" s="7" t="s">
        <v>230</v>
      </c>
      <c r="D384" s="251">
        <v>0.23</v>
      </c>
      <c r="E384" s="37" t="s">
        <v>627</v>
      </c>
      <c r="G384" s="7" t="s">
        <v>617</v>
      </c>
      <c r="H384" s="16"/>
      <c r="I384" s="16" t="s">
        <v>231</v>
      </c>
      <c r="J384" s="7" t="s">
        <v>230</v>
      </c>
      <c r="K384" s="250">
        <f>IF(FUSELAGE_n_aisles = 1, 0.201,0.208)</f>
        <v>0.20100000000000001</v>
      </c>
      <c r="L384" s="62" t="s">
        <v>627</v>
      </c>
      <c r="M384" s="16"/>
      <c r="N384" s="16"/>
      <c r="O384" s="15"/>
      <c r="Q384" s="8"/>
    </row>
    <row r="385" spans="1:17" s="37" customFormat="1" ht="14.25" customHeight="1" outlineLevel="1">
      <c r="A385" s="8"/>
      <c r="B385" s="61"/>
      <c r="C385" s="7"/>
      <c r="D385" s="204"/>
      <c r="E385" s="21"/>
      <c r="F385" s="16"/>
      <c r="G385" s="8"/>
      <c r="H385" s="16"/>
      <c r="I385" s="16"/>
      <c r="J385" s="100"/>
      <c r="K385" s="16"/>
      <c r="L385" s="62"/>
      <c r="M385" s="16"/>
      <c r="N385" s="16"/>
      <c r="O385" s="15"/>
      <c r="Q385" s="8"/>
    </row>
    <row r="386" spans="1:17" s="37" customFormat="1" ht="14.25" customHeight="1" outlineLevel="1">
      <c r="A386" s="8"/>
      <c r="B386" s="95" t="s">
        <v>235</v>
      </c>
      <c r="C386" s="7" t="s">
        <v>236</v>
      </c>
      <c r="D386" s="73">
        <v>2</v>
      </c>
      <c r="E386" s="37" t="s">
        <v>395</v>
      </c>
      <c r="G386" s="7" t="s">
        <v>617</v>
      </c>
      <c r="H386" s="16"/>
      <c r="I386" s="16" t="s">
        <v>237</v>
      </c>
      <c r="J386" s="7" t="s">
        <v>236</v>
      </c>
      <c r="K386" s="207">
        <v>2</v>
      </c>
      <c r="L386" s="62" t="s">
        <v>395</v>
      </c>
      <c r="M386" s="16"/>
      <c r="N386" s="16"/>
      <c r="O386" s="15"/>
      <c r="Q386" s="8"/>
    </row>
    <row r="387" spans="1:17" s="37" customFormat="1" ht="14.25" customHeight="1" outlineLevel="1">
      <c r="A387" s="8"/>
      <c r="B387" s="61"/>
      <c r="C387" s="7"/>
      <c r="D387" s="252"/>
      <c r="E387" s="21"/>
      <c r="F387" s="16"/>
      <c r="G387" s="8"/>
      <c r="H387" s="16"/>
      <c r="I387" s="16"/>
      <c r="J387" s="100"/>
      <c r="K387" s="16"/>
      <c r="L387" s="62"/>
      <c r="M387" s="16"/>
      <c r="N387" s="16"/>
      <c r="O387" s="15"/>
      <c r="Q387" s="8"/>
    </row>
    <row r="388" spans="1:17" s="37" customFormat="1" ht="14.25" customHeight="1" outlineLevel="1">
      <c r="A388" s="8"/>
      <c r="B388" s="95" t="s">
        <v>232</v>
      </c>
      <c r="C388" s="7" t="s">
        <v>233</v>
      </c>
      <c r="D388" s="251">
        <f>K388</f>
        <v>0.24099999999999999</v>
      </c>
      <c r="E388" s="37" t="s">
        <v>627</v>
      </c>
      <c r="G388" s="7" t="s">
        <v>617</v>
      </c>
      <c r="H388" s="16"/>
      <c r="I388" s="16" t="s">
        <v>234</v>
      </c>
      <c r="J388" s="7" t="s">
        <v>233</v>
      </c>
      <c r="K388" s="250">
        <v>0.24099999999999999</v>
      </c>
      <c r="L388" s="62" t="s">
        <v>627</v>
      </c>
      <c r="M388" s="16"/>
      <c r="N388" s="16"/>
      <c r="O388" s="15"/>
      <c r="Q388" s="8"/>
    </row>
    <row r="389" spans="1:17" s="37" customFormat="1" ht="14.25" customHeight="1" outlineLevel="1">
      <c r="A389" s="8"/>
      <c r="B389" s="61"/>
      <c r="C389" s="7"/>
      <c r="D389" s="204"/>
      <c r="E389" s="21"/>
      <c r="F389" s="16"/>
      <c r="G389" s="8"/>
      <c r="H389" s="16"/>
      <c r="I389" s="16"/>
      <c r="J389" s="100"/>
      <c r="K389" s="16"/>
      <c r="L389" s="62"/>
      <c r="M389" s="16"/>
      <c r="N389" s="16"/>
      <c r="O389" s="15"/>
      <c r="Q389" s="8"/>
    </row>
    <row r="390" spans="1:17" s="37" customFormat="1" ht="14.25" customHeight="1" outlineLevel="1">
      <c r="A390" s="8"/>
      <c r="B390" s="95" t="s">
        <v>239</v>
      </c>
      <c r="C390" s="7" t="s">
        <v>238</v>
      </c>
      <c r="D390" s="73">
        <f>K390</f>
        <v>0</v>
      </c>
      <c r="E390" s="37" t="s">
        <v>395</v>
      </c>
      <c r="G390" s="7" t="s">
        <v>617</v>
      </c>
      <c r="H390" s="16"/>
      <c r="I390" s="16" t="s">
        <v>240</v>
      </c>
      <c r="J390" s="7" t="s">
        <v>238</v>
      </c>
      <c r="K390" s="207">
        <f>FUSELAGE_n_aisles-1</f>
        <v>0</v>
      </c>
      <c r="L390" s="62" t="s">
        <v>395</v>
      </c>
      <c r="M390" s="16"/>
      <c r="N390" s="16"/>
      <c r="O390" s="15"/>
      <c r="Q390" s="8"/>
    </row>
    <row r="391" spans="1:17" s="37" customFormat="1" ht="14.25" customHeight="1" outlineLevel="1">
      <c r="A391" s="8"/>
      <c r="B391" s="61"/>
      <c r="C391" s="7"/>
      <c r="D391" s="204"/>
      <c r="E391" s="21"/>
      <c r="F391" s="16"/>
      <c r="G391" s="8"/>
      <c r="H391" s="16"/>
      <c r="I391" s="16"/>
      <c r="J391" s="100"/>
      <c r="K391" s="16"/>
      <c r="L391" s="62"/>
      <c r="M391" s="16"/>
      <c r="N391" s="16"/>
      <c r="O391" s="15"/>
      <c r="Q391" s="8"/>
    </row>
    <row r="392" spans="1:17" s="37" customFormat="1" ht="14.25" customHeight="1" outlineLevel="1">
      <c r="A392" s="8"/>
      <c r="B392" s="61"/>
      <c r="C392" s="7"/>
      <c r="D392" s="204"/>
      <c r="E392" s="21"/>
      <c r="F392" s="16"/>
      <c r="G392" s="8"/>
      <c r="H392" s="16"/>
      <c r="I392" s="16" t="s">
        <v>242</v>
      </c>
      <c r="J392" s="7" t="s">
        <v>241</v>
      </c>
      <c r="K392" s="250">
        <f>FUSELAGE_SOS_lat*FUSELAGE_nOS_lat+FUSELAGE_SOS_ce*FUSELAGE_nOS_ce</f>
        <v>0.46</v>
      </c>
      <c r="L392" s="62" t="s">
        <v>627</v>
      </c>
      <c r="M392" s="16"/>
      <c r="N392" s="16"/>
      <c r="O392" s="15"/>
      <c r="Q392" s="8"/>
    </row>
    <row r="393" spans="1:17" s="37" customFormat="1" ht="14.25" customHeight="1" outlineLevel="1">
      <c r="A393" s="8"/>
      <c r="B393" s="61"/>
      <c r="C393" s="7"/>
      <c r="D393" s="204"/>
      <c r="E393" s="21"/>
      <c r="F393" s="16"/>
      <c r="G393" s="8"/>
      <c r="H393" s="16"/>
      <c r="I393" s="16"/>
      <c r="J393" s="100"/>
      <c r="K393" s="16"/>
      <c r="L393" s="62"/>
      <c r="M393" s="16"/>
      <c r="N393" s="16"/>
      <c r="O393" s="15"/>
      <c r="Q393" s="8"/>
    </row>
    <row r="394" spans="1:17" s="37" customFormat="1" ht="14.25" customHeight="1" outlineLevel="1">
      <c r="A394" s="8"/>
      <c r="B394" s="253" t="s">
        <v>136</v>
      </c>
      <c r="C394" s="7" t="s">
        <v>243</v>
      </c>
      <c r="D394" s="51">
        <f>K394</f>
        <v>0.72299999999999998</v>
      </c>
      <c r="E394" s="37" t="s">
        <v>395</v>
      </c>
      <c r="F394" s="16"/>
      <c r="G394" s="7" t="s">
        <v>617</v>
      </c>
      <c r="H394" s="16"/>
      <c r="I394" s="16" t="s">
        <v>244</v>
      </c>
      <c r="J394" s="7" t="s">
        <v>243</v>
      </c>
      <c r="K394" s="250">
        <f>IF(FUSELAGE_n_aisles = 1, 0.723,0.751)</f>
        <v>0.72299999999999998</v>
      </c>
      <c r="L394" s="62" t="s">
        <v>395</v>
      </c>
      <c r="M394" s="16"/>
      <c r="N394" s="16"/>
      <c r="O394" s="15"/>
      <c r="Q394" s="8"/>
    </row>
    <row r="395" spans="1:17" s="37" customFormat="1" ht="14.25" customHeight="1" outlineLevel="1">
      <c r="A395" s="8"/>
      <c r="B395" s="61"/>
      <c r="C395" s="7"/>
      <c r="D395" s="204"/>
      <c r="E395" s="21"/>
      <c r="F395" s="16"/>
      <c r="G395" s="8"/>
      <c r="H395" s="16"/>
      <c r="I395" s="16"/>
      <c r="J395" s="100"/>
      <c r="K395" s="16"/>
      <c r="L395" s="62"/>
      <c r="M395" s="16"/>
      <c r="N395" s="16"/>
      <c r="O395" s="15"/>
      <c r="Q395" s="8"/>
    </row>
    <row r="396" spans="1:17" s="37" customFormat="1" ht="14.25" customHeight="1" outlineLevel="1">
      <c r="A396" s="8"/>
      <c r="B396" s="61"/>
      <c r="C396" s="7"/>
      <c r="D396" s="204"/>
      <c r="E396" s="21"/>
      <c r="F396" s="16"/>
      <c r="G396" s="8"/>
      <c r="H396" s="16"/>
      <c r="I396" s="16" t="s">
        <v>245</v>
      </c>
      <c r="J396" s="7" t="s">
        <v>246</v>
      </c>
      <c r="K396" s="148">
        <f ca="1">FUSELAGE_SOS_tot*FUSELAGE_kOS*FUSELAGE_l_cabin</f>
        <v>6.1939699200000016</v>
      </c>
      <c r="L396" s="62" t="s">
        <v>228</v>
      </c>
      <c r="M396" s="16"/>
      <c r="N396" s="16"/>
      <c r="O396" s="15"/>
      <c r="Q396" s="8"/>
    </row>
    <row r="397" spans="1:17" s="37" customFormat="1" ht="14.25" customHeight="1" outlineLevel="1">
      <c r="A397" s="8"/>
      <c r="B397" s="61"/>
      <c r="C397" s="7"/>
      <c r="D397" s="204"/>
      <c r="E397" s="21"/>
      <c r="F397" s="16"/>
      <c r="G397" s="8"/>
      <c r="H397" s="16"/>
      <c r="I397" s="16"/>
      <c r="J397" s="100"/>
      <c r="K397" s="16"/>
      <c r="L397" s="62"/>
      <c r="M397" s="16"/>
      <c r="N397" s="16"/>
      <c r="O397" s="15"/>
      <c r="Q397" s="8"/>
    </row>
    <row r="398" spans="1:17" s="37" customFormat="1" ht="14.25" customHeight="1" outlineLevel="1">
      <c r="A398" s="8"/>
      <c r="B398" s="95"/>
      <c r="L398" s="63"/>
      <c r="M398" s="16"/>
      <c r="N398" s="16"/>
      <c r="O398" s="15"/>
      <c r="Q398" s="8"/>
    </row>
    <row r="399" spans="1:17" s="37" customFormat="1" ht="14.25" customHeight="1" outlineLevel="1">
      <c r="A399" s="8"/>
      <c r="B399" s="61" t="s">
        <v>247</v>
      </c>
      <c r="C399" s="7" t="s">
        <v>248</v>
      </c>
      <c r="D399" s="51">
        <v>15</v>
      </c>
      <c r="E399" s="37" t="s">
        <v>264</v>
      </c>
      <c r="F399" s="16"/>
      <c r="G399" s="7" t="s">
        <v>617</v>
      </c>
      <c r="H399" s="16"/>
      <c r="I399" s="16" t="s">
        <v>289</v>
      </c>
      <c r="J399" s="7" t="s">
        <v>248</v>
      </c>
      <c r="K399" s="249">
        <f>IF(REQUIREMENT_R&lt;5500000*1.852,13.6,18.1)</f>
        <v>13.6</v>
      </c>
      <c r="L399" s="63" t="s">
        <v>264</v>
      </c>
      <c r="M399" s="16"/>
      <c r="N399" s="16"/>
      <c r="O399" s="15"/>
      <c r="Q399" s="8"/>
    </row>
    <row r="400" spans="1:17" s="37" customFormat="1" ht="14.25" customHeight="1" outlineLevel="1">
      <c r="A400" s="8"/>
      <c r="B400" s="61"/>
      <c r="C400" s="7"/>
      <c r="D400" s="204"/>
      <c r="E400" s="21"/>
      <c r="F400" s="16"/>
      <c r="G400" s="8"/>
      <c r="H400" s="16"/>
      <c r="I400" s="16"/>
      <c r="J400" s="100"/>
      <c r="K400" s="16"/>
      <c r="L400" s="62"/>
      <c r="M400" s="16"/>
      <c r="N400" s="16"/>
      <c r="O400" s="15"/>
      <c r="Q400" s="8"/>
    </row>
    <row r="401" spans="1:17" s="37" customFormat="1" ht="14.25" customHeight="1" outlineLevel="1">
      <c r="A401" s="8"/>
      <c r="B401" s="61"/>
      <c r="C401" s="7"/>
      <c r="D401" s="204"/>
      <c r="E401" s="21"/>
      <c r="F401" s="16"/>
      <c r="G401" s="8"/>
      <c r="H401" s="16"/>
      <c r="I401" s="16" t="s">
        <v>290</v>
      </c>
      <c r="J401" s="7" t="s">
        <v>291</v>
      </c>
      <c r="K401" s="148">
        <f>FUSELAGE_n_pax*FUSELAGE_mbaggage</f>
        <v>1050</v>
      </c>
      <c r="L401" s="63" t="s">
        <v>264</v>
      </c>
      <c r="M401" s="16"/>
      <c r="N401" s="16"/>
      <c r="O401" s="15"/>
      <c r="Q401" s="8"/>
    </row>
    <row r="402" spans="1:17" s="37" customFormat="1" ht="14.25" customHeight="1" outlineLevel="1">
      <c r="A402" s="8"/>
      <c r="B402" s="61"/>
      <c r="C402" s="7"/>
      <c r="D402" s="204"/>
      <c r="E402" s="21"/>
      <c r="F402" s="16"/>
      <c r="G402" s="8"/>
      <c r="H402" s="16"/>
      <c r="I402" s="16"/>
      <c r="J402" s="100"/>
      <c r="K402" s="16"/>
      <c r="L402" s="62"/>
      <c r="M402" s="16"/>
      <c r="N402" s="16"/>
      <c r="O402" s="15"/>
      <c r="Q402" s="8"/>
    </row>
    <row r="403" spans="1:17" s="37" customFormat="1" ht="14.25" customHeight="1" outlineLevel="1">
      <c r="A403" s="8"/>
      <c r="B403" s="61"/>
      <c r="C403" s="7"/>
      <c r="D403" s="204"/>
      <c r="E403" s="21"/>
      <c r="F403" s="16"/>
      <c r="G403" s="8"/>
      <c r="H403" s="16"/>
      <c r="I403" s="16" t="s">
        <v>249</v>
      </c>
      <c r="J403" s="7" t="s">
        <v>250</v>
      </c>
      <c r="K403" s="148">
        <f>FUSELAGE_n_pax*FUSELAGE_mbaggage/170</f>
        <v>6.1764705882352944</v>
      </c>
      <c r="L403" s="62" t="s">
        <v>228</v>
      </c>
      <c r="M403" s="16"/>
      <c r="N403" s="16"/>
      <c r="O403" s="15"/>
      <c r="Q403" s="8"/>
    </row>
    <row r="404" spans="1:17" s="37" customFormat="1" ht="14.25" customHeight="1" outlineLevel="1">
      <c r="A404" s="8"/>
      <c r="B404" s="61"/>
      <c r="C404" s="7"/>
      <c r="D404" s="204"/>
      <c r="E404" s="21"/>
      <c r="F404" s="16"/>
      <c r="G404" s="8"/>
      <c r="H404" s="16"/>
      <c r="I404" s="16"/>
      <c r="J404" s="100"/>
      <c r="K404" s="16"/>
      <c r="L404" s="62"/>
      <c r="M404" s="16"/>
      <c r="N404" s="16"/>
      <c r="O404" s="15"/>
      <c r="Q404" s="8"/>
    </row>
    <row r="405" spans="1:17" s="37" customFormat="1" ht="14.25" customHeight="1" outlineLevel="1">
      <c r="A405" s="8"/>
      <c r="B405" s="61"/>
      <c r="C405" s="7"/>
      <c r="D405" s="204"/>
      <c r="E405" s="21"/>
      <c r="F405" s="16"/>
      <c r="G405" s="8"/>
      <c r="H405" s="16"/>
      <c r="I405" s="16"/>
      <c r="J405" s="100"/>
      <c r="K405" s="16"/>
      <c r="L405" s="62"/>
      <c r="M405" s="16"/>
      <c r="N405" s="16"/>
      <c r="O405" s="15"/>
      <c r="Q405" s="8"/>
    </row>
    <row r="406" spans="1:17" s="37" customFormat="1" ht="14.25" customHeight="1" outlineLevel="1">
      <c r="A406" s="8"/>
      <c r="B406" s="61" t="s">
        <v>50</v>
      </c>
      <c r="C406" s="7" t="s">
        <v>584</v>
      </c>
      <c r="D406" s="148">
        <v>2004</v>
      </c>
      <c r="E406" s="37" t="s">
        <v>264</v>
      </c>
      <c r="F406" s="16"/>
      <c r="G406" s="7" t="s">
        <v>618</v>
      </c>
      <c r="H406" s="16"/>
      <c r="I406" s="16" t="s">
        <v>292</v>
      </c>
      <c r="J406" s="7" t="s">
        <v>138</v>
      </c>
      <c r="K406" s="148">
        <f>REQUIREMENT_mcargo/160</f>
        <v>12.525</v>
      </c>
      <c r="L406" s="62" t="s">
        <v>228</v>
      </c>
      <c r="M406" s="16"/>
      <c r="N406" s="16"/>
      <c r="O406" s="15"/>
      <c r="Q406" s="8"/>
    </row>
    <row r="407" spans="1:17" s="37" customFormat="1" ht="14.25" customHeight="1" outlineLevel="1">
      <c r="A407" s="8"/>
      <c r="B407" s="95"/>
      <c r="L407" s="63"/>
      <c r="M407" s="16"/>
      <c r="N407" s="16"/>
      <c r="O407" s="15"/>
      <c r="Q407" s="8"/>
    </row>
    <row r="408" spans="1:17" s="37" customFormat="1" ht="14.25" customHeight="1" outlineLevel="1">
      <c r="A408" s="8"/>
      <c r="B408" s="61"/>
      <c r="C408" s="7"/>
      <c r="D408" s="204"/>
      <c r="E408" s="21"/>
      <c r="F408" s="16"/>
      <c r="G408" s="8"/>
      <c r="H408" s="16"/>
      <c r="I408" s="16"/>
      <c r="J408" s="100"/>
      <c r="K408" s="16"/>
      <c r="L408" s="62"/>
      <c r="M408" s="16"/>
      <c r="N408" s="16"/>
      <c r="O408" s="15"/>
      <c r="Q408" s="8"/>
    </row>
    <row r="409" spans="1:17" s="37" customFormat="1" ht="14.25" customHeight="1" outlineLevel="1">
      <c r="A409" s="8"/>
      <c r="B409" s="61" t="s">
        <v>226</v>
      </c>
      <c r="C409" s="7" t="s">
        <v>227</v>
      </c>
      <c r="D409" s="148">
        <f ca="1">FUSELAGE_kCC*FUSELAGE_l_fuselage*FUSELAGE_SCC</f>
        <v>15.515491830464374</v>
      </c>
      <c r="E409" s="248" t="s">
        <v>228</v>
      </c>
      <c r="F409" s="16"/>
      <c r="G409" s="216" t="s">
        <v>383</v>
      </c>
      <c r="H409" s="16"/>
      <c r="I409" s="16" t="s">
        <v>51</v>
      </c>
      <c r="J409" s="7" t="s">
        <v>52</v>
      </c>
      <c r="K409" s="148">
        <f ca="1">FUSELAGE_Vcargo+FUSELAGE_VB-FUSELAGE_VOSS</f>
        <v>12.507500668235295</v>
      </c>
      <c r="L409" s="62" t="s">
        <v>228</v>
      </c>
      <c r="M409" s="16"/>
      <c r="N409" s="16"/>
      <c r="O409" s="15"/>
      <c r="Q409" s="8"/>
    </row>
    <row r="410" spans="1:17" s="37" customFormat="1" ht="14.25" customHeight="1" outlineLevel="1">
      <c r="A410" s="8"/>
      <c r="B410" s="61"/>
      <c r="C410" s="7"/>
      <c r="D410" s="204"/>
      <c r="E410" s="21"/>
      <c r="F410" s="16"/>
      <c r="G410" s="8"/>
      <c r="H410" s="16"/>
      <c r="I410" s="16"/>
      <c r="J410" s="100"/>
      <c r="K410" s="16"/>
      <c r="L410" s="62"/>
      <c r="M410" s="16"/>
      <c r="N410" s="16"/>
      <c r="O410" s="15"/>
      <c r="Q410" s="8"/>
    </row>
    <row r="411" spans="1:17" s="37" customFormat="1" ht="14.25" customHeight="1" outlineLevel="1">
      <c r="A411" s="8"/>
      <c r="B411" s="61"/>
      <c r="C411" s="315" t="str">
        <f ca="1">IF(D409&gt;K409,"Cargo compartment volume is sufficient", "Cargo compartment volume is too small!")</f>
        <v>Cargo compartment volume is sufficient</v>
      </c>
      <c r="D411" s="316"/>
      <c r="E411" s="316"/>
      <c r="F411" s="316"/>
      <c r="G411" s="316"/>
      <c r="H411" s="316"/>
      <c r="I411" s="317"/>
      <c r="J411" s="100"/>
      <c r="K411" s="16"/>
      <c r="L411" s="62"/>
      <c r="M411" s="16"/>
      <c r="N411" s="16"/>
      <c r="O411" s="15"/>
      <c r="Q411" s="8"/>
    </row>
    <row r="412" spans="1:17" s="37" customFormat="1" ht="14.25" customHeight="1" outlineLevel="1" thickBot="1">
      <c r="A412" s="8"/>
      <c r="B412" s="65"/>
      <c r="C412" s="90"/>
      <c r="D412" s="243"/>
      <c r="E412" s="32"/>
      <c r="F412" s="66"/>
      <c r="G412" s="67"/>
      <c r="H412" s="66"/>
      <c r="I412" s="66"/>
      <c r="J412" s="103"/>
      <c r="K412" s="66"/>
      <c r="L412" s="104"/>
      <c r="M412" s="16"/>
      <c r="N412" s="16"/>
      <c r="O412" s="15"/>
      <c r="Q412" s="8"/>
    </row>
    <row r="413" spans="1:17" s="37" customFormat="1" ht="14.25" customHeight="1" outlineLevel="1" thickBot="1">
      <c r="A413" s="8"/>
      <c r="B413" s="16"/>
      <c r="C413" s="7"/>
      <c r="D413" s="204"/>
      <c r="E413" s="21"/>
      <c r="F413" s="16"/>
      <c r="G413" s="8"/>
      <c r="H413" s="16"/>
      <c r="I413" s="16"/>
      <c r="J413" s="100"/>
      <c r="K413" s="16"/>
      <c r="L413" s="16"/>
      <c r="M413" s="16"/>
      <c r="N413" s="16"/>
      <c r="O413" s="15"/>
      <c r="Q413" s="8"/>
    </row>
    <row r="414" spans="1:17" s="37" customFormat="1" ht="14.25" customHeight="1" outlineLevel="1">
      <c r="A414" s="8"/>
      <c r="B414" s="86" t="s">
        <v>509</v>
      </c>
      <c r="C414" s="87"/>
      <c r="D414" s="242"/>
      <c r="E414" s="29"/>
      <c r="F414" s="60"/>
      <c r="G414" s="57"/>
      <c r="H414" s="60"/>
      <c r="I414" s="60"/>
      <c r="J414" s="101"/>
      <c r="K414" s="60"/>
      <c r="L414" s="102"/>
      <c r="M414" s="16"/>
      <c r="N414" s="16"/>
      <c r="O414" s="15"/>
      <c r="Q414" s="8"/>
    </row>
    <row r="415" spans="1:17" s="37" customFormat="1" ht="14.25" customHeight="1" outlineLevel="1">
      <c r="A415" s="8"/>
      <c r="B415" s="61"/>
      <c r="C415" s="7"/>
      <c r="D415" s="206"/>
      <c r="E415" s="21"/>
      <c r="F415" s="16"/>
      <c r="G415" s="8"/>
      <c r="H415" s="16"/>
      <c r="I415" s="16"/>
      <c r="J415" s="100"/>
      <c r="K415" s="16"/>
      <c r="L415" s="62"/>
      <c r="M415" s="16"/>
      <c r="N415" s="16"/>
      <c r="O415" s="15"/>
      <c r="Q415" s="8"/>
    </row>
    <row r="416" spans="1:17" s="37" customFormat="1" ht="14.25" customHeight="1" outlineLevel="1">
      <c r="A416" s="8"/>
      <c r="B416" s="61" t="s">
        <v>302</v>
      </c>
      <c r="C416" s="7" t="s">
        <v>305</v>
      </c>
      <c r="D416" s="207">
        <f>COUNTIF($C$276:$E$340,"Galley FC")</f>
        <v>0</v>
      </c>
      <c r="E416" s="21"/>
      <c r="F416" s="16"/>
      <c r="G416" s="8"/>
      <c r="H416" s="16"/>
      <c r="I416" s="16" t="s">
        <v>221</v>
      </c>
      <c r="J416" s="7" t="s">
        <v>305</v>
      </c>
      <c r="K416" s="207">
        <f>FUSELAGE_n_galley_FC</f>
        <v>0</v>
      </c>
      <c r="L416" s="62"/>
      <c r="M416" s="16"/>
      <c r="N416" s="16"/>
      <c r="O416" s="15"/>
      <c r="Q416" s="8"/>
    </row>
    <row r="417" spans="1:26" s="37" customFormat="1" ht="14.25" customHeight="1" outlineLevel="1">
      <c r="A417" s="8"/>
      <c r="B417" s="61"/>
      <c r="C417" s="7"/>
      <c r="D417" s="205"/>
      <c r="E417" s="21"/>
      <c r="F417" s="16"/>
      <c r="G417" s="8"/>
      <c r="H417" s="16"/>
      <c r="I417" s="16"/>
      <c r="J417" s="100"/>
      <c r="K417" s="16"/>
      <c r="L417" s="62"/>
      <c r="M417" s="16"/>
      <c r="N417" s="16"/>
      <c r="O417" s="15"/>
      <c r="Q417" s="8"/>
    </row>
    <row r="418" spans="1:26" s="37" customFormat="1" ht="14.25" customHeight="1" outlineLevel="1">
      <c r="A418" s="8"/>
      <c r="B418" s="61" t="s">
        <v>303</v>
      </c>
      <c r="C418" s="7" t="s">
        <v>306</v>
      </c>
      <c r="D418" s="207">
        <f>COUNTIF($C$276:$E$340,"Galley BC")</f>
        <v>0</v>
      </c>
      <c r="E418" s="21"/>
      <c r="F418" s="16"/>
      <c r="G418" s="8"/>
      <c r="H418" s="16"/>
      <c r="I418" s="16" t="s">
        <v>221</v>
      </c>
      <c r="J418" s="7" t="s">
        <v>306</v>
      </c>
      <c r="K418" s="207">
        <f>FUSELAGE_n_galley_BC</f>
        <v>0</v>
      </c>
      <c r="L418" s="62"/>
      <c r="M418" s="16"/>
      <c r="N418" s="16"/>
      <c r="O418" s="15"/>
      <c r="Q418" s="8"/>
    </row>
    <row r="419" spans="1:26" s="37" customFormat="1" ht="14.25" customHeight="1" outlineLevel="1">
      <c r="A419" s="8"/>
      <c r="B419" s="61"/>
      <c r="C419" s="7"/>
      <c r="D419" s="205"/>
      <c r="E419" s="21"/>
      <c r="F419" s="16"/>
      <c r="G419" s="8"/>
      <c r="H419" s="16"/>
      <c r="I419" s="16"/>
      <c r="J419" s="100"/>
      <c r="K419" s="16"/>
      <c r="L419" s="62"/>
      <c r="M419" s="16"/>
      <c r="N419" s="16"/>
      <c r="O419" s="15"/>
      <c r="Q419" s="8"/>
    </row>
    <row r="420" spans="1:26" s="37" customFormat="1" ht="14.25" customHeight="1" outlineLevel="1">
      <c r="A420" s="8"/>
      <c r="B420" s="61" t="s">
        <v>304</v>
      </c>
      <c r="C420" s="7" t="s">
        <v>307</v>
      </c>
      <c r="D420" s="207">
        <f>COUNTIF($C$276:$E$340,"Galley YC")</f>
        <v>2</v>
      </c>
      <c r="E420" s="21"/>
      <c r="F420" s="16"/>
      <c r="G420" s="8"/>
      <c r="H420" s="16"/>
      <c r="I420" s="16" t="s">
        <v>221</v>
      </c>
      <c r="J420" s="7" t="s">
        <v>307</v>
      </c>
      <c r="K420" s="207">
        <f>FUSELAGE_n_galley_YC</f>
        <v>2</v>
      </c>
      <c r="L420" s="62"/>
      <c r="M420" s="16"/>
      <c r="N420" s="16"/>
      <c r="O420" s="15"/>
      <c r="Q420" s="8"/>
    </row>
    <row r="421" spans="1:26" s="37" customFormat="1" ht="14.25" customHeight="1" outlineLevel="1">
      <c r="A421" s="8"/>
      <c r="B421" s="61"/>
      <c r="C421" s="7"/>
      <c r="D421" s="205"/>
      <c r="E421" s="21"/>
      <c r="F421" s="16"/>
      <c r="G421" s="8"/>
      <c r="H421" s="16"/>
      <c r="I421" s="16"/>
      <c r="J421" s="100"/>
      <c r="K421" s="16"/>
      <c r="L421" s="62"/>
      <c r="M421" s="16"/>
      <c r="N421" s="16"/>
      <c r="O421" s="15"/>
      <c r="Q421" s="8"/>
    </row>
    <row r="422" spans="1:26" s="37" customFormat="1" ht="14.25" customHeight="1" outlineLevel="1">
      <c r="A422" s="8"/>
      <c r="B422" s="61"/>
      <c r="C422" s="315" t="str">
        <f>IF(AND(D416=K416,D418=K418,D420=K420),"Number of galleys is correct", "Wrong number of galleys!")</f>
        <v>Number of galleys is correct</v>
      </c>
      <c r="D422" s="316"/>
      <c r="E422" s="316"/>
      <c r="F422" s="316"/>
      <c r="G422" s="316"/>
      <c r="H422" s="316"/>
      <c r="I422" s="317"/>
      <c r="J422" s="100"/>
      <c r="K422" s="16"/>
      <c r="L422" s="62"/>
      <c r="M422" s="16"/>
      <c r="N422" s="16"/>
      <c r="O422" s="15"/>
      <c r="Q422" s="8"/>
    </row>
    <row r="423" spans="1:26" s="37" customFormat="1" ht="14.25" customHeight="1" outlineLevel="1">
      <c r="A423" s="8"/>
      <c r="B423" s="61"/>
      <c r="C423" s="7"/>
      <c r="D423" s="206"/>
      <c r="E423" s="21"/>
      <c r="F423" s="16"/>
      <c r="G423" s="8"/>
      <c r="H423" s="16"/>
      <c r="I423" s="16"/>
      <c r="J423" s="100"/>
      <c r="K423" s="16"/>
      <c r="L423" s="62"/>
      <c r="M423" s="16"/>
      <c r="N423" s="16"/>
      <c r="O423" s="15"/>
      <c r="Q423" s="8"/>
    </row>
    <row r="424" spans="1:26" s="37" customFormat="1" ht="14.25" customHeight="1" outlineLevel="1">
      <c r="A424" s="8"/>
      <c r="B424" s="61" t="s">
        <v>109</v>
      </c>
      <c r="C424" s="7" t="s">
        <v>111</v>
      </c>
      <c r="D424" s="207">
        <f>COUNTIF($C$276:$E$340,"Lavatory")+2*COUNTIF($C$276:$E$340,"Lavatory(x2)")</f>
        <v>2</v>
      </c>
      <c r="E424" s="21"/>
      <c r="F424" s="16"/>
      <c r="G424" s="8"/>
      <c r="H424" s="16"/>
      <c r="I424" s="16" t="s">
        <v>110</v>
      </c>
      <c r="J424" s="7" t="s">
        <v>111</v>
      </c>
      <c r="K424" s="207">
        <f>D218+D220+D222</f>
        <v>2</v>
      </c>
      <c r="L424" s="62"/>
      <c r="M424" s="16"/>
      <c r="N424" s="16"/>
      <c r="O424" s="15"/>
      <c r="Q424" s="8"/>
    </row>
    <row r="425" spans="1:26" s="37" customFormat="1" ht="14.25" customHeight="1" outlineLevel="1">
      <c r="A425" s="8"/>
      <c r="B425" s="61"/>
      <c r="C425" s="7"/>
      <c r="D425" s="205"/>
      <c r="E425" s="21"/>
      <c r="F425" s="16"/>
      <c r="G425" s="8"/>
      <c r="H425" s="16"/>
      <c r="I425" s="16"/>
      <c r="J425" s="100"/>
      <c r="K425" s="16"/>
      <c r="L425" s="62"/>
      <c r="M425" s="16"/>
      <c r="N425" s="16"/>
      <c r="O425" s="15"/>
      <c r="Q425" s="8"/>
    </row>
    <row r="426" spans="1:26" s="37" customFormat="1" ht="14.25" customHeight="1" outlineLevel="1">
      <c r="A426" s="8"/>
      <c r="B426" s="61"/>
      <c r="C426" s="315" t="str">
        <f>IF(D424=K424,"Number of lavatories is correct", "Wrong number of lavatories!")</f>
        <v>Number of lavatories is correct</v>
      </c>
      <c r="D426" s="316"/>
      <c r="E426" s="316"/>
      <c r="F426" s="316"/>
      <c r="G426" s="316"/>
      <c r="H426" s="316"/>
      <c r="I426" s="317"/>
      <c r="J426" s="100"/>
      <c r="K426" s="16"/>
      <c r="L426" s="62"/>
      <c r="M426" s="16"/>
      <c r="N426" s="16"/>
      <c r="O426" s="15"/>
      <c r="Q426" s="8"/>
    </row>
    <row r="427" spans="1:26" s="37" customFormat="1" ht="14.25" customHeight="1" outlineLevel="1" thickBot="1">
      <c r="A427" s="8"/>
      <c r="B427" s="65"/>
      <c r="C427" s="90"/>
      <c r="D427" s="243"/>
      <c r="E427" s="32"/>
      <c r="F427" s="66"/>
      <c r="G427" s="67"/>
      <c r="H427" s="66"/>
      <c r="I427" s="66"/>
      <c r="J427" s="103"/>
      <c r="K427" s="66"/>
      <c r="L427" s="104"/>
      <c r="M427" s="16"/>
      <c r="N427" s="16"/>
      <c r="O427" s="15"/>
      <c r="Q427" s="8"/>
    </row>
    <row r="428" spans="1:26" s="37" customFormat="1" ht="14.25" customHeight="1" outlineLevel="1" thickBot="1">
      <c r="A428" s="8"/>
      <c r="B428" s="16"/>
      <c r="C428" s="7"/>
      <c r="D428" s="204"/>
      <c r="E428" s="21"/>
      <c r="F428" s="16"/>
      <c r="G428" s="8"/>
      <c r="H428" s="16"/>
      <c r="I428" s="16"/>
      <c r="J428" s="100"/>
      <c r="K428" s="16"/>
      <c r="L428" s="16"/>
      <c r="M428" s="16"/>
      <c r="N428" s="16"/>
      <c r="O428" s="15"/>
      <c r="Q428" s="8"/>
    </row>
    <row r="429" spans="1:26" s="37" customFormat="1" ht="14.25" customHeight="1" outlineLevel="1">
      <c r="A429" s="8"/>
      <c r="B429" s="86" t="s">
        <v>510</v>
      </c>
      <c r="C429" s="87"/>
      <c r="D429" s="59"/>
      <c r="E429" s="29"/>
      <c r="F429" s="60"/>
      <c r="G429" s="57"/>
      <c r="H429" s="60"/>
      <c r="I429" s="60"/>
      <c r="J429" s="101"/>
      <c r="K429" s="60"/>
      <c r="L429" s="102"/>
      <c r="M429" s="16"/>
      <c r="N429" s="16"/>
      <c r="O429" s="15"/>
      <c r="Q429" s="8"/>
    </row>
    <row r="430" spans="1:26" s="37" customFormat="1" ht="14.25" customHeight="1" outlineLevel="1">
      <c r="A430" s="8"/>
      <c r="B430" s="61"/>
      <c r="C430" s="7"/>
      <c r="D430" s="204"/>
      <c r="E430" s="21"/>
      <c r="F430" s="16"/>
      <c r="G430" s="8"/>
      <c r="H430" s="16"/>
      <c r="I430" s="16"/>
      <c r="J430" s="100"/>
      <c r="K430" s="16"/>
      <c r="L430" s="62"/>
      <c r="M430" s="16"/>
      <c r="N430" s="16"/>
      <c r="O430" s="15"/>
      <c r="Q430" s="8"/>
    </row>
    <row r="431" spans="1:26" s="37" customFormat="1" ht="14.25" customHeight="1" outlineLevel="1">
      <c r="A431" s="8"/>
      <c r="B431" s="61"/>
      <c r="C431" s="7"/>
      <c r="D431" s="204"/>
      <c r="E431" s="21"/>
      <c r="F431" s="16"/>
      <c r="G431" s="8"/>
      <c r="H431" s="16"/>
      <c r="I431" s="16" t="s">
        <v>53</v>
      </c>
      <c r="J431" s="7"/>
      <c r="K431" s="207">
        <f>FUSELAGE_include_nose_for_water_ditching*FUSELAGE_lnose*FUSELAGE_w_fo*FUSELAGE_h_fo/4*(PI()/2+ASIN(-FUSELAGE_Dz_floor/FUSELAGE_h_fo*2)+(-FUSELAGE_Dz_floor/FUSELAGE_h_fo*2)*COS(ASIN(-FUSELAGE_Dz_floor/FUSELAGE_h_fo*2)))*1000/3</f>
        <v>2646.4800676702225</v>
      </c>
      <c r="L431" s="30" t="s">
        <v>264</v>
      </c>
      <c r="M431" s="16"/>
      <c r="N431" s="16"/>
      <c r="O431" s="15"/>
      <c r="Q431" s="8"/>
      <c r="Z431" s="37" t="b">
        <v>1</v>
      </c>
    </row>
    <row r="432" spans="1:26" s="37" customFormat="1" ht="14.25" customHeight="1" outlineLevel="1">
      <c r="A432" s="8"/>
      <c r="B432" s="61"/>
      <c r="C432" s="7"/>
      <c r="D432" s="204"/>
      <c r="E432" s="21"/>
      <c r="F432" s="16"/>
      <c r="G432" s="8"/>
      <c r="H432" s="16"/>
      <c r="I432" s="16"/>
      <c r="J432" s="100"/>
      <c r="K432" s="16"/>
      <c r="L432" s="62"/>
      <c r="M432" s="16"/>
      <c r="N432" s="16"/>
      <c r="O432" s="15"/>
      <c r="Q432" s="8"/>
    </row>
    <row r="433" spans="1:26" s="37" customFormat="1" ht="14.25" customHeight="1" outlineLevel="1">
      <c r="A433" s="8"/>
      <c r="B433" s="61"/>
      <c r="C433" s="7"/>
      <c r="D433" s="204"/>
      <c r="E433" s="21"/>
      <c r="F433" s="16"/>
      <c r="G433" s="8"/>
      <c r="H433" s="16"/>
      <c r="I433" s="16" t="s">
        <v>55</v>
      </c>
      <c r="J433" s="7"/>
      <c r="K433" s="207">
        <f>FUSELAGE_include_tail_for_water_ditching*FUSELAGE_ltail*FUSELAGE_w_fo*FUSELAGE_h_fo/4*(PI()/2+ASIN(-FUSELAGE_Dz_floor/FUSELAGE_h_fo*2)+(-FUSELAGE_Dz_floor/FUSELAGE_h_fo*2)*COS(ASIN(-FUSELAGE_Dz_floor/FUSELAGE_h_fo*2)))*1000/3</f>
        <v>4843.2314963899489</v>
      </c>
      <c r="L433" s="30" t="s">
        <v>264</v>
      </c>
      <c r="M433" s="16"/>
      <c r="N433" s="16"/>
      <c r="O433" s="15"/>
      <c r="Q433" s="8"/>
      <c r="Z433" s="37" t="b">
        <v>1</v>
      </c>
    </row>
    <row r="434" spans="1:26" s="37" customFormat="1" ht="14.25" customHeight="1" outlineLevel="1">
      <c r="A434" s="8"/>
      <c r="B434" s="61"/>
      <c r="C434" s="7"/>
      <c r="D434" s="204"/>
      <c r="E434" s="21"/>
      <c r="F434" s="16"/>
      <c r="G434" s="8"/>
      <c r="H434" s="16"/>
      <c r="I434" s="16"/>
      <c r="J434" s="100"/>
      <c r="K434" s="16"/>
      <c r="L434" s="62"/>
      <c r="M434" s="16"/>
      <c r="N434" s="16"/>
      <c r="O434" s="15"/>
      <c r="Q434" s="8"/>
    </row>
    <row r="435" spans="1:26" s="37" customFormat="1" ht="14.25" customHeight="1" outlineLevel="1">
      <c r="A435" s="8"/>
      <c r="B435" s="61"/>
      <c r="F435" s="16"/>
      <c r="G435" s="8"/>
      <c r="I435" s="16" t="s">
        <v>215</v>
      </c>
      <c r="J435" s="7"/>
      <c r="K435" s="207">
        <f ca="1">FUSELAGE_w_fo*FUSELAGE_h_fo/4*(PI()/2+ASIN(-FUSELAGE_Dz_floor/FUSELAGE_h_fo*2)+(-FUSELAGE_Dz_floor/FUSELAGE_h_fo*2)*COS(ASIN(-FUSELAGE_Dz_floor/FUSELAGE_h_fo*2)))*1000*(FUSELAGE_l_cabin-FUSELAGE_Δxnose-FUSELAGE_Δxtail)</f>
        <v>30838.444244851937</v>
      </c>
      <c r="L435" s="62" t="s">
        <v>264</v>
      </c>
      <c r="M435" s="16"/>
      <c r="N435" s="16"/>
      <c r="O435" s="15"/>
      <c r="Q435" s="8"/>
    </row>
    <row r="436" spans="1:26" s="37" customFormat="1" ht="14.25" customHeight="1" outlineLevel="1">
      <c r="A436" s="8"/>
      <c r="B436" s="61"/>
      <c r="C436" s="7"/>
      <c r="D436" s="204"/>
      <c r="E436" s="21"/>
      <c r="F436" s="16"/>
      <c r="G436" s="8"/>
      <c r="H436" s="16"/>
      <c r="I436" s="16"/>
      <c r="J436" s="100"/>
      <c r="K436" s="16"/>
      <c r="L436" s="62"/>
      <c r="M436" s="16"/>
      <c r="N436" s="16"/>
      <c r="O436" s="15"/>
      <c r="Q436" s="8"/>
    </row>
    <row r="437" spans="1:26" s="37" customFormat="1" ht="14.25" customHeight="1" outlineLevel="1">
      <c r="A437" s="8"/>
      <c r="B437" s="61" t="s">
        <v>54</v>
      </c>
      <c r="C437" s="7"/>
      <c r="D437" s="207">
        <f ca="1">K435+K431+K433</f>
        <v>38328.15580891211</v>
      </c>
      <c r="E437" s="21" t="s">
        <v>264</v>
      </c>
      <c r="F437" s="16"/>
      <c r="G437" s="212" t="s">
        <v>383</v>
      </c>
      <c r="H437" s="16"/>
      <c r="I437" s="16" t="s">
        <v>56</v>
      </c>
      <c r="J437" s="100"/>
      <c r="K437" s="207">
        <f>Preliminary_Sizing_mMTO</f>
        <v>32113.5</v>
      </c>
      <c r="L437" s="30" t="s">
        <v>264</v>
      </c>
      <c r="M437" s="16"/>
      <c r="N437" s="16"/>
      <c r="O437" s="15"/>
      <c r="Q437" s="8"/>
    </row>
    <row r="438" spans="1:26" s="37" customFormat="1" ht="14.25" customHeight="1" outlineLevel="1">
      <c r="A438" s="8"/>
      <c r="B438" s="61"/>
      <c r="C438" s="7"/>
      <c r="D438" s="204"/>
      <c r="E438" s="21"/>
      <c r="F438" s="16"/>
      <c r="G438" s="8"/>
      <c r="H438" s="16"/>
      <c r="I438" s="16"/>
      <c r="J438" s="100"/>
      <c r="K438" s="16"/>
      <c r="L438" s="62"/>
      <c r="M438" s="16"/>
      <c r="N438" s="16"/>
      <c r="O438" s="15"/>
      <c r="Q438" s="8"/>
    </row>
    <row r="439" spans="1:26" s="37" customFormat="1" ht="14.25" customHeight="1" outlineLevel="1">
      <c r="A439" s="8"/>
      <c r="B439" s="61"/>
      <c r="C439" s="315" t="str">
        <f ca="1">IF(D437&gt;K437,"Door steps above the water line","Door steps under the waterline ! Please raise the floor level")</f>
        <v>Door steps above the water line</v>
      </c>
      <c r="D439" s="316"/>
      <c r="E439" s="316"/>
      <c r="F439" s="316"/>
      <c r="G439" s="316"/>
      <c r="H439" s="316"/>
      <c r="I439" s="317"/>
      <c r="J439" s="289" t="s">
        <v>768</v>
      </c>
      <c r="K439" s="16"/>
      <c r="L439" s="62"/>
      <c r="M439" s="16"/>
      <c r="N439" s="16"/>
      <c r="O439" s="15"/>
      <c r="Q439" s="8"/>
    </row>
    <row r="440" spans="1:26" s="37" customFormat="1" ht="14.25" customHeight="1" outlineLevel="1" thickBot="1">
      <c r="A440" s="8"/>
      <c r="B440" s="65"/>
      <c r="C440" s="90"/>
      <c r="D440" s="243"/>
      <c r="E440" s="32"/>
      <c r="F440" s="66"/>
      <c r="G440" s="67"/>
      <c r="H440" s="66"/>
      <c r="I440" s="66"/>
      <c r="J440" s="103"/>
      <c r="K440" s="66"/>
      <c r="L440" s="104"/>
      <c r="M440" s="16"/>
      <c r="N440" s="16"/>
      <c r="O440" s="15"/>
      <c r="Q440" s="8"/>
    </row>
    <row r="441" spans="1:26" s="37" customFormat="1" ht="14.25" customHeight="1" outlineLevel="1" thickBot="1">
      <c r="A441" s="8"/>
      <c r="B441" s="16"/>
      <c r="C441" s="7"/>
      <c r="D441" s="204"/>
      <c r="E441" s="21"/>
      <c r="F441" s="16"/>
      <c r="G441" s="8"/>
      <c r="H441" s="16"/>
      <c r="I441" s="16"/>
      <c r="J441" s="100"/>
      <c r="K441" s="16"/>
      <c r="L441" s="16"/>
      <c r="M441" s="16"/>
      <c r="N441" s="16"/>
      <c r="O441" s="15"/>
      <c r="Q441" s="8"/>
    </row>
    <row r="442" spans="1:26" s="37" customFormat="1" ht="14.25" customHeight="1" outlineLevel="1">
      <c r="A442" s="8"/>
      <c r="B442" s="86" t="s">
        <v>769</v>
      </c>
      <c r="C442" s="59"/>
      <c r="D442" s="59"/>
      <c r="E442" s="59"/>
      <c r="F442" s="59"/>
      <c r="G442" s="59"/>
      <c r="H442" s="59"/>
      <c r="I442" s="59"/>
      <c r="J442" s="59"/>
      <c r="K442" s="59"/>
      <c r="L442" s="74"/>
      <c r="M442" s="16"/>
      <c r="N442" s="16"/>
      <c r="O442" s="15"/>
      <c r="Q442" s="8"/>
    </row>
    <row r="443" spans="1:26" s="37" customFormat="1" ht="23.25" customHeight="1" outlineLevel="1">
      <c r="A443" s="8"/>
      <c r="B443" s="61"/>
      <c r="L443" s="63"/>
      <c r="M443" s="16"/>
      <c r="N443" s="16"/>
      <c r="O443" s="15"/>
      <c r="Q443" s="8"/>
    </row>
    <row r="444" spans="1:26" s="37" customFormat="1" ht="14.25" customHeight="1" outlineLevel="1">
      <c r="A444" s="8"/>
      <c r="B444" s="61"/>
      <c r="L444" s="63"/>
      <c r="M444" s="16"/>
      <c r="N444" s="16"/>
      <c r="O444" s="15"/>
      <c r="Q444" s="8"/>
    </row>
    <row r="445" spans="1:26" s="37" customFormat="1" ht="14.25" customHeight="1" outlineLevel="1">
      <c r="A445" s="8"/>
      <c r="B445" s="128" t="s">
        <v>285</v>
      </c>
      <c r="C445" s="2"/>
      <c r="D445" s="222">
        <f>SUM(L457:L465)</f>
        <v>180</v>
      </c>
      <c r="E445" s="2" t="s">
        <v>395</v>
      </c>
      <c r="F445" s="2"/>
      <c r="G445" s="212" t="s">
        <v>383</v>
      </c>
      <c r="H445" s="2"/>
      <c r="I445" s="2" t="s">
        <v>287</v>
      </c>
      <c r="J445" s="2"/>
      <c r="K445" s="222">
        <f>FUSELAGE_n_pax</f>
        <v>70</v>
      </c>
      <c r="L445" s="129" t="s">
        <v>395</v>
      </c>
      <c r="M445" s="16"/>
      <c r="N445" s="16"/>
      <c r="O445" s="15"/>
      <c r="Q445" s="8"/>
    </row>
    <row r="446" spans="1:26" s="37" customFormat="1" ht="14.25" customHeight="1" outlineLevel="1">
      <c r="A446" s="8"/>
      <c r="B446" s="128"/>
      <c r="C446" s="2"/>
      <c r="D446" s="4"/>
      <c r="E446" s="2"/>
      <c r="F446" s="2"/>
      <c r="G446" s="212"/>
      <c r="H446" s="2"/>
      <c r="I446" s="2"/>
      <c r="J446" s="2"/>
      <c r="K446" s="192"/>
      <c r="L446" s="129"/>
      <c r="M446" s="16"/>
      <c r="N446" s="16"/>
      <c r="O446" s="15"/>
      <c r="Q446" s="8"/>
    </row>
    <row r="447" spans="1:26" s="37" customFormat="1" ht="14.25" customHeight="1" outlineLevel="1">
      <c r="A447" s="8"/>
      <c r="B447" s="128"/>
      <c r="C447" s="315" t="str">
        <f>IF(D445&gt;=K445,"Overall number and size of exits is correct","Number or size of exits not correct! Please increase the number of exits")</f>
        <v>Overall number and size of exits is correct</v>
      </c>
      <c r="D447" s="316"/>
      <c r="E447" s="316"/>
      <c r="F447" s="316"/>
      <c r="G447" s="316"/>
      <c r="H447" s="316"/>
      <c r="I447" s="317"/>
      <c r="J447" s="2" t="s">
        <v>754</v>
      </c>
      <c r="K447" s="2"/>
      <c r="L447" s="129"/>
      <c r="M447" s="16"/>
      <c r="N447" s="16"/>
      <c r="O447" s="15"/>
      <c r="Q447" s="8"/>
    </row>
    <row r="448" spans="1:26" s="37" customFormat="1" ht="14.25" customHeight="1" outlineLevel="1">
      <c r="A448" s="8"/>
      <c r="B448" s="95"/>
      <c r="H448" s="154"/>
      <c r="I448" s="259"/>
      <c r="L448" s="63"/>
      <c r="M448" s="16"/>
      <c r="N448" s="16"/>
      <c r="O448" s="15"/>
      <c r="Q448" s="8"/>
    </row>
    <row r="449" spans="1:17" s="37" customFormat="1" ht="14.25" customHeight="1" outlineLevel="1">
      <c r="A449" s="8"/>
      <c r="B449" s="295" t="s">
        <v>724</v>
      </c>
      <c r="C449" s="298"/>
      <c r="D449" s="296" t="s">
        <v>725</v>
      </c>
      <c r="E449" s="296"/>
      <c r="F449" s="296"/>
      <c r="G449" s="296"/>
      <c r="H449" s="296"/>
      <c r="I449" s="297"/>
      <c r="J449" s="37" t="s">
        <v>770</v>
      </c>
      <c r="L449" s="63"/>
      <c r="M449" s="16"/>
      <c r="N449" s="16"/>
      <c r="O449" s="15"/>
      <c r="Q449" s="8"/>
    </row>
    <row r="450" spans="1:17" s="37" customFormat="1" ht="14.25" customHeight="1" outlineLevel="1">
      <c r="A450" s="8"/>
      <c r="B450" s="95"/>
      <c r="I450" s="16"/>
      <c r="L450" s="63"/>
      <c r="M450" s="16"/>
      <c r="N450" s="16"/>
      <c r="O450" s="15"/>
      <c r="Q450" s="8"/>
    </row>
    <row r="451" spans="1:17" s="37" customFormat="1" ht="14.25" customHeight="1" outlineLevel="1">
      <c r="A451" s="8"/>
      <c r="B451" s="295" t="s">
        <v>724</v>
      </c>
      <c r="C451" s="298"/>
      <c r="D451" s="296" t="s">
        <v>726</v>
      </c>
      <c r="E451" s="296"/>
      <c r="F451" s="296"/>
      <c r="G451" s="296"/>
      <c r="H451" s="296"/>
      <c r="I451" s="297"/>
      <c r="J451" s="37" t="s">
        <v>771</v>
      </c>
      <c r="L451" s="63"/>
      <c r="M451" s="16"/>
      <c r="N451" s="16"/>
      <c r="O451" s="15"/>
      <c r="Q451" s="8"/>
    </row>
    <row r="452" spans="1:17" s="37" customFormat="1" ht="14.25" customHeight="1" outlineLevel="1">
      <c r="A452" s="8"/>
      <c r="B452" s="95"/>
      <c r="I452" s="16"/>
      <c r="L452" s="63"/>
      <c r="M452" s="16"/>
      <c r="N452" s="16"/>
      <c r="O452" s="15"/>
      <c r="Q452" s="8"/>
    </row>
    <row r="453" spans="1:17" s="37" customFormat="1" ht="14.25" customHeight="1" outlineLevel="1">
      <c r="A453" s="8"/>
      <c r="B453" s="95"/>
      <c r="I453" s="16"/>
      <c r="L453" s="63"/>
      <c r="M453" s="16"/>
      <c r="N453" s="16"/>
      <c r="O453" s="15"/>
      <c r="Q453" s="8"/>
    </row>
    <row r="454" spans="1:17" s="37" customFormat="1" ht="14.25" customHeight="1" outlineLevel="1">
      <c r="A454" s="8"/>
      <c r="B454" s="295" t="s">
        <v>772</v>
      </c>
      <c r="F454" s="292" t="s">
        <v>777</v>
      </c>
      <c r="I454" s="16"/>
      <c r="L454" s="63"/>
      <c r="M454" s="16"/>
      <c r="N454" s="16"/>
      <c r="O454" s="15"/>
      <c r="Q454" s="8"/>
    </row>
    <row r="455" spans="1:17" s="37" customFormat="1" ht="14.25" customHeight="1" outlineLevel="1">
      <c r="A455" s="8"/>
      <c r="B455" s="95"/>
      <c r="D455" s="260"/>
      <c r="E455" s="2"/>
      <c r="H455" s="258" t="s">
        <v>219</v>
      </c>
      <c r="I455" s="54"/>
      <c r="J455" s="210" t="s">
        <v>218</v>
      </c>
      <c r="K455" s="211"/>
      <c r="L455" s="63"/>
      <c r="M455" s="16"/>
      <c r="N455" s="16"/>
      <c r="O455" s="15"/>
      <c r="Q455" s="8"/>
    </row>
    <row r="456" spans="1:17" s="37" customFormat="1" ht="29.25" customHeight="1" outlineLevel="1">
      <c r="A456" s="8"/>
      <c r="B456" s="261" t="s">
        <v>220</v>
      </c>
      <c r="C456" s="290" t="s">
        <v>693</v>
      </c>
      <c r="D456" s="291" t="s">
        <v>723</v>
      </c>
      <c r="E456" s="2"/>
      <c r="F456" s="215" t="s">
        <v>701</v>
      </c>
      <c r="G456" s="254" t="s">
        <v>216</v>
      </c>
      <c r="H456" s="254" t="s">
        <v>217</v>
      </c>
      <c r="I456" s="149" t="s">
        <v>468</v>
      </c>
      <c r="J456" s="307" t="s">
        <v>266</v>
      </c>
      <c r="K456" s="308" t="s">
        <v>694</v>
      </c>
      <c r="L456" s="309" t="s">
        <v>693</v>
      </c>
      <c r="M456" s="16"/>
      <c r="N456" s="16"/>
      <c r="O456" s="15"/>
      <c r="Q456" s="8"/>
    </row>
    <row r="457" spans="1:17" s="37" customFormat="1" ht="14.25" customHeight="1" outlineLevel="1">
      <c r="A457" s="8"/>
      <c r="B457" s="262" t="s">
        <v>396</v>
      </c>
      <c r="C457" s="265">
        <v>125</v>
      </c>
      <c r="D457" s="265">
        <v>66</v>
      </c>
      <c r="E457" s="2"/>
      <c r="F457" s="50">
        <v>1</v>
      </c>
      <c r="G457" s="255">
        <v>1.4826000000000001</v>
      </c>
      <c r="H457" s="255">
        <v>1.4826000000000001</v>
      </c>
      <c r="I457" s="176" t="s">
        <v>707</v>
      </c>
      <c r="J457" s="228">
        <v>0</v>
      </c>
      <c r="K457" s="310">
        <v>0</v>
      </c>
      <c r="L457" s="63">
        <v>55</v>
      </c>
      <c r="M457" s="16"/>
      <c r="N457" s="16"/>
      <c r="O457" s="15"/>
      <c r="Q457" s="8"/>
    </row>
    <row r="458" spans="1:17" s="37" customFormat="1" ht="14.25" customHeight="1" outlineLevel="1">
      <c r="A458" s="8"/>
      <c r="B458" s="263" t="s">
        <v>213</v>
      </c>
      <c r="C458" s="266">
        <v>125</v>
      </c>
      <c r="D458" s="266">
        <v>84</v>
      </c>
      <c r="E458" s="2"/>
      <c r="F458" s="176">
        <v>2</v>
      </c>
      <c r="G458" s="255">
        <v>12.606599999999993</v>
      </c>
      <c r="H458" s="255">
        <v>12.480799999999997</v>
      </c>
      <c r="I458" s="176" t="s">
        <v>209</v>
      </c>
      <c r="J458" s="228">
        <v>0.12579999999999636</v>
      </c>
      <c r="K458" s="310">
        <v>0.56544408486154452</v>
      </c>
      <c r="L458" s="63">
        <v>70</v>
      </c>
      <c r="M458" s="16"/>
      <c r="N458" s="16"/>
      <c r="O458" s="15"/>
      <c r="Q458" s="8"/>
    </row>
    <row r="459" spans="1:17" s="37" customFormat="1" ht="14.25" customHeight="1" outlineLevel="1">
      <c r="A459" s="8"/>
      <c r="B459" s="263"/>
      <c r="C459" s="266"/>
      <c r="D459" s="266"/>
      <c r="E459" s="2"/>
      <c r="F459" s="176">
        <v>3</v>
      </c>
      <c r="G459" s="255">
        <v>23.730599999999988</v>
      </c>
      <c r="H459" s="255">
        <v>23.730599999999988</v>
      </c>
      <c r="I459" s="176" t="s">
        <v>707</v>
      </c>
      <c r="J459" s="228">
        <v>0</v>
      </c>
      <c r="K459" s="310">
        <v>0</v>
      </c>
      <c r="L459" s="63">
        <v>55</v>
      </c>
      <c r="M459" s="16"/>
      <c r="N459" s="16"/>
      <c r="O459" s="15"/>
      <c r="Q459" s="8"/>
    </row>
    <row r="460" spans="1:17" s="2" customFormat="1" outlineLevel="1">
      <c r="B460" s="263"/>
      <c r="C460" s="266"/>
      <c r="D460" s="266"/>
      <c r="F460" s="176"/>
      <c r="G460" s="256"/>
      <c r="H460" s="256"/>
      <c r="I460" s="176"/>
      <c r="J460" s="176"/>
      <c r="K460" s="310"/>
      <c r="L460" s="63"/>
    </row>
    <row r="461" spans="1:17" s="2" customFormat="1" outlineLevel="1">
      <c r="B461" s="263"/>
      <c r="C461" s="266"/>
      <c r="D461" s="266"/>
      <c r="F461" s="176"/>
      <c r="G461" s="256"/>
      <c r="H461" s="256"/>
      <c r="I461" s="176"/>
      <c r="J461" s="176"/>
      <c r="K461" s="310"/>
      <c r="L461" s="63"/>
    </row>
    <row r="462" spans="1:17" s="2" customFormat="1" outlineLevel="1">
      <c r="B462" s="263"/>
      <c r="C462" s="266"/>
      <c r="D462" s="266"/>
      <c r="F462" s="176"/>
      <c r="G462" s="256"/>
      <c r="H462" s="256"/>
      <c r="I462" s="176"/>
      <c r="J462" s="176"/>
      <c r="K462" s="310"/>
      <c r="L462" s="63"/>
    </row>
    <row r="463" spans="1:17" s="2" customFormat="1" outlineLevel="1">
      <c r="B463" s="263"/>
      <c r="C463" s="266"/>
      <c r="D463" s="266"/>
      <c r="F463" s="176"/>
      <c r="G463" s="256"/>
      <c r="H463" s="256"/>
      <c r="I463" s="176"/>
      <c r="J463" s="176"/>
      <c r="K463" s="310"/>
      <c r="L463" s="63"/>
    </row>
    <row r="464" spans="1:17" s="2" customFormat="1" outlineLevel="1">
      <c r="B464" s="263"/>
      <c r="C464" s="266"/>
      <c r="D464" s="266"/>
      <c r="F464" s="176"/>
      <c r="G464" s="256"/>
      <c r="H464" s="256"/>
      <c r="I464" s="176"/>
      <c r="J464" s="176"/>
      <c r="K464" s="310"/>
      <c r="L464" s="129"/>
    </row>
    <row r="465" spans="2:12" s="2" customFormat="1" outlineLevel="1">
      <c r="B465" s="264"/>
      <c r="C465" s="267"/>
      <c r="D465" s="267"/>
      <c r="F465" s="55"/>
      <c r="G465" s="257"/>
      <c r="H465" s="257"/>
      <c r="I465" s="55"/>
      <c r="J465" s="55"/>
      <c r="K465" s="311"/>
      <c r="L465" s="196"/>
    </row>
    <row r="466" spans="2:12" s="2" customFormat="1" ht="15" outlineLevel="1" thickBot="1">
      <c r="B466" s="130"/>
      <c r="C466" s="237"/>
      <c r="D466" s="131"/>
      <c r="E466" s="131"/>
      <c r="F466" s="131"/>
      <c r="G466" s="131"/>
      <c r="H466" s="131"/>
      <c r="I466" s="238"/>
      <c r="J466" s="237"/>
      <c r="K466" s="131"/>
      <c r="L466" s="132"/>
    </row>
    <row r="467" spans="2:12" s="2" customFormat="1" outlineLevel="1">
      <c r="B467" s="175"/>
      <c r="C467" s="244"/>
      <c r="D467" s="175"/>
      <c r="E467" s="175"/>
      <c r="F467" s="175"/>
      <c r="G467" s="175"/>
      <c r="H467" s="175"/>
      <c r="I467" s="245"/>
      <c r="J467" s="244"/>
      <c r="K467" s="175"/>
      <c r="L467" s="175"/>
    </row>
    <row r="468" spans="2:12" s="2" customFormat="1">
      <c r="C468" s="235"/>
      <c r="I468" s="236"/>
      <c r="J468" s="235"/>
    </row>
    <row r="469" spans="2:12" s="2" customFormat="1">
      <c r="C469" s="235"/>
      <c r="I469" s="236"/>
      <c r="J469" s="235"/>
    </row>
    <row r="470" spans="2:12" s="2" customFormat="1"/>
    <row r="471" spans="2:12" s="2" customFormat="1"/>
    <row r="472" spans="2:12" s="2" customFormat="1"/>
    <row r="473" spans="2:12" s="2" customFormat="1"/>
    <row r="474" spans="2:12" s="2" customFormat="1"/>
    <row r="475" spans="2:12" s="2" customFormat="1"/>
    <row r="476" spans="2:12" s="2" customFormat="1"/>
    <row r="477" spans="2:12" s="2" customFormat="1"/>
    <row r="478" spans="2:12" s="2" customFormat="1"/>
    <row r="479" spans="2:12" s="2" customFormat="1"/>
    <row r="480" spans="2:12" s="2" customFormat="1"/>
    <row r="481" spans="2:10" s="2" customFormat="1">
      <c r="B481" s="235"/>
    </row>
    <row r="482" spans="2:10" s="2" customFormat="1">
      <c r="I482" s="236"/>
      <c r="J482" s="235"/>
    </row>
    <row r="483" spans="2:10" s="2" customFormat="1">
      <c r="C483" s="235"/>
      <c r="I483" s="236"/>
      <c r="J483" s="235"/>
    </row>
    <row r="484" spans="2:10" s="2" customFormat="1">
      <c r="C484" s="235"/>
      <c r="I484" s="236"/>
      <c r="J484" s="235"/>
    </row>
    <row r="485" spans="2:10" s="2" customFormat="1">
      <c r="C485" s="235"/>
      <c r="I485" s="236"/>
      <c r="J485" s="235"/>
    </row>
    <row r="486" spans="2:10" s="2" customFormat="1">
      <c r="C486" s="235"/>
      <c r="I486" s="236"/>
      <c r="J486" s="235"/>
    </row>
    <row r="487" spans="2:10" s="2" customFormat="1">
      <c r="C487" s="235"/>
      <c r="I487" s="236"/>
      <c r="J487" s="235"/>
    </row>
    <row r="488" spans="2:10" s="2" customFormat="1">
      <c r="C488" s="235"/>
      <c r="I488" s="236"/>
      <c r="J488" s="235"/>
    </row>
    <row r="489" spans="2:10" s="2" customFormat="1">
      <c r="C489" s="235"/>
      <c r="I489" s="236"/>
      <c r="J489" s="235"/>
    </row>
    <row r="490" spans="2:10" s="2" customFormat="1">
      <c r="C490" s="235"/>
      <c r="I490" s="236"/>
      <c r="J490" s="235"/>
    </row>
    <row r="491" spans="2:10" s="2" customFormat="1">
      <c r="C491" s="235"/>
      <c r="I491" s="236"/>
      <c r="J491" s="235"/>
    </row>
  </sheetData>
  <scenarios current="0" show="0" sqref="D410">
    <scenario name="firstclassspitch" locked="1" count="1" user="Philippe Montarnal" comment="Erstellt von Philippe Montarnal am 20.05.2010_x000a_Modifiziert von Philippe Montarnal am 20.05.2010">
      <inputCells r="D265" val="34" numFmtId="2"/>
    </scenario>
    <scenario name="fjsidf" locked="1" count="1" user="Philippe Montarnal" comment="Erstellt von Philippe Montarnal am 20.05.2010">
      <inputCells r="D265" val="36" numFmtId="2"/>
    </scenario>
    <scenario name="fdsfsdf" locked="1" count="1" user="Philippe Montarnal" comment="Erstellt von Philippe Montarnal am 20.05.2010">
      <inputCells r="D265" val="38" numFmtId="2"/>
    </scenario>
  </scenarios>
  <dataConsolidate/>
  <mergeCells count="12">
    <mergeCell ref="J88:K91"/>
    <mergeCell ref="C447:I447"/>
    <mergeCell ref="C260:I260"/>
    <mergeCell ref="G274:K274"/>
    <mergeCell ref="C422:I422"/>
    <mergeCell ref="C274:E274"/>
    <mergeCell ref="C439:I439"/>
    <mergeCell ref="C426:I426"/>
    <mergeCell ref="C411:I411"/>
    <mergeCell ref="C102:I102"/>
    <mergeCell ref="I209:J209"/>
    <mergeCell ref="I211:J211"/>
  </mergeCells>
  <phoneticPr fontId="11" type="noConversion"/>
  <conditionalFormatting sqref="C457:C465">
    <cfRule type="cellIs" dxfId="18" priority="2" stopIfTrue="1" operator="lessThan">
      <formula>$D457</formula>
    </cfRule>
  </conditionalFormatting>
  <conditionalFormatting sqref="D457:D465">
    <cfRule type="cellIs" dxfId="17" priority="3" stopIfTrue="1" operator="greaterThan">
      <formula>$C457</formula>
    </cfRule>
  </conditionalFormatting>
  <conditionalFormatting sqref="K457:K465">
    <cfRule type="cellIs" dxfId="16" priority="4" stopIfTrue="1" operator="greaterThan">
      <formula>15</formula>
    </cfRule>
  </conditionalFormatting>
  <conditionalFormatting sqref="C447:I447">
    <cfRule type="cellIs" dxfId="15" priority="5" stopIfTrue="1" operator="equal">
      <formula>"Overall number and size of exits is correct"</formula>
    </cfRule>
  </conditionalFormatting>
  <conditionalFormatting sqref="C426:I426">
    <cfRule type="cellIs" dxfId="14" priority="6" stopIfTrue="1" operator="equal">
      <formula>"Number of lavatories is correct"</formula>
    </cfRule>
  </conditionalFormatting>
  <conditionalFormatting sqref="C439:I439">
    <cfRule type="cellIs" dxfId="13" priority="7" stopIfTrue="1" operator="equal">
      <formula>"Door steps above the water line"</formula>
    </cfRule>
  </conditionalFormatting>
  <conditionalFormatting sqref="C422:I422">
    <cfRule type="cellIs" dxfId="12" priority="8" stopIfTrue="1" operator="equal">
      <formula>"Number of galleys is correct"</formula>
    </cfRule>
  </conditionalFormatting>
  <conditionalFormatting sqref="H276:H340">
    <cfRule type="cellIs" dxfId="11" priority="9" stopIfTrue="1" operator="equal">
      <formula>"YES"</formula>
    </cfRule>
  </conditionalFormatting>
  <conditionalFormatting sqref="C276:E340 G276:G340">
    <cfRule type="cellIs" dxfId="10" priority="10" stopIfTrue="1" operator="notEqual">
      <formula>"None"</formula>
    </cfRule>
  </conditionalFormatting>
  <conditionalFormatting sqref="C260:I260">
    <cfRule type="cellIs" dxfId="9" priority="11" stopIfTrue="1" operator="equal">
      <formula>"Galley surface is correct"</formula>
    </cfRule>
  </conditionalFormatting>
  <conditionalFormatting sqref="I169 I161 I153">
    <cfRule type="cellIs" dxfId="8" priority="12" stopIfTrue="1" operator="equal">
      <formula>"Wrong number of seats abreast!"</formula>
    </cfRule>
  </conditionalFormatting>
  <conditionalFormatting sqref="I34">
    <cfRule type="cellIs" dxfId="7" priority="13" stopIfTrue="1" operator="equal">
      <formula>"Wrong number of seats!"</formula>
    </cfRule>
  </conditionalFormatting>
  <conditionalFormatting sqref="I209:J209">
    <cfRule type="cellIs" dxfId="6" priority="14" stopIfTrue="1" operator="equal">
      <formula>"First class aisle width is smaller than economy class!"</formula>
    </cfRule>
  </conditionalFormatting>
  <conditionalFormatting sqref="I211:J211">
    <cfRule type="cellIs" dxfId="5" priority="15" stopIfTrue="1" operator="equal">
      <formula>"Business class aisle width is smaller than economy class!"</formula>
    </cfRule>
  </conditionalFormatting>
  <conditionalFormatting sqref="C411:I411">
    <cfRule type="cellIs" dxfId="4" priority="16" stopIfTrue="1" operator="equal">
      <formula>"Cargo compartment volume is sufficient"</formula>
    </cfRule>
  </conditionalFormatting>
  <conditionalFormatting sqref="C102:I102">
    <cfRule type="cellIs" dxfId="3" priority="17" stopIfTrue="1" operator="equal">
      <formula>"Aisle width is correct"</formula>
    </cfRule>
  </conditionalFormatting>
  <conditionalFormatting sqref="I41">
    <cfRule type="cellIs" dxfId="2" priority="1" stopIfTrue="1" operator="equal">
      <formula>"Wrong number of aisles!"</formula>
    </cfRule>
  </conditionalFormatting>
  <dataValidations count="23">
    <dataValidation allowBlank="1" showInputMessage="1" sqref="K401 K384 K388 K396 K394 K392 K390 K386 K381 K103:K104 D409 K377 D372 K364 K368 K372 D211 D209 D198 D200 K78:K80 K76 K56 K54 K52 K50 K48 K58 K60:K62 D124 D79 D70 D128 D130 D140 D142 D136 D134 D132 D61 D126 K409 K67 K69:K71 K117 K115 K113 K100 D100 D406 K406 K403 K399 D6" xr:uid="{BE298780-F97F-4711-BA29-76B107AE544D}"/>
    <dataValidation type="decimal" operator="greaterThanOrEqual" allowBlank="1" showInputMessage="1" showErrorMessage="1" error="Please give a positive number" sqref="D399 D384 D388 D377" xr:uid="{77630593-3FE2-4C09-BAF7-5BBCA8851AA4}">
      <formula1>0</formula1>
    </dataValidation>
    <dataValidation type="decimal" allowBlank="1" showInputMessage="1" showErrorMessage="1" error="Please give a value between 0 and 1" sqref="D394 D379" xr:uid="{FF12C595-1DCF-41E1-A072-3E6CDEC781C5}">
      <formula1>0</formula1>
      <formula2>1</formula2>
    </dataValidation>
    <dataValidation type="whole" operator="greaterThanOrEqual" allowBlank="1" showInputMessage="1" showErrorMessage="1" error="Please give a whole number" sqref="D386 D390 D253 D244 D235 D222 D220 D218 D182 D184 D186" xr:uid="{DFEEE90A-146F-4AE1-8FD9-D5C3CCA387DA}">
      <formula1>0</formula1>
    </dataValidation>
    <dataValidation type="decimal" operator="greaterThanOrEqual" allowBlank="1" showInputMessage="1" showErrorMessage="1" error="Please give a positive value" sqref="D104 D251 D249 D242 D240 D233 D231 D226 D224 D196 D194 D190 D188 D192 D368 D98 D93 D91 D89 D87 D85 D80 D78 D76 D71 D69 D67 D62 D60 D58 D56 D54 D52 D50 D48 D364" xr:uid="{F30E25C3-39AE-4B24-A799-10008F317DF3}">
      <formula1>0</formula1>
    </dataValidation>
    <dataValidation type="list" allowBlank="1" showInputMessage="1" showErrorMessage="1" sqref="E104 E48 E50 E98 E80 E78 E76 E71 E69 E67 E62 E60 E58 E56 E54 E52" xr:uid="{D2C7DDC4-A541-4C66-A732-B974F65028BD}">
      <formula1>FUSELAGE_units_choice</formula1>
    </dataValidation>
    <dataValidation type="list" allowBlank="1" showInputMessage="1" showErrorMessage="1" sqref="H276:H340" xr:uid="{49D31522-64F8-4DFE-9626-9B6D3A1DEC81}">
      <formula1>FUSELAGE_attendant_seat_choice_list</formula1>
    </dataValidation>
    <dataValidation type="list" allowBlank="1" showInputMessage="1" showErrorMessage="1" sqref="D276:D340" xr:uid="{E2F4D08F-8C90-4764-8AAC-2E8F9C014AEE}">
      <formula1>FUSELAGE_monuments_center_list</formula1>
    </dataValidation>
    <dataValidation type="list" allowBlank="1" showInputMessage="1" showErrorMessage="1" sqref="C276:C340 E276:E340" xr:uid="{74CAEAE9-9A09-4711-B85F-04563934855B}">
      <formula1>FUSELAGE_monuments_side_list</formula1>
    </dataValidation>
    <dataValidation type="list" allowBlank="1" showInputMessage="1" showErrorMessage="1" sqref="G276:G340" xr:uid="{A0D56CF6-6381-449A-A619-C2E593F8C088}">
      <formula1>FUSELAGE_exit_type_list</formula1>
    </dataValidation>
    <dataValidation operator="greaterThan" allowBlank="1" showInputMessage="1" sqref="K265 K267 K269" xr:uid="{41BA6E09-C1D2-4F47-86EB-5EF45FB091C8}"/>
    <dataValidation type="whole" operator="greaterThan" allowBlank="1" showInputMessage="1" showErrorMessage="1" error="Please give a whole number" sqref="D267" xr:uid="{040D7E24-CA97-48AD-A3CC-FE1AD025D3F9}">
      <formula1>28</formula1>
    </dataValidation>
    <dataValidation type="whole" allowBlank="1" showInputMessage="1" showErrorMessage="1" error="This number must be between 0 and 6" sqref="D165 D157 D149" xr:uid="{3C8C4E90-6F9B-46E0-94CD-DC5EDF737BC9}">
      <formula1>0</formula1>
      <formula2>6</formula2>
    </dataValidation>
    <dataValidation type="list" allowBlank="1" showInputMessage="1" error="Please give a number between 0 and 12" sqref="D138" xr:uid="{54676574-FEA3-411A-B09B-62AD962EB35F}">
      <formula1>$J$138</formula1>
    </dataValidation>
    <dataValidation type="whole" allowBlank="1" showInputMessage="1" showErrorMessage="1" error="This number must be between 1 and 3" sqref="D163 D167 D159 D155 D151 D147" xr:uid="{13E48AE1-5C6B-4F6B-B3CF-9FE02BD67767}">
      <formula1>1</formula1>
      <formula2>3</formula2>
    </dataValidation>
    <dataValidation allowBlank="1" showInputMessage="1" showErrorMessage="1" error="Please give a number between 0 and 12" sqref="K77 K51 K53 K55 K57 K59 K49 D77 D68 D49 D59 D57 D55 D53 D51 D81:D84 D72:D73 D63:D64 K68" xr:uid="{A64ADF89-4C6E-468F-94A4-386FEF04D94A}"/>
    <dataValidation allowBlank="1" showInputMessage="1" error="The only valid values are 1 and 2" sqref="AC39" xr:uid="{C5400C12-6BFF-4380-86DD-F84601CE4867}"/>
    <dataValidation type="list" allowBlank="1" showInputMessage="1" showErrorMessage="1" error="Please enter Yes or No" sqref="D111" xr:uid="{543488E8-046A-471A-979B-A23A66E980E1}">
      <formula1>FUSELAGE_double_containers_list</formula1>
    </dataValidation>
    <dataValidation type="list" allowBlank="1" showInputMessage="1" showErrorMessage="1" sqref="E265 E267 E269" xr:uid="{65D123A0-29BE-4699-895D-CFD8B4C6D408}">
      <formula1>FUSELAGE_units_choice2</formula1>
    </dataValidation>
    <dataValidation type="whole" operator="greaterThanOrEqual" allowBlank="1" showInputMessage="1" showErrorMessage="1" sqref="D17 D19" xr:uid="{AF47F48F-4704-42FB-ABA6-1524E75C87FC}">
      <formula1>0</formula1>
    </dataValidation>
    <dataValidation type="whole" allowBlank="1" showInputMessage="1" showErrorMessage="1" error="Please give a whole number between 1 and 12" sqref="D28 D32 D30" xr:uid="{A33E77D2-9150-438A-A948-C5B2069A9F5E}">
      <formula1>1</formula1>
      <formula2>12</formula2>
    </dataValidation>
    <dataValidation type="whole" operator="greaterThan" allowBlank="1" showInputMessage="1" showErrorMessage="1" error="Please give a whole number, bigger than 28" sqref="D269 D265" xr:uid="{BF8EE7E6-EA20-414F-AD36-36F82CC07CE4}">
      <formula1>28</formula1>
    </dataValidation>
    <dataValidation errorStyle="warning" allowBlank="1" showInputMessage="1" error="This value is different from the one given in the requirements of Preliminary Sizing._x000a_Please check" sqref="D4:D5 D7:D8" xr:uid="{54136A23-A0C1-4256-A5DC-0417F4161EC8}"/>
  </dataValidations>
  <pageMargins left="0.75" right="0.75" top="1" bottom="1" header="0.4921259845" footer="0.4921259845"/>
  <pageSetup paperSize="9" orientation="portrait" verticalDpi="300" r:id="rId1"/>
  <headerFooter alignWithMargins="0"/>
  <drawing r:id="rId2"/>
  <legacyDrawing r:id="rId3"/>
  <controls>
    <mc:AlternateContent xmlns:mc="http://schemas.openxmlformats.org/markup-compatibility/2006">
      <mc:Choice Requires="x14">
        <control shapeId="13802498" r:id="rId4" name="ComboBoxNumberOfClasses">
          <controlPr defaultSize="0" autoLine="0" linkedCell="FUSELAGE_classes_result" listFillRange="FUSELAGE_classes_list" r:id="rId5">
            <anchor moveWithCells="1" sizeWithCells="1">
              <from>
                <xdr:col>2</xdr:col>
                <xdr:colOff>755650</xdr:colOff>
                <xdr:row>14</xdr:row>
                <xdr:rowOff>44450</xdr:rowOff>
              </from>
              <to>
                <xdr:col>4</xdr:col>
                <xdr:colOff>260350</xdr:colOff>
                <xdr:row>15</xdr:row>
                <xdr:rowOff>107950</xdr:rowOff>
              </to>
            </anchor>
          </controlPr>
        </control>
      </mc:Choice>
      <mc:Fallback>
        <control shapeId="13802498" r:id="rId4" name="ComboBoxNumberOfClasses"/>
      </mc:Fallback>
    </mc:AlternateContent>
    <mc:AlternateContent xmlns:mc="http://schemas.openxmlformats.org/markup-compatibility/2006">
      <mc:Choice Requires="x14">
        <control shapeId="13802539" r:id="rId6" name="ResetPassengerDimensions">
          <controlPr defaultSize="0" autoLine="0" r:id="rId7">
            <anchor moveWithCells="1" sizeWithCells="1">
              <from>
                <xdr:col>7</xdr:col>
                <xdr:colOff>101600</xdr:colOff>
                <xdr:row>87</xdr:row>
                <xdr:rowOff>139700</xdr:rowOff>
              </from>
              <to>
                <xdr:col>8</xdr:col>
                <xdr:colOff>2165350</xdr:colOff>
                <xdr:row>89</xdr:row>
                <xdr:rowOff>44450</xdr:rowOff>
              </to>
            </anchor>
          </controlPr>
        </control>
      </mc:Choice>
      <mc:Fallback>
        <control shapeId="13802539" r:id="rId6" name="ResetPassengerDimensions"/>
      </mc:Fallback>
    </mc:AlternateContent>
    <mc:AlternateContent xmlns:mc="http://schemas.openxmlformats.org/markup-compatibility/2006">
      <mc:Choice Requires="x14">
        <control shapeId="13802547" r:id="rId8" name="ComboBoxContainerType">
          <controlPr defaultSize="0" autoLine="0" linkedCell="FUSELAGE_containers_result" listFillRange="FUSELAGE_containers_list" r:id="rId9">
            <anchor moveWithCells="1" sizeWithCells="1">
              <from>
                <xdr:col>2</xdr:col>
                <xdr:colOff>241300</xdr:colOff>
                <xdr:row>108</xdr:row>
                <xdr:rowOff>0</xdr:rowOff>
              </from>
              <to>
                <xdr:col>4</xdr:col>
                <xdr:colOff>158750</xdr:colOff>
                <xdr:row>109</xdr:row>
                <xdr:rowOff>44450</xdr:rowOff>
              </to>
            </anchor>
          </controlPr>
        </control>
      </mc:Choice>
      <mc:Fallback>
        <control shapeId="13802547" r:id="rId8" name="ComboBoxContainerType"/>
      </mc:Fallback>
    </mc:AlternateContent>
    <mc:AlternateContent xmlns:mc="http://schemas.openxmlformats.org/markup-compatibility/2006">
      <mc:Choice Requires="x14">
        <control shapeId="13802578" r:id="rId10" name="ScrollBarRatioHeightWidth">
          <controlPr defaultSize="0" autoLine="0" autoPict="0" linkedCell="FUSELAGE_height_width_ratio_scrollbar" r:id="rId11">
            <anchor moveWithCells="1" sizeWithCells="1">
              <from>
                <xdr:col>8</xdr:col>
                <xdr:colOff>889000</xdr:colOff>
                <xdr:row>123</xdr:row>
                <xdr:rowOff>12700</xdr:rowOff>
              </from>
              <to>
                <xdr:col>8</xdr:col>
                <xdr:colOff>1924050</xdr:colOff>
                <xdr:row>124</xdr:row>
                <xdr:rowOff>6350</xdr:rowOff>
              </to>
            </anchor>
          </controlPr>
        </control>
      </mc:Choice>
      <mc:Fallback>
        <control shapeId="13802578" r:id="rId10" name="ScrollBarRatioHeightWidth"/>
      </mc:Fallback>
    </mc:AlternateContent>
    <mc:AlternateContent xmlns:mc="http://schemas.openxmlformats.org/markup-compatibility/2006">
      <mc:Choice Requires="x14">
        <control shapeId="13802595" r:id="rId12" name="ComboBoxNumberOfAisles">
          <controlPr defaultSize="0" autoLine="0" linkedCell="FUSELAGE_n_aisles_result" listFillRange="FUSELAGE_n_aisles_list" r:id="rId13">
            <anchor moveWithCells="1" sizeWithCells="1">
              <from>
                <xdr:col>3</xdr:col>
                <xdr:colOff>19050</xdr:colOff>
                <xdr:row>38</xdr:row>
                <xdr:rowOff>0</xdr:rowOff>
              </from>
              <to>
                <xdr:col>4</xdr:col>
                <xdr:colOff>0</xdr:colOff>
                <xdr:row>39</xdr:row>
                <xdr:rowOff>44450</xdr:rowOff>
              </to>
            </anchor>
          </controlPr>
        </control>
      </mc:Choice>
      <mc:Fallback>
        <control shapeId="13802595" r:id="rId12" name="ComboBoxNumberOfAisles"/>
      </mc:Fallback>
    </mc:AlternateContent>
    <mc:AlternateContent xmlns:mc="http://schemas.openxmlformats.org/markup-compatibility/2006">
      <mc:Choice Requires="x14">
        <control shapeId="13802600" r:id="rId14" name="ComboBox4">
          <controlPr defaultSize="0" autoLine="0" linkedCell="FUSELAGE_display_class_result" listFillRange="FUSELAGE_display_class_list" r:id="rId15">
            <anchor moveWithCells="1" sizeWithCells="1">
              <from>
                <xdr:col>2</xdr:col>
                <xdr:colOff>152400</xdr:colOff>
                <xdr:row>169</xdr:row>
                <xdr:rowOff>139700</xdr:rowOff>
              </from>
              <to>
                <xdr:col>4</xdr:col>
                <xdr:colOff>69850</xdr:colOff>
                <xdr:row>171</xdr:row>
                <xdr:rowOff>6350</xdr:rowOff>
              </to>
            </anchor>
          </controlPr>
        </control>
      </mc:Choice>
      <mc:Fallback>
        <control shapeId="13802600" r:id="rId14" name="ComboBox4"/>
      </mc:Fallback>
    </mc:AlternateContent>
    <mc:AlternateContent xmlns:mc="http://schemas.openxmlformats.org/markup-compatibility/2006">
      <mc:Choice Requires="x14">
        <control shapeId="13802646" r:id="rId16" name="CheckBoxSideSeatRails">
          <controlPr defaultSize="0" autoLine="0" linkedCell="FUSELAGE_use_side_seatrails" r:id="rId17">
            <anchor moveWithCells="1" sizeWithCells="1">
              <from>
                <xdr:col>1</xdr:col>
                <xdr:colOff>2851150</xdr:colOff>
                <xdr:row>177</xdr:row>
                <xdr:rowOff>171450</xdr:rowOff>
              </from>
              <to>
                <xdr:col>4</xdr:col>
                <xdr:colOff>50800</xdr:colOff>
                <xdr:row>179</xdr:row>
                <xdr:rowOff>25400</xdr:rowOff>
              </to>
            </anchor>
          </controlPr>
        </control>
      </mc:Choice>
      <mc:Fallback>
        <control shapeId="13802646" r:id="rId16" name="CheckBoxSideSeatRails"/>
      </mc:Fallback>
    </mc:AlternateContent>
    <mc:AlternateContent xmlns:mc="http://schemas.openxmlformats.org/markup-compatibility/2006">
      <mc:Choice Requires="x14">
        <control shapeId="13802659" r:id="rId18" name="CommandButtonUpdateCabinColors">
          <controlPr defaultSize="0" autoLine="0" r:id="rId19">
            <anchor moveWithCells="1" sizeWithCells="1">
              <from>
                <xdr:col>2</xdr:col>
                <xdr:colOff>615950</xdr:colOff>
                <xdr:row>343</xdr:row>
                <xdr:rowOff>0</xdr:rowOff>
              </from>
              <to>
                <xdr:col>5</xdr:col>
                <xdr:colOff>330200</xdr:colOff>
                <xdr:row>344</xdr:row>
                <xdr:rowOff>82550</xdr:rowOff>
              </to>
            </anchor>
          </controlPr>
        </control>
      </mc:Choice>
      <mc:Fallback>
        <control shapeId="13802659" r:id="rId18" name="CommandButtonUpdateCabinColors"/>
      </mc:Fallback>
    </mc:AlternateContent>
    <mc:AlternateContent xmlns:mc="http://schemas.openxmlformats.org/markup-compatibility/2006">
      <mc:Choice Requires="x14">
        <control shapeId="13802679" r:id="rId20" name="CheckBox3">
          <controlPr defaultSize="0" autoLine="0" autoPict="0" linkedCell="FUSELAGE_show_seat_rails" r:id="rId21">
            <anchor moveWithCells="1" sizeWithCells="1">
              <from>
                <xdr:col>7</xdr:col>
                <xdr:colOff>0</xdr:colOff>
                <xdr:row>343</xdr:row>
                <xdr:rowOff>6350</xdr:rowOff>
              </from>
              <to>
                <xdr:col>8</xdr:col>
                <xdr:colOff>1473200</xdr:colOff>
                <xdr:row>344</xdr:row>
                <xdr:rowOff>44450</xdr:rowOff>
              </to>
            </anchor>
          </controlPr>
        </control>
      </mc:Choice>
      <mc:Fallback>
        <control shapeId="13802679" r:id="rId20" name="CheckBox3"/>
      </mc:Fallback>
    </mc:AlternateContent>
    <mc:AlternateContent xmlns:mc="http://schemas.openxmlformats.org/markup-compatibility/2006">
      <mc:Choice Requires="x14">
        <control shapeId="13802694" r:id="rId22" name="CheckBox4">
          <controlPr defaultSize="0" autoLine="0" linkedCell="FUSELAGE_include_nose_for_water_ditching" r:id="rId23">
            <anchor moveWithCells="1" sizeWithCells="1">
              <from>
                <xdr:col>1</xdr:col>
                <xdr:colOff>2501900</xdr:colOff>
                <xdr:row>429</xdr:row>
                <xdr:rowOff>158750</xdr:rowOff>
              </from>
              <to>
                <xdr:col>4</xdr:col>
                <xdr:colOff>12700</xdr:colOff>
                <xdr:row>431</xdr:row>
                <xdr:rowOff>0</xdr:rowOff>
              </to>
            </anchor>
          </controlPr>
        </control>
      </mc:Choice>
      <mc:Fallback>
        <control shapeId="13802694" r:id="rId22" name="CheckBox4"/>
      </mc:Fallback>
    </mc:AlternateContent>
    <mc:AlternateContent xmlns:mc="http://schemas.openxmlformats.org/markup-compatibility/2006">
      <mc:Choice Requires="x14">
        <control shapeId="13802695" r:id="rId24" name="CheckBox5">
          <controlPr defaultSize="0" autoLine="0" linkedCell="FUSELAGE_include_tail_for_water_ditching" r:id="rId25">
            <anchor moveWithCells="1" sizeWithCells="1">
              <from>
                <xdr:col>1</xdr:col>
                <xdr:colOff>2501900</xdr:colOff>
                <xdr:row>431</xdr:row>
                <xdr:rowOff>133350</xdr:rowOff>
              </from>
              <to>
                <xdr:col>4</xdr:col>
                <xdr:colOff>12700</xdr:colOff>
                <xdr:row>432</xdr:row>
                <xdr:rowOff>152400</xdr:rowOff>
              </to>
            </anchor>
          </controlPr>
        </control>
      </mc:Choice>
      <mc:Fallback>
        <control shapeId="13802695" r:id="rId24" name="CheckBox5"/>
      </mc:Fallback>
    </mc:AlternateContent>
    <mc:AlternateContent xmlns:mc="http://schemas.openxmlformats.org/markup-compatibility/2006">
      <mc:Choice Requires="x14">
        <control shapeId="13815097" r:id="rId26" name="CheckBox6">
          <controlPr defaultSize="0" autoLine="0" autoPict="0" linkedCell="FUSELAGE_automatic_cross_section_optimization" r:id="rId27">
            <anchor moveWithCells="1" sizeWithCells="1">
              <from>
                <xdr:col>1</xdr:col>
                <xdr:colOff>2870200</xdr:colOff>
                <xdr:row>120</xdr:row>
                <xdr:rowOff>171450</xdr:rowOff>
              </from>
              <to>
                <xdr:col>5</xdr:col>
                <xdr:colOff>0</xdr:colOff>
                <xdr:row>122</xdr:row>
                <xdr:rowOff>0</xdr:rowOff>
              </to>
            </anchor>
          </controlPr>
        </control>
      </mc:Choice>
      <mc:Fallback>
        <control shapeId="13815097" r:id="rId26" name="CheckBox6"/>
      </mc:Fallback>
    </mc:AlternateContent>
    <mc:AlternateContent xmlns:mc="http://schemas.openxmlformats.org/markup-compatibility/2006">
      <mc:Choice Requires="x14">
        <control shapeId="13815121" r:id="rId28" name="CommandButton1">
          <controlPr defaultSize="0" autoLine="0" autoPict="0" r:id="rId29">
            <anchor moveWithCells="1" sizeWithCells="1">
              <from>
                <xdr:col>1</xdr:col>
                <xdr:colOff>2609850</xdr:colOff>
                <xdr:row>441</xdr:row>
                <xdr:rowOff>101600</xdr:rowOff>
              </from>
              <to>
                <xdr:col>4</xdr:col>
                <xdr:colOff>381000</xdr:colOff>
                <xdr:row>443</xdr:row>
                <xdr:rowOff>0</xdr:rowOff>
              </to>
            </anchor>
          </controlPr>
        </control>
      </mc:Choice>
      <mc:Fallback>
        <control shapeId="13815121" r:id="rId28" name="CommandButton1"/>
      </mc:Fallback>
    </mc:AlternateContent>
    <mc:AlternateContent xmlns:mc="http://schemas.openxmlformats.org/markup-compatibility/2006">
      <mc:Choice Requires="x14">
        <control shapeId="14231045" r:id="rId30" name="CommandButtonCockpitDimensions">
          <controlPr defaultSize="0" autoLine="0" r:id="rId31">
            <anchor moveWithCells="1" sizeWithCells="1">
              <from>
                <xdr:col>8</xdr:col>
                <xdr:colOff>1625600</xdr:colOff>
                <xdr:row>343</xdr:row>
                <xdr:rowOff>0</xdr:rowOff>
              </from>
              <to>
                <xdr:col>9</xdr:col>
                <xdr:colOff>609600</xdr:colOff>
                <xdr:row>344</xdr:row>
                <xdr:rowOff>82550</xdr:rowOff>
              </to>
            </anchor>
          </controlPr>
        </control>
      </mc:Choice>
      <mc:Fallback>
        <control shapeId="14231045" r:id="rId30" name="CommandButtonCockpitDimensions"/>
      </mc:Fallback>
    </mc:AlternateContent>
    <mc:AlternateContent xmlns:mc="http://schemas.openxmlformats.org/markup-compatibility/2006">
      <mc:Choice Requires="x14">
        <control shapeId="14231046" r:id="rId32" name="CommandButton2">
          <controlPr defaultSize="0" autoLine="0" r:id="rId33">
            <anchor moveWithCells="1" sizeWithCells="1">
              <from>
                <xdr:col>24</xdr:col>
                <xdr:colOff>469900</xdr:colOff>
                <xdr:row>343</xdr:row>
                <xdr:rowOff>0</xdr:rowOff>
              </from>
              <to>
                <xdr:col>26</xdr:col>
                <xdr:colOff>603250</xdr:colOff>
                <xdr:row>344</xdr:row>
                <xdr:rowOff>82550</xdr:rowOff>
              </to>
            </anchor>
          </controlPr>
        </control>
      </mc:Choice>
      <mc:Fallback>
        <control shapeId="14231046" r:id="rId32" name="CommandButton2"/>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CB8B72-16E3-44BA-B003-71D15E1F202B}">
  <sheetPr codeName="Tabelle23">
    <outlinePr summaryBelow="0"/>
  </sheetPr>
  <dimension ref="A2:L256"/>
  <sheetViews>
    <sheetView zoomScale="78" workbookViewId="0">
      <selection activeCell="J2" sqref="J2"/>
    </sheetView>
  </sheetViews>
  <sheetFormatPr defaultColWidth="11.453125" defaultRowHeight="14.5" outlineLevelRow="1"/>
  <cols>
    <col min="1" max="2" width="11.453125" style="2"/>
    <col min="3" max="3" width="19.26953125" style="2" bestFit="1" customWidth="1"/>
    <col min="4" max="5" width="12" style="2" customWidth="1"/>
    <col min="6" max="7" width="12" style="2" bestFit="1" customWidth="1"/>
    <col min="8" max="8" width="12" style="2" customWidth="1"/>
    <col min="9" max="10" width="11.453125" style="2"/>
    <col min="11" max="11" width="13.7265625" style="2" customWidth="1"/>
    <col min="12" max="12" width="15.81640625" style="2" customWidth="1"/>
    <col min="13" max="16384" width="11.453125" style="2"/>
  </cols>
  <sheetData>
    <row r="2" spans="1:12">
      <c r="E2" s="2" t="s">
        <v>523</v>
      </c>
      <c r="F2" s="324" t="s">
        <v>119</v>
      </c>
      <c r="G2" s="325"/>
      <c r="H2" s="226">
        <f>SUM(I10:I256)</f>
        <v>12</v>
      </c>
      <c r="J2" s="2" t="s">
        <v>709</v>
      </c>
      <c r="L2" s="2">
        <f>COUNT(A:A)</f>
        <v>94</v>
      </c>
    </row>
    <row r="3" spans="1:12">
      <c r="E3" s="2" t="s">
        <v>524</v>
      </c>
      <c r="F3" s="324" t="s">
        <v>191</v>
      </c>
      <c r="G3" s="325"/>
      <c r="H3" s="226">
        <f>SUM(J10:J256)</f>
        <v>41</v>
      </c>
    </row>
    <row r="5" spans="1:12">
      <c r="C5" s="2" t="s">
        <v>525</v>
      </c>
      <c r="D5" s="222" t="str">
        <f>D9</f>
        <v>Single aisle 150 pax</v>
      </c>
      <c r="E5" s="222" t="str">
        <f>E9</f>
        <v>Twin aisle 150 pax</v>
      </c>
      <c r="F5" s="222">
        <f>F9</f>
        <v>0</v>
      </c>
      <c r="G5" s="222">
        <f>G9</f>
        <v>0</v>
      </c>
      <c r="H5" s="223">
        <f>H9</f>
        <v>0</v>
      </c>
    </row>
    <row r="6" spans="1:12">
      <c r="C6" s="222" t="s">
        <v>14</v>
      </c>
      <c r="D6" s="222">
        <f ca="1">IF(D$9&lt;&gt;"",OFFSET(D$9,$H$2,0),NA())</f>
        <v>1</v>
      </c>
      <c r="E6" s="222">
        <f ca="1">IF(E$9&lt;&gt;"",OFFSET(E$9,$H$2,0),NA())</f>
        <v>2</v>
      </c>
      <c r="F6" s="222" t="e">
        <f ca="1">IF(F$9&lt;&gt;"",OFFSET(F$9,$H$2,0),NA())</f>
        <v>#N/A</v>
      </c>
      <c r="G6" s="222" t="e">
        <f ca="1">IF(G$9&lt;&gt;"",OFFSET(G$9,$H$2,0),NA())</f>
        <v>#N/A</v>
      </c>
      <c r="H6" s="223" t="e">
        <f ca="1">IF(H$9&lt;&gt;"",OFFSET(H$9,$H$2,0),NA())</f>
        <v>#N/A</v>
      </c>
    </row>
    <row r="7" spans="1:12" ht="15" customHeight="1">
      <c r="C7" s="224" t="s">
        <v>288</v>
      </c>
      <c r="D7" s="224">
        <f ca="1">IF(D$9&lt;&gt;"",OFFSET(D$9,$H$3,0),NA())</f>
        <v>4.1042728247955553</v>
      </c>
      <c r="E7" s="224">
        <f ca="1">IF(E$9&lt;&gt;"",OFFSET(E$9,$H$3,0),NA())</f>
        <v>4.4891689368512981</v>
      </c>
      <c r="F7" s="224" t="e">
        <f ca="1">IF(F$9&lt;&gt;"",OFFSET(F$9,$H$3,0),NA())</f>
        <v>#N/A</v>
      </c>
      <c r="G7" s="224" t="e">
        <f ca="1">IF(G$9&lt;&gt;"",OFFSET(G$9,$H$3,0),NA())</f>
        <v>#N/A</v>
      </c>
      <c r="H7" s="116" t="e">
        <f ca="1">IF(H$9&lt;&gt;"",OFFSET(H$9,$H$3,0),NA())</f>
        <v>#N/A</v>
      </c>
    </row>
    <row r="8" spans="1:12" s="3" customFormat="1">
      <c r="B8" s="225" t="s">
        <v>205</v>
      </c>
    </row>
    <row r="9" spans="1:12" outlineLevel="1">
      <c r="D9" s="2" t="s">
        <v>210</v>
      </c>
      <c r="E9" s="2" t="s">
        <v>211</v>
      </c>
      <c r="I9" s="2" t="s">
        <v>197</v>
      </c>
      <c r="J9" s="2" t="s">
        <v>198</v>
      </c>
    </row>
    <row r="10" spans="1:12" outlineLevel="1">
      <c r="A10" s="2">
        <v>1</v>
      </c>
      <c r="B10" s="2" t="s">
        <v>214</v>
      </c>
      <c r="C10" s="2" t="s">
        <v>0</v>
      </c>
      <c r="D10" s="2">
        <v>150</v>
      </c>
      <c r="E10" s="2">
        <v>150</v>
      </c>
      <c r="I10" s="2" t="b">
        <f t="shared" ref="I10:I41" si="0">IF($C10=$F$2,A10)</f>
        <v>0</v>
      </c>
      <c r="J10" s="2" t="b">
        <f t="shared" ref="J10:J41" si="1">IF($C10=$F$3,A10)</f>
        <v>0</v>
      </c>
    </row>
    <row r="11" spans="1:12" outlineLevel="1">
      <c r="A11" s="2">
        <f>A10+1</f>
        <v>2</v>
      </c>
      <c r="B11" s="2" t="s">
        <v>214</v>
      </c>
      <c r="C11" s="2" t="s">
        <v>1</v>
      </c>
      <c r="D11" s="2">
        <v>2</v>
      </c>
      <c r="E11" s="2">
        <v>2</v>
      </c>
      <c r="I11" s="2" t="b">
        <f t="shared" si="0"/>
        <v>0</v>
      </c>
      <c r="J11" s="2" t="b">
        <f t="shared" si="1"/>
        <v>0</v>
      </c>
    </row>
    <row r="12" spans="1:12" outlineLevel="1">
      <c r="A12" s="2">
        <f t="shared" ref="A12:A75" si="2">A11+1</f>
        <v>3</v>
      </c>
      <c r="B12" s="2" t="s">
        <v>214</v>
      </c>
      <c r="C12" s="2" t="s">
        <v>2</v>
      </c>
      <c r="D12" s="2">
        <v>12</v>
      </c>
      <c r="E12" s="2">
        <v>12</v>
      </c>
      <c r="I12" s="2" t="b">
        <f t="shared" si="0"/>
        <v>0</v>
      </c>
      <c r="J12" s="2" t="b">
        <f t="shared" si="1"/>
        <v>0</v>
      </c>
    </row>
    <row r="13" spans="1:12" outlineLevel="1">
      <c r="A13" s="2">
        <f t="shared" si="2"/>
        <v>4</v>
      </c>
      <c r="B13" s="2" t="s">
        <v>214</v>
      </c>
      <c r="C13" s="2" t="s">
        <v>3</v>
      </c>
      <c r="D13" s="2">
        <v>0</v>
      </c>
      <c r="E13" s="2">
        <v>0</v>
      </c>
      <c r="I13" s="2" t="b">
        <f t="shared" si="0"/>
        <v>0</v>
      </c>
      <c r="J13" s="2" t="b">
        <f t="shared" si="1"/>
        <v>0</v>
      </c>
    </row>
    <row r="14" spans="1:12" outlineLevel="1">
      <c r="A14" s="2">
        <f t="shared" si="2"/>
        <v>5</v>
      </c>
      <c r="B14" s="2" t="s">
        <v>214</v>
      </c>
      <c r="C14" s="2" t="s">
        <v>4</v>
      </c>
      <c r="D14" s="2">
        <v>138</v>
      </c>
      <c r="E14" s="2">
        <v>138</v>
      </c>
      <c r="I14" s="2" t="b">
        <f t="shared" si="0"/>
        <v>0</v>
      </c>
      <c r="J14" s="2" t="b">
        <f t="shared" si="1"/>
        <v>0</v>
      </c>
    </row>
    <row r="15" spans="1:12" ht="15" customHeight="1" outlineLevel="1">
      <c r="A15" s="2">
        <f t="shared" si="2"/>
        <v>6</v>
      </c>
      <c r="B15" s="2" t="s">
        <v>214</v>
      </c>
      <c r="C15" s="2" t="s">
        <v>113</v>
      </c>
      <c r="D15" s="2">
        <v>4</v>
      </c>
      <c r="E15" s="2">
        <v>4</v>
      </c>
      <c r="I15" s="2" t="b">
        <f t="shared" si="0"/>
        <v>0</v>
      </c>
      <c r="J15" s="2" t="b">
        <f t="shared" si="1"/>
        <v>0</v>
      </c>
    </row>
    <row r="16" spans="1:12" outlineLevel="1">
      <c r="A16" s="2">
        <f t="shared" si="2"/>
        <v>7</v>
      </c>
      <c r="B16" s="2" t="s">
        <v>214</v>
      </c>
      <c r="C16" s="2" t="s">
        <v>114</v>
      </c>
      <c r="D16" s="2">
        <v>5</v>
      </c>
      <c r="E16" s="2">
        <v>10</v>
      </c>
      <c r="I16" s="2" t="b">
        <f t="shared" si="0"/>
        <v>0</v>
      </c>
      <c r="J16" s="2" t="b">
        <f t="shared" si="1"/>
        <v>0</v>
      </c>
    </row>
    <row r="17" spans="1:10" outlineLevel="1">
      <c r="A17" s="2">
        <f t="shared" si="2"/>
        <v>8</v>
      </c>
      <c r="B17" s="2" t="s">
        <v>214</v>
      </c>
      <c r="C17" s="2" t="s">
        <v>115</v>
      </c>
      <c r="D17" s="2">
        <v>6</v>
      </c>
      <c r="E17" s="2">
        <v>6</v>
      </c>
      <c r="I17" s="2" t="b">
        <f t="shared" si="0"/>
        <v>0</v>
      </c>
      <c r="J17" s="2" t="b">
        <f t="shared" si="1"/>
        <v>0</v>
      </c>
    </row>
    <row r="18" spans="1:10" outlineLevel="1">
      <c r="A18" s="2">
        <f t="shared" si="2"/>
        <v>9</v>
      </c>
      <c r="B18" s="2" t="s">
        <v>214</v>
      </c>
      <c r="C18" s="2" t="s">
        <v>116</v>
      </c>
      <c r="D18" s="2">
        <v>3</v>
      </c>
      <c r="E18" s="2">
        <v>3</v>
      </c>
      <c r="I18" s="2" t="b">
        <f t="shared" si="0"/>
        <v>0</v>
      </c>
      <c r="J18" s="2" t="b">
        <f t="shared" si="1"/>
        <v>0</v>
      </c>
    </row>
    <row r="19" spans="1:10" outlineLevel="1">
      <c r="A19" s="2">
        <f t="shared" si="2"/>
        <v>10</v>
      </c>
      <c r="B19" s="2" t="s">
        <v>214</v>
      </c>
      <c r="C19" s="2" t="s">
        <v>117</v>
      </c>
      <c r="D19" s="2">
        <v>0</v>
      </c>
      <c r="E19" s="2">
        <v>0</v>
      </c>
      <c r="I19" s="2" t="b">
        <f t="shared" si="0"/>
        <v>0</v>
      </c>
      <c r="J19" s="2" t="b">
        <f t="shared" si="1"/>
        <v>0</v>
      </c>
    </row>
    <row r="20" spans="1:10" outlineLevel="1">
      <c r="A20" s="2">
        <f t="shared" si="2"/>
        <v>11</v>
      </c>
      <c r="B20" s="2" t="s">
        <v>214</v>
      </c>
      <c r="C20" s="2" t="s">
        <v>118</v>
      </c>
      <c r="D20" s="2">
        <v>23</v>
      </c>
      <c r="E20" s="2">
        <v>23</v>
      </c>
      <c r="I20" s="2" t="b">
        <f t="shared" si="0"/>
        <v>0</v>
      </c>
      <c r="J20" s="2" t="b">
        <f t="shared" si="1"/>
        <v>0</v>
      </c>
    </row>
    <row r="21" spans="1:10" outlineLevel="1">
      <c r="A21" s="2">
        <f t="shared" si="2"/>
        <v>12</v>
      </c>
      <c r="B21" s="2" t="s">
        <v>214</v>
      </c>
      <c r="C21" s="2" t="s">
        <v>119</v>
      </c>
      <c r="D21" s="2">
        <v>1</v>
      </c>
      <c r="E21" s="2">
        <v>2</v>
      </c>
      <c r="I21" s="2">
        <f t="shared" si="0"/>
        <v>12</v>
      </c>
      <c r="J21" s="2" t="b">
        <f t="shared" si="1"/>
        <v>0</v>
      </c>
    </row>
    <row r="22" spans="1:10" outlineLevel="1">
      <c r="A22" s="2">
        <f t="shared" si="2"/>
        <v>13</v>
      </c>
      <c r="B22" s="2" t="s">
        <v>214</v>
      </c>
      <c r="C22" s="2" t="s">
        <v>120</v>
      </c>
      <c r="D22" s="2">
        <v>0.4572</v>
      </c>
      <c r="E22" s="2">
        <v>0.4572</v>
      </c>
      <c r="I22" s="2" t="b">
        <f t="shared" si="0"/>
        <v>0</v>
      </c>
      <c r="J22" s="2" t="b">
        <f t="shared" si="1"/>
        <v>0</v>
      </c>
    </row>
    <row r="23" spans="1:10" outlineLevel="1">
      <c r="A23" s="2">
        <f t="shared" si="2"/>
        <v>14</v>
      </c>
      <c r="B23" s="2" t="s">
        <v>214</v>
      </c>
      <c r="C23" s="2" t="s">
        <v>121</v>
      </c>
      <c r="D23" s="2">
        <v>0.41947999999999996</v>
      </c>
      <c r="E23" s="2">
        <v>0.41947999999999996</v>
      </c>
      <c r="I23" s="2" t="b">
        <f t="shared" si="0"/>
        <v>0</v>
      </c>
      <c r="J23" s="2" t="b">
        <f t="shared" si="1"/>
        <v>0</v>
      </c>
    </row>
    <row r="24" spans="1:10" outlineLevel="1">
      <c r="A24" s="2">
        <f t="shared" si="2"/>
        <v>15</v>
      </c>
      <c r="B24" s="2" t="s">
        <v>214</v>
      </c>
      <c r="C24" s="2" t="s">
        <v>122</v>
      </c>
      <c r="D24" s="2">
        <v>0.13594999999999999</v>
      </c>
      <c r="E24" s="2">
        <v>0.13594999999999999</v>
      </c>
      <c r="I24" s="2" t="b">
        <f t="shared" si="0"/>
        <v>0</v>
      </c>
      <c r="J24" s="2" t="b">
        <f t="shared" si="1"/>
        <v>0</v>
      </c>
    </row>
    <row r="25" spans="1:10" outlineLevel="1">
      <c r="A25" s="2">
        <f t="shared" si="2"/>
        <v>16</v>
      </c>
      <c r="B25" s="2" t="s">
        <v>214</v>
      </c>
      <c r="C25" s="2" t="s">
        <v>556</v>
      </c>
      <c r="D25" s="2">
        <v>5.0799999999999998E-2</v>
      </c>
      <c r="E25" s="2">
        <v>5.0799999999999998E-2</v>
      </c>
      <c r="I25" s="2" t="b">
        <f t="shared" si="0"/>
        <v>0</v>
      </c>
      <c r="J25" s="2" t="b">
        <f t="shared" si="1"/>
        <v>0</v>
      </c>
    </row>
    <row r="26" spans="1:10" outlineLevel="1">
      <c r="A26" s="2">
        <f t="shared" si="2"/>
        <v>17</v>
      </c>
      <c r="B26" s="2" t="s">
        <v>214</v>
      </c>
      <c r="C26" s="2" t="s">
        <v>557</v>
      </c>
      <c r="D26" s="2">
        <v>0.55879999999999996</v>
      </c>
      <c r="E26" s="2">
        <v>0.55879999999999996</v>
      </c>
      <c r="I26" s="2" t="b">
        <f t="shared" si="0"/>
        <v>0</v>
      </c>
      <c r="J26" s="2" t="b">
        <f t="shared" si="1"/>
        <v>0</v>
      </c>
    </row>
    <row r="27" spans="1:10" outlineLevel="1">
      <c r="A27" s="2">
        <f t="shared" si="2"/>
        <v>18</v>
      </c>
      <c r="B27" s="2" t="s">
        <v>214</v>
      </c>
      <c r="C27" s="2" t="s">
        <v>334</v>
      </c>
      <c r="D27" s="2">
        <v>0.17779999999999999</v>
      </c>
      <c r="E27" s="2">
        <v>0.17779999999999999</v>
      </c>
      <c r="I27" s="2" t="b">
        <f t="shared" si="0"/>
        <v>0</v>
      </c>
      <c r="J27" s="2" t="b">
        <f t="shared" si="1"/>
        <v>0</v>
      </c>
    </row>
    <row r="28" spans="1:10" outlineLevel="1">
      <c r="A28" s="2">
        <f t="shared" si="2"/>
        <v>19</v>
      </c>
      <c r="B28" s="2" t="s">
        <v>214</v>
      </c>
      <c r="C28" s="2" t="s">
        <v>335</v>
      </c>
      <c r="D28" s="2">
        <v>0.59106000000000003</v>
      </c>
      <c r="E28" s="2">
        <v>0.59106000000000003</v>
      </c>
      <c r="I28" s="2" t="b">
        <f t="shared" si="0"/>
        <v>0</v>
      </c>
      <c r="J28" s="2" t="b">
        <f t="shared" si="1"/>
        <v>0</v>
      </c>
    </row>
    <row r="29" spans="1:10" outlineLevel="1">
      <c r="A29" s="2">
        <f t="shared" si="2"/>
        <v>20</v>
      </c>
      <c r="B29" s="2" t="s">
        <v>214</v>
      </c>
      <c r="C29" s="2" t="s">
        <v>170</v>
      </c>
      <c r="D29" s="2">
        <v>0.63500000000000001</v>
      </c>
      <c r="E29" s="2">
        <v>0.63500000000000001</v>
      </c>
      <c r="I29" s="2" t="b">
        <f t="shared" si="0"/>
        <v>0</v>
      </c>
      <c r="J29" s="2" t="b">
        <f t="shared" si="1"/>
        <v>0</v>
      </c>
    </row>
    <row r="30" spans="1:10" outlineLevel="1">
      <c r="A30" s="2">
        <f t="shared" si="2"/>
        <v>21</v>
      </c>
      <c r="B30" s="2" t="s">
        <v>214</v>
      </c>
      <c r="C30" s="2" t="s">
        <v>171</v>
      </c>
      <c r="D30" s="2">
        <v>0.66039999999999999</v>
      </c>
      <c r="E30" s="2">
        <v>0.66039999999999999</v>
      </c>
      <c r="I30" s="2" t="b">
        <f t="shared" si="0"/>
        <v>0</v>
      </c>
      <c r="J30" s="2" t="b">
        <f t="shared" si="1"/>
        <v>0</v>
      </c>
    </row>
    <row r="31" spans="1:10" outlineLevel="1">
      <c r="A31" s="2">
        <f t="shared" si="2"/>
        <v>22</v>
      </c>
      <c r="B31" s="2" t="s">
        <v>214</v>
      </c>
      <c r="C31" s="2" t="s">
        <v>172</v>
      </c>
      <c r="D31" s="2">
        <v>7.619999999999999E-2</v>
      </c>
      <c r="E31" s="2">
        <v>7.619999999999999E-2</v>
      </c>
      <c r="I31" s="2" t="b">
        <f t="shared" si="0"/>
        <v>0</v>
      </c>
      <c r="J31" s="2" t="b">
        <f t="shared" si="1"/>
        <v>0</v>
      </c>
    </row>
    <row r="32" spans="1:10" outlineLevel="1">
      <c r="A32" s="2">
        <f t="shared" si="2"/>
        <v>23</v>
      </c>
      <c r="B32" s="2" t="s">
        <v>214</v>
      </c>
      <c r="C32" s="2" t="s">
        <v>173</v>
      </c>
      <c r="D32" s="2">
        <v>0.71119999999999994</v>
      </c>
      <c r="E32" s="2">
        <v>0.71119999999999994</v>
      </c>
      <c r="I32" s="2" t="b">
        <f t="shared" si="0"/>
        <v>0</v>
      </c>
      <c r="J32" s="2" t="b">
        <f t="shared" si="1"/>
        <v>0</v>
      </c>
    </row>
    <row r="33" spans="1:10" outlineLevel="1">
      <c r="A33" s="2">
        <f t="shared" si="2"/>
        <v>24</v>
      </c>
      <c r="B33" s="2" t="s">
        <v>214</v>
      </c>
      <c r="C33" s="2" t="s">
        <v>174</v>
      </c>
      <c r="D33" s="2">
        <v>0.54</v>
      </c>
      <c r="E33" s="2">
        <v>0.54</v>
      </c>
      <c r="I33" s="2" t="b">
        <f t="shared" si="0"/>
        <v>0</v>
      </c>
      <c r="J33" s="2" t="b">
        <f t="shared" si="1"/>
        <v>0</v>
      </c>
    </row>
    <row r="34" spans="1:10" outlineLevel="1">
      <c r="A34" s="2">
        <f t="shared" si="2"/>
        <v>25</v>
      </c>
      <c r="B34" s="2" t="s">
        <v>214</v>
      </c>
      <c r="C34" s="2" t="s">
        <v>175</v>
      </c>
      <c r="D34" s="2">
        <v>0.05</v>
      </c>
      <c r="E34" s="2">
        <v>0.05</v>
      </c>
      <c r="I34" s="2" t="b">
        <f t="shared" si="0"/>
        <v>0</v>
      </c>
      <c r="J34" s="2" t="b">
        <f t="shared" si="1"/>
        <v>0</v>
      </c>
    </row>
    <row r="35" spans="1:10" outlineLevel="1">
      <c r="A35" s="2">
        <f t="shared" si="2"/>
        <v>26</v>
      </c>
      <c r="B35" s="2" t="s">
        <v>214</v>
      </c>
      <c r="C35" s="2" t="s">
        <v>176</v>
      </c>
      <c r="D35" s="2">
        <v>0.7</v>
      </c>
      <c r="E35" s="2">
        <v>0.7</v>
      </c>
      <c r="I35" s="2" t="b">
        <f t="shared" si="0"/>
        <v>0</v>
      </c>
      <c r="J35" s="2" t="b">
        <f t="shared" si="1"/>
        <v>0</v>
      </c>
    </row>
    <row r="36" spans="1:10" outlineLevel="1">
      <c r="A36" s="2">
        <f t="shared" si="2"/>
        <v>27</v>
      </c>
      <c r="B36" s="2" t="s">
        <v>214</v>
      </c>
      <c r="C36" s="2" t="s">
        <v>177</v>
      </c>
      <c r="D36" s="2">
        <v>0.7</v>
      </c>
      <c r="E36" s="2">
        <v>0.7</v>
      </c>
      <c r="I36" s="2" t="b">
        <f t="shared" si="0"/>
        <v>0</v>
      </c>
      <c r="J36" s="2" t="b">
        <f t="shared" si="1"/>
        <v>0</v>
      </c>
    </row>
    <row r="37" spans="1:10" outlineLevel="1">
      <c r="A37" s="2">
        <f t="shared" si="2"/>
        <v>28</v>
      </c>
      <c r="B37" s="2" t="s">
        <v>214</v>
      </c>
      <c r="C37" s="2" t="s">
        <v>178</v>
      </c>
      <c r="D37" s="2">
        <v>0.53</v>
      </c>
      <c r="E37" s="2">
        <v>0.53</v>
      </c>
      <c r="I37" s="2" t="b">
        <f t="shared" si="0"/>
        <v>0</v>
      </c>
      <c r="J37" s="2" t="b">
        <f t="shared" si="1"/>
        <v>0</v>
      </c>
    </row>
    <row r="38" spans="1:10" outlineLevel="1">
      <c r="A38" s="2">
        <f t="shared" si="2"/>
        <v>29</v>
      </c>
      <c r="B38" s="2" t="s">
        <v>214</v>
      </c>
      <c r="C38" s="2" t="s">
        <v>179</v>
      </c>
      <c r="D38" s="2">
        <v>0.86899999999999999</v>
      </c>
      <c r="E38" s="2">
        <v>0.86899999999999999</v>
      </c>
      <c r="I38" s="2" t="b">
        <f t="shared" si="0"/>
        <v>0</v>
      </c>
      <c r="J38" s="2" t="b">
        <f t="shared" si="1"/>
        <v>0</v>
      </c>
    </row>
    <row r="39" spans="1:10" outlineLevel="1">
      <c r="A39" s="2">
        <f t="shared" si="2"/>
        <v>30</v>
      </c>
      <c r="B39" s="2" t="s">
        <v>214</v>
      </c>
      <c r="C39" s="2" t="s">
        <v>180</v>
      </c>
      <c r="D39" s="2">
        <v>0.06</v>
      </c>
      <c r="E39" s="2">
        <v>0.06</v>
      </c>
      <c r="I39" s="2" t="b">
        <f t="shared" si="0"/>
        <v>0</v>
      </c>
      <c r="J39" s="2" t="b">
        <f t="shared" si="1"/>
        <v>0</v>
      </c>
    </row>
    <row r="40" spans="1:10" outlineLevel="1">
      <c r="A40" s="2">
        <f t="shared" si="2"/>
        <v>31</v>
      </c>
      <c r="B40" s="2" t="s">
        <v>214</v>
      </c>
      <c r="C40" s="2" t="s">
        <v>181</v>
      </c>
      <c r="D40" s="2">
        <v>0.04</v>
      </c>
      <c r="E40" s="2">
        <v>0.04</v>
      </c>
      <c r="I40" s="2" t="b">
        <f t="shared" si="0"/>
        <v>0</v>
      </c>
      <c r="J40" s="2" t="b">
        <f t="shared" si="1"/>
        <v>0</v>
      </c>
    </row>
    <row r="41" spans="1:10" outlineLevel="1">
      <c r="A41" s="2">
        <f t="shared" si="2"/>
        <v>32</v>
      </c>
      <c r="B41" s="2" t="s">
        <v>214</v>
      </c>
      <c r="C41" s="2" t="s">
        <v>182</v>
      </c>
      <c r="D41" s="2">
        <v>0.50800000000000001</v>
      </c>
      <c r="E41" s="2">
        <v>0.50800000000000001</v>
      </c>
      <c r="I41" s="2" t="b">
        <f t="shared" si="0"/>
        <v>0</v>
      </c>
      <c r="J41" s="2" t="b">
        <f t="shared" si="1"/>
        <v>0</v>
      </c>
    </row>
    <row r="42" spans="1:10" outlineLevel="1">
      <c r="A42" s="2">
        <f t="shared" si="2"/>
        <v>33</v>
      </c>
      <c r="B42" s="2" t="s">
        <v>214</v>
      </c>
      <c r="C42" s="2" t="s">
        <v>183</v>
      </c>
      <c r="D42" s="2">
        <v>2.0065999999999997</v>
      </c>
      <c r="E42" s="2">
        <v>2.0065999999999997</v>
      </c>
      <c r="I42" s="2" t="b">
        <f t="shared" ref="I42:I73" si="3">IF($C42=$F$2,A42)</f>
        <v>0</v>
      </c>
      <c r="J42" s="2" t="b">
        <f t="shared" ref="J42:J73" si="4">IF($C42=$F$3,A42)</f>
        <v>0</v>
      </c>
    </row>
    <row r="43" spans="1:10" outlineLevel="1">
      <c r="A43" s="2">
        <f t="shared" si="2"/>
        <v>34</v>
      </c>
      <c r="B43" s="2" t="s">
        <v>214</v>
      </c>
      <c r="C43" s="2" t="s">
        <v>184</v>
      </c>
      <c r="D43" s="2">
        <v>1.4300199999999998</v>
      </c>
      <c r="E43" s="2">
        <v>1.4300199999999998</v>
      </c>
      <c r="I43" s="2" t="b">
        <f t="shared" si="3"/>
        <v>0</v>
      </c>
      <c r="J43" s="2" t="b">
        <f t="shared" si="4"/>
        <v>0</v>
      </c>
    </row>
    <row r="44" spans="1:10" outlineLevel="1">
      <c r="A44" s="2">
        <f t="shared" si="2"/>
        <v>35</v>
      </c>
      <c r="B44" s="2" t="s">
        <v>214</v>
      </c>
      <c r="C44" s="2" t="s">
        <v>185</v>
      </c>
      <c r="D44" s="2">
        <v>2.53078</v>
      </c>
      <c r="E44" s="2">
        <v>2.53078</v>
      </c>
      <c r="I44" s="2" t="b">
        <f t="shared" si="3"/>
        <v>0</v>
      </c>
      <c r="J44" s="2" t="b">
        <f t="shared" si="4"/>
        <v>0</v>
      </c>
    </row>
    <row r="45" spans="1:10" outlineLevel="1">
      <c r="A45" s="2">
        <f t="shared" si="2"/>
        <v>36</v>
      </c>
      <c r="B45" s="2" t="s">
        <v>214</v>
      </c>
      <c r="C45" s="2" t="s">
        <v>186</v>
      </c>
      <c r="D45" s="2">
        <v>1.1396599999999999</v>
      </c>
      <c r="E45" s="2">
        <v>1.1396599999999999</v>
      </c>
      <c r="I45" s="2" t="b">
        <f t="shared" si="3"/>
        <v>0</v>
      </c>
      <c r="J45" s="2" t="b">
        <f t="shared" si="4"/>
        <v>0</v>
      </c>
    </row>
    <row r="46" spans="1:10" outlineLevel="1">
      <c r="A46" s="2">
        <f t="shared" si="2"/>
        <v>37</v>
      </c>
      <c r="B46" s="2" t="s">
        <v>214</v>
      </c>
      <c r="C46" s="2" t="s">
        <v>187</v>
      </c>
      <c r="D46" s="2">
        <v>1</v>
      </c>
      <c r="E46" s="2">
        <v>1</v>
      </c>
      <c r="I46" s="2" t="b">
        <f t="shared" si="3"/>
        <v>0</v>
      </c>
      <c r="J46" s="2" t="b">
        <f t="shared" si="4"/>
        <v>0</v>
      </c>
    </row>
    <row r="47" spans="1:10" outlineLevel="1">
      <c r="A47" s="2">
        <f t="shared" si="2"/>
        <v>38</v>
      </c>
      <c r="B47" s="2" t="s">
        <v>214</v>
      </c>
      <c r="C47" s="2" t="s">
        <v>188</v>
      </c>
      <c r="D47" s="2">
        <v>0.50693093749999985</v>
      </c>
      <c r="E47" s="2">
        <v>0.69158093750000016</v>
      </c>
      <c r="I47" s="2" t="b">
        <f t="shared" si="3"/>
        <v>0</v>
      </c>
      <c r="J47" s="2" t="b">
        <f t="shared" si="4"/>
        <v>0</v>
      </c>
    </row>
    <row r="48" spans="1:10" outlineLevel="1">
      <c r="A48" s="2">
        <f t="shared" si="2"/>
        <v>39</v>
      </c>
      <c r="B48" s="2" t="s">
        <v>214</v>
      </c>
      <c r="C48" s="2" t="s">
        <v>189</v>
      </c>
      <c r="D48" s="2">
        <v>3.8471510285124935</v>
      </c>
      <c r="E48" s="2">
        <v>4.2154726668433478</v>
      </c>
      <c r="I48" s="2" t="b">
        <f t="shared" si="3"/>
        <v>0</v>
      </c>
      <c r="J48" s="2" t="b">
        <f t="shared" si="4"/>
        <v>0</v>
      </c>
    </row>
    <row r="49" spans="1:10" outlineLevel="1">
      <c r="A49" s="2">
        <f t="shared" si="2"/>
        <v>40</v>
      </c>
      <c r="B49" s="2" t="s">
        <v>214</v>
      </c>
      <c r="C49" s="2" t="s">
        <v>190</v>
      </c>
      <c r="D49" s="2">
        <v>0.1285608981415311</v>
      </c>
      <c r="E49" s="2">
        <v>0.13684813500397533</v>
      </c>
      <c r="I49" s="2" t="b">
        <f t="shared" si="3"/>
        <v>0</v>
      </c>
      <c r="J49" s="2" t="b">
        <f t="shared" si="4"/>
        <v>0</v>
      </c>
    </row>
    <row r="50" spans="1:10" outlineLevel="1">
      <c r="A50" s="2">
        <f t="shared" si="2"/>
        <v>41</v>
      </c>
      <c r="B50" s="2" t="s">
        <v>214</v>
      </c>
      <c r="C50" s="2" t="s">
        <v>191</v>
      </c>
      <c r="D50" s="2">
        <v>4.1042728247955553</v>
      </c>
      <c r="E50" s="2">
        <v>4.4891689368512981</v>
      </c>
      <c r="I50" s="2" t="b">
        <f t="shared" si="3"/>
        <v>0</v>
      </c>
      <c r="J50" s="2">
        <f t="shared" si="4"/>
        <v>41</v>
      </c>
    </row>
    <row r="51" spans="1:10" outlineLevel="1">
      <c r="A51" s="2">
        <f t="shared" si="2"/>
        <v>42</v>
      </c>
      <c r="B51" s="2" t="s">
        <v>214</v>
      </c>
      <c r="C51" s="2" t="s">
        <v>192</v>
      </c>
      <c r="D51" s="2">
        <v>0.13915917350270846</v>
      </c>
      <c r="E51" s="2">
        <v>0.15151299355797199</v>
      </c>
      <c r="I51" s="2" t="b">
        <f t="shared" si="3"/>
        <v>0</v>
      </c>
      <c r="J51" s="2" t="b">
        <f t="shared" si="4"/>
        <v>0</v>
      </c>
    </row>
    <row r="52" spans="1:10" outlineLevel="1">
      <c r="A52" s="2">
        <f t="shared" si="2"/>
        <v>43</v>
      </c>
      <c r="B52" s="2" t="s">
        <v>214</v>
      </c>
      <c r="C52" s="2" t="s">
        <v>193</v>
      </c>
      <c r="D52" s="2">
        <v>4.1042728247955553</v>
      </c>
      <c r="E52" s="2">
        <v>4.4891689368512981</v>
      </c>
      <c r="I52" s="2" t="b">
        <f t="shared" si="3"/>
        <v>0</v>
      </c>
      <c r="J52" s="2" t="b">
        <f t="shared" si="4"/>
        <v>0</v>
      </c>
    </row>
    <row r="53" spans="1:10" outlineLevel="1">
      <c r="A53" s="2">
        <f t="shared" si="2"/>
        <v>44</v>
      </c>
      <c r="B53" s="2" t="s">
        <v>214</v>
      </c>
      <c r="C53" s="2" t="s">
        <v>194</v>
      </c>
      <c r="D53" s="2">
        <v>4.1042728247955553</v>
      </c>
      <c r="E53" s="2">
        <v>4.4891689368512981</v>
      </c>
      <c r="I53" s="2" t="b">
        <f t="shared" si="3"/>
        <v>0</v>
      </c>
      <c r="J53" s="2" t="b">
        <f t="shared" si="4"/>
        <v>0</v>
      </c>
    </row>
    <row r="54" spans="1:10" outlineLevel="1">
      <c r="A54" s="2">
        <f t="shared" si="2"/>
        <v>45</v>
      </c>
      <c r="B54" s="2" t="s">
        <v>214</v>
      </c>
      <c r="C54" s="2" t="s">
        <v>195</v>
      </c>
      <c r="D54" s="2">
        <v>2</v>
      </c>
      <c r="E54" s="2">
        <v>1</v>
      </c>
      <c r="I54" s="2" t="b">
        <f t="shared" si="3"/>
        <v>0</v>
      </c>
      <c r="J54" s="2" t="b">
        <f t="shared" si="4"/>
        <v>0</v>
      </c>
    </row>
    <row r="55" spans="1:10" outlineLevel="1">
      <c r="A55" s="2">
        <f t="shared" si="2"/>
        <v>46</v>
      </c>
      <c r="B55" s="2" t="s">
        <v>214</v>
      </c>
      <c r="C55" s="2" t="s">
        <v>559</v>
      </c>
      <c r="D55" s="2">
        <v>0</v>
      </c>
      <c r="E55" s="2">
        <v>2</v>
      </c>
      <c r="I55" s="2" t="b">
        <f t="shared" si="3"/>
        <v>0</v>
      </c>
      <c r="J55" s="2" t="b">
        <f t="shared" si="4"/>
        <v>0</v>
      </c>
    </row>
    <row r="56" spans="1:10" outlineLevel="1">
      <c r="A56" s="2">
        <f t="shared" si="2"/>
        <v>47</v>
      </c>
      <c r="B56" s="2" t="s">
        <v>214</v>
      </c>
      <c r="C56" s="2" t="s">
        <v>560</v>
      </c>
      <c r="D56" s="2">
        <v>2</v>
      </c>
      <c r="E56" s="2">
        <v>1</v>
      </c>
      <c r="I56" s="2" t="b">
        <f t="shared" si="3"/>
        <v>0</v>
      </c>
      <c r="J56" s="2" t="b">
        <f t="shared" si="4"/>
        <v>0</v>
      </c>
    </row>
    <row r="57" spans="1:10" outlineLevel="1">
      <c r="A57" s="2">
        <f t="shared" si="2"/>
        <v>48</v>
      </c>
      <c r="B57" s="2" t="s">
        <v>214</v>
      </c>
      <c r="C57" s="2" t="s">
        <v>561</v>
      </c>
      <c r="D57" s="2">
        <v>1</v>
      </c>
      <c r="E57" s="2">
        <v>2</v>
      </c>
      <c r="I57" s="2" t="b">
        <f t="shared" si="3"/>
        <v>0</v>
      </c>
      <c r="J57" s="2" t="b">
        <f t="shared" si="4"/>
        <v>0</v>
      </c>
    </row>
    <row r="58" spans="1:10" outlineLevel="1">
      <c r="A58" s="2">
        <f t="shared" si="2"/>
        <v>49</v>
      </c>
      <c r="B58" s="2" t="s">
        <v>214</v>
      </c>
      <c r="C58" s="2" t="s">
        <v>562</v>
      </c>
      <c r="D58" s="2">
        <v>0</v>
      </c>
      <c r="E58" s="2">
        <v>1</v>
      </c>
      <c r="I58" s="2" t="b">
        <f t="shared" si="3"/>
        <v>0</v>
      </c>
      <c r="J58" s="2" t="b">
        <f t="shared" si="4"/>
        <v>0</v>
      </c>
    </row>
    <row r="59" spans="1:10" outlineLevel="1">
      <c r="A59" s="2">
        <f t="shared" si="2"/>
        <v>50</v>
      </c>
      <c r="B59" s="2" t="s">
        <v>214</v>
      </c>
      <c r="C59" s="2" t="s">
        <v>563</v>
      </c>
      <c r="D59" s="2">
        <v>1</v>
      </c>
      <c r="E59" s="2">
        <v>2</v>
      </c>
      <c r="I59" s="2" t="b">
        <f t="shared" si="3"/>
        <v>0</v>
      </c>
      <c r="J59" s="2" t="b">
        <f t="shared" si="4"/>
        <v>0</v>
      </c>
    </row>
    <row r="60" spans="1:10" outlineLevel="1">
      <c r="A60" s="2">
        <f t="shared" si="2"/>
        <v>51</v>
      </c>
      <c r="B60" s="2" t="s">
        <v>214</v>
      </c>
      <c r="C60" s="2" t="s">
        <v>564</v>
      </c>
      <c r="D60" s="2">
        <v>3</v>
      </c>
      <c r="E60" s="2">
        <v>2</v>
      </c>
      <c r="I60" s="2" t="b">
        <f t="shared" si="3"/>
        <v>0</v>
      </c>
      <c r="J60" s="2" t="b">
        <f t="shared" si="4"/>
        <v>0</v>
      </c>
    </row>
    <row r="61" spans="1:10" outlineLevel="1">
      <c r="A61" s="2">
        <f t="shared" si="2"/>
        <v>52</v>
      </c>
      <c r="B61" s="2" t="s">
        <v>214</v>
      </c>
      <c r="C61" s="2" t="s">
        <v>565</v>
      </c>
      <c r="D61" s="2">
        <v>0</v>
      </c>
      <c r="E61" s="2">
        <v>2</v>
      </c>
      <c r="I61" s="2" t="b">
        <f t="shared" si="3"/>
        <v>0</v>
      </c>
      <c r="J61" s="2" t="b">
        <f t="shared" si="4"/>
        <v>0</v>
      </c>
    </row>
    <row r="62" spans="1:10" outlineLevel="1">
      <c r="A62" s="2">
        <f t="shared" si="2"/>
        <v>53</v>
      </c>
      <c r="B62" s="2" t="s">
        <v>214</v>
      </c>
      <c r="C62" s="2" t="s">
        <v>566</v>
      </c>
      <c r="D62" s="2">
        <v>3</v>
      </c>
      <c r="E62" s="2">
        <v>2</v>
      </c>
      <c r="I62" s="2" t="b">
        <f t="shared" si="3"/>
        <v>0</v>
      </c>
      <c r="J62" s="2" t="b">
        <f t="shared" si="4"/>
        <v>0</v>
      </c>
    </row>
    <row r="63" spans="1:10" outlineLevel="1">
      <c r="A63" s="2">
        <f t="shared" si="2"/>
        <v>54</v>
      </c>
      <c r="B63" s="2" t="s">
        <v>214</v>
      </c>
      <c r="C63" s="2" t="s">
        <v>567</v>
      </c>
      <c r="D63" s="2" t="b">
        <v>0</v>
      </c>
      <c r="E63" s="2" t="b">
        <v>0</v>
      </c>
      <c r="I63" s="2" t="b">
        <f t="shared" si="3"/>
        <v>0</v>
      </c>
      <c r="J63" s="2" t="b">
        <f t="shared" si="4"/>
        <v>0</v>
      </c>
    </row>
    <row r="64" spans="1:10" outlineLevel="1">
      <c r="A64" s="2">
        <f t="shared" si="2"/>
        <v>55</v>
      </c>
      <c r="B64" s="2" t="s">
        <v>214</v>
      </c>
      <c r="C64" s="2" t="s">
        <v>568</v>
      </c>
      <c r="D64" s="2" t="b">
        <v>1</v>
      </c>
      <c r="E64" s="2" t="b">
        <v>1</v>
      </c>
      <c r="I64" s="2" t="b">
        <f t="shared" si="3"/>
        <v>0</v>
      </c>
      <c r="J64" s="2" t="b">
        <f t="shared" si="4"/>
        <v>0</v>
      </c>
    </row>
    <row r="65" spans="1:10" outlineLevel="1">
      <c r="A65" s="2">
        <f t="shared" si="2"/>
        <v>56</v>
      </c>
      <c r="B65" s="2" t="s">
        <v>214</v>
      </c>
      <c r="C65" s="2" t="s">
        <v>569</v>
      </c>
      <c r="D65" s="2">
        <v>2</v>
      </c>
      <c r="E65" s="2">
        <v>2</v>
      </c>
      <c r="I65" s="2" t="b">
        <f t="shared" si="3"/>
        <v>0</v>
      </c>
      <c r="J65" s="2" t="b">
        <f t="shared" si="4"/>
        <v>0</v>
      </c>
    </row>
    <row r="66" spans="1:10" outlineLevel="1">
      <c r="A66" s="2">
        <f t="shared" si="2"/>
        <v>57</v>
      </c>
      <c r="B66" s="2" t="s">
        <v>214</v>
      </c>
      <c r="C66" s="2" t="s">
        <v>570</v>
      </c>
      <c r="D66" s="2">
        <v>0</v>
      </c>
      <c r="E66" s="2">
        <v>0</v>
      </c>
      <c r="I66" s="2" t="b">
        <f t="shared" si="3"/>
        <v>0</v>
      </c>
      <c r="J66" s="2" t="b">
        <f t="shared" si="4"/>
        <v>0</v>
      </c>
    </row>
    <row r="67" spans="1:10" outlineLevel="1">
      <c r="A67" s="2">
        <f t="shared" si="2"/>
        <v>58</v>
      </c>
      <c r="B67" s="2" t="s">
        <v>214</v>
      </c>
      <c r="C67" s="2" t="s">
        <v>571</v>
      </c>
      <c r="D67" s="2">
        <v>2</v>
      </c>
      <c r="E67" s="2">
        <v>2</v>
      </c>
      <c r="I67" s="2" t="b">
        <f t="shared" si="3"/>
        <v>0</v>
      </c>
      <c r="J67" s="2" t="b">
        <f t="shared" si="4"/>
        <v>0</v>
      </c>
    </row>
    <row r="68" spans="1:10" outlineLevel="1">
      <c r="A68" s="2">
        <f t="shared" si="2"/>
        <v>59</v>
      </c>
      <c r="B68" s="2" t="s">
        <v>214</v>
      </c>
      <c r="C68" s="2" t="s">
        <v>572</v>
      </c>
      <c r="D68" s="2" t="s">
        <v>386</v>
      </c>
      <c r="E68" s="2" t="s">
        <v>386</v>
      </c>
      <c r="I68" s="2" t="b">
        <f t="shared" si="3"/>
        <v>0</v>
      </c>
      <c r="J68" s="2" t="b">
        <f t="shared" si="4"/>
        <v>0</v>
      </c>
    </row>
    <row r="69" spans="1:10" outlineLevel="1">
      <c r="A69" s="2">
        <f t="shared" si="2"/>
        <v>60</v>
      </c>
      <c r="B69" s="2" t="s">
        <v>214</v>
      </c>
      <c r="C69" s="2" t="s">
        <v>112</v>
      </c>
      <c r="D69" s="2">
        <v>0.2</v>
      </c>
      <c r="E69" s="2">
        <v>0.2</v>
      </c>
      <c r="I69" s="2" t="b">
        <f t="shared" si="3"/>
        <v>0</v>
      </c>
      <c r="J69" s="2" t="b">
        <f t="shared" si="4"/>
        <v>0</v>
      </c>
    </row>
    <row r="70" spans="1:10" outlineLevel="1">
      <c r="A70" s="2">
        <f t="shared" si="2"/>
        <v>61</v>
      </c>
      <c r="B70" s="2" t="s">
        <v>214</v>
      </c>
      <c r="C70" s="2" t="s">
        <v>573</v>
      </c>
      <c r="D70" s="2">
        <v>1.0731999999999999</v>
      </c>
      <c r="E70" s="2">
        <v>0.56519999999999992</v>
      </c>
      <c r="I70" s="2" t="b">
        <f t="shared" si="3"/>
        <v>0</v>
      </c>
      <c r="J70" s="2" t="b">
        <f t="shared" si="4"/>
        <v>0</v>
      </c>
    </row>
    <row r="71" spans="1:10" outlineLevel="1">
      <c r="A71" s="2">
        <f t="shared" si="2"/>
        <v>62</v>
      </c>
      <c r="B71" s="2" t="s">
        <v>214</v>
      </c>
      <c r="C71" s="2" t="s">
        <v>574</v>
      </c>
      <c r="D71" s="2">
        <v>0.45080000000000003</v>
      </c>
      <c r="E71" s="2">
        <v>-0.56519999999999992</v>
      </c>
      <c r="I71" s="2" t="b">
        <f t="shared" si="3"/>
        <v>0</v>
      </c>
      <c r="J71" s="2" t="b">
        <f t="shared" si="4"/>
        <v>0</v>
      </c>
    </row>
    <row r="72" spans="1:10" outlineLevel="1">
      <c r="A72" s="2">
        <f t="shared" si="2"/>
        <v>63</v>
      </c>
      <c r="B72" s="2" t="s">
        <v>214</v>
      </c>
      <c r="C72" s="2" t="s">
        <v>575</v>
      </c>
      <c r="D72" s="2">
        <v>1.0731999999999999</v>
      </c>
      <c r="E72" s="2">
        <v>0.56519999999999992</v>
      </c>
      <c r="I72" s="2" t="b">
        <f t="shared" si="3"/>
        <v>0</v>
      </c>
      <c r="J72" s="2" t="b">
        <f t="shared" si="4"/>
        <v>0</v>
      </c>
    </row>
    <row r="73" spans="1:10" outlineLevel="1">
      <c r="A73" s="2">
        <f t="shared" si="2"/>
        <v>64</v>
      </c>
      <c r="B73" s="2" t="s">
        <v>214</v>
      </c>
      <c r="C73" s="2" t="s">
        <v>576</v>
      </c>
      <c r="D73" s="2">
        <v>0.45400000000000001</v>
      </c>
      <c r="E73" s="2">
        <v>0.2</v>
      </c>
      <c r="I73" s="2" t="b">
        <f t="shared" si="3"/>
        <v>0</v>
      </c>
      <c r="J73" s="2" t="b">
        <f t="shared" si="4"/>
        <v>0</v>
      </c>
    </row>
    <row r="74" spans="1:10" outlineLevel="1">
      <c r="A74" s="2">
        <f t="shared" si="2"/>
        <v>65</v>
      </c>
      <c r="B74" s="2" t="s">
        <v>214</v>
      </c>
      <c r="C74" s="2" t="s">
        <v>577</v>
      </c>
      <c r="D74" s="2">
        <v>0.45400000000000001</v>
      </c>
      <c r="E74" s="2">
        <v>0.2</v>
      </c>
      <c r="I74" s="2" t="b">
        <f t="shared" ref="I74:I94" si="5">IF($C74=$F$2,A74)</f>
        <v>0</v>
      </c>
      <c r="J74" s="2" t="b">
        <f t="shared" ref="J74:J94" si="6">IF($C74=$F$3,A74)</f>
        <v>0</v>
      </c>
    </row>
    <row r="75" spans="1:10" outlineLevel="1">
      <c r="A75" s="2">
        <f t="shared" si="2"/>
        <v>66</v>
      </c>
      <c r="B75" s="2" t="s">
        <v>214</v>
      </c>
      <c r="C75" s="2" t="s">
        <v>578</v>
      </c>
      <c r="D75" s="2">
        <v>0</v>
      </c>
      <c r="E75" s="2">
        <v>0</v>
      </c>
      <c r="I75" s="2" t="b">
        <f t="shared" si="5"/>
        <v>0</v>
      </c>
      <c r="J75" s="2" t="b">
        <f t="shared" si="6"/>
        <v>0</v>
      </c>
    </row>
    <row r="76" spans="1:10" outlineLevel="1">
      <c r="A76" s="2">
        <f t="shared" ref="A76:A103" si="7">A75+1</f>
        <v>67</v>
      </c>
      <c r="B76" s="2" t="s">
        <v>214</v>
      </c>
      <c r="C76" s="2" t="s">
        <v>579</v>
      </c>
      <c r="D76" s="2">
        <v>0</v>
      </c>
      <c r="E76" s="2">
        <v>0</v>
      </c>
      <c r="I76" s="2" t="b">
        <f t="shared" si="5"/>
        <v>0</v>
      </c>
      <c r="J76" s="2" t="b">
        <f t="shared" si="6"/>
        <v>0</v>
      </c>
    </row>
    <row r="77" spans="1:10" outlineLevel="1">
      <c r="A77" s="2">
        <f t="shared" si="7"/>
        <v>68</v>
      </c>
      <c r="B77" s="2" t="s">
        <v>214</v>
      </c>
      <c r="C77" s="2" t="s">
        <v>580</v>
      </c>
      <c r="D77" s="2">
        <v>3</v>
      </c>
      <c r="E77" s="2">
        <v>3</v>
      </c>
      <c r="I77" s="2" t="b">
        <f t="shared" si="5"/>
        <v>0</v>
      </c>
      <c r="J77" s="2" t="b">
        <f t="shared" si="6"/>
        <v>0</v>
      </c>
    </row>
    <row r="78" spans="1:10" outlineLevel="1">
      <c r="A78" s="2">
        <f t="shared" si="7"/>
        <v>69</v>
      </c>
      <c r="B78" s="2" t="s">
        <v>214</v>
      </c>
      <c r="C78" s="2" t="s">
        <v>581</v>
      </c>
      <c r="D78" s="2">
        <v>1</v>
      </c>
      <c r="E78" s="2">
        <v>1</v>
      </c>
      <c r="I78" s="2" t="b">
        <f t="shared" si="5"/>
        <v>0</v>
      </c>
      <c r="J78" s="2" t="b">
        <f t="shared" si="6"/>
        <v>0</v>
      </c>
    </row>
    <row r="79" spans="1:10" outlineLevel="1">
      <c r="A79" s="2">
        <f t="shared" si="7"/>
        <v>70</v>
      </c>
      <c r="B79" s="2" t="s">
        <v>214</v>
      </c>
      <c r="C79" s="2" t="s">
        <v>582</v>
      </c>
      <c r="D79" s="2">
        <v>1.4</v>
      </c>
      <c r="E79" s="2">
        <v>1.4</v>
      </c>
      <c r="I79" s="2" t="b">
        <f t="shared" si="5"/>
        <v>0</v>
      </c>
      <c r="J79" s="2" t="b">
        <f t="shared" si="6"/>
        <v>0</v>
      </c>
    </row>
    <row r="80" spans="1:10" outlineLevel="1">
      <c r="A80" s="2">
        <f t="shared" si="7"/>
        <v>71</v>
      </c>
      <c r="B80" s="2" t="s">
        <v>214</v>
      </c>
      <c r="C80" s="2" t="s">
        <v>583</v>
      </c>
      <c r="D80" s="2">
        <v>1</v>
      </c>
      <c r="E80" s="2">
        <v>1</v>
      </c>
      <c r="I80" s="2" t="b">
        <f t="shared" si="5"/>
        <v>0</v>
      </c>
      <c r="J80" s="2" t="b">
        <f t="shared" si="6"/>
        <v>0</v>
      </c>
    </row>
    <row r="81" spans="1:10" outlineLevel="1">
      <c r="A81" s="2">
        <f t="shared" si="7"/>
        <v>72</v>
      </c>
      <c r="B81" s="2" t="s">
        <v>214</v>
      </c>
      <c r="C81" s="2" t="s">
        <v>223</v>
      </c>
      <c r="D81" s="2">
        <v>1.4</v>
      </c>
      <c r="E81" s="2">
        <v>1.4</v>
      </c>
      <c r="I81" s="2" t="b">
        <f t="shared" si="5"/>
        <v>0</v>
      </c>
      <c r="J81" s="2" t="b">
        <f t="shared" si="6"/>
        <v>0</v>
      </c>
    </row>
    <row r="82" spans="1:10" outlineLevel="1">
      <c r="A82" s="2">
        <f t="shared" si="7"/>
        <v>73</v>
      </c>
      <c r="B82" s="2" t="s">
        <v>214</v>
      </c>
      <c r="C82" s="2" t="s">
        <v>224</v>
      </c>
      <c r="D82" s="2">
        <v>1</v>
      </c>
      <c r="E82" s="2">
        <v>1</v>
      </c>
      <c r="I82" s="2" t="b">
        <f t="shared" si="5"/>
        <v>0</v>
      </c>
      <c r="J82" s="2" t="b">
        <f t="shared" si="6"/>
        <v>0</v>
      </c>
    </row>
    <row r="83" spans="1:10" outlineLevel="1">
      <c r="A83" s="2">
        <f t="shared" si="7"/>
        <v>74</v>
      </c>
      <c r="B83" s="2" t="s">
        <v>214</v>
      </c>
      <c r="C83" s="2" t="s">
        <v>225</v>
      </c>
      <c r="D83" s="2">
        <v>1.4</v>
      </c>
      <c r="E83" s="2">
        <v>1.4</v>
      </c>
      <c r="I83" s="2" t="b">
        <f t="shared" si="5"/>
        <v>0</v>
      </c>
      <c r="J83" s="2" t="b">
        <f t="shared" si="6"/>
        <v>0</v>
      </c>
    </row>
    <row r="84" spans="1:10" outlineLevel="1">
      <c r="A84" s="2">
        <f t="shared" si="7"/>
        <v>75</v>
      </c>
      <c r="B84" s="2" t="s">
        <v>214</v>
      </c>
      <c r="C84" s="2" t="s">
        <v>15</v>
      </c>
      <c r="D84" s="2">
        <v>1</v>
      </c>
      <c r="E84" s="2">
        <v>1</v>
      </c>
      <c r="I84" s="2" t="b">
        <f t="shared" si="5"/>
        <v>0</v>
      </c>
      <c r="J84" s="2" t="b">
        <f t="shared" si="6"/>
        <v>0</v>
      </c>
    </row>
    <row r="85" spans="1:10" outlineLevel="1">
      <c r="A85" s="2">
        <f t="shared" si="7"/>
        <v>76</v>
      </c>
      <c r="B85" s="2" t="s">
        <v>214</v>
      </c>
      <c r="C85" s="2" t="s">
        <v>16</v>
      </c>
      <c r="D85" s="2">
        <v>2</v>
      </c>
      <c r="E85" s="2">
        <v>2</v>
      </c>
      <c r="I85" s="2" t="b">
        <f t="shared" si="5"/>
        <v>0</v>
      </c>
      <c r="J85" s="2" t="b">
        <f t="shared" si="6"/>
        <v>0</v>
      </c>
    </row>
    <row r="86" spans="1:10" outlineLevel="1">
      <c r="A86" s="2">
        <f t="shared" si="7"/>
        <v>77</v>
      </c>
      <c r="B86" s="2" t="s">
        <v>214</v>
      </c>
      <c r="C86" s="2" t="s">
        <v>17</v>
      </c>
      <c r="D86" s="2">
        <v>0</v>
      </c>
      <c r="E86" s="2">
        <v>0</v>
      </c>
      <c r="I86" s="2" t="b">
        <f t="shared" si="5"/>
        <v>0</v>
      </c>
      <c r="J86" s="2" t="b">
        <f t="shared" si="6"/>
        <v>0</v>
      </c>
    </row>
    <row r="87" spans="1:10" outlineLevel="1">
      <c r="A87" s="2">
        <f t="shared" si="7"/>
        <v>78</v>
      </c>
      <c r="B87" s="2" t="s">
        <v>214</v>
      </c>
      <c r="C87" s="2" t="s">
        <v>18</v>
      </c>
      <c r="D87" s="2">
        <v>0</v>
      </c>
      <c r="E87" s="2">
        <v>0</v>
      </c>
      <c r="I87" s="2" t="b">
        <f t="shared" si="5"/>
        <v>0</v>
      </c>
      <c r="J87" s="2" t="b">
        <f t="shared" si="6"/>
        <v>0</v>
      </c>
    </row>
    <row r="88" spans="1:10" outlineLevel="1">
      <c r="A88" s="2">
        <f t="shared" si="7"/>
        <v>79</v>
      </c>
      <c r="B88" s="2" t="s">
        <v>214</v>
      </c>
      <c r="C88" s="2" t="s">
        <v>19</v>
      </c>
      <c r="D88" s="2">
        <v>1.5</v>
      </c>
      <c r="E88" s="2">
        <v>1.5</v>
      </c>
      <c r="I88" s="2" t="b">
        <f t="shared" si="5"/>
        <v>0</v>
      </c>
      <c r="J88" s="2" t="b">
        <f t="shared" si="6"/>
        <v>0</v>
      </c>
    </row>
    <row r="89" spans="1:10" outlineLevel="1">
      <c r="A89" s="2">
        <f t="shared" si="7"/>
        <v>80</v>
      </c>
      <c r="B89" s="2" t="s">
        <v>214</v>
      </c>
      <c r="C89" s="2" t="s">
        <v>20</v>
      </c>
      <c r="D89" s="2">
        <v>2.2999999999999998</v>
      </c>
      <c r="E89" s="2">
        <v>2.2999999999999998</v>
      </c>
      <c r="I89" s="2" t="b">
        <f t="shared" si="5"/>
        <v>0</v>
      </c>
      <c r="J89" s="2" t="b">
        <f t="shared" si="6"/>
        <v>0</v>
      </c>
    </row>
    <row r="90" spans="1:10" outlineLevel="1">
      <c r="A90" s="2">
        <f t="shared" si="7"/>
        <v>81</v>
      </c>
      <c r="B90" s="2" t="s">
        <v>214</v>
      </c>
      <c r="C90" s="2" t="s">
        <v>21</v>
      </c>
      <c r="D90" s="2">
        <v>1</v>
      </c>
      <c r="E90" s="2">
        <v>1</v>
      </c>
      <c r="I90" s="2" t="b">
        <f t="shared" si="5"/>
        <v>0</v>
      </c>
      <c r="J90" s="2" t="b">
        <f t="shared" si="6"/>
        <v>0</v>
      </c>
    </row>
    <row r="91" spans="1:10" outlineLevel="1">
      <c r="A91" s="2">
        <f t="shared" si="7"/>
        <v>82</v>
      </c>
      <c r="B91" s="2" t="s">
        <v>214</v>
      </c>
      <c r="C91" s="2" t="s">
        <v>22</v>
      </c>
      <c r="D91" s="2">
        <v>3.4499999999999997</v>
      </c>
      <c r="E91" s="2">
        <v>3.45</v>
      </c>
      <c r="I91" s="2" t="b">
        <f t="shared" si="5"/>
        <v>0</v>
      </c>
      <c r="J91" s="2" t="b">
        <f t="shared" si="6"/>
        <v>0</v>
      </c>
    </row>
    <row r="92" spans="1:10" outlineLevel="1">
      <c r="A92" s="2">
        <f t="shared" si="7"/>
        <v>83</v>
      </c>
      <c r="B92" s="2" t="s">
        <v>214</v>
      </c>
      <c r="C92" s="2" t="s">
        <v>23</v>
      </c>
      <c r="D92" s="2">
        <v>4.8499999999999996</v>
      </c>
      <c r="E92" s="2">
        <v>4.8499999999999996</v>
      </c>
      <c r="I92" s="2" t="b">
        <f t="shared" si="5"/>
        <v>0</v>
      </c>
      <c r="J92" s="2" t="b">
        <f t="shared" si="6"/>
        <v>0</v>
      </c>
    </row>
    <row r="93" spans="1:10" outlineLevel="1">
      <c r="A93" s="2">
        <f t="shared" si="7"/>
        <v>84</v>
      </c>
      <c r="B93" s="2" t="s">
        <v>214</v>
      </c>
      <c r="C93" s="2" t="s">
        <v>24</v>
      </c>
      <c r="D93" s="2">
        <v>0.91439999999999999</v>
      </c>
      <c r="E93" s="2">
        <v>0.91439999999999999</v>
      </c>
      <c r="I93" s="2" t="b">
        <f t="shared" si="5"/>
        <v>0</v>
      </c>
      <c r="J93" s="2" t="b">
        <f t="shared" si="6"/>
        <v>0</v>
      </c>
    </row>
    <row r="94" spans="1:10" outlineLevel="1">
      <c r="A94" s="2">
        <f t="shared" si="7"/>
        <v>85</v>
      </c>
      <c r="B94" s="2" t="s">
        <v>214</v>
      </c>
      <c r="C94" s="2" t="s">
        <v>25</v>
      </c>
      <c r="D94" s="2">
        <v>0.86359999999999992</v>
      </c>
      <c r="E94" s="2">
        <v>0.86359999999999992</v>
      </c>
      <c r="I94" s="2" t="b">
        <f t="shared" si="5"/>
        <v>0</v>
      </c>
      <c r="J94" s="2" t="b">
        <f t="shared" si="6"/>
        <v>0</v>
      </c>
    </row>
    <row r="95" spans="1:10" outlineLevel="1">
      <c r="A95" s="2">
        <f t="shared" si="7"/>
        <v>86</v>
      </c>
      <c r="B95" s="2" t="s">
        <v>214</v>
      </c>
      <c r="C95" s="2" t="s">
        <v>26</v>
      </c>
      <c r="D95" s="2">
        <v>0.81279999999999997</v>
      </c>
      <c r="E95" s="2">
        <v>0.81279999999999997</v>
      </c>
      <c r="I95" s="2" t="b">
        <f t="shared" ref="I95:I103" si="8">IF($C95=$F$2,A95)</f>
        <v>0</v>
      </c>
      <c r="J95" s="2" t="b">
        <f t="shared" ref="J95:J103" si="9">IF($C95=$F$3,A95)</f>
        <v>0</v>
      </c>
    </row>
    <row r="96" spans="1:10" outlineLevel="1">
      <c r="A96" s="2">
        <f t="shared" si="7"/>
        <v>87</v>
      </c>
      <c r="B96" s="2" t="s">
        <v>214</v>
      </c>
      <c r="C96" s="2" t="s">
        <v>27</v>
      </c>
      <c r="D96" s="2">
        <v>1.7</v>
      </c>
      <c r="E96" s="2">
        <v>1.7</v>
      </c>
      <c r="I96" s="2" t="b">
        <f t="shared" si="8"/>
        <v>0</v>
      </c>
      <c r="J96" s="2" t="b">
        <f t="shared" si="9"/>
        <v>0</v>
      </c>
    </row>
    <row r="97" spans="1:10" outlineLevel="1">
      <c r="A97" s="2">
        <f t="shared" si="7"/>
        <v>88</v>
      </c>
      <c r="B97" s="2" t="s">
        <v>214</v>
      </c>
      <c r="C97" s="2" t="s">
        <v>28</v>
      </c>
      <c r="D97" s="2">
        <v>6.9772638021524438</v>
      </c>
      <c r="E97" s="2">
        <v>7.6315871926472063</v>
      </c>
      <c r="I97" s="2" t="b">
        <f t="shared" si="8"/>
        <v>0</v>
      </c>
      <c r="J97" s="2" t="b">
        <f t="shared" si="9"/>
        <v>0</v>
      </c>
    </row>
    <row r="98" spans="1:10" outlineLevel="1">
      <c r="A98" s="2">
        <f t="shared" si="7"/>
        <v>89</v>
      </c>
      <c r="B98" s="2" t="s">
        <v>214</v>
      </c>
      <c r="C98" s="2" t="s">
        <v>29</v>
      </c>
      <c r="D98" s="2">
        <v>2.9</v>
      </c>
      <c r="E98" s="2">
        <v>2.9</v>
      </c>
      <c r="I98" s="2" t="b">
        <f t="shared" si="8"/>
        <v>0</v>
      </c>
      <c r="J98" s="2" t="b">
        <f t="shared" si="9"/>
        <v>0</v>
      </c>
    </row>
    <row r="99" spans="1:10" outlineLevel="1">
      <c r="A99" s="2">
        <f t="shared" si="7"/>
        <v>90</v>
      </c>
      <c r="B99" s="2" t="s">
        <v>214</v>
      </c>
      <c r="C99" s="2" t="s">
        <v>30</v>
      </c>
      <c r="D99" s="2">
        <v>2.4</v>
      </c>
      <c r="E99" s="2">
        <v>2.4</v>
      </c>
      <c r="I99" s="2" t="b">
        <f t="shared" si="8"/>
        <v>0</v>
      </c>
      <c r="J99" s="2" t="b">
        <f t="shared" si="9"/>
        <v>0</v>
      </c>
    </row>
    <row r="100" spans="1:10" outlineLevel="1">
      <c r="A100" s="2">
        <f t="shared" si="7"/>
        <v>91</v>
      </c>
      <c r="B100" s="2" t="s">
        <v>214</v>
      </c>
      <c r="C100" s="2" t="s">
        <v>31</v>
      </c>
      <c r="D100" s="2">
        <v>9.8502547795093331</v>
      </c>
      <c r="E100" s="2">
        <v>10.774005448443114</v>
      </c>
      <c r="I100" s="2" t="b">
        <f t="shared" si="8"/>
        <v>0</v>
      </c>
      <c r="J100" s="2" t="b">
        <f t="shared" si="9"/>
        <v>0</v>
      </c>
    </row>
    <row r="101" spans="1:10" outlineLevel="1">
      <c r="A101" s="2">
        <f t="shared" si="7"/>
        <v>92</v>
      </c>
      <c r="B101" s="2" t="s">
        <v>214</v>
      </c>
      <c r="C101" s="2" t="s">
        <v>32</v>
      </c>
      <c r="D101" s="2">
        <v>4.9251273897546666</v>
      </c>
      <c r="E101" s="2">
        <v>5.3870027242215572</v>
      </c>
      <c r="I101" s="2" t="b">
        <f t="shared" si="8"/>
        <v>0</v>
      </c>
      <c r="J101" s="2" t="b">
        <f t="shared" si="9"/>
        <v>0</v>
      </c>
    </row>
    <row r="102" spans="1:10" outlineLevel="1">
      <c r="A102" s="2">
        <f t="shared" si="7"/>
        <v>93</v>
      </c>
      <c r="B102" s="2" t="s">
        <v>214</v>
      </c>
      <c r="C102" s="2" t="s">
        <v>511</v>
      </c>
      <c r="D102" s="2">
        <v>27.061599999999991</v>
      </c>
      <c r="E102" s="2">
        <v>27.061599999999991</v>
      </c>
      <c r="I102" s="2" t="b">
        <f t="shared" si="8"/>
        <v>0</v>
      </c>
      <c r="J102" s="2" t="b">
        <f t="shared" si="9"/>
        <v>0</v>
      </c>
    </row>
    <row r="103" spans="1:10" outlineLevel="1">
      <c r="A103" s="2">
        <f t="shared" si="7"/>
        <v>94</v>
      </c>
      <c r="B103" s="2" t="s">
        <v>214</v>
      </c>
      <c r="C103" s="2" t="s">
        <v>512</v>
      </c>
      <c r="D103" s="2">
        <v>36.063991191907107</v>
      </c>
      <c r="E103" s="2">
        <v>37.180189916868756</v>
      </c>
      <c r="I103" s="2" t="b">
        <f t="shared" si="8"/>
        <v>0</v>
      </c>
      <c r="J103" s="2" t="b">
        <f t="shared" si="9"/>
        <v>0</v>
      </c>
    </row>
    <row r="104" spans="1:10" outlineLevel="1"/>
    <row r="105" spans="1:10" outlineLevel="1"/>
    <row r="106" spans="1:10" outlineLevel="1"/>
    <row r="107" spans="1:10" outlineLevel="1"/>
    <row r="108" spans="1:10" outlineLevel="1"/>
    <row r="109" spans="1:10" outlineLevel="1"/>
    <row r="110" spans="1:10" outlineLevel="1"/>
    <row r="111" spans="1:10" outlineLevel="1"/>
    <row r="112" spans="1:10" outlineLevel="1"/>
    <row r="113" outlineLevel="1"/>
    <row r="114" outlineLevel="1"/>
    <row r="115" outlineLevel="1"/>
    <row r="116" outlineLevel="1"/>
    <row r="117" outlineLevel="1"/>
    <row r="118" outlineLevel="1"/>
    <row r="119" outlineLevel="1"/>
    <row r="120" outlineLevel="1"/>
    <row r="121" outlineLevel="1"/>
    <row r="122" outlineLevel="1"/>
    <row r="123" outlineLevel="1"/>
    <row r="124" outlineLevel="1"/>
    <row r="125" outlineLevel="1"/>
    <row r="126" outlineLevel="1"/>
    <row r="127" outlineLevel="1"/>
    <row r="128" outlineLevel="1"/>
    <row r="129" outlineLevel="1"/>
    <row r="130" outlineLevel="1"/>
    <row r="131" outlineLevel="1"/>
    <row r="132" outlineLevel="1"/>
    <row r="133" outlineLevel="1"/>
    <row r="134" outlineLevel="1"/>
    <row r="135" outlineLevel="1"/>
    <row r="136" outlineLevel="1"/>
    <row r="137" outlineLevel="1"/>
    <row r="138" outlineLevel="1"/>
    <row r="139" outlineLevel="1"/>
    <row r="140" outlineLevel="1"/>
    <row r="141" outlineLevel="1"/>
    <row r="142" outlineLevel="1"/>
    <row r="143" outlineLevel="1"/>
    <row r="144" outlineLevel="1"/>
    <row r="145" outlineLevel="1"/>
    <row r="146" outlineLevel="1"/>
    <row r="147" outlineLevel="1"/>
    <row r="148" outlineLevel="1"/>
    <row r="149" outlineLevel="1"/>
    <row r="150" outlineLevel="1"/>
    <row r="151" outlineLevel="1"/>
    <row r="152" outlineLevel="1"/>
    <row r="153" outlineLevel="1"/>
    <row r="154" outlineLevel="1"/>
    <row r="155" outlineLevel="1"/>
    <row r="156" outlineLevel="1"/>
    <row r="157" outlineLevel="1"/>
    <row r="158" outlineLevel="1"/>
    <row r="159" outlineLevel="1"/>
    <row r="160" outlineLevel="1"/>
    <row r="161" outlineLevel="1"/>
    <row r="162" outlineLevel="1"/>
    <row r="163" outlineLevel="1"/>
    <row r="164" outlineLevel="1"/>
    <row r="165" outlineLevel="1"/>
    <row r="166" outlineLevel="1"/>
    <row r="167" outlineLevel="1"/>
    <row r="168" outlineLevel="1"/>
    <row r="169" outlineLevel="1"/>
    <row r="170" outlineLevel="1"/>
    <row r="171" outlineLevel="1"/>
    <row r="172" outlineLevel="1"/>
    <row r="173" outlineLevel="1"/>
    <row r="174" outlineLevel="1"/>
    <row r="175" outlineLevel="1"/>
    <row r="176" outlineLevel="1"/>
    <row r="177" outlineLevel="1"/>
    <row r="178" outlineLevel="1"/>
    <row r="179" outlineLevel="1"/>
    <row r="180" outlineLevel="1"/>
    <row r="181" outlineLevel="1"/>
    <row r="182" outlineLevel="1"/>
    <row r="183" outlineLevel="1"/>
    <row r="184" outlineLevel="1"/>
    <row r="185" outlineLevel="1"/>
    <row r="186" outlineLevel="1"/>
    <row r="187" outlineLevel="1"/>
    <row r="188" outlineLevel="1"/>
    <row r="189" outlineLevel="1"/>
    <row r="190" outlineLevel="1"/>
    <row r="191" outlineLevel="1"/>
    <row r="192" outlineLevel="1"/>
    <row r="193" outlineLevel="1"/>
    <row r="194" outlineLevel="1"/>
    <row r="195" outlineLevel="1"/>
    <row r="196" outlineLevel="1"/>
    <row r="197" outlineLevel="1"/>
    <row r="198" outlineLevel="1"/>
    <row r="199" outlineLevel="1"/>
    <row r="200" outlineLevel="1"/>
    <row r="201" outlineLevel="1"/>
    <row r="202" outlineLevel="1"/>
    <row r="203" outlineLevel="1"/>
    <row r="204" outlineLevel="1"/>
    <row r="205" outlineLevel="1"/>
    <row r="206" outlineLevel="1"/>
    <row r="207" outlineLevel="1"/>
    <row r="208" outlineLevel="1"/>
    <row r="209" outlineLevel="1"/>
    <row r="210" outlineLevel="1"/>
    <row r="211" outlineLevel="1"/>
    <row r="212" outlineLevel="1"/>
    <row r="213" outlineLevel="1"/>
    <row r="214" outlineLevel="1"/>
    <row r="215" outlineLevel="1"/>
    <row r="216" outlineLevel="1"/>
    <row r="217" outlineLevel="1"/>
    <row r="218" outlineLevel="1"/>
    <row r="219" outlineLevel="1"/>
    <row r="220" outlineLevel="1"/>
    <row r="221" outlineLevel="1"/>
    <row r="222" outlineLevel="1"/>
    <row r="223" outlineLevel="1"/>
    <row r="224" outlineLevel="1"/>
    <row r="225" outlineLevel="1"/>
    <row r="226" outlineLevel="1"/>
    <row r="227" outlineLevel="1"/>
    <row r="228" outlineLevel="1"/>
    <row r="229" outlineLevel="1"/>
    <row r="230" outlineLevel="1"/>
    <row r="231" outlineLevel="1"/>
    <row r="232" outlineLevel="1"/>
    <row r="233" outlineLevel="1"/>
    <row r="234" outlineLevel="1"/>
    <row r="235" outlineLevel="1"/>
    <row r="236" outlineLevel="1"/>
    <row r="237" outlineLevel="1"/>
    <row r="238" outlineLevel="1"/>
    <row r="239" outlineLevel="1"/>
    <row r="240" outlineLevel="1"/>
    <row r="241" outlineLevel="1"/>
    <row r="242" outlineLevel="1"/>
    <row r="243" outlineLevel="1"/>
    <row r="244" outlineLevel="1"/>
    <row r="245" outlineLevel="1"/>
    <row r="246" outlineLevel="1"/>
    <row r="247" outlineLevel="1"/>
    <row r="248" outlineLevel="1"/>
    <row r="249" outlineLevel="1"/>
    <row r="250" outlineLevel="1"/>
    <row r="251" outlineLevel="1"/>
    <row r="252" outlineLevel="1"/>
    <row r="253" outlineLevel="1"/>
    <row r="254" outlineLevel="1"/>
    <row r="255" outlineLevel="1"/>
    <row r="256" outlineLevel="1"/>
  </sheetData>
  <dataConsolidate/>
  <mergeCells count="2">
    <mergeCell ref="F2:G2"/>
    <mergeCell ref="F3:G3"/>
  </mergeCells>
  <phoneticPr fontId="11" type="noConversion"/>
  <conditionalFormatting sqref="E10:H103">
    <cfRule type="cellIs" dxfId="1" priority="1" stopIfTrue="1" operator="equal">
      <formula>D10</formula>
    </cfRule>
  </conditionalFormatting>
  <conditionalFormatting sqref="D5:H5">
    <cfRule type="cellIs" dxfId="0" priority="2" stopIfTrue="1" operator="equal">
      <formula>0</formula>
    </cfRule>
  </conditionalFormatting>
  <dataValidations count="1">
    <dataValidation type="list" allowBlank="1" showInputMessage="1" showErrorMessage="1" sqref="F2:G3" xr:uid="{D2981C46-84FE-40D3-8950-17BB64B3A140}">
      <formula1>$C$10:$C$117</formula1>
    </dataValidation>
  </dataValidations>
  <pageMargins left="0.75" right="0.75" top="1" bottom="1" header="0.4921259845" footer="0.4921259845"/>
  <pageSetup paperSize="9" orientation="portrait" r:id="rId1"/>
  <headerFooter alignWithMargins="0"/>
  <drawing r:id="rId2"/>
  <legacyDrawing r:id="rId3"/>
  <controls>
    <mc:AlternateContent xmlns:mc="http://schemas.openxmlformats.org/markup-compatibility/2006">
      <mc:Choice Requires="x14">
        <control shapeId="13810707" r:id="rId4" name="CommandButton6">
          <controlPr defaultSize="0" autoLine="0" r:id="rId5">
            <anchor moveWithCells="1">
              <from>
                <xdr:col>1</xdr:col>
                <xdr:colOff>158750</xdr:colOff>
                <xdr:row>0</xdr:row>
                <xdr:rowOff>177800</xdr:rowOff>
              </from>
              <to>
                <xdr:col>2</xdr:col>
                <xdr:colOff>984250</xdr:colOff>
                <xdr:row>3</xdr:row>
                <xdr:rowOff>38100</xdr:rowOff>
              </to>
            </anchor>
          </controlPr>
        </control>
      </mc:Choice>
      <mc:Fallback>
        <control shapeId="13810707" r:id="rId4" name="CommandButton6"/>
      </mc:Fallback>
    </mc:AlternateContent>
    <mc:AlternateContent xmlns:mc="http://schemas.openxmlformats.org/markup-compatibility/2006">
      <mc:Choice Requires="x14">
        <control shapeId="13810776" r:id="rId6" name="ComboBox2">
          <controlPr defaultSize="0" autoLine="0" listFillRange="F3" r:id="rId7">
            <anchor moveWithCells="1">
              <from>
                <xdr:col>1</xdr:col>
                <xdr:colOff>768350</xdr:colOff>
                <xdr:row>258</xdr:row>
                <xdr:rowOff>44450</xdr:rowOff>
              </from>
              <to>
                <xdr:col>5</xdr:col>
                <xdr:colOff>260350</xdr:colOff>
                <xdr:row>259</xdr:row>
                <xdr:rowOff>95250</xdr:rowOff>
              </to>
            </anchor>
          </controlPr>
        </control>
      </mc:Choice>
      <mc:Fallback>
        <control shapeId="13810776" r:id="rId6" name="ComboBox2"/>
      </mc:Fallback>
    </mc:AlternateContent>
    <mc:AlternateContent xmlns:mc="http://schemas.openxmlformats.org/markup-compatibility/2006">
      <mc:Choice Requires="x14">
        <control shapeId="13810777" r:id="rId8" name="ComboBox1">
          <controlPr defaultSize="0" autoLine="0" listFillRange="F2" r:id="rId9">
            <anchor moveWithCells="1">
              <from>
                <xdr:col>8</xdr:col>
                <xdr:colOff>107950</xdr:colOff>
                <xdr:row>277</xdr:row>
                <xdr:rowOff>25400</xdr:rowOff>
              </from>
              <to>
                <xdr:col>10</xdr:col>
                <xdr:colOff>717550</xdr:colOff>
                <xdr:row>278</xdr:row>
                <xdr:rowOff>76200</xdr:rowOff>
              </to>
            </anchor>
          </controlPr>
        </control>
      </mc:Choice>
      <mc:Fallback>
        <control shapeId="13810777" r:id="rId8" name="ComboBox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63EA60-B82E-4947-9D0C-8BC79A30516A}">
  <sheetPr codeName="Tabelle20"/>
  <dimension ref="A3:BD2568"/>
  <sheetViews>
    <sheetView zoomScale="85" workbookViewId="0"/>
  </sheetViews>
  <sheetFormatPr defaultColWidth="11.453125" defaultRowHeight="14.5"/>
  <cols>
    <col min="1" max="1" width="5.1796875" customWidth="1"/>
    <col min="2" max="2" width="24.81640625" customWidth="1"/>
    <col min="3" max="3" width="11" bestFit="1" customWidth="1"/>
    <col min="6" max="6" width="12.1796875" customWidth="1"/>
    <col min="10" max="13" width="12.1796875" customWidth="1"/>
    <col min="14" max="14" width="12.54296875" bestFit="1" customWidth="1"/>
    <col min="15" max="15" width="12.1796875" customWidth="1"/>
    <col min="18" max="18" width="12.26953125" bestFit="1" customWidth="1"/>
  </cols>
  <sheetData>
    <row r="3" spans="1:9">
      <c r="B3" t="s">
        <v>669</v>
      </c>
      <c r="C3">
        <f>1/2*(C13-SEAT_w_cushion_YC-2*SEAT_w_armrest_YC)</f>
        <v>1.0699999999999998</v>
      </c>
    </row>
    <row r="4" spans="1:9">
      <c r="B4" s="19" t="s">
        <v>670</v>
      </c>
      <c r="C4">
        <v>0.05</v>
      </c>
    </row>
    <row r="5" spans="1:9">
      <c r="B5" t="s">
        <v>448</v>
      </c>
      <c r="C5" s="145">
        <f>MAX(G9:G18)</f>
        <v>1.4960570012328709</v>
      </c>
      <c r="E5" t="s">
        <v>57</v>
      </c>
      <c r="F5">
        <f>SQRT(FUSELAGE_a_ellipse*FUSELAGE_b_ellipse)</f>
        <v>1.4960570012328709</v>
      </c>
    </row>
    <row r="6" spans="1:9">
      <c r="B6" t="s">
        <v>461</v>
      </c>
      <c r="C6" s="146">
        <f>MAX(H9:H18)</f>
        <v>1.4960570012328709</v>
      </c>
    </row>
    <row r="7" spans="1:9">
      <c r="G7" t="s">
        <v>456</v>
      </c>
      <c r="H7" s="1">
        <f>FUSELAGE_h_w</f>
        <v>1</v>
      </c>
    </row>
    <row r="8" spans="1:9">
      <c r="A8" s="117"/>
      <c r="B8" s="119" t="s">
        <v>436</v>
      </c>
      <c r="C8" s="118" t="s">
        <v>434</v>
      </c>
      <c r="D8" s="118" t="s">
        <v>438</v>
      </c>
      <c r="E8" s="118" t="s">
        <v>430</v>
      </c>
      <c r="F8" s="118" t="s">
        <v>437</v>
      </c>
      <c r="G8" s="118" t="s">
        <v>93</v>
      </c>
      <c r="H8" s="118" t="s">
        <v>263</v>
      </c>
      <c r="I8" s="119" t="s">
        <v>435</v>
      </c>
    </row>
    <row r="9" spans="1:9">
      <c r="A9" s="122" t="s">
        <v>458</v>
      </c>
      <c r="B9" s="123" t="s">
        <v>459</v>
      </c>
      <c r="C9" s="2">
        <f>0.5*FUSELAGE_h_aisle*FUSELAGE_n_aisles</f>
        <v>0.95</v>
      </c>
      <c r="D9" s="2">
        <f>C9/2</f>
        <v>0.47499999999999998</v>
      </c>
      <c r="E9" s="150">
        <f>FUSELAGE_h_aisle-FUSELAGE_Dz_floor</f>
        <v>1.1092493750000001</v>
      </c>
      <c r="F9" s="120">
        <f t="shared" ref="F9:F18" si="0">ABS(E9)</f>
        <v>1.1092493750000001</v>
      </c>
      <c r="G9" s="2">
        <f t="shared" ref="G9:G18" si="1">SQRT(D9^2+E9^2/(FUSELAGE_h_w)^2)</f>
        <v>1.2066727708612184</v>
      </c>
      <c r="H9" s="2">
        <f t="shared" ref="H9:H18" si="2">FUSELAGE_h_w*G9</f>
        <v>1.2066727708612184</v>
      </c>
      <c r="I9" s="114">
        <f t="shared" ref="I9:I18" si="3">IF(G9=$C$5,1,0)</f>
        <v>0</v>
      </c>
    </row>
    <row r="10" spans="1:9">
      <c r="A10" s="122" t="s">
        <v>212</v>
      </c>
      <c r="B10" s="123" t="s">
        <v>63</v>
      </c>
      <c r="C10" s="2">
        <f>2*(FUSELAGE_y_position_of_left_seat_YC)</f>
        <v>2.1399999999999997</v>
      </c>
      <c r="D10" s="2">
        <f>C10/2</f>
        <v>1.0699999999999998</v>
      </c>
      <c r="E10" s="150">
        <f>PAX_Dy_eye+SEAT_Dy_cushion-FUSELAGE_Dz_floor+0.126+PAX_d_hw</f>
        <v>0.584729375</v>
      </c>
      <c r="F10" s="120">
        <f t="shared" si="0"/>
        <v>0.584729375</v>
      </c>
      <c r="G10" s="2">
        <f t="shared" si="1"/>
        <v>1.2193475476614082</v>
      </c>
      <c r="H10" s="2">
        <f t="shared" si="2"/>
        <v>1.2193475476614082</v>
      </c>
      <c r="I10" s="114">
        <f t="shared" si="3"/>
        <v>0</v>
      </c>
    </row>
    <row r="11" spans="1:9">
      <c r="A11" s="122" t="s">
        <v>168</v>
      </c>
      <c r="B11" s="123" t="s">
        <v>163</v>
      </c>
      <c r="C11" s="2">
        <f>2*(PAX_d_hw+0.084+FUSELAGE_y_position_of_left_seat_YC)</f>
        <v>2.4079999999999995</v>
      </c>
      <c r="D11" s="2">
        <f>C11/2</f>
        <v>1.2039999999999997</v>
      </c>
      <c r="E11" s="150">
        <f>PAX_Dy_eye+SEAT_Dy_cushion-FUSELAGE_Dz_floor</f>
        <v>0.40872937499999995</v>
      </c>
      <c r="F11" s="120">
        <f t="shared" si="0"/>
        <v>0.40872937499999995</v>
      </c>
      <c r="G11" s="2">
        <f t="shared" si="1"/>
        <v>1.2714856279124394</v>
      </c>
      <c r="H11" s="2">
        <f t="shared" si="2"/>
        <v>1.2714856279124394</v>
      </c>
      <c r="I11" s="114">
        <f t="shared" si="3"/>
        <v>0</v>
      </c>
    </row>
    <row r="12" spans="1:9">
      <c r="A12" s="122" t="s">
        <v>165</v>
      </c>
      <c r="B12" s="123" t="s">
        <v>169</v>
      </c>
      <c r="C12" s="2">
        <f>2*(PAX_d_sw+PAX_w_shoulder/2+FUSELAGE_y_position_of_left_seat_YC)</f>
        <v>2.7199999999999998</v>
      </c>
      <c r="D12" s="2">
        <f>C12/2</f>
        <v>1.3599999999999999</v>
      </c>
      <c r="E12" s="150">
        <f>PAX_Dy_midshoulder+SEAT_Dy_cushion-FUSELAGE_Dz_floor</f>
        <v>0.22872937500000001</v>
      </c>
      <c r="F12" s="120">
        <f t="shared" si="0"/>
        <v>0.22872937500000001</v>
      </c>
      <c r="G12" s="2">
        <f t="shared" si="1"/>
        <v>1.3791001149256317</v>
      </c>
      <c r="H12" s="2">
        <f t="shared" si="2"/>
        <v>1.3791001149256317</v>
      </c>
      <c r="I12" s="114">
        <f t="shared" si="3"/>
        <v>0</v>
      </c>
    </row>
    <row r="13" spans="1:9">
      <c r="A13" s="122" t="s">
        <v>166</v>
      </c>
      <c r="B13" s="123" t="s">
        <v>364</v>
      </c>
      <c r="C13" s="2">
        <f>FUSELAGE_n_SA_YC*SEAT_w_cushion_YC+FUSELAGE_n_aisles*FUSELAGE_w_aisle_YC+(FUSELAGE_n_SA_YC-FUSELAGE_n_aisles+1)*SEAT_w_armrest_YC</f>
        <v>2.76</v>
      </c>
      <c r="D13" s="2">
        <f>(C13)/2</f>
        <v>1.38</v>
      </c>
      <c r="E13" s="150">
        <f>SEAT_h_armrest_top-FUSELAGE_Dz_floor</f>
        <v>-0.19075062499999995</v>
      </c>
      <c r="F13" s="120">
        <f t="shared" si="0"/>
        <v>0.19075062499999995</v>
      </c>
      <c r="G13" s="2">
        <f t="shared" si="1"/>
        <v>1.3931208852565129</v>
      </c>
      <c r="H13" s="2">
        <f t="shared" si="2"/>
        <v>1.3931208852565129</v>
      </c>
      <c r="I13" s="114">
        <f t="shared" si="3"/>
        <v>0</v>
      </c>
    </row>
    <row r="14" spans="1:9">
      <c r="A14" s="126" t="s">
        <v>167</v>
      </c>
      <c r="B14" s="123" t="s">
        <v>365</v>
      </c>
      <c r="C14" s="2">
        <f>FUSELAGE_n_SA_YC*SEAT_w_cushion_YC+FUSELAGE_n_aisles*FUSELAGE_w_aisle_YC+(FUSELAGE_n_SA_YC-FUSELAGE_n_aisles+1)*SEAT_w_armrest_YC</f>
        <v>2.76</v>
      </c>
      <c r="D14" s="2">
        <f>(C14)/2</f>
        <v>1.38</v>
      </c>
      <c r="E14" s="150">
        <f>SEAT_h_armrest_bottom-FUSELAGE_Dz_floor</f>
        <v>-0.29075062499999993</v>
      </c>
      <c r="F14" s="120">
        <f t="shared" si="0"/>
        <v>0.29075062499999993</v>
      </c>
      <c r="G14" s="2">
        <f t="shared" si="1"/>
        <v>1.4102963964847568</v>
      </c>
      <c r="H14" s="2">
        <f t="shared" si="2"/>
        <v>1.4102963964847568</v>
      </c>
      <c r="I14" s="114">
        <f t="shared" si="3"/>
        <v>0</v>
      </c>
    </row>
    <row r="15" spans="1:9">
      <c r="A15" s="122" t="s">
        <v>656</v>
      </c>
      <c r="B15" s="123" t="s">
        <v>164</v>
      </c>
      <c r="C15" s="2">
        <f>C13-2*SEAT_delta_width_floor-2*SEAT_w_armrest_YC</f>
        <v>2.5399999999999996</v>
      </c>
      <c r="D15" s="2">
        <f>C15/2</f>
        <v>1.2699999999999998</v>
      </c>
      <c r="E15" s="150">
        <f>-FUSELAGE_Dz_floor</f>
        <v>-0.79075062499999993</v>
      </c>
      <c r="F15" s="120">
        <f t="shared" si="0"/>
        <v>0.79075062499999993</v>
      </c>
      <c r="G15" s="2">
        <f t="shared" si="1"/>
        <v>1.4960570012328709</v>
      </c>
      <c r="H15" s="2">
        <f t="shared" si="2"/>
        <v>1.4960570012328709</v>
      </c>
      <c r="I15" s="114">
        <f t="shared" si="3"/>
        <v>1</v>
      </c>
    </row>
    <row r="16" spans="1:9">
      <c r="A16" s="122" t="s">
        <v>657</v>
      </c>
      <c r="B16" s="123" t="s">
        <v>432</v>
      </c>
      <c r="C16" s="2">
        <f>LOWERDECK_w_ldtop</f>
        <v>0</v>
      </c>
      <c r="D16" s="2">
        <f>C16/2</f>
        <v>0</v>
      </c>
      <c r="E16" s="150">
        <f>-FUSELAGE_Dz_floor-FUSELAGE_t_floor</f>
        <v>-0.89870025991502178</v>
      </c>
      <c r="F16" s="120">
        <f t="shared" si="0"/>
        <v>0.89870025991502178</v>
      </c>
      <c r="G16" s="2">
        <f t="shared" si="1"/>
        <v>0.89870025991502178</v>
      </c>
      <c r="H16" s="2">
        <f t="shared" si="2"/>
        <v>0.89870025991502178</v>
      </c>
      <c r="I16" s="114">
        <f t="shared" si="3"/>
        <v>0</v>
      </c>
    </row>
    <row r="17" spans="1:18">
      <c r="A17" s="122" t="s">
        <v>123</v>
      </c>
      <c r="B17" s="123" t="s">
        <v>658</v>
      </c>
      <c r="C17" s="2">
        <f>LOWERDECK_w_ldtop</f>
        <v>0</v>
      </c>
      <c r="D17" s="2">
        <f>C17/2</f>
        <v>0</v>
      </c>
      <c r="E17" s="150">
        <f>-FUSELAGE_Dz_floor-FUSELAGE_t_floor-LOWERDECK_h_ld+(LOWERDECK_w_ldtop-LOWERDECK_w_ldbottom)/2</f>
        <v>-0.89870025991502178</v>
      </c>
      <c r="F17" s="120">
        <f t="shared" si="0"/>
        <v>0.89870025991502178</v>
      </c>
      <c r="G17" s="2">
        <f t="shared" si="1"/>
        <v>0.89870025991502178</v>
      </c>
      <c r="H17" s="2">
        <f t="shared" si="2"/>
        <v>0.89870025991502178</v>
      </c>
      <c r="I17" s="114">
        <f t="shared" si="3"/>
        <v>0</v>
      </c>
    </row>
    <row r="18" spans="1:18">
      <c r="A18" s="122" t="s">
        <v>491</v>
      </c>
      <c r="B18" s="124" t="s">
        <v>433</v>
      </c>
      <c r="C18" s="2">
        <f>LOWERDECK_w_ldbottom</f>
        <v>0</v>
      </c>
      <c r="D18" s="121">
        <f>C18/2</f>
        <v>0</v>
      </c>
      <c r="E18" s="151">
        <f>-FUSELAGE_Dz_floor-FUSELAGE_t_floor-LOWERDECK_h_ld</f>
        <v>-0.89870025991502178</v>
      </c>
      <c r="F18" s="121">
        <f t="shared" si="0"/>
        <v>0.89870025991502178</v>
      </c>
      <c r="G18" s="2">
        <f t="shared" si="1"/>
        <v>0.89870025991502178</v>
      </c>
      <c r="H18" s="2">
        <f t="shared" si="2"/>
        <v>0.89870025991502178</v>
      </c>
      <c r="I18" s="116">
        <f t="shared" si="3"/>
        <v>0</v>
      </c>
    </row>
    <row r="19" spans="1:18">
      <c r="E19" s="1"/>
    </row>
    <row r="21" spans="1:18" ht="15" thickBot="1"/>
    <row r="22" spans="1:18" ht="19" thickBot="1">
      <c r="B22" s="329" t="s">
        <v>310</v>
      </c>
      <c r="C22" s="330"/>
      <c r="D22" s="330"/>
      <c r="E22" s="330"/>
      <c r="F22" s="330"/>
      <c r="G22" s="330"/>
      <c r="H22" s="330"/>
      <c r="I22" s="330"/>
      <c r="J22" s="330"/>
      <c r="K22" s="330"/>
      <c r="L22" s="330"/>
      <c r="M22" s="330"/>
      <c r="N22" s="330"/>
      <c r="O22" s="330"/>
      <c r="P22" s="330"/>
      <c r="Q22" s="330"/>
      <c r="R22" s="331"/>
    </row>
    <row r="23" spans="1:18" ht="15" thickBot="1">
      <c r="B23" s="156"/>
      <c r="R23" s="157"/>
    </row>
    <row r="24" spans="1:18" ht="15" thickBot="1">
      <c r="B24" s="156"/>
      <c r="C24" s="334" t="s">
        <v>366</v>
      </c>
      <c r="D24" s="335"/>
      <c r="E24" s="335"/>
      <c r="F24" s="335"/>
      <c r="G24" s="336"/>
      <c r="H24" s="134"/>
      <c r="R24" s="157"/>
    </row>
    <row r="25" spans="1:18" ht="15" thickBot="1">
      <c r="B25" s="156"/>
      <c r="C25" s="133"/>
      <c r="D25" s="326" t="s">
        <v>440</v>
      </c>
      <c r="E25" s="327"/>
      <c r="F25" s="326" t="s">
        <v>441</v>
      </c>
      <c r="G25" s="327"/>
      <c r="I25" s="141"/>
      <c r="J25" s="326" t="s">
        <v>467</v>
      </c>
      <c r="K25" s="327"/>
      <c r="L25" s="326" t="s">
        <v>372</v>
      </c>
      <c r="M25" s="327"/>
      <c r="O25" t="s">
        <v>59</v>
      </c>
      <c r="P25">
        <f>0.423</f>
        <v>0.42299999999999999</v>
      </c>
      <c r="R25" s="157"/>
    </row>
    <row r="26" spans="1:18">
      <c r="B26" s="156"/>
      <c r="C26" s="125" t="s">
        <v>439</v>
      </c>
      <c r="D26" s="125" t="s">
        <v>384</v>
      </c>
      <c r="E26" s="127" t="s">
        <v>385</v>
      </c>
      <c r="F26" s="125" t="s">
        <v>384</v>
      </c>
      <c r="G26" s="127" t="s">
        <v>385</v>
      </c>
      <c r="I26" s="136"/>
      <c r="J26" s="136" t="s">
        <v>384</v>
      </c>
      <c r="K26" s="138" t="s">
        <v>385</v>
      </c>
      <c r="L26" s="137" t="s">
        <v>384</v>
      </c>
      <c r="M26" s="138" t="s">
        <v>385</v>
      </c>
      <c r="O26" t="s">
        <v>60</v>
      </c>
      <c r="P26">
        <f>Q26-0.869+PAX_Dy_eye</f>
        <v>0.90600000000000003</v>
      </c>
      <c r="Q26">
        <v>0.995</v>
      </c>
      <c r="R26" s="157"/>
    </row>
    <row r="27" spans="1:18">
      <c r="B27" s="156"/>
      <c r="C27" s="128">
        <v>0</v>
      </c>
      <c r="D27" s="128">
        <f t="shared" ref="D27:D64" si="4">FUSELAGE_a_ellipse*COS(C27)</f>
        <v>1.4960570012328709</v>
      </c>
      <c r="E27" s="129">
        <f t="shared" ref="E27:E64" si="5">FUSELAGE_b_ellipse*SIN(C27)</f>
        <v>0</v>
      </c>
      <c r="F27" s="128">
        <f t="shared" ref="F27:F64" si="6">(FUSELAGE_a_ellipse+FUSELAGE_t_fuselage)*COS(C27)</f>
        <v>1.6053795662883501</v>
      </c>
      <c r="G27" s="129">
        <f t="shared" ref="G27:G64" si="7">(FUSELAGE_b_ellipse+FUSELAGE_t_fuselage)*SIN(C27)</f>
        <v>0</v>
      </c>
      <c r="I27" s="128" t="s">
        <v>374</v>
      </c>
      <c r="J27" s="128">
        <v>0</v>
      </c>
      <c r="K27" s="139">
        <f>-FUSELAGE_Dz_floor-FUSELAGE_t_floor</f>
        <v>-0.89870025991502178</v>
      </c>
      <c r="L27" s="2">
        <v>0</v>
      </c>
      <c r="M27" s="139">
        <f>IF(FUSELAGE_has_container,-FUSELAGE_Dz_floor-FUSELAGE_t_floor-LOWERDECK_h_ld+CONTAINER_height,K27)</f>
        <v>-0.89870025991502178</v>
      </c>
      <c r="O27" t="s">
        <v>696</v>
      </c>
      <c r="P27">
        <f>0.126+0.131</f>
        <v>0.25700000000000001</v>
      </c>
      <c r="R27" s="157"/>
    </row>
    <row r="28" spans="1:18">
      <c r="B28" s="156"/>
      <c r="C28" s="128">
        <f>C27+10/180*PI()</f>
        <v>0.17453292519943295</v>
      </c>
      <c r="D28" s="128">
        <f t="shared" si="4"/>
        <v>1.4733285337623256</v>
      </c>
      <c r="E28" s="129">
        <f t="shared" si="5"/>
        <v>0.25978757194994057</v>
      </c>
      <c r="F28" s="128">
        <f t="shared" si="6"/>
        <v>1.5809902434081431</v>
      </c>
      <c r="G28" s="129">
        <f t="shared" si="7"/>
        <v>0.27877123614969895</v>
      </c>
      <c r="I28" s="128" t="s">
        <v>368</v>
      </c>
      <c r="J28" s="128">
        <f>MAX(LOWERDECK_w_ldtop/2,FUSELAGE_a_ellipse*SQRT(1-(K30/FUSELAGE_b_ellipse)^2))</f>
        <v>1.196045314261363</v>
      </c>
      <c r="K28" s="139">
        <f>-FUSELAGE_Dz_floor-FUSELAGE_t_floor</f>
        <v>-0.89870025991502178</v>
      </c>
      <c r="L28" s="2">
        <f>IF(FUSELAGE_has_container,CONTAINER_overall_width/2,J28)</f>
        <v>1.196045314261363</v>
      </c>
      <c r="M28" s="139">
        <f>M27</f>
        <v>-0.89870025991502178</v>
      </c>
      <c r="O28" t="s">
        <v>61</v>
      </c>
      <c r="P28">
        <v>0.16500000000000001</v>
      </c>
      <c r="R28" s="157"/>
    </row>
    <row r="29" spans="1:18" ht="15" thickBot="1">
      <c r="B29" s="156"/>
      <c r="C29" s="128">
        <f t="shared" ref="C29:C64" si="8">C28+10/180*PI()</f>
        <v>0.3490658503988659</v>
      </c>
      <c r="D29" s="128">
        <f t="shared" si="4"/>
        <v>1.4058337243336234</v>
      </c>
      <c r="E29" s="129">
        <f t="shared" si="5"/>
        <v>0.51168162998503663</v>
      </c>
      <c r="F29" s="128">
        <f t="shared" si="6"/>
        <v>1.5085633320016447</v>
      </c>
      <c r="G29" s="129">
        <f t="shared" si="7"/>
        <v>0.54907214935404136</v>
      </c>
      <c r="I29" s="128" t="s">
        <v>369</v>
      </c>
      <c r="J29" s="128">
        <f>MAX(LOWERDECK_w_ldtop/2,FUSELAGE_a_ellipse*SQRT(1-(K30/FUSELAGE_b_ellipse)^2))</f>
        <v>1.196045314261363</v>
      </c>
      <c r="K29" s="139">
        <f>IF(FUSELAGE_containers_result="None",K28,-FUSELAGE_b_ellipse*SQRT(1-(J29/FUSELAGE_a_ellipse)^2))</f>
        <v>-0.89870025991502178</v>
      </c>
      <c r="L29" s="2">
        <f>IF(FUSELAGE_has_container,CONTAINER_overall_width/2,J29)</f>
        <v>1.196045314261363</v>
      </c>
      <c r="M29" s="139">
        <f>-FUSELAGE_Dz_floor-FUSELAGE_t_floor-LOWERDECK_h_ld+(CONTAINER_overall_width-CONTAINER_base_width)/2</f>
        <v>-0.89870025991502178</v>
      </c>
      <c r="R29" s="157"/>
    </row>
    <row r="30" spans="1:18" ht="15" thickBot="1">
      <c r="B30" s="156"/>
      <c r="C30" s="128">
        <f t="shared" si="8"/>
        <v>0.52359877559829882</v>
      </c>
      <c r="D30" s="128">
        <f t="shared" si="4"/>
        <v>1.2956233685772336</v>
      </c>
      <c r="E30" s="129">
        <f t="shared" si="5"/>
        <v>0.74802850061643533</v>
      </c>
      <c r="F30" s="128">
        <f t="shared" si="6"/>
        <v>1.3902994871221555</v>
      </c>
      <c r="G30" s="129">
        <f t="shared" si="7"/>
        <v>0.80268978314417494</v>
      </c>
      <c r="I30" s="128" t="s">
        <v>370</v>
      </c>
      <c r="J30" s="128">
        <f>IF(FUSELAGE_containers_result="None",0,FUSELAGE_a_ellipse*SQRT(1-(K30/FUSELAGE_b_ellipse)^2))</f>
        <v>0</v>
      </c>
      <c r="K30" s="139">
        <f>-FUSELAGE_Dz_floor-FUSELAGE_t_floor-LOWERDECK_h_ld</f>
        <v>-0.89870025991502178</v>
      </c>
      <c r="L30" s="2">
        <f>IF(FUSELAGE_has_container,CONTAINER_base_width/2,J30)</f>
        <v>0</v>
      </c>
      <c r="M30" s="139">
        <f>IF(FUSELAGE_has_container,-FUSELAGE_Dz_floor-FUSELAGE_t_floor-LOWERDECK_h_ld,K30)</f>
        <v>-0.89870025991502178</v>
      </c>
      <c r="O30" s="141"/>
      <c r="P30" s="326" t="s">
        <v>58</v>
      </c>
      <c r="Q30" s="327"/>
      <c r="R30" s="157"/>
    </row>
    <row r="31" spans="1:18">
      <c r="B31" s="156"/>
      <c r="C31" s="128">
        <f t="shared" si="8"/>
        <v>0.69813170079773179</v>
      </c>
      <c r="D31" s="128">
        <f t="shared" si="4"/>
        <v>1.1460461523836827</v>
      </c>
      <c r="E31" s="129">
        <f t="shared" si="5"/>
        <v>0.96164690377728901</v>
      </c>
      <c r="F31" s="128">
        <f t="shared" si="6"/>
        <v>1.2297920958519457</v>
      </c>
      <c r="G31" s="129">
        <f t="shared" si="7"/>
        <v>1.0319180940541017</v>
      </c>
      <c r="I31" s="128" t="s">
        <v>371</v>
      </c>
      <c r="J31" s="128">
        <f>IF(FUSELAGE_containers_result="None",0,-FUSELAGE_a_ellipse*SQRT(1-(K31/FUSELAGE_b_ellipse)^2))</f>
        <v>0</v>
      </c>
      <c r="K31" s="139">
        <f>-FUSELAGE_Dz_floor-FUSELAGE_t_floor-LOWERDECK_h_ld</f>
        <v>-0.89870025991502178</v>
      </c>
      <c r="L31" s="2">
        <f>IF(FUSELAGE_has_container,-CONTAINER_base_width/2,J31)</f>
        <v>0</v>
      </c>
      <c r="M31" s="139">
        <f>M30</f>
        <v>-0.89870025991502178</v>
      </c>
      <c r="O31" s="136" t="s">
        <v>452</v>
      </c>
      <c r="P31" s="136" t="s">
        <v>384</v>
      </c>
      <c r="Q31" s="138" t="s">
        <v>385</v>
      </c>
      <c r="R31" s="157"/>
    </row>
    <row r="32" spans="1:18">
      <c r="B32" s="156"/>
      <c r="C32" s="128">
        <f t="shared" si="8"/>
        <v>0.87266462599716477</v>
      </c>
      <c r="D32" s="128">
        <f t="shared" si="4"/>
        <v>0.96164690377728912</v>
      </c>
      <c r="E32" s="129">
        <f t="shared" si="5"/>
        <v>1.1460461523836827</v>
      </c>
      <c r="F32" s="128">
        <f t="shared" si="6"/>
        <v>1.0319180940541017</v>
      </c>
      <c r="G32" s="129">
        <f t="shared" si="7"/>
        <v>1.2297920958519457</v>
      </c>
      <c r="I32" s="128" t="s">
        <v>373</v>
      </c>
      <c r="J32" s="128">
        <f>-MAX(LOWERDECK_w_ldtop/2,FUSELAGE_a_ellipse*SQRT(1-(K30/FUSELAGE_b_ellipse)^2))</f>
        <v>-1.196045314261363</v>
      </c>
      <c r="K32" s="139">
        <f>K29</f>
        <v>-0.89870025991502178</v>
      </c>
      <c r="L32" s="2">
        <f>IF(FUSELAGE_has_container,IF(CONTAINER_is_half_sized,IF(FUSELAGE_is_double_container,-CONTAINER_overall_width/2,L31),-CONTAINER_overall_width/2),J32)</f>
        <v>-1.196045314261363</v>
      </c>
      <c r="M32" s="139">
        <f>M29</f>
        <v>-0.89870025991502178</v>
      </c>
      <c r="O32" s="128" t="s">
        <v>396</v>
      </c>
      <c r="P32" s="128">
        <f>FUSELAGE_y_position_of_left_seat_YC+$P$25/2</f>
        <v>1.2814999999999999</v>
      </c>
      <c r="Q32" s="139">
        <f>-FUSELAGE_Dz_floor</f>
        <v>-0.79075062499999993</v>
      </c>
      <c r="R32" s="157"/>
    </row>
    <row r="33" spans="2:18">
      <c r="B33" s="156"/>
      <c r="C33" s="128">
        <f t="shared" si="8"/>
        <v>1.0471975511965976</v>
      </c>
      <c r="D33" s="128">
        <f t="shared" si="4"/>
        <v>0.74802850061643555</v>
      </c>
      <c r="E33" s="129">
        <f t="shared" si="5"/>
        <v>1.2956233685772334</v>
      </c>
      <c r="F33" s="128">
        <f t="shared" si="6"/>
        <v>0.80268978314417527</v>
      </c>
      <c r="G33" s="129">
        <f t="shared" si="7"/>
        <v>1.3902994871221552</v>
      </c>
      <c r="I33" s="128" t="s">
        <v>367</v>
      </c>
      <c r="J33" s="128">
        <f>-MAX(LOWERDECK_w_ldtop/2,FUSELAGE_a_ellipse*SQRT(1-(K30/FUSELAGE_b_ellipse)^2))</f>
        <v>-1.196045314261363</v>
      </c>
      <c r="K33" s="139">
        <f>-FUSELAGE_Dz_floor-FUSELAGE_t_floor</f>
        <v>-0.89870025991502178</v>
      </c>
      <c r="L33" s="2">
        <f>IF(FUSELAGE_has_container,IF(CONTAINER_is_half_sized,L32,-CONTAINER_overall_width/2),J33)</f>
        <v>-1.196045314261363</v>
      </c>
      <c r="M33" s="139">
        <f>M27</f>
        <v>-0.89870025991502178</v>
      </c>
      <c r="O33" s="128" t="s">
        <v>213</v>
      </c>
      <c r="P33" s="128">
        <f>P32</f>
        <v>1.2814999999999999</v>
      </c>
      <c r="Q33" s="139">
        <f>SEAT_w_cushion_YC-FUSELAGE_Dz_floor</f>
        <v>-0.29075062499999993</v>
      </c>
      <c r="R33" s="157"/>
    </row>
    <row r="34" spans="2:18" ht="15" thickBot="1">
      <c r="B34" s="156"/>
      <c r="C34" s="128">
        <f t="shared" si="8"/>
        <v>1.2217304763960306</v>
      </c>
      <c r="D34" s="128">
        <f t="shared" si="4"/>
        <v>0.51168162998503686</v>
      </c>
      <c r="E34" s="129">
        <f t="shared" si="5"/>
        <v>1.4058337243336234</v>
      </c>
      <c r="F34" s="128">
        <f t="shared" si="6"/>
        <v>0.54907214935404158</v>
      </c>
      <c r="G34" s="129">
        <f t="shared" si="7"/>
        <v>1.5085633320016445</v>
      </c>
      <c r="I34" s="130" t="s">
        <v>374</v>
      </c>
      <c r="J34" s="130">
        <v>0</v>
      </c>
      <c r="K34" s="140">
        <f>-FUSELAGE_Dz_floor-FUSELAGE_t_floor</f>
        <v>-0.89870025991502178</v>
      </c>
      <c r="L34" s="131">
        <v>0</v>
      </c>
      <c r="M34" s="140">
        <f>M27</f>
        <v>-0.89870025991502178</v>
      </c>
      <c r="O34" s="128" t="s">
        <v>286</v>
      </c>
      <c r="P34" s="128">
        <f>FUSELAGE_y_position_of_left_seat_YC-$P$25/2</f>
        <v>0.85849999999999982</v>
      </c>
      <c r="Q34" s="139">
        <f>Q33</f>
        <v>-0.29075062499999993</v>
      </c>
      <c r="R34" s="157"/>
    </row>
    <row r="35" spans="2:18" ht="15" thickBot="1">
      <c r="B35" s="156"/>
      <c r="C35" s="128">
        <f t="shared" si="8"/>
        <v>1.3962634015954636</v>
      </c>
      <c r="D35" s="128">
        <f t="shared" si="4"/>
        <v>0.25978757194994068</v>
      </c>
      <c r="E35" s="129">
        <f t="shared" si="5"/>
        <v>1.4733285337623256</v>
      </c>
      <c r="F35" s="128">
        <f t="shared" si="6"/>
        <v>0.27877123614969912</v>
      </c>
      <c r="G35" s="129">
        <f t="shared" si="7"/>
        <v>1.5809902434081431</v>
      </c>
      <c r="O35" s="128" t="s">
        <v>522</v>
      </c>
      <c r="P35" s="128">
        <f>P34</f>
        <v>0.85849999999999982</v>
      </c>
      <c r="Q35" s="139">
        <f>Q32</f>
        <v>-0.79075062499999993</v>
      </c>
      <c r="R35" s="157"/>
    </row>
    <row r="36" spans="2:18" ht="15" thickBot="1">
      <c r="B36" s="156"/>
      <c r="C36" s="128">
        <f t="shared" si="8"/>
        <v>1.5707963267948966</v>
      </c>
      <c r="D36" s="128">
        <f t="shared" si="4"/>
        <v>9.1644596175783763E-17</v>
      </c>
      <c r="E36" s="129">
        <f t="shared" si="5"/>
        <v>1.4960570012328709</v>
      </c>
      <c r="F36" s="128">
        <f t="shared" si="6"/>
        <v>9.8341414759002134E-17</v>
      </c>
      <c r="G36" s="129">
        <f t="shared" si="7"/>
        <v>1.6053795662883501</v>
      </c>
      <c r="I36" s="141"/>
      <c r="J36" s="326" t="s">
        <v>378</v>
      </c>
      <c r="K36" s="327"/>
      <c r="O36" s="128" t="s">
        <v>49</v>
      </c>
      <c r="P36" s="128">
        <f>FUSELAGE_y_position_of_left_seat_YC+PAX_w_shoulder/2</f>
        <v>1.3099999999999998</v>
      </c>
      <c r="Q36" s="139">
        <f>SEAT_h_armrest_top-FUSELAGE_Dz_floor</f>
        <v>-0.19075062499999995</v>
      </c>
      <c r="R36" s="157"/>
    </row>
    <row r="37" spans="2:18">
      <c r="B37" s="156"/>
      <c r="C37" s="128">
        <f t="shared" si="8"/>
        <v>1.7453292519943295</v>
      </c>
      <c r="D37" s="128">
        <f t="shared" si="4"/>
        <v>-0.25978757194994051</v>
      </c>
      <c r="E37" s="129">
        <f t="shared" si="5"/>
        <v>1.4733285337623256</v>
      </c>
      <c r="F37" s="128">
        <f t="shared" si="6"/>
        <v>-0.27877123614969895</v>
      </c>
      <c r="G37" s="129">
        <f t="shared" si="7"/>
        <v>1.5809902434081431</v>
      </c>
      <c r="I37" s="142"/>
      <c r="J37" s="136" t="s">
        <v>384</v>
      </c>
      <c r="K37" s="138" t="s">
        <v>385</v>
      </c>
      <c r="O37" s="128" t="s">
        <v>453</v>
      </c>
      <c r="P37" s="128">
        <f>P36</f>
        <v>1.3099999999999998</v>
      </c>
      <c r="Q37" s="139">
        <f>SEAT_w_cushion_YC-FUSELAGE_Dz_floor+PAX_Dy_midshoulder</f>
        <v>0.30924937500000005</v>
      </c>
      <c r="R37" s="157"/>
    </row>
    <row r="38" spans="2:18">
      <c r="B38" s="156"/>
      <c r="C38" s="128">
        <f t="shared" si="8"/>
        <v>1.9198621771937625</v>
      </c>
      <c r="D38" s="128">
        <f t="shared" si="4"/>
        <v>-0.51168162998503663</v>
      </c>
      <c r="E38" s="129">
        <f t="shared" si="5"/>
        <v>1.4058337243336234</v>
      </c>
      <c r="F38" s="128">
        <f t="shared" si="6"/>
        <v>-0.54907214935404136</v>
      </c>
      <c r="G38" s="129">
        <f t="shared" si="7"/>
        <v>1.5085633320016447</v>
      </c>
      <c r="I38" s="143" t="s">
        <v>368</v>
      </c>
      <c r="J38" s="128">
        <f>FUSELAGE_a_ellipse*SQRT(1-(K38/FUSELAGE_b_ellipse)^2)</f>
        <v>1.2699999999999998</v>
      </c>
      <c r="K38" s="139">
        <f>-FUSELAGE_Dz_floor</f>
        <v>-0.79075062499999993</v>
      </c>
      <c r="O38" s="128" t="s">
        <v>394</v>
      </c>
      <c r="P38" s="128">
        <f>FUSELAGE_y_position_of_left_seat_YC-PAX_w_shoulder/2</f>
        <v>0.82999999999999985</v>
      </c>
      <c r="Q38" s="139">
        <f>Q37</f>
        <v>0.30924937500000005</v>
      </c>
      <c r="R38" s="157"/>
    </row>
    <row r="39" spans="2:18">
      <c r="B39" s="156"/>
      <c r="C39" s="128">
        <f t="shared" si="8"/>
        <v>2.0943951023931953</v>
      </c>
      <c r="D39" s="128">
        <f t="shared" si="4"/>
        <v>-0.74802850061643511</v>
      </c>
      <c r="E39" s="129">
        <f t="shared" si="5"/>
        <v>1.2956233685772336</v>
      </c>
      <c r="F39" s="128">
        <f t="shared" si="6"/>
        <v>-0.80268978314417472</v>
      </c>
      <c r="G39" s="129">
        <f t="shared" si="7"/>
        <v>1.3902994871221555</v>
      </c>
      <c r="I39" s="143" t="s">
        <v>367</v>
      </c>
      <c r="J39" s="128">
        <f>-FUSELAGE_a_ellipse*SQRT(1-(K39/FUSELAGE_b_ellipse)^2)</f>
        <v>-1.2699999999999998</v>
      </c>
      <c r="K39" s="139">
        <f>-FUSELAGE_Dz_floor</f>
        <v>-0.79075062499999993</v>
      </c>
      <c r="O39" s="128" t="s">
        <v>454</v>
      </c>
      <c r="P39" s="128">
        <f>P38</f>
        <v>0.82999999999999985</v>
      </c>
      <c r="Q39" s="139">
        <f>Q36</f>
        <v>-0.19075062499999995</v>
      </c>
      <c r="R39" s="157"/>
    </row>
    <row r="40" spans="2:18">
      <c r="B40" s="156"/>
      <c r="C40" s="128">
        <f t="shared" si="8"/>
        <v>2.268928027592628</v>
      </c>
      <c r="D40" s="128">
        <f t="shared" si="4"/>
        <v>-0.96164690377728868</v>
      </c>
      <c r="E40" s="129">
        <f t="shared" si="5"/>
        <v>1.1460461523836833</v>
      </c>
      <c r="F40" s="128">
        <f t="shared" si="6"/>
        <v>-1.0319180940541013</v>
      </c>
      <c r="G40" s="129">
        <f t="shared" si="7"/>
        <v>1.2297920958519462</v>
      </c>
      <c r="I40" s="143" t="s">
        <v>450</v>
      </c>
      <c r="J40" s="128">
        <f>FUSELAGE_a_ellipse*SQRT(1-(K40/FUSELAGE_b_ellipse)^2)</f>
        <v>1.196045314261363</v>
      </c>
      <c r="K40" s="139">
        <f>-FUSELAGE_Dz_floor-FUSELAGE_t_floor</f>
        <v>-0.89870025991502178</v>
      </c>
      <c r="O40" s="143" t="s">
        <v>507</v>
      </c>
      <c r="P40" s="128">
        <f>FUSELAGE_y_position_of_left_seat_YC</f>
        <v>1.0699999999999998</v>
      </c>
      <c r="Q40" s="139">
        <f>Q33</f>
        <v>-0.29075062499999993</v>
      </c>
      <c r="R40" s="157"/>
    </row>
    <row r="41" spans="2:18" ht="15" thickBot="1">
      <c r="B41" s="156"/>
      <c r="C41" s="128">
        <f t="shared" si="8"/>
        <v>2.4434609527920608</v>
      </c>
      <c r="D41" s="128">
        <f t="shared" si="4"/>
        <v>-1.1460461523836822</v>
      </c>
      <c r="E41" s="129">
        <f t="shared" si="5"/>
        <v>0.96164690377728979</v>
      </c>
      <c r="F41" s="128">
        <f t="shared" si="6"/>
        <v>-1.229792095851945</v>
      </c>
      <c r="G41" s="129">
        <f t="shared" si="7"/>
        <v>1.0319180940541026</v>
      </c>
      <c r="I41" s="144" t="s">
        <v>451</v>
      </c>
      <c r="J41" s="128">
        <f>-FUSELAGE_a_ellipse*SQRT(1-(K41/FUSELAGE_b_ellipse)^2)</f>
        <v>-1.196045314261363</v>
      </c>
      <c r="K41" s="139">
        <f>-FUSELAGE_Dz_floor-FUSELAGE_t_floor</f>
        <v>-0.89870025991502178</v>
      </c>
      <c r="O41" s="143" t="s">
        <v>455</v>
      </c>
      <c r="P41" s="2">
        <f>P40</f>
        <v>1.0699999999999998</v>
      </c>
      <c r="Q41" s="139">
        <f>SEAT_w_cushion_YC-FUSELAGE_Dz_floor+$P$26-$P$27</f>
        <v>0.35824937500000009</v>
      </c>
      <c r="R41" s="157"/>
    </row>
    <row r="42" spans="2:18">
      <c r="B42" s="156"/>
      <c r="C42" s="128">
        <f t="shared" si="8"/>
        <v>2.6179938779914935</v>
      </c>
      <c r="D42" s="128">
        <f t="shared" si="4"/>
        <v>-1.2956233685772329</v>
      </c>
      <c r="E42" s="129">
        <f t="shared" si="5"/>
        <v>0.74802850061643655</v>
      </c>
      <c r="F42" s="128">
        <f t="shared" si="6"/>
        <v>-1.3902994871221548</v>
      </c>
      <c r="G42" s="129">
        <f t="shared" si="7"/>
        <v>0.80268978314417627</v>
      </c>
      <c r="O42" s="136" t="s">
        <v>62</v>
      </c>
      <c r="P42" s="136" t="s">
        <v>384</v>
      </c>
      <c r="Q42" s="138" t="s">
        <v>385</v>
      </c>
      <c r="R42" s="157"/>
    </row>
    <row r="43" spans="2:18" ht="15" thickBot="1">
      <c r="B43" s="156"/>
      <c r="C43" s="128">
        <f t="shared" si="8"/>
        <v>2.7925268031909263</v>
      </c>
      <c r="D43" s="128">
        <f t="shared" si="4"/>
        <v>-1.4058337243336227</v>
      </c>
      <c r="E43" s="129">
        <f t="shared" si="5"/>
        <v>0.51168162998503808</v>
      </c>
      <c r="F43" s="128">
        <f t="shared" si="6"/>
        <v>-1.5085633320016441</v>
      </c>
      <c r="G43" s="129">
        <f t="shared" si="7"/>
        <v>0.54907214935404303</v>
      </c>
      <c r="O43" s="143">
        <v>0</v>
      </c>
      <c r="P43" s="2">
        <f t="shared" ref="P43:P55" si="9">$P$28/2*COS(O43)+FUSELAGE_y_position_of_left_seat_YC</f>
        <v>1.1524999999999999</v>
      </c>
      <c r="Q43" s="139">
        <f t="shared" ref="Q43:Q55" si="10">$P$27/2*SIN(O43)+$Q$41+$P$27/2</f>
        <v>0.4867493750000001</v>
      </c>
      <c r="R43" s="157"/>
    </row>
    <row r="44" spans="2:18" ht="15" thickBot="1">
      <c r="B44" s="156"/>
      <c r="C44" s="128">
        <f t="shared" si="8"/>
        <v>2.967059728390359</v>
      </c>
      <c r="D44" s="128">
        <f t="shared" si="4"/>
        <v>-1.4733285337623254</v>
      </c>
      <c r="E44" s="129">
        <f t="shared" si="5"/>
        <v>0.25978757194994245</v>
      </c>
      <c r="F44" s="128">
        <f t="shared" si="6"/>
        <v>-1.5809902434081429</v>
      </c>
      <c r="G44" s="129">
        <f t="shared" si="7"/>
        <v>0.27877123614970101</v>
      </c>
      <c r="I44" s="141"/>
      <c r="J44" s="326" t="s">
        <v>637</v>
      </c>
      <c r="K44" s="327"/>
      <c r="O44" s="143">
        <f>O43+30/180*PI()</f>
        <v>0.52359877559829882</v>
      </c>
      <c r="P44" s="2">
        <f t="shared" si="9"/>
        <v>1.141447095812216</v>
      </c>
      <c r="Q44" s="139">
        <f t="shared" si="10"/>
        <v>0.55099937500000007</v>
      </c>
      <c r="R44" s="157"/>
    </row>
    <row r="45" spans="2:18">
      <c r="B45" s="156"/>
      <c r="C45" s="128">
        <f t="shared" si="8"/>
        <v>3.1415926535897918</v>
      </c>
      <c r="D45" s="128">
        <f t="shared" si="4"/>
        <v>-1.4960570012328709</v>
      </c>
      <c r="E45" s="129">
        <f t="shared" si="5"/>
        <v>2.1764375070560468E-15</v>
      </c>
      <c r="F45" s="128">
        <f t="shared" si="6"/>
        <v>-1.6053795662883501</v>
      </c>
      <c r="G45" s="129">
        <f t="shared" si="7"/>
        <v>2.3354780588252932E-15</v>
      </c>
      <c r="I45" s="136" t="s">
        <v>452</v>
      </c>
      <c r="J45" s="136" t="s">
        <v>384</v>
      </c>
      <c r="K45" s="138" t="s">
        <v>385</v>
      </c>
      <c r="O45" s="143">
        <f t="shared" ref="O45:O54" si="11">O44+30/180*PI()</f>
        <v>1.0471975511965976</v>
      </c>
      <c r="P45" s="2">
        <f t="shared" si="9"/>
        <v>1.1112499999999998</v>
      </c>
      <c r="Q45" s="139">
        <f t="shared" si="10"/>
        <v>0.59803363938630039</v>
      </c>
      <c r="R45" s="157"/>
    </row>
    <row r="46" spans="2:18">
      <c r="B46" s="156"/>
      <c r="C46" s="128">
        <f t="shared" si="8"/>
        <v>3.3161255787892245</v>
      </c>
      <c r="D46" s="128">
        <f t="shared" si="4"/>
        <v>-1.4733285337623263</v>
      </c>
      <c r="E46" s="129">
        <f t="shared" si="5"/>
        <v>-0.25978757194993818</v>
      </c>
      <c r="F46" s="128">
        <f t="shared" si="6"/>
        <v>-1.5809902434081438</v>
      </c>
      <c r="G46" s="129">
        <f t="shared" si="7"/>
        <v>-0.2787712361496964</v>
      </c>
      <c r="I46" s="128" t="s">
        <v>396</v>
      </c>
      <c r="J46" s="128">
        <f>FUSELAGE_y_position_of_left_seat_YC+SEAT_w_cushion_YC/2</f>
        <v>1.3199999999999998</v>
      </c>
      <c r="K46" s="139">
        <f>-FUSELAGE_Dz_floor+SEAT_Dy_cushion-SEAT_t_cushion</f>
        <v>-0.50722062499999998</v>
      </c>
      <c r="O46" s="143">
        <f t="shared" si="11"/>
        <v>1.5707963267948966</v>
      </c>
      <c r="P46" s="2">
        <f t="shared" si="9"/>
        <v>1.0699999999999998</v>
      </c>
      <c r="Q46" s="139">
        <f t="shared" si="10"/>
        <v>0.6152493750000001</v>
      </c>
      <c r="R46" s="157"/>
    </row>
    <row r="47" spans="2:18">
      <c r="B47" s="156"/>
      <c r="C47" s="128">
        <f t="shared" si="8"/>
        <v>3.4906585039886573</v>
      </c>
      <c r="D47" s="128">
        <f t="shared" si="4"/>
        <v>-1.4058337243336243</v>
      </c>
      <c r="E47" s="129">
        <f t="shared" si="5"/>
        <v>-0.51168162998503408</v>
      </c>
      <c r="F47" s="128">
        <f t="shared" si="6"/>
        <v>-1.5085633320016456</v>
      </c>
      <c r="G47" s="129">
        <f t="shared" si="7"/>
        <v>-0.54907214935403859</v>
      </c>
      <c r="I47" s="128" t="s">
        <v>213</v>
      </c>
      <c r="J47" s="128">
        <f>J46</f>
        <v>1.3199999999999998</v>
      </c>
      <c r="K47" s="139">
        <f>-FUSELAGE_Dz_floor+SEAT_Dy_cushion+SEAT_h_backrest</f>
        <v>0.42872937500000008</v>
      </c>
      <c r="O47" s="143">
        <f t="shared" si="11"/>
        <v>2.0943951023931953</v>
      </c>
      <c r="P47" s="2">
        <f t="shared" si="9"/>
        <v>1.0287499999999998</v>
      </c>
      <c r="Q47" s="139">
        <f t="shared" si="10"/>
        <v>0.59803363938630039</v>
      </c>
      <c r="R47" s="157"/>
    </row>
    <row r="48" spans="2:18">
      <c r="B48" s="156"/>
      <c r="C48" s="128">
        <f t="shared" si="8"/>
        <v>3.66519142918809</v>
      </c>
      <c r="D48" s="128">
        <f t="shared" si="4"/>
        <v>-1.2956233685772349</v>
      </c>
      <c r="E48" s="129">
        <f t="shared" si="5"/>
        <v>-0.74802850061643278</v>
      </c>
      <c r="F48" s="128">
        <f t="shared" si="6"/>
        <v>-1.390299487122157</v>
      </c>
      <c r="G48" s="129">
        <f t="shared" si="7"/>
        <v>-0.80268978314417216</v>
      </c>
      <c r="I48" s="128" t="s">
        <v>286</v>
      </c>
      <c r="J48" s="128">
        <f>FUSELAGE_y_position_of_left_seat_YC-SEAT_w_cushion_YC/2</f>
        <v>0.81999999999999984</v>
      </c>
      <c r="K48" s="139">
        <f>K47</f>
        <v>0.42872937500000008</v>
      </c>
      <c r="O48" s="143">
        <f t="shared" si="11"/>
        <v>2.617993877991494</v>
      </c>
      <c r="P48" s="2">
        <f t="shared" si="9"/>
        <v>0.99855290418778364</v>
      </c>
      <c r="Q48" s="139">
        <f t="shared" si="10"/>
        <v>0.55099937500000018</v>
      </c>
      <c r="R48" s="157"/>
    </row>
    <row r="49" spans="2:18">
      <c r="B49" s="156"/>
      <c r="C49" s="128">
        <f>C48+10/180*PI()</f>
        <v>3.8397243543875228</v>
      </c>
      <c r="D49" s="128">
        <f t="shared" si="4"/>
        <v>-1.1460461523836849</v>
      </c>
      <c r="E49" s="129">
        <f t="shared" si="5"/>
        <v>-0.96164690377728645</v>
      </c>
      <c r="F49" s="128">
        <f t="shared" si="6"/>
        <v>-1.2297920958519479</v>
      </c>
      <c r="G49" s="129">
        <f t="shared" si="7"/>
        <v>-1.0319180940540991</v>
      </c>
      <c r="I49" s="128" t="s">
        <v>522</v>
      </c>
      <c r="J49" s="128">
        <f>J48</f>
        <v>0.81999999999999984</v>
      </c>
      <c r="K49" s="139">
        <f>K46</f>
        <v>-0.50722062499999998</v>
      </c>
      <c r="O49" s="143">
        <f t="shared" si="11"/>
        <v>3.1415926535897927</v>
      </c>
      <c r="P49" s="2">
        <f t="shared" si="9"/>
        <v>0.98749999999999982</v>
      </c>
      <c r="Q49" s="139">
        <f t="shared" si="10"/>
        <v>0.48674937500000015</v>
      </c>
      <c r="R49" s="157"/>
    </row>
    <row r="50" spans="2:18">
      <c r="B50" s="156"/>
      <c r="C50" s="128">
        <f t="shared" si="8"/>
        <v>4.014257279586956</v>
      </c>
      <c r="D50" s="128">
        <f t="shared" si="4"/>
        <v>-0.96164690377729145</v>
      </c>
      <c r="E50" s="129">
        <f t="shared" si="5"/>
        <v>-1.1460461523836807</v>
      </c>
      <c r="F50" s="128">
        <f t="shared" si="6"/>
        <v>-1.0319180940541044</v>
      </c>
      <c r="G50" s="129">
        <f t="shared" si="7"/>
        <v>-1.2297920958519435</v>
      </c>
      <c r="I50" s="128" t="s">
        <v>396</v>
      </c>
      <c r="J50" s="128">
        <f>J46</f>
        <v>1.3199999999999998</v>
      </c>
      <c r="K50" s="139">
        <f>K46</f>
        <v>-0.50722062499999998</v>
      </c>
      <c r="O50" s="143">
        <f t="shared" si="11"/>
        <v>3.6651914291880914</v>
      </c>
      <c r="P50" s="2">
        <f t="shared" si="9"/>
        <v>0.99855290418778364</v>
      </c>
      <c r="Q50" s="139">
        <f t="shared" si="10"/>
        <v>0.42249937500000018</v>
      </c>
      <c r="R50" s="157"/>
    </row>
    <row r="51" spans="2:18">
      <c r="B51" s="156"/>
      <c r="C51" s="128">
        <f t="shared" si="8"/>
        <v>4.1887902047863887</v>
      </c>
      <c r="D51" s="128">
        <f t="shared" si="4"/>
        <v>-0.74802850061643822</v>
      </c>
      <c r="E51" s="129">
        <f t="shared" si="5"/>
        <v>-1.2956233685772316</v>
      </c>
      <c r="F51" s="128">
        <f t="shared" si="6"/>
        <v>-0.80268978314417805</v>
      </c>
      <c r="G51" s="129">
        <f t="shared" si="7"/>
        <v>-1.3902994871221535</v>
      </c>
      <c r="I51" s="128" t="s">
        <v>49</v>
      </c>
      <c r="J51" s="128">
        <f>J46</f>
        <v>1.3199999999999998</v>
      </c>
      <c r="K51" s="139">
        <f>-FUSELAGE_Dz_floor+SEAT_h_armrest_bottom</f>
        <v>-0.29075062499999993</v>
      </c>
      <c r="O51" s="143">
        <f t="shared" si="11"/>
        <v>4.1887902047863905</v>
      </c>
      <c r="P51" s="2">
        <f t="shared" si="9"/>
        <v>1.0287499999999998</v>
      </c>
      <c r="Q51" s="139">
        <f t="shared" si="10"/>
        <v>0.37546511061369975</v>
      </c>
      <c r="R51" s="157"/>
    </row>
    <row r="52" spans="2:18">
      <c r="B52" s="156"/>
      <c r="C52" s="128">
        <f t="shared" si="8"/>
        <v>4.3633231299858215</v>
      </c>
      <c r="D52" s="128">
        <f t="shared" si="4"/>
        <v>-0.51168162998504008</v>
      </c>
      <c r="E52" s="129">
        <f t="shared" si="5"/>
        <v>-1.4058337243336221</v>
      </c>
      <c r="F52" s="128">
        <f t="shared" si="6"/>
        <v>-0.54907214935404514</v>
      </c>
      <c r="G52" s="129">
        <f t="shared" si="7"/>
        <v>-1.5085633320016434</v>
      </c>
      <c r="I52" s="128" t="s">
        <v>453</v>
      </c>
      <c r="J52" s="128">
        <f>FUSELAGE_y_position_of_left_seat_YC+SEAT_w_cushion_YC/2+SEAT_w_armrest_YC</f>
        <v>1.38</v>
      </c>
      <c r="K52" s="139">
        <f>K51</f>
        <v>-0.29075062499999993</v>
      </c>
      <c r="O52" s="143">
        <f t="shared" si="11"/>
        <v>4.7123889803846897</v>
      </c>
      <c r="P52" s="2">
        <f t="shared" si="9"/>
        <v>1.0699999999999998</v>
      </c>
      <c r="Q52" s="139">
        <f t="shared" si="10"/>
        <v>0.35824937500000009</v>
      </c>
      <c r="R52" s="157"/>
    </row>
    <row r="53" spans="2:18">
      <c r="B53" s="156"/>
      <c r="C53" s="128">
        <f t="shared" si="8"/>
        <v>4.5378560551852543</v>
      </c>
      <c r="D53" s="128">
        <f t="shared" si="4"/>
        <v>-0.25978757194994445</v>
      </c>
      <c r="E53" s="129">
        <f t="shared" si="5"/>
        <v>-1.473328533762325</v>
      </c>
      <c r="F53" s="128">
        <f t="shared" si="6"/>
        <v>-0.27877123614970317</v>
      </c>
      <c r="G53" s="129">
        <f t="shared" si="7"/>
        <v>-1.5809902434081424</v>
      </c>
      <c r="I53" s="128" t="s">
        <v>394</v>
      </c>
      <c r="J53" s="128">
        <f>J52</f>
        <v>1.38</v>
      </c>
      <c r="K53" s="139">
        <f>-FUSELAGE_Dz_floor+SEAT_h_armrest_top</f>
        <v>-0.19075062499999995</v>
      </c>
      <c r="O53" s="143">
        <f t="shared" si="11"/>
        <v>5.2359877559829888</v>
      </c>
      <c r="P53" s="2">
        <f t="shared" si="9"/>
        <v>1.1112499999999998</v>
      </c>
      <c r="Q53" s="139">
        <f t="shared" si="10"/>
        <v>0.37546511061369975</v>
      </c>
      <c r="R53" s="157"/>
    </row>
    <row r="54" spans="2:18">
      <c r="B54" s="156"/>
      <c r="C54" s="128">
        <f t="shared" si="8"/>
        <v>4.712388980384687</v>
      </c>
      <c r="D54" s="128">
        <f t="shared" si="4"/>
        <v>-4.2612304179363098E-15</v>
      </c>
      <c r="E54" s="129">
        <f t="shared" si="5"/>
        <v>-1.4960570012328709</v>
      </c>
      <c r="F54" s="128">
        <f t="shared" si="6"/>
        <v>-4.5726147028915838E-15</v>
      </c>
      <c r="G54" s="129">
        <f t="shared" si="7"/>
        <v>-1.6053795662883501</v>
      </c>
      <c r="I54" s="143" t="s">
        <v>454</v>
      </c>
      <c r="J54" s="2">
        <f>J46</f>
        <v>1.3199999999999998</v>
      </c>
      <c r="K54" s="139">
        <f>K53</f>
        <v>-0.19075062499999995</v>
      </c>
      <c r="O54" s="143">
        <f t="shared" si="11"/>
        <v>5.759586531581288</v>
      </c>
      <c r="P54" s="2">
        <f t="shared" si="9"/>
        <v>1.141447095812216</v>
      </c>
      <c r="Q54" s="139">
        <f t="shared" si="10"/>
        <v>0.42249937500000012</v>
      </c>
      <c r="R54" s="157"/>
    </row>
    <row r="55" spans="2:18" ht="15" thickBot="1">
      <c r="B55" s="156"/>
      <c r="C55" s="128">
        <f t="shared" si="8"/>
        <v>4.8869219055841198</v>
      </c>
      <c r="D55" s="128">
        <f t="shared" si="4"/>
        <v>0.25978757194993607</v>
      </c>
      <c r="E55" s="129">
        <f t="shared" si="5"/>
        <v>-1.4733285337623265</v>
      </c>
      <c r="F55" s="128">
        <f t="shared" si="6"/>
        <v>0.27877123614969418</v>
      </c>
      <c r="G55" s="129">
        <f t="shared" si="7"/>
        <v>-1.580990243408144</v>
      </c>
      <c r="I55" s="143" t="s">
        <v>507</v>
      </c>
      <c r="J55" s="2">
        <f>J46</f>
        <v>1.3199999999999998</v>
      </c>
      <c r="K55" s="139">
        <f>-FUSELAGE_Dz_floor+SEAT_Dy_cushion</f>
        <v>-0.37127062499999997</v>
      </c>
      <c r="O55" s="144">
        <f>O54+30/180*PI()</f>
        <v>6.2831853071795871</v>
      </c>
      <c r="P55" s="130">
        <f t="shared" si="9"/>
        <v>1.1524999999999999</v>
      </c>
      <c r="Q55" s="140">
        <f t="shared" si="10"/>
        <v>0.48674937500000015</v>
      </c>
      <c r="R55" s="157"/>
    </row>
    <row r="56" spans="2:18" ht="15" thickBot="1">
      <c r="B56" s="156"/>
      <c r="C56" s="128">
        <f t="shared" si="8"/>
        <v>5.0614548307835525</v>
      </c>
      <c r="D56" s="128">
        <f t="shared" si="4"/>
        <v>0.51168162998503208</v>
      </c>
      <c r="E56" s="129">
        <f t="shared" si="5"/>
        <v>-1.4058337243336252</v>
      </c>
      <c r="F56" s="128">
        <f t="shared" si="6"/>
        <v>0.54907214935403648</v>
      </c>
      <c r="G56" s="129">
        <f t="shared" si="7"/>
        <v>-1.5085633320016465</v>
      </c>
      <c r="I56" s="144" t="s">
        <v>455</v>
      </c>
      <c r="J56" s="130">
        <f>J48</f>
        <v>0.81999999999999984</v>
      </c>
      <c r="K56" s="140">
        <f>K55</f>
        <v>-0.37127062499999997</v>
      </c>
      <c r="R56" s="157"/>
    </row>
    <row r="57" spans="2:18">
      <c r="B57" s="156"/>
      <c r="C57" s="128">
        <f t="shared" si="8"/>
        <v>5.2359877559829853</v>
      </c>
      <c r="D57" s="128">
        <f t="shared" si="4"/>
        <v>0.748028500616431</v>
      </c>
      <c r="E57" s="129">
        <f t="shared" si="5"/>
        <v>-1.295623368577236</v>
      </c>
      <c r="F57" s="128">
        <f t="shared" si="6"/>
        <v>0.80268978314417028</v>
      </c>
      <c r="G57" s="129">
        <f t="shared" si="7"/>
        <v>-1.3902994871221581</v>
      </c>
      <c r="R57" s="157"/>
    </row>
    <row r="58" spans="2:18">
      <c r="B58" s="156"/>
      <c r="C58" s="128">
        <f t="shared" si="8"/>
        <v>5.410520681182418</v>
      </c>
      <c r="D58" s="128">
        <f t="shared" si="4"/>
        <v>0.96164690377728479</v>
      </c>
      <c r="E58" s="129">
        <f t="shared" si="5"/>
        <v>-1.1460461523836862</v>
      </c>
      <c r="F58" s="128">
        <f t="shared" si="6"/>
        <v>1.0319180940540973</v>
      </c>
      <c r="G58" s="129">
        <f t="shared" si="7"/>
        <v>-1.2297920958519493</v>
      </c>
      <c r="R58" s="157"/>
    </row>
    <row r="59" spans="2:18">
      <c r="B59" s="156"/>
      <c r="C59" s="128">
        <f t="shared" si="8"/>
        <v>5.5850536063818508</v>
      </c>
      <c r="D59" s="128">
        <f t="shared" si="4"/>
        <v>1.1460461523836791</v>
      </c>
      <c r="E59" s="129">
        <f t="shared" si="5"/>
        <v>-0.96164690377729345</v>
      </c>
      <c r="F59" s="128">
        <f t="shared" si="6"/>
        <v>1.2297920958519417</v>
      </c>
      <c r="G59" s="129">
        <f t="shared" si="7"/>
        <v>-1.0319180940541064</v>
      </c>
      <c r="R59" s="157"/>
    </row>
    <row r="60" spans="2:18">
      <c r="B60" s="156"/>
      <c r="C60" s="128">
        <f t="shared" si="8"/>
        <v>5.7595865315812835</v>
      </c>
      <c r="D60" s="128">
        <f t="shared" si="4"/>
        <v>1.2956233685772303</v>
      </c>
      <c r="E60" s="129">
        <f t="shared" si="5"/>
        <v>-0.74802850061644077</v>
      </c>
      <c r="F60" s="128">
        <f t="shared" si="6"/>
        <v>1.3902994871221521</v>
      </c>
      <c r="G60" s="129">
        <f t="shared" si="7"/>
        <v>-0.80268978314418071</v>
      </c>
      <c r="R60" s="157"/>
    </row>
    <row r="61" spans="2:18">
      <c r="B61" s="156"/>
      <c r="C61" s="128">
        <f t="shared" si="8"/>
        <v>5.9341194567807163</v>
      </c>
      <c r="D61" s="128">
        <f t="shared" si="4"/>
        <v>1.4058337243336212</v>
      </c>
      <c r="E61" s="129">
        <f t="shared" si="5"/>
        <v>-0.51168162998504274</v>
      </c>
      <c r="F61" s="128">
        <f t="shared" si="6"/>
        <v>1.5085633320016423</v>
      </c>
      <c r="G61" s="129">
        <f t="shared" si="7"/>
        <v>-0.54907214935404791</v>
      </c>
      <c r="R61" s="157"/>
    </row>
    <row r="62" spans="2:18">
      <c r="B62" s="156"/>
      <c r="C62" s="128">
        <f>C61+10/180*PI()</f>
        <v>6.108652381980149</v>
      </c>
      <c r="D62" s="128">
        <f t="shared" si="4"/>
        <v>1.4733285337623245</v>
      </c>
      <c r="E62" s="129">
        <f t="shared" si="5"/>
        <v>-0.25978757194994723</v>
      </c>
      <c r="F62" s="128">
        <f t="shared" si="6"/>
        <v>1.580990243408142</v>
      </c>
      <c r="G62" s="129">
        <f t="shared" si="7"/>
        <v>-0.27877123614970611</v>
      </c>
      <c r="R62" s="157"/>
    </row>
    <row r="63" spans="2:18">
      <c r="B63" s="156"/>
      <c r="C63" s="128">
        <f t="shared" si="8"/>
        <v>6.2831853071795818</v>
      </c>
      <c r="D63" s="128">
        <f t="shared" si="4"/>
        <v>1.4960570012328709</v>
      </c>
      <c r="E63" s="129">
        <f t="shared" si="5"/>
        <v>-7.0104061003847332E-15</v>
      </c>
      <c r="F63" s="128">
        <f t="shared" si="6"/>
        <v>1.6053795662883501</v>
      </c>
      <c r="G63" s="129">
        <f t="shared" si="7"/>
        <v>-7.5226830900603041E-15</v>
      </c>
      <c r="R63" s="157"/>
    </row>
    <row r="64" spans="2:18" ht="15" thickBot="1">
      <c r="B64" s="156"/>
      <c r="C64" s="130">
        <f t="shared" si="8"/>
        <v>6.4577182323790145</v>
      </c>
      <c r="D64" s="130">
        <f t="shared" si="4"/>
        <v>1.473328533762327</v>
      </c>
      <c r="E64" s="132">
        <f t="shared" si="5"/>
        <v>0.2597875719499334</v>
      </c>
      <c r="F64" s="130">
        <f t="shared" si="6"/>
        <v>1.5809902434081446</v>
      </c>
      <c r="G64" s="132">
        <f t="shared" si="7"/>
        <v>0.27877123614969129</v>
      </c>
      <c r="R64" s="157"/>
    </row>
    <row r="65" spans="1:54" ht="15" thickBot="1">
      <c r="B65" s="105"/>
      <c r="C65" s="106"/>
      <c r="D65" s="106"/>
      <c r="E65" s="106"/>
      <c r="F65" s="106"/>
      <c r="G65" s="106"/>
      <c r="H65" s="106"/>
      <c r="I65" s="106"/>
      <c r="J65" s="106"/>
      <c r="K65" s="106"/>
      <c r="L65" s="106"/>
      <c r="M65" s="106"/>
      <c r="N65" s="106"/>
      <c r="O65" s="106"/>
      <c r="P65" s="106"/>
      <c r="Q65" s="106"/>
      <c r="R65" s="107"/>
    </row>
    <row r="66" spans="1:54" ht="15" thickBot="1">
      <c r="M66" s="106"/>
      <c r="N66" s="106"/>
      <c r="O66" s="106"/>
      <c r="P66" s="106"/>
      <c r="Q66" s="106"/>
      <c r="R66" s="106"/>
      <c r="S66" s="106"/>
      <c r="T66" s="106"/>
      <c r="U66" s="106"/>
      <c r="V66" s="106"/>
      <c r="W66" s="106"/>
      <c r="X66" s="106"/>
      <c r="Y66" s="106"/>
      <c r="Z66" s="106"/>
      <c r="AA66" s="106"/>
      <c r="AB66" s="106"/>
      <c r="AC66" s="106"/>
      <c r="AD66" s="106"/>
      <c r="AE66" s="106"/>
      <c r="AF66" s="106"/>
      <c r="AG66" s="106"/>
      <c r="AH66" s="106"/>
      <c r="AI66" s="106"/>
      <c r="AJ66" s="106"/>
      <c r="AK66" s="106"/>
      <c r="AL66" s="106"/>
      <c r="AM66" s="106"/>
      <c r="AN66" s="106"/>
      <c r="AO66" s="106"/>
      <c r="AP66" s="106"/>
      <c r="AQ66" s="106"/>
      <c r="AR66" s="106"/>
      <c r="AS66" s="106"/>
      <c r="AT66" s="106"/>
      <c r="AU66" s="106"/>
      <c r="AV66" s="106"/>
      <c r="AW66" s="106"/>
      <c r="AX66" s="106"/>
      <c r="AY66" s="106"/>
      <c r="AZ66" s="106"/>
      <c r="BA66" s="106"/>
      <c r="BB66" s="106"/>
    </row>
    <row r="67" spans="1:54" ht="19" thickBot="1">
      <c r="B67" s="329" t="s">
        <v>162</v>
      </c>
      <c r="C67" s="332"/>
      <c r="D67" s="332"/>
      <c r="E67" s="332"/>
      <c r="F67" s="332"/>
      <c r="G67" s="332"/>
      <c r="H67" s="332"/>
      <c r="I67" s="332"/>
      <c r="J67" s="332"/>
      <c r="K67" s="332"/>
      <c r="L67" s="332"/>
      <c r="M67" s="332"/>
      <c r="N67" s="332"/>
      <c r="O67" s="332"/>
      <c r="P67" s="332"/>
      <c r="Q67" s="332"/>
      <c r="R67" s="332"/>
      <c r="S67" s="332"/>
      <c r="T67" s="332"/>
      <c r="U67" s="332"/>
      <c r="V67" s="332"/>
      <c r="W67" s="332"/>
      <c r="X67" s="332"/>
      <c r="Y67" s="332"/>
      <c r="Z67" s="332"/>
      <c r="AA67" s="332"/>
      <c r="AB67" s="332"/>
      <c r="AC67" s="332"/>
      <c r="AD67" s="332"/>
      <c r="AE67" s="332"/>
      <c r="AF67" s="332"/>
      <c r="AG67" s="332"/>
      <c r="AH67" s="332"/>
      <c r="AI67" s="332"/>
      <c r="AJ67" s="332"/>
      <c r="AK67" s="332"/>
      <c r="AL67" s="332"/>
      <c r="AM67" s="332"/>
      <c r="AN67" s="332"/>
      <c r="AO67" s="332"/>
      <c r="AP67" s="332"/>
      <c r="AQ67" s="332"/>
      <c r="AR67" s="332"/>
      <c r="AS67" s="332"/>
      <c r="AT67" s="332"/>
      <c r="AU67" s="332"/>
      <c r="AV67" s="332"/>
      <c r="AW67" s="332"/>
      <c r="AX67" s="332"/>
      <c r="AY67" s="332"/>
      <c r="AZ67" s="332"/>
      <c r="BA67" s="332"/>
      <c r="BB67" s="333"/>
    </row>
    <row r="68" spans="1:54" s="166" customFormat="1" ht="18.5">
      <c r="A68" s="164"/>
      <c r="B68" s="165"/>
      <c r="C68" s="163" t="s">
        <v>608</v>
      </c>
      <c r="D68" s="172" t="str">
        <f>FUSELAGE_display_class_result</f>
        <v>First class</v>
      </c>
      <c r="E68" s="163"/>
      <c r="F68" s="163"/>
      <c r="G68" s="163"/>
      <c r="H68" s="163"/>
      <c r="I68" s="163"/>
      <c r="J68" s="163"/>
      <c r="K68" s="163"/>
      <c r="L68" s="163"/>
      <c r="M68" s="163"/>
      <c r="N68" s="163"/>
      <c r="O68" s="163"/>
      <c r="P68" s="163"/>
      <c r="Q68" s="163"/>
      <c r="R68" s="163"/>
      <c r="BB68" s="168"/>
    </row>
    <row r="69" spans="1:54" s="166" customFormat="1" ht="18.5">
      <c r="B69" s="165"/>
      <c r="C69" s="7" t="s">
        <v>609</v>
      </c>
      <c r="D69" s="163">
        <f>IF(FUSELAGE_display_class=1,FUSELAGE_nseats_right_FC,IF(FUSELAGE_display_class=2,FUSELAGE_nseats_right_BC,FUSELAGE_nseats_right_YC))</f>
        <v>2</v>
      </c>
      <c r="E69" s="163"/>
      <c r="F69" s="163"/>
      <c r="G69" s="7" t="s">
        <v>387</v>
      </c>
      <c r="H69" s="163">
        <f>IF(FUSELAGE_display_class=1,SEAT_w_cushion_FC,IF(FUSELAGE_display_class=2,SEAT_w_cushion_BC,SEAT_w_cushion_YC))</f>
        <v>0.65</v>
      </c>
      <c r="I69" s="163"/>
      <c r="J69" s="7" t="s">
        <v>599</v>
      </c>
      <c r="K69" s="166">
        <f>(C13-(FUSELAGE_nseats_right+FUSELAGE_nseats_middle+FUSELAGE_nseats_left)*(SEAT_w_cushion+SEAT_w_armrest)-(1-FUSELAGE_n_aisles)*SEAT_w_armrest)/FUSELAGE_n_aisles</f>
        <v>0.59999999999999964</v>
      </c>
      <c r="L69" s="163"/>
      <c r="M69" s="163"/>
      <c r="N69" s="163"/>
      <c r="O69" s="163"/>
      <c r="P69" s="163"/>
      <c r="Q69" s="163"/>
      <c r="R69" s="163"/>
      <c r="BB69" s="168"/>
    </row>
    <row r="70" spans="1:54" s="166" customFormat="1" ht="18.5">
      <c r="B70" s="165"/>
      <c r="C70" s="7" t="s">
        <v>664</v>
      </c>
      <c r="D70" s="163">
        <f>IF(FUSELAGE_display_class=1,FUSELAGE_nseats_middle_FC,IF(FUSELAGE_display_class=2,FUSELAGE_nseats_middle_BC,FUSELAGE_nseats_middle_YC))</f>
        <v>0</v>
      </c>
      <c r="E70" s="163"/>
      <c r="F70" s="163"/>
      <c r="G70" s="7" t="s">
        <v>472</v>
      </c>
      <c r="H70" s="163">
        <f>IF(FUSELAGE_display_class=1,SEAT_w_armrest_FC,IF(FUSELAGE_display_class=2,SEAT_w_armrest_BC,SEAT_w_armrest_YC))</f>
        <v>7.0000000000000007E-2</v>
      </c>
      <c r="I70" s="163"/>
      <c r="J70" s="163"/>
      <c r="L70" s="163"/>
      <c r="M70" s="163"/>
      <c r="N70" s="163"/>
      <c r="O70" s="163"/>
      <c r="P70" s="163"/>
      <c r="Q70" s="163"/>
      <c r="R70" s="163"/>
      <c r="BB70" s="168"/>
    </row>
    <row r="71" spans="1:54" s="166" customFormat="1" ht="18.5">
      <c r="B71" s="165"/>
      <c r="C71" s="7" t="s">
        <v>665</v>
      </c>
      <c r="D71" s="163">
        <f>IF(FUSELAGE_display_class=1,FUSELAGE_nseats_left_FC,IF(FUSELAGE_display_class=2,FUSELAGE_nseats_left_BC,FUSELAGE_nseats_left_YC))</f>
        <v>1</v>
      </c>
      <c r="E71" s="163"/>
      <c r="F71" s="163"/>
      <c r="G71" s="8" t="s">
        <v>534</v>
      </c>
      <c r="H71" s="163">
        <f>1/2*(C13-SEAT_w_cushion-2*SEAT_w_armrest)</f>
        <v>0.98499999999999988</v>
      </c>
      <c r="I71" s="163"/>
      <c r="J71" s="163"/>
      <c r="L71" s="163"/>
      <c r="M71" s="163"/>
      <c r="N71" s="163"/>
      <c r="O71" s="163"/>
      <c r="P71" s="163"/>
      <c r="Q71" s="163"/>
      <c r="R71" s="163"/>
      <c r="BB71" s="168"/>
    </row>
    <row r="72" spans="1:54" s="166" customFormat="1" ht="18.5">
      <c r="B72" s="165"/>
      <c r="C72" s="163"/>
      <c r="D72" s="163"/>
      <c r="E72" s="163"/>
      <c r="F72" s="163"/>
      <c r="G72" s="163"/>
      <c r="H72" s="163"/>
      <c r="I72" s="163"/>
      <c r="J72" s="163"/>
      <c r="K72" s="163"/>
      <c r="L72" s="163"/>
      <c r="M72" s="163"/>
      <c r="N72" s="163"/>
      <c r="O72" s="163"/>
      <c r="P72" s="163"/>
      <c r="Q72" s="163"/>
      <c r="R72" s="163"/>
      <c r="BB72" s="168"/>
    </row>
    <row r="73" spans="1:54" s="166" customFormat="1" ht="15" thickBot="1">
      <c r="B73" s="167"/>
      <c r="BB73" s="168"/>
    </row>
    <row r="74" spans="1:54" ht="15" thickBot="1">
      <c r="B74" s="156"/>
      <c r="C74" s="141">
        <v>1</v>
      </c>
      <c r="D74" s="326" t="s">
        <v>314</v>
      </c>
      <c r="E74" s="327"/>
      <c r="G74" s="141">
        <v>2</v>
      </c>
      <c r="H74" s="326" t="s">
        <v>315</v>
      </c>
      <c r="I74" s="327"/>
      <c r="K74" s="141">
        <v>3</v>
      </c>
      <c r="L74" s="326" t="s">
        <v>316</v>
      </c>
      <c r="M74" s="327"/>
      <c r="BB74" s="157"/>
    </row>
    <row r="75" spans="1:54" ht="15" thickBot="1">
      <c r="B75" s="156"/>
      <c r="C75" s="136" t="s">
        <v>452</v>
      </c>
      <c r="D75" s="136" t="s">
        <v>384</v>
      </c>
      <c r="E75" s="138" t="s">
        <v>385</v>
      </c>
      <c r="G75" s="136" t="s">
        <v>452</v>
      </c>
      <c r="H75" s="136" t="s">
        <v>384</v>
      </c>
      <c r="I75" s="138" t="s">
        <v>385</v>
      </c>
      <c r="K75" s="136" t="s">
        <v>452</v>
      </c>
      <c r="L75" s="136" t="s">
        <v>384</v>
      </c>
      <c r="M75" s="138" t="s">
        <v>385</v>
      </c>
      <c r="BB75" s="157"/>
    </row>
    <row r="76" spans="1:54">
      <c r="B76" s="156"/>
      <c r="C76" s="128" t="s">
        <v>396</v>
      </c>
      <c r="D76" s="128">
        <f>IF(FUSELAGE_nseats_right,FUSELAGE_y_position_of_left_seat+SEAT_w_cushion/2,8888)</f>
        <v>1.3099999999999998</v>
      </c>
      <c r="E76" s="139">
        <f>IF(FUSELAGE_nseats_right,-FUSELAGE_Dz_floor+SEAT_Dy_cushion-SEAT_t_cushion,8888)</f>
        <v>-0.50722062499999998</v>
      </c>
      <c r="G76" s="158" t="s">
        <v>396</v>
      </c>
      <c r="H76" s="158">
        <f t="shared" ref="H76:H87" si="12">IF(FUSELAGE_nseats_right&gt;=G$74,D76-SEAT_w_cushion-SEAT_w_armrest,8888)</f>
        <v>0.58999999999999986</v>
      </c>
      <c r="I76" s="159">
        <f t="shared" ref="I76:I87" si="13">IF(FUSELAGE_nseats_right&gt;=G$74,E76,8888)</f>
        <v>-0.50722062499999998</v>
      </c>
      <c r="K76" s="128" t="s">
        <v>396</v>
      </c>
      <c r="L76" s="158">
        <f t="shared" ref="L76:L87" si="14">IF(FUSELAGE_nseats_right&gt;=K$74,H76-SEAT_w_cushion-SEAT_w_armrest,8888)</f>
        <v>8888</v>
      </c>
      <c r="M76" s="159">
        <f t="shared" ref="M76:M87" si="15">IF(FUSELAGE_nseats_right&gt;=K$74,I76,8888)</f>
        <v>8888</v>
      </c>
      <c r="BB76" s="157"/>
    </row>
    <row r="77" spans="1:54">
      <c r="B77" s="156"/>
      <c r="C77" s="128" t="s">
        <v>213</v>
      </c>
      <c r="D77" s="128">
        <f>D76</f>
        <v>1.3099999999999998</v>
      </c>
      <c r="E77" s="139">
        <f>IF(FUSELAGE_nseats_right,-FUSELAGE_Dz_floor+SEAT_Dy_cushion+SEAT_h_backrest,8888)</f>
        <v>0.42872937500000008</v>
      </c>
      <c r="G77" s="128" t="s">
        <v>213</v>
      </c>
      <c r="H77" s="128">
        <f t="shared" si="12"/>
        <v>0.58999999999999986</v>
      </c>
      <c r="I77" s="143">
        <f t="shared" si="13"/>
        <v>0.42872937500000008</v>
      </c>
      <c r="K77" s="128" t="s">
        <v>213</v>
      </c>
      <c r="L77" s="128">
        <f t="shared" si="14"/>
        <v>8888</v>
      </c>
      <c r="M77" s="143">
        <f t="shared" si="15"/>
        <v>8888</v>
      </c>
      <c r="BB77" s="157"/>
    </row>
    <row r="78" spans="1:54">
      <c r="B78" s="156"/>
      <c r="C78" s="128" t="s">
        <v>286</v>
      </c>
      <c r="D78" s="128">
        <f>IF(FUSELAGE_nseats_right,FUSELAGE_y_position_of_left_seat-SEAT_w_cushion/2,8888)</f>
        <v>0.65999999999999992</v>
      </c>
      <c r="E78" s="139">
        <f>E77</f>
        <v>0.42872937500000008</v>
      </c>
      <c r="G78" s="128" t="s">
        <v>286</v>
      </c>
      <c r="H78" s="128">
        <f t="shared" si="12"/>
        <v>-6.0000000000000109E-2</v>
      </c>
      <c r="I78" s="143">
        <f t="shared" si="13"/>
        <v>0.42872937500000008</v>
      </c>
      <c r="K78" s="128" t="s">
        <v>286</v>
      </c>
      <c r="L78" s="128">
        <f t="shared" si="14"/>
        <v>8888</v>
      </c>
      <c r="M78" s="143">
        <f t="shared" si="15"/>
        <v>8888</v>
      </c>
      <c r="BB78" s="157"/>
    </row>
    <row r="79" spans="1:54">
      <c r="B79" s="156"/>
      <c r="C79" s="128" t="s">
        <v>522</v>
      </c>
      <c r="D79" s="128">
        <f>D78</f>
        <v>0.65999999999999992</v>
      </c>
      <c r="E79" s="139">
        <f>E76</f>
        <v>-0.50722062499999998</v>
      </c>
      <c r="G79" s="128" t="s">
        <v>522</v>
      </c>
      <c r="H79" s="128">
        <f t="shared" si="12"/>
        <v>-6.0000000000000109E-2</v>
      </c>
      <c r="I79" s="143">
        <f t="shared" si="13"/>
        <v>-0.50722062499999998</v>
      </c>
      <c r="K79" s="128" t="s">
        <v>522</v>
      </c>
      <c r="L79" s="128">
        <f t="shared" si="14"/>
        <v>8888</v>
      </c>
      <c r="M79" s="143">
        <f t="shared" si="15"/>
        <v>8888</v>
      </c>
      <c r="BB79" s="157"/>
    </row>
    <row r="80" spans="1:54">
      <c r="B80" s="156"/>
      <c r="C80" s="128" t="s">
        <v>396</v>
      </c>
      <c r="D80" s="128">
        <f>D76</f>
        <v>1.3099999999999998</v>
      </c>
      <c r="E80" s="139">
        <f>E76</f>
        <v>-0.50722062499999998</v>
      </c>
      <c r="G80" s="128" t="s">
        <v>396</v>
      </c>
      <c r="H80" s="128">
        <f t="shared" si="12"/>
        <v>0.58999999999999986</v>
      </c>
      <c r="I80" s="143">
        <f t="shared" si="13"/>
        <v>-0.50722062499999998</v>
      </c>
      <c r="K80" s="128" t="s">
        <v>396</v>
      </c>
      <c r="L80" s="128">
        <f t="shared" si="14"/>
        <v>8888</v>
      </c>
      <c r="M80" s="143">
        <f t="shared" si="15"/>
        <v>8888</v>
      </c>
      <c r="BB80" s="157"/>
    </row>
    <row r="81" spans="2:54">
      <c r="B81" s="156"/>
      <c r="C81" s="128" t="s">
        <v>49</v>
      </c>
      <c r="D81" s="128">
        <f>D78</f>
        <v>0.65999999999999992</v>
      </c>
      <c r="E81" s="139">
        <f>IF(FUSELAGE_nseats_right,-FUSELAGE_Dz_floor+SEAT_h_armrest_bottom,8888)</f>
        <v>-0.29075062499999993</v>
      </c>
      <c r="G81" s="128" t="s">
        <v>49</v>
      </c>
      <c r="H81" s="128">
        <f t="shared" si="12"/>
        <v>-6.0000000000000109E-2</v>
      </c>
      <c r="I81" s="143">
        <f t="shared" si="13"/>
        <v>-0.29075062499999993</v>
      </c>
      <c r="K81" s="128" t="s">
        <v>49</v>
      </c>
      <c r="L81" s="128">
        <f t="shared" si="14"/>
        <v>8888</v>
      </c>
      <c r="M81" s="143">
        <f t="shared" si="15"/>
        <v>8888</v>
      </c>
      <c r="BB81" s="157"/>
    </row>
    <row r="82" spans="2:54">
      <c r="B82" s="156"/>
      <c r="C82" s="128" t="s">
        <v>453</v>
      </c>
      <c r="D82" s="128">
        <f>IF(FUSELAGE_nseats_right,FUSELAGE_y_position_of_left_seat-SEAT_w_cushion/2-SEAT_w_armrest,8888)</f>
        <v>0.58999999999999986</v>
      </c>
      <c r="E82" s="139">
        <f>E81</f>
        <v>-0.29075062499999993</v>
      </c>
      <c r="G82" s="128" t="s">
        <v>453</v>
      </c>
      <c r="H82" s="128">
        <f t="shared" si="12"/>
        <v>-0.13000000000000017</v>
      </c>
      <c r="I82" s="143">
        <f t="shared" si="13"/>
        <v>-0.29075062499999993</v>
      </c>
      <c r="K82" s="128" t="s">
        <v>453</v>
      </c>
      <c r="L82" s="128">
        <f t="shared" si="14"/>
        <v>8888</v>
      </c>
      <c r="M82" s="143">
        <f t="shared" si="15"/>
        <v>8888</v>
      </c>
      <c r="BB82" s="157"/>
    </row>
    <row r="83" spans="2:54">
      <c r="B83" s="156"/>
      <c r="C83" s="128" t="s">
        <v>394</v>
      </c>
      <c r="D83" s="128">
        <f>D82</f>
        <v>0.58999999999999986</v>
      </c>
      <c r="E83" s="139">
        <f>IF(FUSELAGE_nseats_right,-FUSELAGE_Dz_floor+SEAT_h_armrest_top,8888)</f>
        <v>-0.19075062499999995</v>
      </c>
      <c r="G83" s="128" t="s">
        <v>394</v>
      </c>
      <c r="H83" s="128">
        <f t="shared" si="12"/>
        <v>-0.13000000000000017</v>
      </c>
      <c r="I83" s="143">
        <f t="shared" si="13"/>
        <v>-0.19075062499999995</v>
      </c>
      <c r="K83" s="128" t="s">
        <v>394</v>
      </c>
      <c r="L83" s="128">
        <f t="shared" si="14"/>
        <v>8888</v>
      </c>
      <c r="M83" s="143">
        <f t="shared" si="15"/>
        <v>8888</v>
      </c>
      <c r="BB83" s="157"/>
    </row>
    <row r="84" spans="2:54">
      <c r="B84" s="156"/>
      <c r="C84" s="143" t="s">
        <v>454</v>
      </c>
      <c r="D84" s="2">
        <f>D78</f>
        <v>0.65999999999999992</v>
      </c>
      <c r="E84" s="139">
        <f>E83</f>
        <v>-0.19075062499999995</v>
      </c>
      <c r="G84" s="143" t="s">
        <v>454</v>
      </c>
      <c r="H84" s="128">
        <f t="shared" si="12"/>
        <v>-6.0000000000000109E-2</v>
      </c>
      <c r="I84" s="143">
        <f t="shared" si="13"/>
        <v>-0.19075062499999995</v>
      </c>
      <c r="K84" s="143" t="s">
        <v>454</v>
      </c>
      <c r="L84" s="128">
        <f t="shared" si="14"/>
        <v>8888</v>
      </c>
      <c r="M84" s="143">
        <f t="shared" si="15"/>
        <v>8888</v>
      </c>
      <c r="BB84" s="157"/>
    </row>
    <row r="85" spans="2:54">
      <c r="B85" s="156"/>
      <c r="C85" s="143" t="s">
        <v>49</v>
      </c>
      <c r="D85" s="2">
        <f>D81</f>
        <v>0.65999999999999992</v>
      </c>
      <c r="E85" s="139">
        <f>E81</f>
        <v>-0.29075062499999993</v>
      </c>
      <c r="G85" s="143" t="s">
        <v>49</v>
      </c>
      <c r="H85" s="128">
        <f>H81</f>
        <v>-6.0000000000000109E-2</v>
      </c>
      <c r="I85" s="143">
        <f>I81</f>
        <v>-0.29075062499999993</v>
      </c>
      <c r="K85" s="143" t="s">
        <v>49</v>
      </c>
      <c r="L85" s="128">
        <f>L81</f>
        <v>8888</v>
      </c>
      <c r="M85" s="143">
        <f>M81</f>
        <v>8888</v>
      </c>
      <c r="BB85" s="157"/>
    </row>
    <row r="86" spans="2:54">
      <c r="B86" s="156"/>
      <c r="C86" s="143" t="s">
        <v>507</v>
      </c>
      <c r="D86" s="2">
        <f>D76</f>
        <v>1.3099999999999998</v>
      </c>
      <c r="E86" s="139">
        <f>IF(FUSELAGE_nseats_right,-FUSELAGE_Dz_floor+SEAT_Dy_cushion,8888)</f>
        <v>-0.37127062499999997</v>
      </c>
      <c r="G86" s="143" t="s">
        <v>507</v>
      </c>
      <c r="H86" s="128">
        <f t="shared" si="12"/>
        <v>0.58999999999999986</v>
      </c>
      <c r="I86" s="143">
        <f t="shared" si="13"/>
        <v>-0.37127062499999997</v>
      </c>
      <c r="K86" s="143" t="s">
        <v>507</v>
      </c>
      <c r="L86" s="128">
        <f t="shared" si="14"/>
        <v>8888</v>
      </c>
      <c r="M86" s="143">
        <f t="shared" si="15"/>
        <v>8888</v>
      </c>
      <c r="BB86" s="157"/>
    </row>
    <row r="87" spans="2:54" ht="15" thickBot="1">
      <c r="B87" s="156"/>
      <c r="C87" s="144" t="s">
        <v>455</v>
      </c>
      <c r="D87" s="130">
        <f>D78</f>
        <v>0.65999999999999992</v>
      </c>
      <c r="E87" s="140">
        <f>E86</f>
        <v>-0.37127062499999997</v>
      </c>
      <c r="G87" s="144" t="s">
        <v>455</v>
      </c>
      <c r="H87" s="130">
        <f t="shared" si="12"/>
        <v>-6.0000000000000109E-2</v>
      </c>
      <c r="I87" s="144">
        <f t="shared" si="13"/>
        <v>-0.37127062499999997</v>
      </c>
      <c r="K87" s="144" t="s">
        <v>455</v>
      </c>
      <c r="L87" s="130">
        <f t="shared" si="14"/>
        <v>8888</v>
      </c>
      <c r="M87" s="144">
        <f t="shared" si="15"/>
        <v>8888</v>
      </c>
      <c r="BB87" s="157"/>
    </row>
    <row r="88" spans="2:54">
      <c r="B88" s="156"/>
      <c r="C88" s="143" t="s">
        <v>311</v>
      </c>
      <c r="D88" s="128">
        <f>D76</f>
        <v>1.3099999999999998</v>
      </c>
      <c r="E88" s="139">
        <f>E81</f>
        <v>-0.29075062499999993</v>
      </c>
      <c r="BB88" s="157"/>
    </row>
    <row r="89" spans="2:54">
      <c r="B89" s="156"/>
      <c r="C89" s="143" t="s">
        <v>35</v>
      </c>
      <c r="D89" s="128">
        <f>IF(FUSELAGE_nseats_right,FUSELAGE_y_position_of_left_seat+SEAT_w_cushion/2+SEAT_w_armrest,8888)</f>
        <v>1.38</v>
      </c>
      <c r="E89" s="139">
        <f>E81</f>
        <v>-0.29075062499999993</v>
      </c>
      <c r="BB89" s="157"/>
    </row>
    <row r="90" spans="2:54">
      <c r="B90" s="156"/>
      <c r="C90" s="143" t="s">
        <v>312</v>
      </c>
      <c r="D90" s="128">
        <f>D89</f>
        <v>1.38</v>
      </c>
      <c r="E90" s="139">
        <f>E83</f>
        <v>-0.19075062499999995</v>
      </c>
      <c r="BB90" s="157"/>
    </row>
    <row r="91" spans="2:54">
      <c r="B91" s="156"/>
      <c r="C91" s="143" t="s">
        <v>313</v>
      </c>
      <c r="D91" s="128">
        <f>D88</f>
        <v>1.3099999999999998</v>
      </c>
      <c r="E91" s="139">
        <f>E83</f>
        <v>-0.19075062499999995</v>
      </c>
      <c r="BB91" s="157"/>
    </row>
    <row r="92" spans="2:54" ht="15" thickBot="1">
      <c r="B92" s="156"/>
      <c r="C92" s="144" t="s">
        <v>311</v>
      </c>
      <c r="D92" s="130">
        <f>D88</f>
        <v>1.3099999999999998</v>
      </c>
      <c r="E92" s="140">
        <f>E88</f>
        <v>-0.29075062499999993</v>
      </c>
      <c r="BB92" s="157"/>
    </row>
    <row r="93" spans="2:54">
      <c r="B93" s="156"/>
      <c r="BB93" s="157"/>
    </row>
    <row r="94" spans="2:54" ht="15" thickBot="1">
      <c r="B94" s="156"/>
      <c r="C94" t="s">
        <v>320</v>
      </c>
      <c r="D94">
        <f xml:space="preserve"> -( (SEAT_w_cushion+SEAT_w_armrest)*FUSELAGE_nseats_right + FUSELAGE_w_aisle- SEAT_w_armrest)</f>
        <v>-1.9699999999999995</v>
      </c>
      <c r="S94" s="106"/>
      <c r="BB94" s="157"/>
    </row>
    <row r="95" spans="2:54" ht="15" thickBot="1">
      <c r="B95" s="156"/>
      <c r="C95" s="141">
        <v>1</v>
      </c>
      <c r="D95" s="326" t="s">
        <v>317</v>
      </c>
      <c r="E95" s="327"/>
      <c r="G95" s="141">
        <v>2</v>
      </c>
      <c r="H95" s="326" t="s">
        <v>318</v>
      </c>
      <c r="I95" s="327"/>
      <c r="K95" s="141">
        <v>3</v>
      </c>
      <c r="L95" s="326" t="s">
        <v>319</v>
      </c>
      <c r="M95" s="327"/>
      <c r="O95" s="141">
        <v>4</v>
      </c>
      <c r="P95" s="326" t="s">
        <v>321</v>
      </c>
      <c r="Q95" s="327"/>
      <c r="R95" s="157"/>
      <c r="S95" s="162">
        <v>5</v>
      </c>
      <c r="T95" s="326" t="s">
        <v>322</v>
      </c>
      <c r="U95" s="327"/>
      <c r="W95" s="141">
        <v>6</v>
      </c>
      <c r="X95" s="326" t="s">
        <v>323</v>
      </c>
      <c r="Y95" s="327"/>
      <c r="BB95" s="157"/>
    </row>
    <row r="96" spans="2:54" ht="15" thickBot="1">
      <c r="B96" s="156"/>
      <c r="C96" s="136" t="s">
        <v>452</v>
      </c>
      <c r="D96" s="136" t="s">
        <v>384</v>
      </c>
      <c r="E96" s="138" t="s">
        <v>385</v>
      </c>
      <c r="G96" s="136" t="s">
        <v>452</v>
      </c>
      <c r="H96" s="136" t="s">
        <v>384</v>
      </c>
      <c r="I96" s="138" t="s">
        <v>385</v>
      </c>
      <c r="K96" s="136" t="s">
        <v>452</v>
      </c>
      <c r="L96" s="136" t="s">
        <v>384</v>
      </c>
      <c r="M96" s="138" t="s">
        <v>385</v>
      </c>
      <c r="O96" s="136" t="s">
        <v>452</v>
      </c>
      <c r="P96" s="136" t="s">
        <v>384</v>
      </c>
      <c r="Q96" s="138" t="s">
        <v>385</v>
      </c>
      <c r="R96" s="157"/>
      <c r="S96" s="137" t="s">
        <v>452</v>
      </c>
      <c r="T96" s="136" t="s">
        <v>384</v>
      </c>
      <c r="U96" s="138" t="s">
        <v>385</v>
      </c>
      <c r="W96" s="136" t="s">
        <v>452</v>
      </c>
      <c r="X96" s="136" t="s">
        <v>384</v>
      </c>
      <c r="Y96" s="138" t="s">
        <v>385</v>
      </c>
      <c r="BB96" s="157"/>
    </row>
    <row r="97" spans="2:54">
      <c r="B97" s="156"/>
      <c r="C97" s="128" t="s">
        <v>396</v>
      </c>
      <c r="D97" s="158">
        <f>IF(FUSELAGE_nseats_middle,FUSELAGE_y_position_of_left_seat+SEAT_w_cushion/2 + $D$94,8888)</f>
        <v>8888</v>
      </c>
      <c r="E97" s="160">
        <f>IF(FUSELAGE_nseats_middle,-FUSELAGE_Dz_floor+SEAT_Dy_cushion-SEAT_t_cushion,8888)</f>
        <v>8888</v>
      </c>
      <c r="G97" s="158" t="s">
        <v>396</v>
      </c>
      <c r="H97" s="158">
        <f t="shared" ref="H97:H108" si="16">IF(FUSELAGE_nseats_middle&gt;=G$95,D97-SEAT_w_cushion-SEAT_w_armrest,8888)</f>
        <v>8888</v>
      </c>
      <c r="I97" s="159">
        <f t="shared" ref="I97:I108" si="17">IF(FUSELAGE_nseats_middle&gt;=G$95,E97,8888)</f>
        <v>8888</v>
      </c>
      <c r="K97" s="128" t="s">
        <v>396</v>
      </c>
      <c r="L97" s="158">
        <f t="shared" ref="L97:L108" si="18">IF(FUSELAGE_nseats_middle&gt;=K$95,H97-SEAT_w_cushion-SEAT_w_armrest,8888)</f>
        <v>8888</v>
      </c>
      <c r="M97" s="159">
        <f t="shared" ref="M97:M108" si="19">IF(FUSELAGE_nseats_middle&gt;=K$95,I97,8888)</f>
        <v>8888</v>
      </c>
      <c r="O97" s="128" t="s">
        <v>396</v>
      </c>
      <c r="P97" s="158">
        <f t="shared" ref="P97:P108" si="20">IF(FUSELAGE_nseats_middle&gt;=O$95,L97-SEAT_w_cushion-SEAT_w_armrest,8888)</f>
        <v>8888</v>
      </c>
      <c r="Q97" s="159">
        <f t="shared" ref="Q97:Q108" si="21">IF(FUSELAGE_nseats_middle&gt;=O$95,M97,8888)</f>
        <v>8888</v>
      </c>
      <c r="R97" s="157"/>
      <c r="S97" s="2" t="s">
        <v>396</v>
      </c>
      <c r="T97" s="158">
        <f t="shared" ref="T97:T108" si="22">IF(FUSELAGE_nseats_middle&gt;=S$95,P97-SEAT_w_cushion-SEAT_w_armrest,8888)</f>
        <v>8888</v>
      </c>
      <c r="U97" s="159">
        <f t="shared" ref="U97:U108" si="23">IF(FUSELAGE_nseats_middle&gt;=S$95,Q97,8888)</f>
        <v>8888</v>
      </c>
      <c r="W97" s="128" t="s">
        <v>396</v>
      </c>
      <c r="X97" s="158">
        <f t="shared" ref="X97:X108" si="24">IF(FUSELAGE_nseats_middle&gt;=W$95,T97-SEAT_w_cushion-SEAT_w_armrest,8888)</f>
        <v>8888</v>
      </c>
      <c r="Y97" s="159">
        <f t="shared" ref="Y97:Y108" si="25">IF(FUSELAGE_nseats_middle&gt;=W$95,U97,8888)</f>
        <v>8888</v>
      </c>
      <c r="BB97" s="157"/>
    </row>
    <row r="98" spans="2:54">
      <c r="B98" s="156"/>
      <c r="C98" s="128" t="s">
        <v>213</v>
      </c>
      <c r="D98" s="128">
        <f>D97</f>
        <v>8888</v>
      </c>
      <c r="E98" s="139">
        <f>IF(FUSELAGE_nseats_middle,-FUSELAGE_Dz_floor+SEAT_Dy_cushion+SEAT_h_backrest,8888)</f>
        <v>8888</v>
      </c>
      <c r="G98" s="128" t="s">
        <v>213</v>
      </c>
      <c r="H98" s="128">
        <f t="shared" si="16"/>
        <v>8888</v>
      </c>
      <c r="I98" s="143">
        <f t="shared" si="17"/>
        <v>8888</v>
      </c>
      <c r="K98" s="128" t="s">
        <v>213</v>
      </c>
      <c r="L98" s="128">
        <f t="shared" si="18"/>
        <v>8888</v>
      </c>
      <c r="M98" s="143">
        <f t="shared" si="19"/>
        <v>8888</v>
      </c>
      <c r="O98" s="128" t="s">
        <v>213</v>
      </c>
      <c r="P98" s="128">
        <f t="shared" si="20"/>
        <v>8888</v>
      </c>
      <c r="Q98" s="143">
        <f t="shared" si="21"/>
        <v>8888</v>
      </c>
      <c r="R98" s="157"/>
      <c r="S98" s="2" t="s">
        <v>213</v>
      </c>
      <c r="T98" s="128">
        <f t="shared" si="22"/>
        <v>8888</v>
      </c>
      <c r="U98" s="143">
        <f t="shared" si="23"/>
        <v>8888</v>
      </c>
      <c r="W98" s="128" t="s">
        <v>213</v>
      </c>
      <c r="X98" s="128">
        <f t="shared" si="24"/>
        <v>8888</v>
      </c>
      <c r="Y98" s="143">
        <f t="shared" si="25"/>
        <v>8888</v>
      </c>
      <c r="BB98" s="157"/>
    </row>
    <row r="99" spans="2:54">
      <c r="B99" s="156"/>
      <c r="C99" s="128" t="s">
        <v>286</v>
      </c>
      <c r="D99" s="128">
        <f>IF(FUSELAGE_nseats_middle,FUSELAGE_y_position_of_left_seat-SEAT_w_cushion/2  + $D$94,8888)</f>
        <v>8888</v>
      </c>
      <c r="E99" s="139">
        <f>E98</f>
        <v>8888</v>
      </c>
      <c r="G99" s="128" t="s">
        <v>286</v>
      </c>
      <c r="H99" s="128">
        <f t="shared" si="16"/>
        <v>8888</v>
      </c>
      <c r="I99" s="143">
        <f t="shared" si="17"/>
        <v>8888</v>
      </c>
      <c r="K99" s="128" t="s">
        <v>286</v>
      </c>
      <c r="L99" s="128">
        <f t="shared" si="18"/>
        <v>8888</v>
      </c>
      <c r="M99" s="143">
        <f t="shared" si="19"/>
        <v>8888</v>
      </c>
      <c r="O99" s="128" t="s">
        <v>286</v>
      </c>
      <c r="P99" s="128">
        <f t="shared" si="20"/>
        <v>8888</v>
      </c>
      <c r="Q99" s="143">
        <f t="shared" si="21"/>
        <v>8888</v>
      </c>
      <c r="R99" s="157"/>
      <c r="S99" s="2" t="s">
        <v>286</v>
      </c>
      <c r="T99" s="128">
        <f t="shared" si="22"/>
        <v>8888</v>
      </c>
      <c r="U99" s="143">
        <f t="shared" si="23"/>
        <v>8888</v>
      </c>
      <c r="W99" s="128" t="s">
        <v>286</v>
      </c>
      <c r="X99" s="128">
        <f t="shared" si="24"/>
        <v>8888</v>
      </c>
      <c r="Y99" s="143">
        <f t="shared" si="25"/>
        <v>8888</v>
      </c>
      <c r="BB99" s="157"/>
    </row>
    <row r="100" spans="2:54">
      <c r="B100" s="156"/>
      <c r="C100" s="128" t="s">
        <v>522</v>
      </c>
      <c r="D100" s="128">
        <f>D99</f>
        <v>8888</v>
      </c>
      <c r="E100" s="139">
        <f>E97</f>
        <v>8888</v>
      </c>
      <c r="G100" s="128" t="s">
        <v>522</v>
      </c>
      <c r="H100" s="128">
        <f t="shared" si="16"/>
        <v>8888</v>
      </c>
      <c r="I100" s="143">
        <f t="shared" si="17"/>
        <v>8888</v>
      </c>
      <c r="K100" s="128" t="s">
        <v>522</v>
      </c>
      <c r="L100" s="128">
        <f t="shared" si="18"/>
        <v>8888</v>
      </c>
      <c r="M100" s="143">
        <f t="shared" si="19"/>
        <v>8888</v>
      </c>
      <c r="O100" s="128" t="s">
        <v>522</v>
      </c>
      <c r="P100" s="128">
        <f t="shared" si="20"/>
        <v>8888</v>
      </c>
      <c r="Q100" s="143">
        <f t="shared" si="21"/>
        <v>8888</v>
      </c>
      <c r="R100" s="157"/>
      <c r="S100" s="2" t="s">
        <v>522</v>
      </c>
      <c r="T100" s="128">
        <f t="shared" si="22"/>
        <v>8888</v>
      </c>
      <c r="U100" s="143">
        <f t="shared" si="23"/>
        <v>8888</v>
      </c>
      <c r="W100" s="128" t="s">
        <v>522</v>
      </c>
      <c r="X100" s="128">
        <f t="shared" si="24"/>
        <v>8888</v>
      </c>
      <c r="Y100" s="143">
        <f t="shared" si="25"/>
        <v>8888</v>
      </c>
      <c r="BB100" s="157"/>
    </row>
    <row r="101" spans="2:54" ht="15" thickBot="1">
      <c r="B101" s="156"/>
      <c r="C101" s="128" t="s">
        <v>396</v>
      </c>
      <c r="D101" s="130">
        <f>D97</f>
        <v>8888</v>
      </c>
      <c r="E101" s="140">
        <f>E97</f>
        <v>8888</v>
      </c>
      <c r="G101" s="128" t="s">
        <v>396</v>
      </c>
      <c r="H101" s="130">
        <f t="shared" si="16"/>
        <v>8888</v>
      </c>
      <c r="I101" s="144">
        <f t="shared" si="17"/>
        <v>8888</v>
      </c>
      <c r="K101" s="128" t="s">
        <v>396</v>
      </c>
      <c r="L101" s="130">
        <f t="shared" si="18"/>
        <v>8888</v>
      </c>
      <c r="M101" s="144">
        <f t="shared" si="19"/>
        <v>8888</v>
      </c>
      <c r="O101" s="128" t="s">
        <v>396</v>
      </c>
      <c r="P101" s="130">
        <f t="shared" si="20"/>
        <v>8888</v>
      </c>
      <c r="Q101" s="144">
        <f t="shared" si="21"/>
        <v>8888</v>
      </c>
      <c r="R101" s="157"/>
      <c r="S101" s="2" t="s">
        <v>396</v>
      </c>
      <c r="T101" s="130">
        <f t="shared" si="22"/>
        <v>8888</v>
      </c>
      <c r="U101" s="144">
        <f t="shared" si="23"/>
        <v>8888</v>
      </c>
      <c r="W101" s="128" t="s">
        <v>396</v>
      </c>
      <c r="X101" s="130">
        <f t="shared" si="24"/>
        <v>8888</v>
      </c>
      <c r="Y101" s="144">
        <f t="shared" si="25"/>
        <v>8888</v>
      </c>
      <c r="BB101" s="157"/>
    </row>
    <row r="102" spans="2:54">
      <c r="B102" s="156"/>
      <c r="C102" s="128" t="s">
        <v>49</v>
      </c>
      <c r="D102" s="128">
        <f>D99</f>
        <v>8888</v>
      </c>
      <c r="E102" s="139">
        <f>IF(FUSELAGE_nseats_middle,-FUSELAGE_Dz_floor+SEAT_h_armrest_bottom,8888)</f>
        <v>8888</v>
      </c>
      <c r="G102" s="128" t="s">
        <v>49</v>
      </c>
      <c r="H102" s="128">
        <f t="shared" si="16"/>
        <v>8888</v>
      </c>
      <c r="I102" s="143">
        <f t="shared" si="17"/>
        <v>8888</v>
      </c>
      <c r="K102" s="128" t="s">
        <v>49</v>
      </c>
      <c r="L102" s="128">
        <f t="shared" si="18"/>
        <v>8888</v>
      </c>
      <c r="M102" s="143">
        <f t="shared" si="19"/>
        <v>8888</v>
      </c>
      <c r="O102" s="128" t="s">
        <v>49</v>
      </c>
      <c r="P102" s="128">
        <f t="shared" si="20"/>
        <v>8888</v>
      </c>
      <c r="Q102" s="143">
        <f t="shared" si="21"/>
        <v>8888</v>
      </c>
      <c r="R102" s="157"/>
      <c r="S102" s="2" t="s">
        <v>49</v>
      </c>
      <c r="T102" s="128">
        <f t="shared" si="22"/>
        <v>8888</v>
      </c>
      <c r="U102" s="143">
        <f t="shared" si="23"/>
        <v>8888</v>
      </c>
      <c r="W102" s="128" t="s">
        <v>49</v>
      </c>
      <c r="X102" s="128">
        <f t="shared" si="24"/>
        <v>8888</v>
      </c>
      <c r="Y102" s="143">
        <f t="shared" si="25"/>
        <v>8888</v>
      </c>
      <c r="BB102" s="157"/>
    </row>
    <row r="103" spans="2:54">
      <c r="B103" s="156"/>
      <c r="C103" s="128" t="s">
        <v>453</v>
      </c>
      <c r="D103" s="128">
        <f>IF(FUSELAGE_nseats_middle,FUSELAGE_y_position_of_left_seat-SEAT_w_cushion/2-SEAT_w_armrest + $D$94,8888)</f>
        <v>8888</v>
      </c>
      <c r="E103" s="139">
        <f>E102</f>
        <v>8888</v>
      </c>
      <c r="G103" s="128" t="s">
        <v>453</v>
      </c>
      <c r="H103" s="128">
        <f t="shared" si="16"/>
        <v>8888</v>
      </c>
      <c r="I103" s="143">
        <f t="shared" si="17"/>
        <v>8888</v>
      </c>
      <c r="K103" s="128" t="s">
        <v>453</v>
      </c>
      <c r="L103" s="128">
        <f t="shared" si="18"/>
        <v>8888</v>
      </c>
      <c r="M103" s="143">
        <f t="shared" si="19"/>
        <v>8888</v>
      </c>
      <c r="O103" s="128" t="s">
        <v>453</v>
      </c>
      <c r="P103" s="128">
        <f t="shared" si="20"/>
        <v>8888</v>
      </c>
      <c r="Q103" s="143">
        <f t="shared" si="21"/>
        <v>8888</v>
      </c>
      <c r="R103" s="157"/>
      <c r="S103" s="2" t="s">
        <v>453</v>
      </c>
      <c r="T103" s="128">
        <f t="shared" si="22"/>
        <v>8888</v>
      </c>
      <c r="U103" s="143">
        <f t="shared" si="23"/>
        <v>8888</v>
      </c>
      <c r="W103" s="128" t="s">
        <v>453</v>
      </c>
      <c r="X103" s="128">
        <f t="shared" si="24"/>
        <v>8888</v>
      </c>
      <c r="Y103" s="143">
        <f t="shared" si="25"/>
        <v>8888</v>
      </c>
      <c r="BB103" s="157"/>
    </row>
    <row r="104" spans="2:54">
      <c r="B104" s="156"/>
      <c r="C104" s="128" t="s">
        <v>394</v>
      </c>
      <c r="D104" s="128">
        <f>D103</f>
        <v>8888</v>
      </c>
      <c r="E104" s="139">
        <f>IF(FUSELAGE_nseats_middle,-FUSELAGE_Dz_floor+SEAT_h_armrest_top,8888)</f>
        <v>8888</v>
      </c>
      <c r="G104" s="128" t="s">
        <v>394</v>
      </c>
      <c r="H104" s="128">
        <f t="shared" si="16"/>
        <v>8888</v>
      </c>
      <c r="I104" s="143">
        <f t="shared" si="17"/>
        <v>8888</v>
      </c>
      <c r="K104" s="128" t="s">
        <v>394</v>
      </c>
      <c r="L104" s="128">
        <f t="shared" si="18"/>
        <v>8888</v>
      </c>
      <c r="M104" s="143">
        <f t="shared" si="19"/>
        <v>8888</v>
      </c>
      <c r="O104" s="128" t="s">
        <v>394</v>
      </c>
      <c r="P104" s="128">
        <f t="shared" si="20"/>
        <v>8888</v>
      </c>
      <c r="Q104" s="143">
        <f t="shared" si="21"/>
        <v>8888</v>
      </c>
      <c r="R104" s="157"/>
      <c r="S104" s="2" t="s">
        <v>394</v>
      </c>
      <c r="T104" s="128">
        <f t="shared" si="22"/>
        <v>8888</v>
      </c>
      <c r="U104" s="143">
        <f t="shared" si="23"/>
        <v>8888</v>
      </c>
      <c r="W104" s="128" t="s">
        <v>394</v>
      </c>
      <c r="X104" s="128">
        <f t="shared" si="24"/>
        <v>8888</v>
      </c>
      <c r="Y104" s="143">
        <f t="shared" si="25"/>
        <v>8888</v>
      </c>
      <c r="BB104" s="157"/>
    </row>
    <row r="105" spans="2:54">
      <c r="B105" s="156"/>
      <c r="C105" s="143" t="s">
        <v>454</v>
      </c>
      <c r="D105" s="2">
        <f>D99</f>
        <v>8888</v>
      </c>
      <c r="E105" s="139">
        <f>E104</f>
        <v>8888</v>
      </c>
      <c r="G105" s="143" t="s">
        <v>454</v>
      </c>
      <c r="H105" s="128">
        <f>IF(FUSELAGE_nseats_middle&gt;=G$95,D105-SEAT_w_cushion-SEAT_w_armrest,8888)</f>
        <v>8888</v>
      </c>
      <c r="I105" s="143">
        <f>IF(FUSELAGE_nseats_middle&gt;=G$95,E105,8888)</f>
        <v>8888</v>
      </c>
      <c r="K105" s="143" t="s">
        <v>454</v>
      </c>
      <c r="L105" s="128">
        <f t="shared" si="18"/>
        <v>8888</v>
      </c>
      <c r="M105" s="143">
        <f t="shared" si="19"/>
        <v>8888</v>
      </c>
      <c r="O105" s="143" t="s">
        <v>454</v>
      </c>
      <c r="P105" s="128">
        <f t="shared" si="20"/>
        <v>8888</v>
      </c>
      <c r="Q105" s="143">
        <f t="shared" si="21"/>
        <v>8888</v>
      </c>
      <c r="R105" s="157"/>
      <c r="S105" s="129" t="s">
        <v>454</v>
      </c>
      <c r="T105" s="128">
        <f t="shared" si="22"/>
        <v>8888</v>
      </c>
      <c r="U105" s="143">
        <f t="shared" si="23"/>
        <v>8888</v>
      </c>
      <c r="W105" s="143" t="s">
        <v>454</v>
      </c>
      <c r="X105" s="128">
        <f t="shared" si="24"/>
        <v>8888</v>
      </c>
      <c r="Y105" s="143">
        <f t="shared" si="25"/>
        <v>8888</v>
      </c>
      <c r="BB105" s="157"/>
    </row>
    <row r="106" spans="2:54" ht="15" thickBot="1">
      <c r="B106" s="156"/>
      <c r="C106" s="143" t="s">
        <v>49</v>
      </c>
      <c r="D106" s="2">
        <f>D102</f>
        <v>8888</v>
      </c>
      <c r="E106" s="139">
        <f>E102</f>
        <v>8888</v>
      </c>
      <c r="G106" s="143" t="s">
        <v>49</v>
      </c>
      <c r="H106" s="128">
        <f>H102</f>
        <v>8888</v>
      </c>
      <c r="I106" s="143">
        <f>I102</f>
        <v>8888</v>
      </c>
      <c r="K106" s="143" t="s">
        <v>49</v>
      </c>
      <c r="L106" s="128">
        <f>L102</f>
        <v>8888</v>
      </c>
      <c r="M106" s="143">
        <f>M102</f>
        <v>8888</v>
      </c>
      <c r="O106" s="143" t="s">
        <v>49</v>
      </c>
      <c r="P106" s="128">
        <f>P102</f>
        <v>8888</v>
      </c>
      <c r="Q106" s="143">
        <f>Q102</f>
        <v>8888</v>
      </c>
      <c r="R106" s="157"/>
      <c r="S106" s="129" t="s">
        <v>49</v>
      </c>
      <c r="T106" s="128">
        <f>T102</f>
        <v>8888</v>
      </c>
      <c r="U106" s="143">
        <f>U102</f>
        <v>8888</v>
      </c>
      <c r="W106" s="143" t="s">
        <v>49</v>
      </c>
      <c r="X106" s="128">
        <f>X102</f>
        <v>8888</v>
      </c>
      <c r="Y106" s="143">
        <f>Y102</f>
        <v>8888</v>
      </c>
      <c r="BB106" s="157"/>
    </row>
    <row r="107" spans="2:54">
      <c r="B107" s="156"/>
      <c r="C107" s="143" t="s">
        <v>507</v>
      </c>
      <c r="D107" s="158">
        <f>D97</f>
        <v>8888</v>
      </c>
      <c r="E107" s="160">
        <f>IF(FUSELAGE_nseats_middle,-FUSELAGE_Dz_floor+SEAT_Dy_cushion,8888)</f>
        <v>8888</v>
      </c>
      <c r="G107" s="143" t="s">
        <v>507</v>
      </c>
      <c r="H107" s="158">
        <f t="shared" si="16"/>
        <v>8888</v>
      </c>
      <c r="I107" s="159">
        <f t="shared" si="17"/>
        <v>8888</v>
      </c>
      <c r="K107" s="143" t="s">
        <v>507</v>
      </c>
      <c r="L107" s="158">
        <f t="shared" si="18"/>
        <v>8888</v>
      </c>
      <c r="M107" s="159">
        <f t="shared" si="19"/>
        <v>8888</v>
      </c>
      <c r="O107" s="143" t="s">
        <v>507</v>
      </c>
      <c r="P107" s="158">
        <f t="shared" si="20"/>
        <v>8888</v>
      </c>
      <c r="Q107" s="159">
        <f t="shared" si="21"/>
        <v>8888</v>
      </c>
      <c r="R107" s="157"/>
      <c r="S107" s="129" t="s">
        <v>507</v>
      </c>
      <c r="T107" s="158">
        <f t="shared" si="22"/>
        <v>8888</v>
      </c>
      <c r="U107" s="159">
        <f t="shared" si="23"/>
        <v>8888</v>
      </c>
      <c r="W107" s="143" t="s">
        <v>507</v>
      </c>
      <c r="X107" s="158">
        <f t="shared" si="24"/>
        <v>8888</v>
      </c>
      <c r="Y107" s="159">
        <f t="shared" si="25"/>
        <v>8888</v>
      </c>
      <c r="BB107" s="157"/>
    </row>
    <row r="108" spans="2:54" ht="15" thickBot="1">
      <c r="B108" s="156"/>
      <c r="C108" s="144" t="s">
        <v>455</v>
      </c>
      <c r="D108" s="130">
        <f>D99</f>
        <v>8888</v>
      </c>
      <c r="E108" s="140">
        <f>E107</f>
        <v>8888</v>
      </c>
      <c r="G108" s="144" t="s">
        <v>455</v>
      </c>
      <c r="H108" s="130">
        <f t="shared" si="16"/>
        <v>8888</v>
      </c>
      <c r="I108" s="144">
        <f t="shared" si="17"/>
        <v>8888</v>
      </c>
      <c r="K108" s="144" t="s">
        <v>455</v>
      </c>
      <c r="L108" s="130">
        <f t="shared" si="18"/>
        <v>8888</v>
      </c>
      <c r="M108" s="144">
        <f t="shared" si="19"/>
        <v>8888</v>
      </c>
      <c r="O108" s="144" t="s">
        <v>455</v>
      </c>
      <c r="P108" s="130">
        <f t="shared" si="20"/>
        <v>8888</v>
      </c>
      <c r="Q108" s="144">
        <f t="shared" si="21"/>
        <v>8888</v>
      </c>
      <c r="R108" s="157"/>
      <c r="S108" s="132" t="s">
        <v>455</v>
      </c>
      <c r="T108" s="130">
        <f t="shared" si="22"/>
        <v>8888</v>
      </c>
      <c r="U108" s="144">
        <f t="shared" si="23"/>
        <v>8888</v>
      </c>
      <c r="W108" s="144" t="s">
        <v>455</v>
      </c>
      <c r="X108" s="130">
        <f t="shared" si="24"/>
        <v>8888</v>
      </c>
      <c r="Y108" s="144">
        <f t="shared" si="25"/>
        <v>8888</v>
      </c>
      <c r="BB108" s="157"/>
    </row>
    <row r="109" spans="2:54">
      <c r="B109" s="156"/>
      <c r="C109" s="143" t="s">
        <v>311</v>
      </c>
      <c r="D109" s="128">
        <f>D97</f>
        <v>8888</v>
      </c>
      <c r="E109" s="139">
        <f>E102</f>
        <v>8888</v>
      </c>
      <c r="S109" s="171"/>
      <c r="BB109" s="157"/>
    </row>
    <row r="110" spans="2:54">
      <c r="B110" s="156"/>
      <c r="C110" s="143" t="s">
        <v>35</v>
      </c>
      <c r="D110" s="128">
        <f>IF(FUSELAGE_nseats_middle,FUSELAGE_y_position_of_left_seat+SEAT_w_cushion/2+SEAT_w_armrest + $D$94,8888)</f>
        <v>8888</v>
      </c>
      <c r="E110" s="139">
        <f>E102</f>
        <v>8888</v>
      </c>
      <c r="BB110" s="157"/>
    </row>
    <row r="111" spans="2:54">
      <c r="B111" s="156"/>
      <c r="C111" s="143" t="s">
        <v>312</v>
      </c>
      <c r="D111" s="128">
        <f>D110</f>
        <v>8888</v>
      </c>
      <c r="E111" s="139">
        <f>E104</f>
        <v>8888</v>
      </c>
      <c r="BB111" s="157"/>
    </row>
    <row r="112" spans="2:54">
      <c r="B112" s="156"/>
      <c r="C112" s="143" t="s">
        <v>313</v>
      </c>
      <c r="D112" s="128">
        <f>D109</f>
        <v>8888</v>
      </c>
      <c r="E112" s="139">
        <f>E104</f>
        <v>8888</v>
      </c>
      <c r="BB112" s="157"/>
    </row>
    <row r="113" spans="2:54" ht="15" thickBot="1">
      <c r="B113" s="156"/>
      <c r="C113" s="144" t="s">
        <v>311</v>
      </c>
      <c r="D113" s="130">
        <f>D109</f>
        <v>8888</v>
      </c>
      <c r="E113" s="140">
        <f>E109</f>
        <v>8888</v>
      </c>
      <c r="BB113" s="157"/>
    </row>
    <row r="114" spans="2:54">
      <c r="B114" s="156"/>
      <c r="BB114" s="157"/>
    </row>
    <row r="115" spans="2:54" ht="15" thickBot="1">
      <c r="B115" s="156"/>
      <c r="C115" t="s">
        <v>320</v>
      </c>
      <c r="D115">
        <f>IF(FUSELAGE_nseats_middle,D94 -( (SEAT_w_cushion+SEAT_w_armrest)*FUSELAGE_nseats_middle + FUSELAGE_w_aisle- SEAT_w_armrest),D94)</f>
        <v>-1.9699999999999995</v>
      </c>
      <c r="BB115" s="157"/>
    </row>
    <row r="116" spans="2:54" ht="15" thickBot="1">
      <c r="B116" s="156"/>
      <c r="C116" s="141">
        <v>1</v>
      </c>
      <c r="D116" s="326" t="s">
        <v>326</v>
      </c>
      <c r="E116" s="327"/>
      <c r="G116" s="141">
        <v>2</v>
      </c>
      <c r="H116" s="326" t="s">
        <v>325</v>
      </c>
      <c r="I116" s="327"/>
      <c r="K116" s="141">
        <v>3</v>
      </c>
      <c r="L116" s="326" t="s">
        <v>324</v>
      </c>
      <c r="M116" s="327"/>
      <c r="BB116" s="157"/>
    </row>
    <row r="117" spans="2:54" ht="15" thickBot="1">
      <c r="B117" s="156"/>
      <c r="C117" s="136" t="s">
        <v>452</v>
      </c>
      <c r="D117" s="136" t="s">
        <v>384</v>
      </c>
      <c r="E117" s="138" t="s">
        <v>385</v>
      </c>
      <c r="G117" s="136" t="s">
        <v>452</v>
      </c>
      <c r="H117" s="136" t="s">
        <v>384</v>
      </c>
      <c r="I117" s="138" t="s">
        <v>385</v>
      </c>
      <c r="K117" s="136" t="s">
        <v>452</v>
      </c>
      <c r="L117" s="136" t="s">
        <v>384</v>
      </c>
      <c r="M117" s="138" t="s">
        <v>385</v>
      </c>
      <c r="BB117" s="157"/>
    </row>
    <row r="118" spans="2:54">
      <c r="B118" s="156"/>
      <c r="C118" s="128" t="s">
        <v>396</v>
      </c>
      <c r="D118" s="158">
        <f>IF(FUSELAGE_nseats_left,FUSELAGE_y_position_of_left_seat+SEAT_w_cushion/2 + $D$115,8888)</f>
        <v>-0.6599999999999997</v>
      </c>
      <c r="E118" s="160">
        <f>IF(FUSELAGE_nseats_left,-FUSELAGE_Dz_floor+SEAT_Dy_cushion-SEAT_t_cushion,8888)</f>
        <v>-0.50722062499999998</v>
      </c>
      <c r="G118" s="158" t="s">
        <v>396</v>
      </c>
      <c r="H118" s="158">
        <f t="shared" ref="H118:H129" si="26">IF(FUSELAGE_nseats_left&gt;=G$116,D118-SEAT_w_cushion-SEAT_w_armrest,8888)</f>
        <v>8888</v>
      </c>
      <c r="I118" s="159">
        <f t="shared" ref="I118:I129" si="27">IF(FUSELAGE_nseats_left&gt;=G$116,E118,8888)</f>
        <v>8888</v>
      </c>
      <c r="K118" s="158" t="s">
        <v>396</v>
      </c>
      <c r="L118" s="158">
        <f t="shared" ref="L118:L129" si="28">IF(FUSELAGE_nseats_left&gt;=K$116,H118-SEAT_w_cushion-SEAT_w_armrest,8888)</f>
        <v>8888</v>
      </c>
      <c r="M118" s="159">
        <f t="shared" ref="M118:M129" si="29">IF(FUSELAGE_nseats_left&gt;=K$116,I118,8888)</f>
        <v>8888</v>
      </c>
      <c r="BB118" s="157"/>
    </row>
    <row r="119" spans="2:54">
      <c r="B119" s="156"/>
      <c r="C119" s="128" t="s">
        <v>213</v>
      </c>
      <c r="D119" s="128">
        <f>D118</f>
        <v>-0.6599999999999997</v>
      </c>
      <c r="E119" s="139">
        <f>IF(FUSELAGE_nseats_left,-FUSELAGE_Dz_floor+SEAT_Dy_cushion+SEAT_h_backrest,8888)</f>
        <v>0.42872937500000008</v>
      </c>
      <c r="G119" s="128" t="s">
        <v>213</v>
      </c>
      <c r="H119" s="128">
        <f t="shared" si="26"/>
        <v>8888</v>
      </c>
      <c r="I119" s="143">
        <f t="shared" si="27"/>
        <v>8888</v>
      </c>
      <c r="K119" s="128" t="s">
        <v>213</v>
      </c>
      <c r="L119" s="128">
        <f t="shared" si="28"/>
        <v>8888</v>
      </c>
      <c r="M119" s="143">
        <f t="shared" si="29"/>
        <v>8888</v>
      </c>
      <c r="BB119" s="157"/>
    </row>
    <row r="120" spans="2:54">
      <c r="B120" s="156"/>
      <c r="C120" s="128" t="s">
        <v>286</v>
      </c>
      <c r="D120" s="128">
        <f>IF(FUSELAGE_nseats_left,FUSELAGE_y_position_of_left_seat-SEAT_w_cushion/2  + $D$115,8888)</f>
        <v>-1.3099999999999996</v>
      </c>
      <c r="E120" s="139">
        <f>E119</f>
        <v>0.42872937500000008</v>
      </c>
      <c r="G120" s="128" t="s">
        <v>286</v>
      </c>
      <c r="H120" s="128">
        <f t="shared" si="26"/>
        <v>8888</v>
      </c>
      <c r="I120" s="143">
        <f t="shared" si="27"/>
        <v>8888</v>
      </c>
      <c r="K120" s="128" t="s">
        <v>286</v>
      </c>
      <c r="L120" s="128">
        <f t="shared" si="28"/>
        <v>8888</v>
      </c>
      <c r="M120" s="143">
        <f t="shared" si="29"/>
        <v>8888</v>
      </c>
      <c r="BB120" s="157"/>
    </row>
    <row r="121" spans="2:54">
      <c r="B121" s="156"/>
      <c r="C121" s="128" t="s">
        <v>522</v>
      </c>
      <c r="D121" s="128">
        <f>D120</f>
        <v>-1.3099999999999996</v>
      </c>
      <c r="E121" s="139">
        <f>E118</f>
        <v>-0.50722062499999998</v>
      </c>
      <c r="G121" s="128" t="s">
        <v>522</v>
      </c>
      <c r="H121" s="128">
        <f t="shared" si="26"/>
        <v>8888</v>
      </c>
      <c r="I121" s="143">
        <f t="shared" si="27"/>
        <v>8888</v>
      </c>
      <c r="K121" s="128" t="s">
        <v>522</v>
      </c>
      <c r="L121" s="128">
        <f t="shared" si="28"/>
        <v>8888</v>
      </c>
      <c r="M121" s="143">
        <f t="shared" si="29"/>
        <v>8888</v>
      </c>
      <c r="BB121" s="157"/>
    </row>
    <row r="122" spans="2:54" ht="15" thickBot="1">
      <c r="B122" s="156"/>
      <c r="C122" s="128" t="s">
        <v>396</v>
      </c>
      <c r="D122" s="130">
        <f>D118</f>
        <v>-0.6599999999999997</v>
      </c>
      <c r="E122" s="140">
        <f>E118</f>
        <v>-0.50722062499999998</v>
      </c>
      <c r="G122" s="128" t="s">
        <v>396</v>
      </c>
      <c r="H122" s="130">
        <f t="shared" si="26"/>
        <v>8888</v>
      </c>
      <c r="I122" s="144">
        <f t="shared" si="27"/>
        <v>8888</v>
      </c>
      <c r="K122" s="128" t="s">
        <v>396</v>
      </c>
      <c r="L122" s="130">
        <f t="shared" si="28"/>
        <v>8888</v>
      </c>
      <c r="M122" s="144">
        <f t="shared" si="29"/>
        <v>8888</v>
      </c>
      <c r="BB122" s="157"/>
    </row>
    <row r="123" spans="2:54">
      <c r="B123" s="156"/>
      <c r="C123" s="128" t="s">
        <v>49</v>
      </c>
      <c r="D123" s="128">
        <f>D120</f>
        <v>-1.3099999999999996</v>
      </c>
      <c r="E123" s="139">
        <f>IF(FUSELAGE_nseats_left,-FUSELAGE_Dz_floor+SEAT_h_armrest_bottom,8888)</f>
        <v>-0.29075062499999993</v>
      </c>
      <c r="G123" s="128" t="s">
        <v>49</v>
      </c>
      <c r="H123" s="128">
        <f t="shared" si="26"/>
        <v>8888</v>
      </c>
      <c r="I123" s="143">
        <f t="shared" si="27"/>
        <v>8888</v>
      </c>
      <c r="K123" s="128" t="s">
        <v>49</v>
      </c>
      <c r="L123" s="128">
        <f t="shared" si="28"/>
        <v>8888</v>
      </c>
      <c r="M123" s="143">
        <f t="shared" si="29"/>
        <v>8888</v>
      </c>
      <c r="BB123" s="157"/>
    </row>
    <row r="124" spans="2:54">
      <c r="B124" s="156"/>
      <c r="C124" s="128" t="s">
        <v>453</v>
      </c>
      <c r="D124" s="128">
        <f>IF(FUSELAGE_nseats_left,FUSELAGE_y_position_of_left_seat-SEAT_w_cushion/2-SEAT_w_armrest + $D$115,8888)</f>
        <v>-1.3799999999999997</v>
      </c>
      <c r="E124" s="139">
        <f>E123</f>
        <v>-0.29075062499999993</v>
      </c>
      <c r="G124" s="128" t="s">
        <v>453</v>
      </c>
      <c r="H124" s="128">
        <f t="shared" si="26"/>
        <v>8888</v>
      </c>
      <c r="I124" s="143">
        <f t="shared" si="27"/>
        <v>8888</v>
      </c>
      <c r="K124" s="128" t="s">
        <v>453</v>
      </c>
      <c r="L124" s="128">
        <f t="shared" si="28"/>
        <v>8888</v>
      </c>
      <c r="M124" s="143">
        <f t="shared" si="29"/>
        <v>8888</v>
      </c>
      <c r="BB124" s="157"/>
    </row>
    <row r="125" spans="2:54">
      <c r="B125" s="156"/>
      <c r="C125" s="128" t="s">
        <v>394</v>
      </c>
      <c r="D125" s="128">
        <f>D124</f>
        <v>-1.3799999999999997</v>
      </c>
      <c r="E125" s="139">
        <f>IF(FUSELAGE_nseats_left,-FUSELAGE_Dz_floor+SEAT_h_armrest_top,8888)</f>
        <v>-0.19075062499999995</v>
      </c>
      <c r="G125" s="128" t="s">
        <v>394</v>
      </c>
      <c r="H125" s="128">
        <f t="shared" si="26"/>
        <v>8888</v>
      </c>
      <c r="I125" s="143">
        <f t="shared" si="27"/>
        <v>8888</v>
      </c>
      <c r="K125" s="128" t="s">
        <v>394</v>
      </c>
      <c r="L125" s="128">
        <f t="shared" si="28"/>
        <v>8888</v>
      </c>
      <c r="M125" s="143">
        <f t="shared" si="29"/>
        <v>8888</v>
      </c>
      <c r="BB125" s="157"/>
    </row>
    <row r="126" spans="2:54">
      <c r="B126" s="156"/>
      <c r="C126" s="143" t="s">
        <v>454</v>
      </c>
      <c r="D126" s="2">
        <f>D120</f>
        <v>-1.3099999999999996</v>
      </c>
      <c r="E126" s="139">
        <f>E125</f>
        <v>-0.19075062499999995</v>
      </c>
      <c r="G126" s="143" t="s">
        <v>454</v>
      </c>
      <c r="H126" s="128">
        <f t="shared" si="26"/>
        <v>8888</v>
      </c>
      <c r="I126" s="143">
        <f t="shared" si="27"/>
        <v>8888</v>
      </c>
      <c r="K126" s="143" t="s">
        <v>454</v>
      </c>
      <c r="L126" s="128">
        <f t="shared" si="28"/>
        <v>8888</v>
      </c>
      <c r="M126" s="143">
        <f t="shared" si="29"/>
        <v>8888</v>
      </c>
      <c r="BB126" s="157"/>
    </row>
    <row r="127" spans="2:54" ht="15" thickBot="1">
      <c r="B127" s="156"/>
      <c r="C127" s="143" t="s">
        <v>49</v>
      </c>
      <c r="D127" s="2">
        <f>D123</f>
        <v>-1.3099999999999996</v>
      </c>
      <c r="E127" s="139">
        <f>E123</f>
        <v>-0.29075062499999993</v>
      </c>
      <c r="G127" s="143" t="s">
        <v>49</v>
      </c>
      <c r="H127" s="2">
        <f>H123</f>
        <v>8888</v>
      </c>
      <c r="I127" s="139">
        <f>I123</f>
        <v>8888</v>
      </c>
      <c r="K127" s="143" t="s">
        <v>49</v>
      </c>
      <c r="L127" s="2">
        <f>L123</f>
        <v>8888</v>
      </c>
      <c r="M127" s="139">
        <f>M123</f>
        <v>8888</v>
      </c>
      <c r="BB127" s="157"/>
    </row>
    <row r="128" spans="2:54">
      <c r="B128" s="156"/>
      <c r="C128" s="143" t="s">
        <v>507</v>
      </c>
      <c r="D128" s="158">
        <f>D118</f>
        <v>-0.6599999999999997</v>
      </c>
      <c r="E128" s="160">
        <f>IF(FUSELAGE_nseats_left,-FUSELAGE_Dz_floor+SEAT_Dy_cushion,8888)</f>
        <v>-0.37127062499999997</v>
      </c>
      <c r="G128" s="143" t="s">
        <v>507</v>
      </c>
      <c r="H128" s="158">
        <f t="shared" si="26"/>
        <v>8888</v>
      </c>
      <c r="I128" s="159">
        <f t="shared" si="27"/>
        <v>8888</v>
      </c>
      <c r="K128" s="143" t="s">
        <v>507</v>
      </c>
      <c r="L128" s="158">
        <f t="shared" si="28"/>
        <v>8888</v>
      </c>
      <c r="M128" s="159">
        <f t="shared" si="29"/>
        <v>8888</v>
      </c>
      <c r="BB128" s="157"/>
    </row>
    <row r="129" spans="2:54" ht="15" thickBot="1">
      <c r="B129" s="156"/>
      <c r="C129" s="144" t="s">
        <v>455</v>
      </c>
      <c r="D129" s="130">
        <f>D120</f>
        <v>-1.3099999999999996</v>
      </c>
      <c r="E129" s="140">
        <f>E128</f>
        <v>-0.37127062499999997</v>
      </c>
      <c r="G129" s="144" t="s">
        <v>455</v>
      </c>
      <c r="H129" s="130">
        <f t="shared" si="26"/>
        <v>8888</v>
      </c>
      <c r="I129" s="144">
        <f t="shared" si="27"/>
        <v>8888</v>
      </c>
      <c r="K129" s="144" t="s">
        <v>455</v>
      </c>
      <c r="L129" s="130">
        <f t="shared" si="28"/>
        <v>8888</v>
      </c>
      <c r="M129" s="144">
        <f t="shared" si="29"/>
        <v>8888</v>
      </c>
      <c r="BB129" s="157"/>
    </row>
    <row r="130" spans="2:54">
      <c r="B130" s="156"/>
      <c r="C130" s="143" t="s">
        <v>311</v>
      </c>
      <c r="D130" s="128">
        <f>D118</f>
        <v>-0.6599999999999997</v>
      </c>
      <c r="E130" s="139">
        <f>E123</f>
        <v>-0.29075062499999993</v>
      </c>
      <c r="BB130" s="157"/>
    </row>
    <row r="131" spans="2:54">
      <c r="B131" s="156"/>
      <c r="C131" s="143" t="s">
        <v>35</v>
      </c>
      <c r="D131" s="128">
        <f>IF(FUSELAGE_nseats_left,FUSELAGE_y_position_of_left_seat+SEAT_w_cushion/2+SEAT_w_armrest + $D$115,8888)</f>
        <v>-0.58999999999999964</v>
      </c>
      <c r="E131" s="139">
        <f>E123</f>
        <v>-0.29075062499999993</v>
      </c>
      <c r="BB131" s="157"/>
    </row>
    <row r="132" spans="2:54">
      <c r="B132" s="156"/>
      <c r="C132" s="143" t="s">
        <v>312</v>
      </c>
      <c r="D132" s="128">
        <f>D131</f>
        <v>-0.58999999999999964</v>
      </c>
      <c r="E132" s="139">
        <f>E125</f>
        <v>-0.19075062499999995</v>
      </c>
      <c r="BB132" s="157"/>
    </row>
    <row r="133" spans="2:54">
      <c r="B133" s="156"/>
      <c r="C133" s="143" t="s">
        <v>313</v>
      </c>
      <c r="D133" s="128">
        <f>D130</f>
        <v>-0.6599999999999997</v>
      </c>
      <c r="E133" s="139">
        <f>E125</f>
        <v>-0.19075062499999995</v>
      </c>
      <c r="BB133" s="157"/>
    </row>
    <row r="134" spans="2:54" ht="15" thickBot="1">
      <c r="B134" s="156"/>
      <c r="C134" s="144" t="s">
        <v>311</v>
      </c>
      <c r="D134" s="130">
        <f>D130</f>
        <v>-0.6599999999999997</v>
      </c>
      <c r="E134" s="140">
        <f>E130</f>
        <v>-0.29075062499999993</v>
      </c>
      <c r="BB134" s="157"/>
    </row>
    <row r="135" spans="2:54" ht="15" thickBot="1">
      <c r="B135" s="156"/>
      <c r="K135" t="s">
        <v>283</v>
      </c>
      <c r="M135" t="b">
        <f>IF(FUSELAGE_nseats_middle&gt;1,TRUE(),FALSE())</f>
        <v>0</v>
      </c>
      <c r="BB135" s="157"/>
    </row>
    <row r="136" spans="2:54" ht="15" thickBot="1">
      <c r="B136" s="156"/>
      <c r="C136" s="141"/>
      <c r="D136" s="326" t="s">
        <v>542</v>
      </c>
      <c r="E136" s="327"/>
      <c r="G136" s="141"/>
      <c r="H136" s="326" t="s">
        <v>543</v>
      </c>
      <c r="I136" s="327"/>
      <c r="K136" s="141"/>
      <c r="L136" s="326" t="s">
        <v>541</v>
      </c>
      <c r="M136" s="327"/>
      <c r="O136" s="200" t="s">
        <v>270</v>
      </c>
      <c r="P136">
        <f ca="1">IF(FUSELAGE_nseats_left=0,8888,OFFSET(D129,0,(FUSELAGE_nseats_left-1)*4))</f>
        <v>-1.3099999999999996</v>
      </c>
      <c r="BB136" s="157"/>
    </row>
    <row r="137" spans="2:54" ht="15" thickBot="1">
      <c r="B137" s="156"/>
      <c r="C137" s="136" t="s">
        <v>452</v>
      </c>
      <c r="D137" s="136" t="s">
        <v>384</v>
      </c>
      <c r="E137" s="138" t="s">
        <v>385</v>
      </c>
      <c r="G137" s="136" t="s">
        <v>452</v>
      </c>
      <c r="H137" s="136" t="s">
        <v>384</v>
      </c>
      <c r="I137" s="138" t="s">
        <v>385</v>
      </c>
      <c r="K137" s="136" t="s">
        <v>452</v>
      </c>
      <c r="L137" s="136" t="s">
        <v>384</v>
      </c>
      <c r="M137" s="138" t="s">
        <v>385</v>
      </c>
      <c r="O137" s="200" t="s">
        <v>271</v>
      </c>
      <c r="P137">
        <f>D128</f>
        <v>-0.6599999999999997</v>
      </c>
      <c r="BB137" s="157"/>
    </row>
    <row r="138" spans="2:54">
      <c r="B138" s="156"/>
      <c r="C138" s="158" t="s">
        <v>396</v>
      </c>
      <c r="D138" s="158">
        <f>FUSELAGE_a_ellipse*SQRT(1-(E138/FUSELAGE_b_ellipse)^2)</f>
        <v>1.3547343545691899</v>
      </c>
      <c r="E138" s="160">
        <f>PAX_Dy_eye+SEAT_Dy_cushion-FUSELAGE_Dz_floor+0.126+PAX_d_hw*2</f>
        <v>0.63472937499999993</v>
      </c>
      <c r="G138" s="158" t="s">
        <v>396</v>
      </c>
      <c r="H138" s="158">
        <f>FUSELAGE_a_ellipse*SQRT(1-(I138/FUSELAGE_b_ellipse)^2)</f>
        <v>1.3547343545691899</v>
      </c>
      <c r="I138" s="160">
        <f>PAX_Dy_eye+SEAT_Dy_cushion-FUSELAGE_Dz_floor+0.126+PAX_d_hw*2</f>
        <v>0.63472937499999993</v>
      </c>
      <c r="K138" s="158" t="s">
        <v>396</v>
      </c>
      <c r="L138" s="158">
        <f t="shared" ref="L138:M143" si="30">IF(FUSELAGE_use_central_hatrack,H138,D138)</f>
        <v>1.3547343545691899</v>
      </c>
      <c r="M138" s="160">
        <f t="shared" si="30"/>
        <v>0.63472937499999993</v>
      </c>
      <c r="O138" s="200" t="s">
        <v>272</v>
      </c>
      <c r="P138">
        <f ca="1">IF(FUSELAGE_nseats_middle=0,8888,OFFSET(D108,0,(FUSELAGE_nseats_middle-1)*4))</f>
        <v>8888</v>
      </c>
      <c r="BB138" s="157"/>
    </row>
    <row r="139" spans="2:54">
      <c r="B139" s="156"/>
      <c r="C139" s="128" t="s">
        <v>213</v>
      </c>
      <c r="D139" s="128">
        <f>FUSELAGE_y_position_of_left_seat_YC-(FUSELAGE_nseats_right_YC-1)*(SEAT_w_cushion_YC+SEAT_w_armrest_YC)</f>
        <v>0.50999999999999979</v>
      </c>
      <c r="E139" s="139">
        <f>E138</f>
        <v>0.63472937499999993</v>
      </c>
      <c r="G139" s="128" t="s">
        <v>213</v>
      </c>
      <c r="H139" s="128">
        <f>FUSELAGE_y_position_of_left_seat_YC-(FUSELAGE_nseats_right_YC-1)*(SEAT_w_cushion_YC+SEAT_w_armrest_YC)</f>
        <v>0.50999999999999979</v>
      </c>
      <c r="I139" s="139">
        <f>I138</f>
        <v>0.63472937499999993</v>
      </c>
      <c r="K139" s="128" t="s">
        <v>213</v>
      </c>
      <c r="L139" s="128">
        <f t="shared" si="30"/>
        <v>0.50999999999999979</v>
      </c>
      <c r="M139" s="139">
        <f t="shared" si="30"/>
        <v>0.63472937499999993</v>
      </c>
      <c r="O139" s="200" t="s">
        <v>274</v>
      </c>
      <c r="P139">
        <f>D107</f>
        <v>8888</v>
      </c>
      <c r="AA139" s="27"/>
      <c r="BB139" s="157"/>
    </row>
    <row r="140" spans="2:54">
      <c r="B140" s="156"/>
      <c r="C140" s="128" t="s">
        <v>286</v>
      </c>
      <c r="D140" s="128">
        <f>D139</f>
        <v>0.50999999999999979</v>
      </c>
      <c r="E140" s="139">
        <f>FUSELAGE_h_aisle-FUSELAGE_Dz_floor</f>
        <v>1.1092493750000001</v>
      </c>
      <c r="G140" s="128" t="s">
        <v>286</v>
      </c>
      <c r="H140" s="128">
        <f>H139</f>
        <v>0.50999999999999979</v>
      </c>
      <c r="I140" s="139">
        <f>FUSELAGE_h_aisle-FUSELAGE_Dz_floor</f>
        <v>1.1092493750000001</v>
      </c>
      <c r="K140" s="128" t="s">
        <v>286</v>
      </c>
      <c r="L140" s="128">
        <f t="shared" si="30"/>
        <v>0.50999999999999979</v>
      </c>
      <c r="M140" s="139">
        <f t="shared" si="30"/>
        <v>1.1092493750000001</v>
      </c>
      <c r="O140" s="200" t="s">
        <v>273</v>
      </c>
      <c r="P140">
        <f ca="1">IF(FUSELAGE_nseats_right=0,8888,OFFSET(D87,0,(FUSELAGE_nseats_right-1)*4))</f>
        <v>-6.0000000000000109E-2</v>
      </c>
      <c r="BB140" s="157"/>
    </row>
    <row r="141" spans="2:54">
      <c r="B141" s="156"/>
      <c r="C141" s="128" t="s">
        <v>522</v>
      </c>
      <c r="D141" s="128">
        <f>-FUSELAGE_y_position_of_left_seat_YC+(FUSELAGE_nseats_left_YC-1)*(SEAT_w_cushion_YC+SEAT_w_armrest_YC)</f>
        <v>-0.50999999999999979</v>
      </c>
      <c r="E141" s="139">
        <f>E140</f>
        <v>1.1092493750000001</v>
      </c>
      <c r="G141" s="128" t="s">
        <v>394</v>
      </c>
      <c r="H141" s="128">
        <f>H140-FUSELAGE_w_aisle_YC-SEAT_w_cushion_YC</f>
        <v>-0.51000000000000023</v>
      </c>
      <c r="I141" s="139">
        <f>I140</f>
        <v>1.1092493750000001</v>
      </c>
      <c r="K141" s="128" t="s">
        <v>394</v>
      </c>
      <c r="L141" s="128">
        <f t="shared" si="30"/>
        <v>-0.50999999999999979</v>
      </c>
      <c r="M141" s="139">
        <f t="shared" si="30"/>
        <v>1.1092493750000001</v>
      </c>
      <c r="O141" s="200" t="s">
        <v>275</v>
      </c>
      <c r="P141">
        <f>D86</f>
        <v>1.3099999999999998</v>
      </c>
      <c r="BB141" s="157"/>
    </row>
    <row r="142" spans="2:54">
      <c r="B142" s="156"/>
      <c r="C142" s="128" t="s">
        <v>49</v>
      </c>
      <c r="D142" s="128">
        <f>-FUSELAGE_y_position_of_left_seat_YC+(FUSELAGE_nseats_left_YC-1)*(SEAT_w_cushion_YC+SEAT_w_armrest_YC)</f>
        <v>-0.50999999999999979</v>
      </c>
      <c r="E142" s="139">
        <f>E138</f>
        <v>0.63472937499999993</v>
      </c>
      <c r="G142" s="128" t="s">
        <v>454</v>
      </c>
      <c r="H142" s="128">
        <f>H141</f>
        <v>-0.51000000000000023</v>
      </c>
      <c r="I142" s="139">
        <f>I138</f>
        <v>0.63472937499999993</v>
      </c>
      <c r="K142" s="128" t="s">
        <v>454</v>
      </c>
      <c r="L142" s="128">
        <f t="shared" si="30"/>
        <v>-0.50999999999999979</v>
      </c>
      <c r="M142" s="139">
        <f t="shared" si="30"/>
        <v>0.63472937499999993</v>
      </c>
      <c r="BB142" s="157"/>
    </row>
    <row r="143" spans="2:54" ht="15" thickBot="1">
      <c r="B143" s="156"/>
      <c r="C143" s="130" t="s">
        <v>453</v>
      </c>
      <c r="D143" s="130">
        <f>-D138</f>
        <v>-1.3547343545691899</v>
      </c>
      <c r="E143" s="140">
        <f>E138</f>
        <v>0.63472937499999993</v>
      </c>
      <c r="G143" s="128" t="s">
        <v>507</v>
      </c>
      <c r="H143" s="128">
        <f>H141-(FUSELAGE_nseats_middle_YC-1)*(SEAT_w_cushion_YC+SEAT_w_armrest_YC)</f>
        <v>4.9999999999999822E-2</v>
      </c>
      <c r="I143" s="139">
        <f>I138</f>
        <v>0.63472937499999993</v>
      </c>
      <c r="K143" s="128" t="s">
        <v>507</v>
      </c>
      <c r="L143" s="128">
        <f t="shared" si="30"/>
        <v>-1.3547343545691899</v>
      </c>
      <c r="M143" s="139">
        <f t="shared" si="30"/>
        <v>0.63472937499999993</v>
      </c>
      <c r="BB143" s="157"/>
    </row>
    <row r="144" spans="2:54">
      <c r="B144" s="156"/>
      <c r="C144" s="171"/>
      <c r="D144" s="171"/>
      <c r="E144" s="1"/>
      <c r="F144" s="157"/>
      <c r="G144" s="128" t="s">
        <v>455</v>
      </c>
      <c r="H144" s="128">
        <f>H143</f>
        <v>4.9999999999999822E-2</v>
      </c>
      <c r="I144" s="139">
        <f>I140</f>
        <v>1.1092493750000001</v>
      </c>
      <c r="K144" s="128" t="s">
        <v>455</v>
      </c>
      <c r="L144" s="128">
        <f>IF(FUSELAGE_use_central_hatrack,H144,$D$143)</f>
        <v>-1.3547343545691899</v>
      </c>
      <c r="M144" s="139">
        <f>IF(FUSELAGE_use_central_hatrack,I144,$E$143)</f>
        <v>0.63472937499999993</v>
      </c>
      <c r="BB144" s="157"/>
    </row>
    <row r="145" spans="2:54">
      <c r="B145" s="156"/>
      <c r="E145" s="1"/>
      <c r="G145" s="128" t="s">
        <v>522</v>
      </c>
      <c r="H145" s="128">
        <f>-FUSELAGE_y_position_of_left_seat_YC+(FUSELAGE_nseats_left_YC-1)*(SEAT_w_cushion_YC+SEAT_w_armrest_YC)</f>
        <v>-0.50999999999999979</v>
      </c>
      <c r="I145" s="139">
        <f>I140</f>
        <v>1.1092493750000001</v>
      </c>
      <c r="K145" s="128" t="s">
        <v>522</v>
      </c>
      <c r="L145" s="128">
        <f>IF(FUSELAGE_use_central_hatrack,H145,$D$143)</f>
        <v>-1.3547343545691899</v>
      </c>
      <c r="M145" s="139">
        <f>IF(FUSELAGE_use_central_hatrack,I145,$E$143)</f>
        <v>0.63472937499999993</v>
      </c>
      <c r="BB145" s="157"/>
    </row>
    <row r="146" spans="2:54">
      <c r="B146" s="156"/>
      <c r="E146" s="1"/>
      <c r="G146" s="128" t="s">
        <v>49</v>
      </c>
      <c r="H146" s="128">
        <f>-FUSELAGE_y_position_of_left_seat_YC+(FUSELAGE_nseats_left_YC-1)*(SEAT_w_cushion_YC+SEAT_w_armrest_YC)</f>
        <v>-0.50999999999999979</v>
      </c>
      <c r="I146" s="139">
        <f>I138</f>
        <v>0.63472937499999993</v>
      </c>
      <c r="K146" s="128" t="s">
        <v>49</v>
      </c>
      <c r="L146" s="128">
        <f>IF(FUSELAGE_use_central_hatrack,H146,$D$143)</f>
        <v>-1.3547343545691899</v>
      </c>
      <c r="M146" s="139">
        <f>IF(FUSELAGE_use_central_hatrack,I146,$E$143)</f>
        <v>0.63472937499999993</v>
      </c>
      <c r="BB146" s="157"/>
    </row>
    <row r="147" spans="2:54" ht="15" thickBot="1">
      <c r="B147" s="156"/>
      <c r="E147" s="1"/>
      <c r="G147" s="130" t="s">
        <v>453</v>
      </c>
      <c r="H147" s="130">
        <f>-H138</f>
        <v>-1.3547343545691899</v>
      </c>
      <c r="I147" s="140">
        <f>I138</f>
        <v>0.63472937499999993</v>
      </c>
      <c r="K147" s="130" t="s">
        <v>453</v>
      </c>
      <c r="L147" s="130">
        <f>IF(FUSELAGE_use_central_hatrack,H147,$D$143)</f>
        <v>-1.3547343545691899</v>
      </c>
      <c r="M147" s="140">
        <f>IF(FUSELAGE_use_central_hatrack,I147,$E$143)</f>
        <v>0.63472937499999993</v>
      </c>
      <c r="BB147" s="157"/>
    </row>
    <row r="148" spans="2:54">
      <c r="B148" s="156"/>
      <c r="E148" s="1"/>
      <c r="BB148" s="157"/>
    </row>
    <row r="149" spans="2:54">
      <c r="B149" s="156"/>
      <c r="BB149" s="157"/>
    </row>
    <row r="150" spans="2:54">
      <c r="B150" s="156"/>
      <c r="BB150" s="157"/>
    </row>
    <row r="151" spans="2:54">
      <c r="B151" s="156"/>
      <c r="C151" t="s">
        <v>492</v>
      </c>
      <c r="D151">
        <f>FUSELAGE_y_position_of_left_seat_YC-(FUSELAGE_nseats_right_YC-1)*SEAT_w_armrest_YC-(FUSELAGE_nseats_right_YC-1/2)*SEAT_w_cushion_YC + (FUSELAGE_n_aisles-2)*FUSELAGE_w_aisle_YC/2+FUSELAGE_Δyrails_right</f>
        <v>0.4599999999999998</v>
      </c>
      <c r="G151" t="s">
        <v>630</v>
      </c>
      <c r="H151" t="b">
        <f>IF(FUSELAGE_use_side_seatrails,IF(G154=FUSELAGE_nrails_right,TRUE(),IF(G154=(FUSELAGE_nrails_right+FUSELAGE_nrails_middle+FUSELAGE_nrails_left),TRUE(),FALSE())))</f>
        <v>0</v>
      </c>
      <c r="K151" t="s">
        <v>630</v>
      </c>
      <c r="L151" t="b">
        <f>IF(FUSELAGE_use_side_seatrails,IF(K154=FUSELAGE_nrails_right,TRUE(),IF(K154=(FUSELAGE_nrails_right+FUSELAGE_nrails_middle+FUSELAGE_nrails_left),TRUE(),FALSE())))</f>
        <v>0</v>
      </c>
      <c r="O151" t="s">
        <v>630</v>
      </c>
      <c r="P151" t="b">
        <f>IF(FUSELAGE_use_side_seatrails,IF(O154=FUSELAGE_nrails_right,TRUE(),IF(O154=(FUSELAGE_nrails_right+FUSELAGE_nrails_middle+FUSELAGE_nrails_left),TRUE(),FALSE())))</f>
        <v>0</v>
      </c>
      <c r="S151" t="s">
        <v>630</v>
      </c>
      <c r="T151" t="b">
        <f>IF(FUSELAGE_use_side_seatrails,IF(S154=FUSELAGE_nrails_right,TRUE(),IF(S154=(FUSELAGE_nrails_right+FUSELAGE_nrails_middle+FUSELAGE_nrails_left),TRUE(),FALSE())))</f>
        <v>0</v>
      </c>
      <c r="W151" t="s">
        <v>630</v>
      </c>
      <c r="X151" t="b">
        <f>IF(FUSELAGE_use_side_seatrails,IF(W154=FUSELAGE_nrails_right,TRUE(),IF(W154=(FUSELAGE_nrails_right+FUSELAGE_nrails_middle+FUSELAGE_nrails_left),TRUE(),FALSE())))</f>
        <v>0</v>
      </c>
      <c r="AA151" t="s">
        <v>630</v>
      </c>
      <c r="AB151" t="b">
        <f>IF(FUSELAGE_use_side_seatrails,IF(AA154=FUSELAGE_nrails_right,TRUE(),IF(AA154=(FUSELAGE_nrails_right+FUSELAGE_nrails_middle+FUSELAGE_nrails_left),TRUE(),FALSE())))</f>
        <v>0</v>
      </c>
      <c r="AE151" t="s">
        <v>630</v>
      </c>
      <c r="AF151" t="b">
        <f>IF(FUSELAGE_use_side_seatrails,IF(AE154=FUSELAGE_nrails_right,TRUE(),IF(AE154=(FUSELAGE_nrails_right+FUSELAGE_nrails_middle+FUSELAGE_nrails_left),TRUE(),FALSE())))</f>
        <v>0</v>
      </c>
      <c r="AI151" t="s">
        <v>630</v>
      </c>
      <c r="AJ151" t="b">
        <f>IF(FUSELAGE_use_side_seatrails,IF(AI154=FUSELAGE_nrails_right,TRUE(),IF(AI154=(FUSELAGE_nrails_right+FUSELAGE_nrails_middle+FUSELAGE_nrails_left),TRUE(),FALSE())))</f>
        <v>0</v>
      </c>
      <c r="AM151" t="s">
        <v>630</v>
      </c>
      <c r="AN151" t="b">
        <f>IF(FUSELAGE_use_side_seatrails,IF(AM154=FUSELAGE_nrails_right,TRUE(),IF(AM154=(FUSELAGE_nrails_right+FUSELAGE_nrails_middle+FUSELAGE_nrails_left),TRUE(),FALSE())))</f>
        <v>0</v>
      </c>
      <c r="AQ151" t="s">
        <v>630</v>
      </c>
      <c r="AR151" t="b">
        <f>IF(FUSELAGE_use_side_seatrails,IF(AQ154=FUSELAGE_nrails_right,TRUE(),IF(AQ154=(FUSELAGE_nrails_right+FUSELAGE_nrails_middle+FUSELAGE_nrails_left),TRUE(),FALSE())))</f>
        <v>0</v>
      </c>
      <c r="AU151" t="s">
        <v>633</v>
      </c>
      <c r="AV151">
        <f>IF(FUSELAGE_use_side_seatrails,FUSELAGE_hside_seatrail-FUSELAGE_Dz_floor,8888)</f>
        <v>8888</v>
      </c>
      <c r="AY151" t="s">
        <v>633</v>
      </c>
      <c r="AZ151">
        <f>IF(FUSELAGE_use_side_seatrails,FUSELAGE_hside_seatrail-FUSELAGE_Dz_floor,8888)</f>
        <v>8888</v>
      </c>
      <c r="BB151" s="157"/>
    </row>
    <row r="152" spans="2:54">
      <c r="B152" s="156"/>
      <c r="C152" t="s">
        <v>493</v>
      </c>
      <c r="D152">
        <f>(FUSELAGE_nrails_middle-1)*FUSELAGE_drails_middle/2</f>
        <v>-0.23</v>
      </c>
      <c r="G152" t="s">
        <v>500</v>
      </c>
      <c r="H152">
        <f>IF(H151=TRUE(), 8888, LOOKUP(G154,$C$156:$C$165,$E$156:$E$165))</f>
        <v>0.4599999999999998</v>
      </c>
      <c r="K152" t="s">
        <v>500</v>
      </c>
      <c r="L152">
        <f>IF(L151=TRUE(), 8888, LOOKUP(K154,$C$156:$C$165,$E$156:$E$165))</f>
        <v>1.1199999999999999</v>
      </c>
      <c r="O152" t="s">
        <v>500</v>
      </c>
      <c r="P152">
        <f>IF(P151=TRUE(), 8888, LOOKUP(O154,$C$156:$C$165,$E$156:$E$165))</f>
        <v>-0.46000000000000024</v>
      </c>
      <c r="S152" t="s">
        <v>500</v>
      </c>
      <c r="T152">
        <f>IF(T151=TRUE(), 8888, LOOKUP(S154,$C$156:$C$165,$E$156:$E$165))</f>
        <v>-1.1200000000000003</v>
      </c>
      <c r="W152" t="s">
        <v>500</v>
      </c>
      <c r="X152">
        <f>IF(X151=TRUE(), 8888, LOOKUP(W154,$C$156:$C$165,$E$156:$E$165))</f>
        <v>8888</v>
      </c>
      <c r="AA152" t="s">
        <v>500</v>
      </c>
      <c r="AB152">
        <f>IF(AB151=TRUE(), 8888, LOOKUP(AA154,$C$156:$C$165,$E$156:$E$165))</f>
        <v>8888</v>
      </c>
      <c r="AE152" t="s">
        <v>500</v>
      </c>
      <c r="AF152">
        <f>IF(AF151=TRUE(), 8888, LOOKUP(AE154,$C$156:$C$165,$E$156:$E$165))</f>
        <v>8888</v>
      </c>
      <c r="AI152" t="s">
        <v>500</v>
      </c>
      <c r="AJ152">
        <f>IF(AJ151=TRUE(), 8888, LOOKUP(AI154,$C$156:$C$165,$E$156:$E$165))</f>
        <v>8888</v>
      </c>
      <c r="AM152" t="s">
        <v>500</v>
      </c>
      <c r="AN152">
        <f>IF(AN151=TRUE(), 8888, LOOKUP(AM154,$C$156:$C$165,$E$156:$E$165))</f>
        <v>8888</v>
      </c>
      <c r="AQ152" t="s">
        <v>500</v>
      </c>
      <c r="AR152">
        <f>IF(AR151=TRUE(), 8888, LOOKUP(AQ154,$C$156:$C$165,$E$156:$E$165))</f>
        <v>8888</v>
      </c>
      <c r="AU152" t="s">
        <v>500</v>
      </c>
      <c r="AV152">
        <f>IF(FUSELAGE_use_side_seatrails,FUSELAGE_a_ellipse * SQRT(1-AV151^2/FUSELAGE_b_ellipse^2),8888)</f>
        <v>8888</v>
      </c>
      <c r="AY152" t="s">
        <v>500</v>
      </c>
      <c r="AZ152">
        <f>IF(FUSELAGE_use_side_seatrails,-FUSELAGE_a_ellipse * SQRT(1-AZ151^2/FUSELAGE_b_ellipse^2),8888)</f>
        <v>8888</v>
      </c>
      <c r="BB152" s="157"/>
    </row>
    <row r="153" spans="2:54" ht="15" thickBot="1">
      <c r="B153" s="156"/>
      <c r="C153" t="s">
        <v>494</v>
      </c>
      <c r="D153">
        <f>IF(FUSELAGE_n_aisles=1,FUSELAGE_y_position_of_left_seat_YC-(FUSELAGE_nseats_right_YC-1)*SEAT_w_armrest_YC-(FUSELAGE_nseats_right_YC-1/2)*SEAT_w_cushion_YC-FUSELAGE_w_aisle_YC/2- FUSELAGE_Δyrails_left,FUSELAGE_y_position_of_left_seat_YC-(FUSELAGE_nseats_right_YC-1)*SEAT_w_armrest_YC-(FUSELAGE_nseats_right_YC-1/2)*SEAT_w_cushion_YC + (FUSELAGE_n_aisles-2)*FUSELAGE_w_aisle_YC/2+-FUSELAGE_nseats_middle_YC*SEAT_w_cushion_YC- (FUSELAGE_nseats_middle_YC)* SEAT_w_armrest_YC- 2*FUSELAGE_w_aisle_YC - FUSELAGE_Δyrails_left)</f>
        <v>-0.46000000000000024</v>
      </c>
      <c r="G153" t="s">
        <v>269</v>
      </c>
      <c r="H153" t="b">
        <f ca="1">OR(AND(H152&gt;$P$136,H152&lt;$P$137),AND(H152&gt;$P$138,H152&lt;$P$139),AND(H152&gt;$P$140,H152&lt;$P$141))</f>
        <v>1</v>
      </c>
      <c r="K153" t="s">
        <v>269</v>
      </c>
      <c r="L153" t="b">
        <f ca="1">OR(AND(L152&gt;$P$136,L152&lt;$P$137),AND(L152&gt;$P$138,L152&lt;$P$139),AND(L152&gt;$P$140,L152&lt;$P$141))</f>
        <v>1</v>
      </c>
      <c r="O153" t="s">
        <v>269</v>
      </c>
      <c r="P153" t="b">
        <f ca="1">OR(AND(P152&gt;$P$136,P152&lt;$P$137),AND(P152&gt;$P$138,P152&lt;$P$139),AND(P152&gt;$P$140,P152&lt;$P$141))</f>
        <v>0</v>
      </c>
      <c r="S153" t="s">
        <v>269</v>
      </c>
      <c r="T153" t="b">
        <f ca="1">OR(AND(T152&gt;$P$136,T152&lt;$P$137),AND(T152&gt;$P$138,T152&lt;$P$139),AND(T152&gt;$P$140,T152&lt;$P$141))</f>
        <v>1</v>
      </c>
      <c r="W153" t="s">
        <v>269</v>
      </c>
      <c r="X153" t="b">
        <f ca="1">OR(AND(X152&gt;$P$136,X152&lt;$P$137),AND(X152&gt;$P$138,X152&lt;$P$139),AND(X152&gt;$P$140,X152&lt;$P$141))</f>
        <v>0</v>
      </c>
      <c r="AA153" t="s">
        <v>269</v>
      </c>
      <c r="AB153" t="b">
        <f ca="1">OR(AND(AB152&gt;$P$136,AB152&lt;$P$137),AND(AB152&gt;$P$138,AB152&lt;$P$139),AND(AB152&gt;$P$140,AB152&lt;$P$141))</f>
        <v>0</v>
      </c>
      <c r="AE153" t="s">
        <v>269</v>
      </c>
      <c r="AF153" t="b">
        <f ca="1">OR(AND(AF152&gt;$P$136,AF152&lt;$P$137),AND(AF152&gt;$P$138,AF152&lt;$P$139),AND(AF152&gt;$P$140,AF152&lt;$P$141))</f>
        <v>0</v>
      </c>
      <c r="AI153" t="s">
        <v>269</v>
      </c>
      <c r="AJ153" t="b">
        <f ca="1">OR(AND(AJ152&gt;$P$136,AJ152&lt;$P$137),AND(AJ152&gt;$P$138,AJ152&lt;$P$139),AND(AJ152&gt;$P$140,AJ152&lt;$P$141))</f>
        <v>0</v>
      </c>
      <c r="AM153" t="s">
        <v>269</v>
      </c>
      <c r="AN153" t="b">
        <f ca="1">OR(AND(AN152&gt;$P$136,AN152&lt;$P$137),AND(AN152&gt;$P$138,AN152&lt;$P$139),AND(AN152&gt;$P$140,AN152&lt;$P$141))</f>
        <v>0</v>
      </c>
      <c r="AQ153" t="s">
        <v>269</v>
      </c>
      <c r="AR153" t="b">
        <f ca="1">OR(AND(AR152&gt;$P$136,AR152&lt;$P$137),AND(AR152&gt;$P$138,AR152&lt;$P$139),AND(AR152&gt;$P$140,AR152&lt;$P$141))</f>
        <v>0</v>
      </c>
      <c r="AU153" t="s">
        <v>636</v>
      </c>
      <c r="AV153">
        <f>IF(FUSELAGE_use_side_seatrails,ASIN(AV151/FUSELAGE_b_ellipse),8888)</f>
        <v>8888</v>
      </c>
      <c r="AY153" t="s">
        <v>636</v>
      </c>
      <c r="AZ153">
        <f>IF(FUSELAGE_use_side_seatrails,ASIN(-AZ151/FUSELAGE_b_ellipse)-PI(),8888)</f>
        <v>8888</v>
      </c>
      <c r="BB153" s="157"/>
    </row>
    <row r="154" spans="2:54" ht="15" thickBot="1">
      <c r="B154" s="156"/>
      <c r="C154" s="141"/>
      <c r="D154" s="326" t="s">
        <v>690</v>
      </c>
      <c r="E154" s="327"/>
      <c r="G154" s="141">
        <v>1</v>
      </c>
      <c r="H154" s="326" t="str">
        <f>"Seatrail n°" &amp; G154</f>
        <v>Seatrail n°1</v>
      </c>
      <c r="I154" s="327"/>
      <c r="K154" s="141">
        <f>G154+1</f>
        <v>2</v>
      </c>
      <c r="L154" s="326" t="str">
        <f>"Seatrail n°" &amp; K154</f>
        <v>Seatrail n°2</v>
      </c>
      <c r="M154" s="327"/>
      <c r="O154" s="141">
        <f>K154+1</f>
        <v>3</v>
      </c>
      <c r="P154" s="326" t="str">
        <f>"Seatrail n°" &amp; O154</f>
        <v>Seatrail n°3</v>
      </c>
      <c r="Q154" s="327"/>
      <c r="S154" s="141">
        <f>O154+1</f>
        <v>4</v>
      </c>
      <c r="T154" s="326" t="str">
        <f>"Seatrail n°" &amp; S154</f>
        <v>Seatrail n°4</v>
      </c>
      <c r="U154" s="327"/>
      <c r="W154" s="141">
        <f>S154+1</f>
        <v>5</v>
      </c>
      <c r="X154" s="326" t="str">
        <f>"Seatrail n°" &amp; W154</f>
        <v>Seatrail n°5</v>
      </c>
      <c r="Y154" s="327"/>
      <c r="AA154" s="141">
        <f>W154+1</f>
        <v>6</v>
      </c>
      <c r="AB154" s="326" t="str">
        <f>"Seatrail n°" &amp; AA154</f>
        <v>Seatrail n°6</v>
      </c>
      <c r="AC154" s="327"/>
      <c r="AE154" s="141">
        <f>AA154+1</f>
        <v>7</v>
      </c>
      <c r="AF154" s="326" t="str">
        <f>"Seatrail n°" &amp; AE154</f>
        <v>Seatrail n°7</v>
      </c>
      <c r="AG154" s="327"/>
      <c r="AI154" s="141">
        <f>AE154+1</f>
        <v>8</v>
      </c>
      <c r="AJ154" s="326" t="str">
        <f>"Seatrail n°" &amp; AI154</f>
        <v>Seatrail n°8</v>
      </c>
      <c r="AK154" s="327"/>
      <c r="AM154" s="141">
        <f>AI154+1</f>
        <v>9</v>
      </c>
      <c r="AN154" s="326" t="str">
        <f>"Seatrail n°" &amp; AM154</f>
        <v>Seatrail n°9</v>
      </c>
      <c r="AO154" s="327"/>
      <c r="AQ154" s="141">
        <v>10</v>
      </c>
      <c r="AR154" s="326" t="str">
        <f>"Seatrail n°" &amp; AQ154</f>
        <v>Seatrail n°10</v>
      </c>
      <c r="AS154" s="327"/>
      <c r="AU154" s="141">
        <v>1</v>
      </c>
      <c r="AV154" s="326" t="s">
        <v>634</v>
      </c>
      <c r="AW154" s="327"/>
      <c r="AY154" s="141">
        <v>2</v>
      </c>
      <c r="AZ154" s="326" t="s">
        <v>635</v>
      </c>
      <c r="BA154" s="327"/>
      <c r="BB154" s="157"/>
    </row>
    <row r="155" spans="2:54" ht="15" thickBot="1">
      <c r="B155" s="156"/>
      <c r="C155" s="136" t="s">
        <v>691</v>
      </c>
      <c r="D155" s="136" t="s">
        <v>406</v>
      </c>
      <c r="E155" s="138" t="s">
        <v>692</v>
      </c>
      <c r="G155" s="136" t="s">
        <v>452</v>
      </c>
      <c r="H155" s="136" t="s">
        <v>384</v>
      </c>
      <c r="I155" s="138" t="s">
        <v>385</v>
      </c>
      <c r="K155" s="136" t="s">
        <v>452</v>
      </c>
      <c r="L155" s="136" t="s">
        <v>384</v>
      </c>
      <c r="M155" s="138" t="s">
        <v>385</v>
      </c>
      <c r="O155" s="136" t="s">
        <v>452</v>
      </c>
      <c r="P155" s="136" t="s">
        <v>384</v>
      </c>
      <c r="Q155" s="138" t="s">
        <v>385</v>
      </c>
      <c r="S155" s="136" t="s">
        <v>452</v>
      </c>
      <c r="T155" s="136" t="s">
        <v>384</v>
      </c>
      <c r="U155" s="138" t="s">
        <v>385</v>
      </c>
      <c r="W155" s="136" t="s">
        <v>452</v>
      </c>
      <c r="X155" s="136" t="s">
        <v>384</v>
      </c>
      <c r="Y155" s="138" t="s">
        <v>385</v>
      </c>
      <c r="AA155" s="136" t="s">
        <v>452</v>
      </c>
      <c r="AB155" s="136" t="s">
        <v>384</v>
      </c>
      <c r="AC155" s="138" t="s">
        <v>385</v>
      </c>
      <c r="AE155" s="136" t="s">
        <v>452</v>
      </c>
      <c r="AF155" s="136" t="s">
        <v>384</v>
      </c>
      <c r="AG155" s="138" t="s">
        <v>385</v>
      </c>
      <c r="AI155" s="136" t="s">
        <v>452</v>
      </c>
      <c r="AJ155" s="136" t="s">
        <v>384</v>
      </c>
      <c r="AK155" s="138" t="s">
        <v>385</v>
      </c>
      <c r="AM155" s="136" t="s">
        <v>452</v>
      </c>
      <c r="AN155" s="136" t="s">
        <v>384</v>
      </c>
      <c r="AO155" s="138" t="s">
        <v>385</v>
      </c>
      <c r="AQ155" s="136" t="s">
        <v>452</v>
      </c>
      <c r="AR155" s="136" t="s">
        <v>384</v>
      </c>
      <c r="AS155" s="138" t="s">
        <v>385</v>
      </c>
      <c r="AU155" s="136" t="s">
        <v>452</v>
      </c>
      <c r="AV155" s="136" t="s">
        <v>384</v>
      </c>
      <c r="AW155" s="138" t="s">
        <v>385</v>
      </c>
      <c r="AY155" s="136" t="s">
        <v>452</v>
      </c>
      <c r="AZ155" s="136" t="s">
        <v>384</v>
      </c>
      <c r="BA155" s="138" t="s">
        <v>385</v>
      </c>
      <c r="BB155" s="157"/>
    </row>
    <row r="156" spans="2:54">
      <c r="B156" s="156"/>
      <c r="C156" s="128">
        <v>1</v>
      </c>
      <c r="D156" s="159" t="str">
        <f t="shared" ref="D156:D165" si="31">IF(C156&lt;=FUSELAGE_nrails_right,"Right",IF(C156&lt;=(FUSELAGE_nrails_right+FUSELAGE_nrails_middle),"Middle",IF(C156&lt;=(FUSELAGE_nrails_right+FUSELAGE_nrails_middle+FUSELAGE_nrails_left),"Left","None")))</f>
        <v>Right</v>
      </c>
      <c r="E156" s="159">
        <f t="shared" ref="E156:E165" si="32">IF(D156="Right",$D$151 + (C156-1)*FUSELAGE_drails_right,IF(D156="Middle",$D$152- (C156-FUSELAGE_nrails_right-1)*FUSELAGE_drails_middle,IF(D156="Left",$D$153- (C156-FUSELAGE_nrails_right-FUSELAGE_nrails_middle-1)*FUSELAGE_drails_left,8888)))</f>
        <v>0.4599999999999998</v>
      </c>
      <c r="G156" s="128" t="s">
        <v>396</v>
      </c>
      <c r="H156" s="158">
        <f>H$152-$D$167/2</f>
        <v>0.40999999999999981</v>
      </c>
      <c r="I156" s="160">
        <f>-FUSELAGE_Dz_floor-$D$172-$D$170</f>
        <v>-0.80275062499999994</v>
      </c>
      <c r="K156" s="128" t="s">
        <v>396</v>
      </c>
      <c r="L156" s="158">
        <f>L$152-$D$167/2</f>
        <v>1.0699999999999998</v>
      </c>
      <c r="M156" s="160">
        <f>-FUSELAGE_Dz_floor-$D$172-$D$170</f>
        <v>-0.80275062499999994</v>
      </c>
      <c r="O156" s="128" t="s">
        <v>396</v>
      </c>
      <c r="P156" s="158">
        <f>P$152-$D$167/2</f>
        <v>-0.51000000000000023</v>
      </c>
      <c r="Q156" s="160">
        <f>-FUSELAGE_Dz_floor-$D$172-$D$170</f>
        <v>-0.80275062499999994</v>
      </c>
      <c r="S156" s="128" t="s">
        <v>396</v>
      </c>
      <c r="T156" s="158">
        <f>T$152-$D$167/2</f>
        <v>-1.1700000000000004</v>
      </c>
      <c r="U156" s="160">
        <f>-FUSELAGE_Dz_floor-$D$172-$D$170</f>
        <v>-0.80275062499999994</v>
      </c>
      <c r="W156" s="128" t="s">
        <v>396</v>
      </c>
      <c r="X156" s="158">
        <f>X$152-$D$167/2</f>
        <v>8887.9500000000007</v>
      </c>
      <c r="Y156" s="160">
        <f>-FUSELAGE_Dz_floor-$D$172-$D$170</f>
        <v>-0.80275062499999994</v>
      </c>
      <c r="AA156" s="128" t="s">
        <v>396</v>
      </c>
      <c r="AB156" s="158">
        <f>AB$152-$D$167/2</f>
        <v>8887.9500000000007</v>
      </c>
      <c r="AC156" s="160">
        <f>-FUSELAGE_Dz_floor-$D$172-$D$170</f>
        <v>-0.80275062499999994</v>
      </c>
      <c r="AE156" s="128" t="s">
        <v>396</v>
      </c>
      <c r="AF156" s="158">
        <f>AF$152-$D$167/2</f>
        <v>8887.9500000000007</v>
      </c>
      <c r="AG156" s="160">
        <f>-FUSELAGE_Dz_floor-$D$172-$D$170</f>
        <v>-0.80275062499999994</v>
      </c>
      <c r="AI156" s="128" t="s">
        <v>396</v>
      </c>
      <c r="AJ156" s="158">
        <f>AJ$152-$D$167/2</f>
        <v>8887.9500000000007</v>
      </c>
      <c r="AK156" s="160">
        <f>-FUSELAGE_Dz_floor-$D$172-$D$170</f>
        <v>-0.80275062499999994</v>
      </c>
      <c r="AM156" s="128" t="s">
        <v>396</v>
      </c>
      <c r="AN156" s="158">
        <f>AN$152-$D$167/2</f>
        <v>8887.9500000000007</v>
      </c>
      <c r="AO156" s="160">
        <f>-FUSELAGE_Dz_floor-$D$172-$D$170</f>
        <v>-0.80275062499999994</v>
      </c>
      <c r="AQ156" s="128" t="s">
        <v>396</v>
      </c>
      <c r="AR156" s="158">
        <f>AR$152-$D$167/2</f>
        <v>8887.9500000000007</v>
      </c>
      <c r="AS156" s="160">
        <f>-FUSELAGE_Dz_floor-$D$172-$D$170</f>
        <v>-0.80275062499999994</v>
      </c>
      <c r="AU156" s="128" t="s">
        <v>396</v>
      </c>
      <c r="AV156" s="158">
        <f>IF(FUSELAGE_use_side_seatrails,AV152-0.02,8888)</f>
        <v>8888</v>
      </c>
      <c r="AW156" s="160">
        <f>IF(FUSELAGE_use_side_seatrails,-FUSELAGE_b_ellipse*SQRT(1-AV156^2/FUSELAGE_a_ellipse^2),8888)</f>
        <v>8888</v>
      </c>
      <c r="AY156" s="128" t="s">
        <v>396</v>
      </c>
      <c r="AZ156" s="158">
        <f>IF(FUSELAGE_use_side_seatrails,AZ152-0.02,8888)</f>
        <v>8888</v>
      </c>
      <c r="BA156" s="160">
        <f>IF(FUSELAGE_use_side_seatrails,-FUSELAGE_b_ellipse*SQRT(1-AZ156^2/FUSELAGE_a_ellipse^2),8888)</f>
        <v>8888</v>
      </c>
      <c r="BB156" s="157"/>
    </row>
    <row r="157" spans="2:54">
      <c r="B157" s="156"/>
      <c r="C157" s="128">
        <v>2</v>
      </c>
      <c r="D157" s="143" t="str">
        <f t="shared" si="31"/>
        <v>Right</v>
      </c>
      <c r="E157" s="139">
        <f t="shared" si="32"/>
        <v>1.1199999999999999</v>
      </c>
      <c r="G157" s="128" t="s">
        <v>213</v>
      </c>
      <c r="H157" s="128">
        <f>H$152-$D$174/2</f>
        <v>0.4589999999999998</v>
      </c>
      <c r="I157" s="139">
        <f>-FUSELAGE_Dz_floor-$D$172-$D$170</f>
        <v>-0.80275062499999994</v>
      </c>
      <c r="K157" s="128" t="s">
        <v>213</v>
      </c>
      <c r="L157" s="128">
        <f>L$152-$D$174/2</f>
        <v>1.119</v>
      </c>
      <c r="M157" s="139">
        <f>-FUSELAGE_Dz_floor-$D$172-$D$170</f>
        <v>-0.80275062499999994</v>
      </c>
      <c r="O157" s="128" t="s">
        <v>213</v>
      </c>
      <c r="P157" s="128">
        <f>P$152-$D$174/2</f>
        <v>-0.46100000000000024</v>
      </c>
      <c r="Q157" s="139">
        <f>-FUSELAGE_Dz_floor-$D$172-$D$170</f>
        <v>-0.80275062499999994</v>
      </c>
      <c r="S157" s="128" t="s">
        <v>213</v>
      </c>
      <c r="T157" s="128">
        <f>T$152-$D$174/2</f>
        <v>-1.1210000000000002</v>
      </c>
      <c r="U157" s="139">
        <f>-FUSELAGE_Dz_floor-$D$172-$D$170</f>
        <v>-0.80275062499999994</v>
      </c>
      <c r="W157" s="128" t="s">
        <v>213</v>
      </c>
      <c r="X157" s="128">
        <f>X$152-$D$174/2</f>
        <v>8887.9989999999998</v>
      </c>
      <c r="Y157" s="139">
        <f>-FUSELAGE_Dz_floor-$D$172-$D$170</f>
        <v>-0.80275062499999994</v>
      </c>
      <c r="AA157" s="128" t="s">
        <v>213</v>
      </c>
      <c r="AB157" s="128">
        <f>AB$152-$D$174/2</f>
        <v>8887.9989999999998</v>
      </c>
      <c r="AC157" s="139">
        <f>-FUSELAGE_Dz_floor-$D$172-$D$170</f>
        <v>-0.80275062499999994</v>
      </c>
      <c r="AE157" s="128" t="s">
        <v>213</v>
      </c>
      <c r="AF157" s="128">
        <f>AF$152-$D$174/2</f>
        <v>8887.9989999999998</v>
      </c>
      <c r="AG157" s="139">
        <f>-FUSELAGE_Dz_floor-$D$172-$D$170</f>
        <v>-0.80275062499999994</v>
      </c>
      <c r="AI157" s="128" t="s">
        <v>213</v>
      </c>
      <c r="AJ157" s="128">
        <f>AJ$152-$D$174/2</f>
        <v>8887.9989999999998</v>
      </c>
      <c r="AK157" s="139">
        <f>-FUSELAGE_Dz_floor-$D$172-$D$170</f>
        <v>-0.80275062499999994</v>
      </c>
      <c r="AM157" s="128" t="s">
        <v>213</v>
      </c>
      <c r="AN157" s="128">
        <f>AN$152-$D$174/2</f>
        <v>8887.9989999999998</v>
      </c>
      <c r="AO157" s="139">
        <f>-FUSELAGE_Dz_floor-$D$172-$D$170</f>
        <v>-0.80275062499999994</v>
      </c>
      <c r="AQ157" s="128" t="s">
        <v>213</v>
      </c>
      <c r="AR157" s="128">
        <f>AR$152-$D$174/2</f>
        <v>8887.9989999999998</v>
      </c>
      <c r="AS157" s="139">
        <f>-FUSELAGE_Dz_floor-$D$172-$D$170</f>
        <v>-0.80275062499999994</v>
      </c>
      <c r="AU157" s="128" t="s">
        <v>213</v>
      </c>
      <c r="AV157" s="128">
        <f>IF(FUSELAGE_use_side_seatrails,AV152+0.02,8888)</f>
        <v>8888</v>
      </c>
      <c r="AW157" s="139">
        <f>IF(FUSELAGE_use_side_seatrails,-FUSELAGE_b_ellipse * SQRT(1-AV157^2/FUSELAGE_a_ellipse^2),8888)</f>
        <v>8888</v>
      </c>
      <c r="AY157" s="128" t="s">
        <v>213</v>
      </c>
      <c r="AZ157" s="128">
        <f>IF(FUSELAGE_use_side_seatrails,AZ152+0.02,8888)</f>
        <v>8888</v>
      </c>
      <c r="BA157" s="139">
        <f>IF(FUSELAGE_use_side_seatrails,-FUSELAGE_b_ellipse * SQRT(1-AZ157^2/FUSELAGE_a_ellipse^2),8888)</f>
        <v>8888</v>
      </c>
      <c r="BB157" s="157"/>
    </row>
    <row r="158" spans="2:54">
      <c r="B158" s="156"/>
      <c r="C158" s="128">
        <v>3</v>
      </c>
      <c r="D158" s="143" t="str">
        <f t="shared" si="31"/>
        <v>Left</v>
      </c>
      <c r="E158" s="139">
        <f t="shared" si="32"/>
        <v>-0.46000000000000024</v>
      </c>
      <c r="G158" s="128" t="s">
        <v>286</v>
      </c>
      <c r="H158" s="128">
        <f>H$152-$D$174/2</f>
        <v>0.4589999999999998</v>
      </c>
      <c r="I158" s="139">
        <f>-FUSELAGE_Dz_floor-$D$172-$D$170-$D$173</f>
        <v>-0.8827506249999999</v>
      </c>
      <c r="K158" s="128" t="s">
        <v>286</v>
      </c>
      <c r="L158" s="128">
        <f>L$152-$D$174/2</f>
        <v>1.119</v>
      </c>
      <c r="M158" s="139">
        <f>-FUSELAGE_Dz_floor-$D$172-$D$170-$D$173</f>
        <v>-0.8827506249999999</v>
      </c>
      <c r="O158" s="128" t="s">
        <v>286</v>
      </c>
      <c r="P158" s="128">
        <f>P$152-$D$174/2</f>
        <v>-0.46100000000000024</v>
      </c>
      <c r="Q158" s="139">
        <f>-FUSELAGE_Dz_floor-$D$172-$D$170-$D$173</f>
        <v>-0.8827506249999999</v>
      </c>
      <c r="S158" s="128" t="s">
        <v>286</v>
      </c>
      <c r="T158" s="128">
        <f>T$152-$D$174/2</f>
        <v>-1.1210000000000002</v>
      </c>
      <c r="U158" s="139">
        <f>-FUSELAGE_Dz_floor-$D$172-$D$170-$D$173</f>
        <v>-0.8827506249999999</v>
      </c>
      <c r="W158" s="128" t="s">
        <v>286</v>
      </c>
      <c r="X158" s="128">
        <f>X$152-$D$174/2</f>
        <v>8887.9989999999998</v>
      </c>
      <c r="Y158" s="139">
        <f>-FUSELAGE_Dz_floor-$D$172-$D$170-$D$173</f>
        <v>-0.8827506249999999</v>
      </c>
      <c r="AA158" s="128" t="s">
        <v>286</v>
      </c>
      <c r="AB158" s="128">
        <f>AB$152-$D$174/2</f>
        <v>8887.9989999999998</v>
      </c>
      <c r="AC158" s="139">
        <f>-FUSELAGE_Dz_floor-$D$172-$D$170-$D$173</f>
        <v>-0.8827506249999999</v>
      </c>
      <c r="AE158" s="128" t="s">
        <v>286</v>
      </c>
      <c r="AF158" s="128">
        <f>AF$152-$D$174/2</f>
        <v>8887.9989999999998</v>
      </c>
      <c r="AG158" s="139">
        <f>-FUSELAGE_Dz_floor-$D$172-$D$170-$D$173</f>
        <v>-0.8827506249999999</v>
      </c>
      <c r="AI158" s="128" t="s">
        <v>286</v>
      </c>
      <c r="AJ158" s="128">
        <f>AJ$152-$D$174/2</f>
        <v>8887.9989999999998</v>
      </c>
      <c r="AK158" s="139">
        <f>-FUSELAGE_Dz_floor-$D$172-$D$170-$D$173</f>
        <v>-0.8827506249999999</v>
      </c>
      <c r="AM158" s="128" t="s">
        <v>286</v>
      </c>
      <c r="AN158" s="128">
        <f>AN$152-$D$174/2</f>
        <v>8887.9989999999998</v>
      </c>
      <c r="AO158" s="139">
        <f>-FUSELAGE_Dz_floor-$D$172-$D$170-$D$173</f>
        <v>-0.8827506249999999</v>
      </c>
      <c r="AQ158" s="128" t="s">
        <v>286</v>
      </c>
      <c r="AR158" s="128">
        <f>AR$152-$D$174/2</f>
        <v>8887.9989999999998</v>
      </c>
      <c r="AS158" s="139">
        <f>-FUSELAGE_Dz_floor-$D$172-$D$170-$D$173</f>
        <v>-0.8827506249999999</v>
      </c>
      <c r="AU158" s="128" t="s">
        <v>286</v>
      </c>
      <c r="AV158" s="128">
        <f>IF(FUSELAGE_use_side_seatrails,AV152,8888)</f>
        <v>8888</v>
      </c>
      <c r="AW158" s="139">
        <f>IF(FUSELAGE_use_side_seatrails,AV151,8888)</f>
        <v>8888</v>
      </c>
      <c r="AY158" s="128" t="s">
        <v>286</v>
      </c>
      <c r="AZ158" s="128">
        <f>IF(FUSELAGE_use_side_seatrails,AZ152,8888)</f>
        <v>8888</v>
      </c>
      <c r="BA158" s="139">
        <f>IF(FUSELAGE_use_side_seatrails,AZ151,8888)</f>
        <v>8888</v>
      </c>
      <c r="BB158" s="157"/>
    </row>
    <row r="159" spans="2:54" ht="15" thickBot="1">
      <c r="B159" s="156"/>
      <c r="C159" s="128">
        <v>4</v>
      </c>
      <c r="D159" s="143" t="str">
        <f t="shared" si="31"/>
        <v>Left</v>
      </c>
      <c r="E159" s="139">
        <f t="shared" si="32"/>
        <v>-1.1200000000000003</v>
      </c>
      <c r="G159" s="128" t="s">
        <v>522</v>
      </c>
      <c r="H159" s="128">
        <f>H$152-$D$168/2</f>
        <v>0.43499999999999978</v>
      </c>
      <c r="I159" s="139">
        <f>-FUSELAGE_Dz_floor-$D$172-$D$170-$D$173</f>
        <v>-0.8827506249999999</v>
      </c>
      <c r="K159" s="128" t="s">
        <v>522</v>
      </c>
      <c r="L159" s="128">
        <f>L$152-$D$168/2</f>
        <v>1.095</v>
      </c>
      <c r="M159" s="139">
        <f>-FUSELAGE_Dz_floor-$D$172-$D$170-$D$173</f>
        <v>-0.8827506249999999</v>
      </c>
      <c r="O159" s="128" t="s">
        <v>522</v>
      </c>
      <c r="P159" s="128">
        <f>P$152-$D$168/2</f>
        <v>-0.48500000000000026</v>
      </c>
      <c r="Q159" s="139">
        <f>-FUSELAGE_Dz_floor-$D$172-$D$170-$D$173</f>
        <v>-0.8827506249999999</v>
      </c>
      <c r="S159" s="128" t="s">
        <v>522</v>
      </c>
      <c r="T159" s="128">
        <f>T$152-$D$168/2</f>
        <v>-1.1450000000000002</v>
      </c>
      <c r="U159" s="139">
        <f>-FUSELAGE_Dz_floor-$D$172-$D$170-$D$173</f>
        <v>-0.8827506249999999</v>
      </c>
      <c r="W159" s="128" t="s">
        <v>522</v>
      </c>
      <c r="X159" s="128">
        <f>X$152-$D$168/2</f>
        <v>8887.9750000000004</v>
      </c>
      <c r="Y159" s="139">
        <f>-FUSELAGE_Dz_floor-$D$172-$D$170-$D$173</f>
        <v>-0.8827506249999999</v>
      </c>
      <c r="AA159" s="128" t="s">
        <v>522</v>
      </c>
      <c r="AB159" s="128">
        <f>AB$152-$D$168/2</f>
        <v>8887.9750000000004</v>
      </c>
      <c r="AC159" s="139">
        <f>-FUSELAGE_Dz_floor-$D$172-$D$170-$D$173</f>
        <v>-0.8827506249999999</v>
      </c>
      <c r="AE159" s="128" t="s">
        <v>522</v>
      </c>
      <c r="AF159" s="128">
        <f>AF$152-$D$168/2</f>
        <v>8887.9750000000004</v>
      </c>
      <c r="AG159" s="139">
        <f>-FUSELAGE_Dz_floor-$D$172-$D$170-$D$173</f>
        <v>-0.8827506249999999</v>
      </c>
      <c r="AI159" s="128" t="s">
        <v>522</v>
      </c>
      <c r="AJ159" s="128">
        <f>AJ$152-$D$168/2</f>
        <v>8887.9750000000004</v>
      </c>
      <c r="AK159" s="139">
        <f>-FUSELAGE_Dz_floor-$D$172-$D$170-$D$173</f>
        <v>-0.8827506249999999</v>
      </c>
      <c r="AM159" s="128" t="s">
        <v>522</v>
      </c>
      <c r="AN159" s="128">
        <f>AN$152-$D$168/2</f>
        <v>8887.9750000000004</v>
      </c>
      <c r="AO159" s="139">
        <f>-FUSELAGE_Dz_floor-$D$172-$D$170-$D$173</f>
        <v>-0.8827506249999999</v>
      </c>
      <c r="AQ159" s="128" t="s">
        <v>522</v>
      </c>
      <c r="AR159" s="128">
        <f>AR$152-$D$168/2</f>
        <v>8887.9750000000004</v>
      </c>
      <c r="AS159" s="139">
        <f>-FUSELAGE_Dz_floor-$D$172-$D$170-$D$173</f>
        <v>-0.8827506249999999</v>
      </c>
      <c r="AU159" s="130" t="s">
        <v>522</v>
      </c>
      <c r="AV159" s="130">
        <f>IF(FUSELAGE_use_side_seatrails,(FUSELAGE_a_ellipse+FUSELAGE_t_fuselage*0.7)*COS(AV153),8888)</f>
        <v>8888</v>
      </c>
      <c r="AW159" s="140">
        <f>IF(FUSELAGE_use_side_seatrails,(FUSELAGE_a_ellipse+FUSELAGE_t_fuselage*0.7)*FUSELAGE_h_w*SIN(AV153),8888)</f>
        <v>8888</v>
      </c>
      <c r="AY159" s="130" t="s">
        <v>522</v>
      </c>
      <c r="AZ159" s="130">
        <f>IF(FUSELAGE_use_side_seatrails,(FUSELAGE_a_ellipse+FUSELAGE_t_fuselage*0.7)*COS(AZ153),8888)</f>
        <v>8888</v>
      </c>
      <c r="BA159" s="140">
        <f>IF(FUSELAGE_use_side_seatrails,(FUSELAGE_a_ellipse+FUSELAGE_t_fuselage*0.7)*FUSELAGE_h_w*SIN(AZ153),8888)</f>
        <v>8888</v>
      </c>
      <c r="BB159" s="157"/>
    </row>
    <row r="160" spans="2:54">
      <c r="B160" s="156"/>
      <c r="C160" s="128">
        <v>5</v>
      </c>
      <c r="D160" s="143" t="str">
        <f t="shared" si="31"/>
        <v>None</v>
      </c>
      <c r="E160" s="139">
        <f t="shared" si="32"/>
        <v>8888</v>
      </c>
      <c r="G160" s="128" t="s">
        <v>49</v>
      </c>
      <c r="H160" s="128">
        <f>H$152-$D$168/2</f>
        <v>0.43499999999999978</v>
      </c>
      <c r="I160" s="139">
        <f>-FUSELAGE_Dz_floor-$D$172-$D$170-$D$173-$D$171</f>
        <v>-0.8867506249999999</v>
      </c>
      <c r="K160" s="128" t="s">
        <v>49</v>
      </c>
      <c r="L160" s="128">
        <f>L$152-$D$168/2</f>
        <v>1.095</v>
      </c>
      <c r="M160" s="139">
        <f>-FUSELAGE_Dz_floor-$D$172-$D$170-$D$173-$D$171</f>
        <v>-0.8867506249999999</v>
      </c>
      <c r="O160" s="128" t="s">
        <v>49</v>
      </c>
      <c r="P160" s="128">
        <f>P$152-$D$168/2</f>
        <v>-0.48500000000000026</v>
      </c>
      <c r="Q160" s="139">
        <f>-FUSELAGE_Dz_floor-$D$172-$D$170-$D$173-$D$171</f>
        <v>-0.8867506249999999</v>
      </c>
      <c r="S160" s="128" t="s">
        <v>49</v>
      </c>
      <c r="T160" s="128">
        <f>T$152-$D$168/2</f>
        <v>-1.1450000000000002</v>
      </c>
      <c r="U160" s="139">
        <f>-FUSELAGE_Dz_floor-$D$172-$D$170-$D$173-$D$171</f>
        <v>-0.8867506249999999</v>
      </c>
      <c r="W160" s="128" t="s">
        <v>49</v>
      </c>
      <c r="X160" s="128">
        <f>X$152-$D$168/2</f>
        <v>8887.9750000000004</v>
      </c>
      <c r="Y160" s="139">
        <f>-FUSELAGE_Dz_floor-$D$172-$D$170-$D$173-$D$171</f>
        <v>-0.8867506249999999</v>
      </c>
      <c r="AA160" s="128" t="s">
        <v>49</v>
      </c>
      <c r="AB160" s="128">
        <f>AB$152-$D$168/2</f>
        <v>8887.9750000000004</v>
      </c>
      <c r="AC160" s="139">
        <f>-FUSELAGE_Dz_floor-$D$172-$D$170-$D$173-$D$171</f>
        <v>-0.8867506249999999</v>
      </c>
      <c r="AE160" s="128" t="s">
        <v>49</v>
      </c>
      <c r="AF160" s="128">
        <f>AF$152-$D$168/2</f>
        <v>8887.9750000000004</v>
      </c>
      <c r="AG160" s="139">
        <f>-FUSELAGE_Dz_floor-$D$172-$D$170-$D$173-$D$171</f>
        <v>-0.8867506249999999</v>
      </c>
      <c r="AI160" s="128" t="s">
        <v>49</v>
      </c>
      <c r="AJ160" s="128">
        <f>AJ$152-$D$168/2</f>
        <v>8887.9750000000004</v>
      </c>
      <c r="AK160" s="139">
        <f>-FUSELAGE_Dz_floor-$D$172-$D$170-$D$173-$D$171</f>
        <v>-0.8867506249999999</v>
      </c>
      <c r="AM160" s="128" t="s">
        <v>49</v>
      </c>
      <c r="AN160" s="128">
        <f>AN$152-$D$168/2</f>
        <v>8887.9750000000004</v>
      </c>
      <c r="AO160" s="139">
        <f>-FUSELAGE_Dz_floor-$D$172-$D$170-$D$173-$D$171</f>
        <v>-0.8867506249999999</v>
      </c>
      <c r="AQ160" s="128" t="s">
        <v>49</v>
      </c>
      <c r="AR160" s="128">
        <f>AR$152-$D$168/2</f>
        <v>8887.9750000000004</v>
      </c>
      <c r="AS160" s="139">
        <f>-FUSELAGE_Dz_floor-$D$172-$D$170-$D$173-$D$171</f>
        <v>-0.8867506249999999</v>
      </c>
      <c r="BB160" s="157"/>
    </row>
    <row r="161" spans="2:54">
      <c r="B161" s="156"/>
      <c r="C161" s="128">
        <v>6</v>
      </c>
      <c r="D161" s="143" t="str">
        <f t="shared" si="31"/>
        <v>None</v>
      </c>
      <c r="E161" s="139">
        <f t="shared" si="32"/>
        <v>8888</v>
      </c>
      <c r="G161" s="128" t="s">
        <v>453</v>
      </c>
      <c r="H161" s="128">
        <f>H$152+$D$168/2</f>
        <v>0.48499999999999982</v>
      </c>
      <c r="I161" s="139">
        <f>-FUSELAGE_Dz_floor-$D$172-$D$170-$D$173-$D$171</f>
        <v>-0.8867506249999999</v>
      </c>
      <c r="K161" s="128" t="s">
        <v>453</v>
      </c>
      <c r="L161" s="128">
        <f>L$152+$D$168/2</f>
        <v>1.1449999999999998</v>
      </c>
      <c r="M161" s="139">
        <f>-FUSELAGE_Dz_floor-$D$172-$D$170-$D$173-$D$171</f>
        <v>-0.8867506249999999</v>
      </c>
      <c r="O161" s="128" t="s">
        <v>453</v>
      </c>
      <c r="P161" s="128">
        <f>P$152+$D$168/2</f>
        <v>-0.43500000000000022</v>
      </c>
      <c r="Q161" s="139">
        <f>-FUSELAGE_Dz_floor-$D$172-$D$170-$D$173-$D$171</f>
        <v>-0.8867506249999999</v>
      </c>
      <c r="S161" s="128" t="s">
        <v>453</v>
      </c>
      <c r="T161" s="128">
        <f>T$152+$D$168/2</f>
        <v>-1.0950000000000004</v>
      </c>
      <c r="U161" s="139">
        <f>-FUSELAGE_Dz_floor-$D$172-$D$170-$D$173-$D$171</f>
        <v>-0.8867506249999999</v>
      </c>
      <c r="W161" s="128" t="s">
        <v>453</v>
      </c>
      <c r="X161" s="128">
        <f>X$152+$D$168/2</f>
        <v>8888.0249999999996</v>
      </c>
      <c r="Y161" s="139">
        <f>-FUSELAGE_Dz_floor-$D$172-$D$170-$D$173-$D$171</f>
        <v>-0.8867506249999999</v>
      </c>
      <c r="AA161" s="128" t="s">
        <v>453</v>
      </c>
      <c r="AB161" s="128">
        <f>AB$152+$D$168/2</f>
        <v>8888.0249999999996</v>
      </c>
      <c r="AC161" s="139">
        <f>-FUSELAGE_Dz_floor-$D$172-$D$170-$D$173-$D$171</f>
        <v>-0.8867506249999999</v>
      </c>
      <c r="AE161" s="128" t="s">
        <v>453</v>
      </c>
      <c r="AF161" s="128">
        <f>AF$152+$D$168/2</f>
        <v>8888.0249999999996</v>
      </c>
      <c r="AG161" s="139">
        <f>-FUSELAGE_Dz_floor-$D$172-$D$170-$D$173-$D$171</f>
        <v>-0.8867506249999999</v>
      </c>
      <c r="AI161" s="128" t="s">
        <v>453</v>
      </c>
      <c r="AJ161" s="128">
        <f>AJ$152+$D$168/2</f>
        <v>8888.0249999999996</v>
      </c>
      <c r="AK161" s="139">
        <f>-FUSELAGE_Dz_floor-$D$172-$D$170-$D$173-$D$171</f>
        <v>-0.8867506249999999</v>
      </c>
      <c r="AM161" s="128" t="s">
        <v>453</v>
      </c>
      <c r="AN161" s="128">
        <f>AN$152+$D$168/2</f>
        <v>8888.0249999999996</v>
      </c>
      <c r="AO161" s="139">
        <f>-FUSELAGE_Dz_floor-$D$172-$D$170-$D$173-$D$171</f>
        <v>-0.8867506249999999</v>
      </c>
      <c r="AQ161" s="128" t="s">
        <v>453</v>
      </c>
      <c r="AR161" s="128">
        <f>AR$152+$D$168/2</f>
        <v>8888.0249999999996</v>
      </c>
      <c r="AS161" s="139">
        <f>-FUSELAGE_Dz_floor-$D$172-$D$170-$D$173-$D$171</f>
        <v>-0.8867506249999999</v>
      </c>
      <c r="BB161" s="157"/>
    </row>
    <row r="162" spans="2:54">
      <c r="B162" s="156"/>
      <c r="C162" s="128">
        <v>7</v>
      </c>
      <c r="D162" s="143" t="str">
        <f t="shared" si="31"/>
        <v>None</v>
      </c>
      <c r="E162" s="139">
        <f t="shared" si="32"/>
        <v>8888</v>
      </c>
      <c r="G162" s="128" t="s">
        <v>394</v>
      </c>
      <c r="H162" s="128">
        <f>H$152+$D$168/2</f>
        <v>0.48499999999999982</v>
      </c>
      <c r="I162" s="139">
        <f>-FUSELAGE_Dz_floor-$D$172-$D$170-$D$173</f>
        <v>-0.8827506249999999</v>
      </c>
      <c r="K162" s="128" t="s">
        <v>394</v>
      </c>
      <c r="L162" s="128">
        <f>L$152+$D$168/2</f>
        <v>1.1449999999999998</v>
      </c>
      <c r="M162" s="139">
        <f>-FUSELAGE_Dz_floor-$D$172-$D$170-$D$173</f>
        <v>-0.8827506249999999</v>
      </c>
      <c r="O162" s="128" t="s">
        <v>394</v>
      </c>
      <c r="P162" s="128">
        <f>P$152+$D$168/2</f>
        <v>-0.43500000000000022</v>
      </c>
      <c r="Q162" s="139">
        <f>-FUSELAGE_Dz_floor-$D$172-$D$170-$D$173</f>
        <v>-0.8827506249999999</v>
      </c>
      <c r="S162" s="128" t="s">
        <v>394</v>
      </c>
      <c r="T162" s="128">
        <f>T$152+$D$168/2</f>
        <v>-1.0950000000000004</v>
      </c>
      <c r="U162" s="139">
        <f>-FUSELAGE_Dz_floor-$D$172-$D$170-$D$173</f>
        <v>-0.8827506249999999</v>
      </c>
      <c r="W162" s="128" t="s">
        <v>394</v>
      </c>
      <c r="X162" s="128">
        <f>X$152+$D$168/2</f>
        <v>8888.0249999999996</v>
      </c>
      <c r="Y162" s="139">
        <f>-FUSELAGE_Dz_floor-$D$172-$D$170-$D$173</f>
        <v>-0.8827506249999999</v>
      </c>
      <c r="AA162" s="128" t="s">
        <v>394</v>
      </c>
      <c r="AB162" s="128">
        <f>AB$152+$D$168/2</f>
        <v>8888.0249999999996</v>
      </c>
      <c r="AC162" s="139">
        <f>-FUSELAGE_Dz_floor-$D$172-$D$170-$D$173</f>
        <v>-0.8827506249999999</v>
      </c>
      <c r="AE162" s="128" t="s">
        <v>394</v>
      </c>
      <c r="AF162" s="128">
        <f>AF$152+$D$168/2</f>
        <v>8888.0249999999996</v>
      </c>
      <c r="AG162" s="139">
        <f>-FUSELAGE_Dz_floor-$D$172-$D$170-$D$173</f>
        <v>-0.8827506249999999</v>
      </c>
      <c r="AI162" s="128" t="s">
        <v>394</v>
      </c>
      <c r="AJ162" s="128">
        <f>AJ$152+$D$168/2</f>
        <v>8888.0249999999996</v>
      </c>
      <c r="AK162" s="139">
        <f>-FUSELAGE_Dz_floor-$D$172-$D$170-$D$173</f>
        <v>-0.8827506249999999</v>
      </c>
      <c r="AM162" s="128" t="s">
        <v>394</v>
      </c>
      <c r="AN162" s="128">
        <f>AN$152+$D$168/2</f>
        <v>8888.0249999999996</v>
      </c>
      <c r="AO162" s="139">
        <f>-FUSELAGE_Dz_floor-$D$172-$D$170-$D$173</f>
        <v>-0.8827506249999999</v>
      </c>
      <c r="AQ162" s="128" t="s">
        <v>394</v>
      </c>
      <c r="AR162" s="128">
        <f>AR$152+$D$168/2</f>
        <v>8888.0249999999996</v>
      </c>
      <c r="AS162" s="139">
        <f>-FUSELAGE_Dz_floor-$D$172-$D$170-$D$173</f>
        <v>-0.8827506249999999</v>
      </c>
      <c r="BB162" s="157"/>
    </row>
    <row r="163" spans="2:54">
      <c r="B163" s="156"/>
      <c r="C163" s="128">
        <v>8</v>
      </c>
      <c r="D163" s="143" t="str">
        <f t="shared" si="31"/>
        <v>None</v>
      </c>
      <c r="E163" s="139">
        <f t="shared" si="32"/>
        <v>8888</v>
      </c>
      <c r="G163" s="128" t="s">
        <v>454</v>
      </c>
      <c r="H163" s="128">
        <f>H$152+$D$174/2</f>
        <v>0.4609999999999998</v>
      </c>
      <c r="I163" s="139">
        <f>-FUSELAGE_Dz_floor-$D$172-$D$170-$D$173</f>
        <v>-0.8827506249999999</v>
      </c>
      <c r="K163" s="128" t="s">
        <v>454</v>
      </c>
      <c r="L163" s="128">
        <f>L$152+$D$174/2</f>
        <v>1.1209999999999998</v>
      </c>
      <c r="M163" s="139">
        <f>-FUSELAGE_Dz_floor-$D$172-$D$170-$D$173</f>
        <v>-0.8827506249999999</v>
      </c>
      <c r="O163" s="128" t="s">
        <v>454</v>
      </c>
      <c r="P163" s="128">
        <f>P$152+$D$174/2</f>
        <v>-0.45900000000000024</v>
      </c>
      <c r="Q163" s="139">
        <f>-FUSELAGE_Dz_floor-$D$172-$D$170-$D$173</f>
        <v>-0.8827506249999999</v>
      </c>
      <c r="S163" s="128" t="s">
        <v>454</v>
      </c>
      <c r="T163" s="128">
        <f>T$152+$D$174/2</f>
        <v>-1.1190000000000004</v>
      </c>
      <c r="U163" s="139">
        <f>-FUSELAGE_Dz_floor-$D$172-$D$170-$D$173</f>
        <v>-0.8827506249999999</v>
      </c>
      <c r="W163" s="128" t="s">
        <v>454</v>
      </c>
      <c r="X163" s="128">
        <f>X$152+$D$174/2</f>
        <v>8888.0010000000002</v>
      </c>
      <c r="Y163" s="139">
        <f>-FUSELAGE_Dz_floor-$D$172-$D$170-$D$173</f>
        <v>-0.8827506249999999</v>
      </c>
      <c r="AA163" s="128" t="s">
        <v>454</v>
      </c>
      <c r="AB163" s="128">
        <f>AB$152+$D$174/2</f>
        <v>8888.0010000000002</v>
      </c>
      <c r="AC163" s="139">
        <f>-FUSELAGE_Dz_floor-$D$172-$D$170-$D$173</f>
        <v>-0.8827506249999999</v>
      </c>
      <c r="AE163" s="128" t="s">
        <v>454</v>
      </c>
      <c r="AF163" s="128">
        <f>AF$152+$D$174/2</f>
        <v>8888.0010000000002</v>
      </c>
      <c r="AG163" s="139">
        <f>-FUSELAGE_Dz_floor-$D$172-$D$170-$D$173</f>
        <v>-0.8827506249999999</v>
      </c>
      <c r="AI163" s="128" t="s">
        <v>454</v>
      </c>
      <c r="AJ163" s="128">
        <f>AJ$152+$D$174/2</f>
        <v>8888.0010000000002</v>
      </c>
      <c r="AK163" s="139">
        <f>-FUSELAGE_Dz_floor-$D$172-$D$170-$D$173</f>
        <v>-0.8827506249999999</v>
      </c>
      <c r="AM163" s="128" t="s">
        <v>454</v>
      </c>
      <c r="AN163" s="128">
        <f>AN$152+$D$174/2</f>
        <v>8888.0010000000002</v>
      </c>
      <c r="AO163" s="139">
        <f>-FUSELAGE_Dz_floor-$D$172-$D$170-$D$173</f>
        <v>-0.8827506249999999</v>
      </c>
      <c r="AQ163" s="128" t="s">
        <v>454</v>
      </c>
      <c r="AR163" s="128">
        <f>AR$152+$D$174/2</f>
        <v>8888.0010000000002</v>
      </c>
      <c r="AS163" s="139">
        <f>-FUSELAGE_Dz_floor-$D$172-$D$170-$D$173</f>
        <v>-0.8827506249999999</v>
      </c>
      <c r="BB163" s="157"/>
    </row>
    <row r="164" spans="2:54">
      <c r="B164" s="156"/>
      <c r="C164" s="128">
        <v>9</v>
      </c>
      <c r="D164" s="143" t="str">
        <f t="shared" si="31"/>
        <v>None</v>
      </c>
      <c r="E164" s="139">
        <f t="shared" si="32"/>
        <v>8888</v>
      </c>
      <c r="G164" s="128" t="s">
        <v>507</v>
      </c>
      <c r="H164" s="128">
        <f>H$152+$D$174/2</f>
        <v>0.4609999999999998</v>
      </c>
      <c r="I164" s="139">
        <f>-FUSELAGE_Dz_floor-$D$172-$D$170</f>
        <v>-0.80275062499999994</v>
      </c>
      <c r="K164" s="128" t="s">
        <v>507</v>
      </c>
      <c r="L164" s="128">
        <f>L$152+$D$174/2</f>
        <v>1.1209999999999998</v>
      </c>
      <c r="M164" s="139">
        <f>-FUSELAGE_Dz_floor-$D$172-$D$170</f>
        <v>-0.80275062499999994</v>
      </c>
      <c r="O164" s="128" t="s">
        <v>507</v>
      </c>
      <c r="P164" s="128">
        <f>P$152+$D$174/2</f>
        <v>-0.45900000000000024</v>
      </c>
      <c r="Q164" s="139">
        <f>-FUSELAGE_Dz_floor-$D$172-$D$170</f>
        <v>-0.80275062499999994</v>
      </c>
      <c r="S164" s="128" t="s">
        <v>507</v>
      </c>
      <c r="T164" s="128">
        <f>T$152+$D$174/2</f>
        <v>-1.1190000000000004</v>
      </c>
      <c r="U164" s="139">
        <f>-FUSELAGE_Dz_floor-$D$172-$D$170</f>
        <v>-0.80275062499999994</v>
      </c>
      <c r="W164" s="128" t="s">
        <v>507</v>
      </c>
      <c r="X164" s="128">
        <f>X$152+$D$174/2</f>
        <v>8888.0010000000002</v>
      </c>
      <c r="Y164" s="139">
        <f>-FUSELAGE_Dz_floor-$D$172-$D$170</f>
        <v>-0.80275062499999994</v>
      </c>
      <c r="AA164" s="128" t="s">
        <v>507</v>
      </c>
      <c r="AB164" s="128">
        <f>AB$152+$D$174/2</f>
        <v>8888.0010000000002</v>
      </c>
      <c r="AC164" s="139">
        <f>-FUSELAGE_Dz_floor-$D$172-$D$170</f>
        <v>-0.80275062499999994</v>
      </c>
      <c r="AE164" s="128" t="s">
        <v>507</v>
      </c>
      <c r="AF164" s="128">
        <f>AF$152+$D$174/2</f>
        <v>8888.0010000000002</v>
      </c>
      <c r="AG164" s="139">
        <f>-FUSELAGE_Dz_floor-$D$172-$D$170</f>
        <v>-0.80275062499999994</v>
      </c>
      <c r="AI164" s="128" t="s">
        <v>507</v>
      </c>
      <c r="AJ164" s="128">
        <f>AJ$152+$D$174/2</f>
        <v>8888.0010000000002</v>
      </c>
      <c r="AK164" s="139">
        <f>-FUSELAGE_Dz_floor-$D$172-$D$170</f>
        <v>-0.80275062499999994</v>
      </c>
      <c r="AM164" s="128" t="s">
        <v>507</v>
      </c>
      <c r="AN164" s="128">
        <f>AN$152+$D$174/2</f>
        <v>8888.0010000000002</v>
      </c>
      <c r="AO164" s="139">
        <f>-FUSELAGE_Dz_floor-$D$172-$D$170</f>
        <v>-0.80275062499999994</v>
      </c>
      <c r="AQ164" s="128" t="s">
        <v>507</v>
      </c>
      <c r="AR164" s="128">
        <f>AR$152+$D$174/2</f>
        <v>8888.0010000000002</v>
      </c>
      <c r="AS164" s="139">
        <f>-FUSELAGE_Dz_floor-$D$172-$D$170</f>
        <v>-0.80275062499999994</v>
      </c>
      <c r="BB164" s="157"/>
    </row>
    <row r="165" spans="2:54" ht="15" thickBot="1">
      <c r="B165" s="156"/>
      <c r="C165" s="130">
        <v>10</v>
      </c>
      <c r="D165" s="144" t="str">
        <f t="shared" si="31"/>
        <v>None</v>
      </c>
      <c r="E165" s="140">
        <f t="shared" si="32"/>
        <v>8888</v>
      </c>
      <c r="G165" s="128" t="s">
        <v>455</v>
      </c>
      <c r="H165" s="128">
        <f>H$152+$D$167/2</f>
        <v>0.50999999999999979</v>
      </c>
      <c r="I165" s="139">
        <f>-FUSELAGE_Dz_floor-$D$172-$D$170</f>
        <v>-0.80275062499999994</v>
      </c>
      <c r="K165" s="128" t="s">
        <v>455</v>
      </c>
      <c r="L165" s="128">
        <f>L$152+$D$167/2</f>
        <v>1.17</v>
      </c>
      <c r="M165" s="139">
        <f>-FUSELAGE_Dz_floor-$D$172-$D$170</f>
        <v>-0.80275062499999994</v>
      </c>
      <c r="O165" s="128" t="s">
        <v>455</v>
      </c>
      <c r="P165" s="128">
        <f>P$152+$D$167/2</f>
        <v>-0.41000000000000025</v>
      </c>
      <c r="Q165" s="139">
        <f>-FUSELAGE_Dz_floor-$D$172-$D$170</f>
        <v>-0.80275062499999994</v>
      </c>
      <c r="S165" s="128" t="s">
        <v>455</v>
      </c>
      <c r="T165" s="128">
        <f>T$152+$D$167/2</f>
        <v>-1.0700000000000003</v>
      </c>
      <c r="U165" s="139">
        <f>-FUSELAGE_Dz_floor-$D$172-$D$170</f>
        <v>-0.80275062499999994</v>
      </c>
      <c r="W165" s="128" t="s">
        <v>455</v>
      </c>
      <c r="X165" s="128">
        <f>X$152+$D$167/2</f>
        <v>8888.0499999999993</v>
      </c>
      <c r="Y165" s="139">
        <f>-FUSELAGE_Dz_floor-$D$172-$D$170</f>
        <v>-0.80275062499999994</v>
      </c>
      <c r="AA165" s="128" t="s">
        <v>455</v>
      </c>
      <c r="AB165" s="128">
        <f>AB$152+$D$167/2</f>
        <v>8888.0499999999993</v>
      </c>
      <c r="AC165" s="139">
        <f>-FUSELAGE_Dz_floor-$D$172-$D$170</f>
        <v>-0.80275062499999994</v>
      </c>
      <c r="AE165" s="128" t="s">
        <v>455</v>
      </c>
      <c r="AF165" s="128">
        <f>AF$152+$D$167/2</f>
        <v>8888.0499999999993</v>
      </c>
      <c r="AG165" s="139">
        <f>-FUSELAGE_Dz_floor-$D$172-$D$170</f>
        <v>-0.80275062499999994</v>
      </c>
      <c r="AI165" s="128" t="s">
        <v>455</v>
      </c>
      <c r="AJ165" s="128">
        <f>AJ$152+$D$167/2</f>
        <v>8888.0499999999993</v>
      </c>
      <c r="AK165" s="139">
        <f>-FUSELAGE_Dz_floor-$D$172-$D$170</f>
        <v>-0.80275062499999994</v>
      </c>
      <c r="AM165" s="128" t="s">
        <v>455</v>
      </c>
      <c r="AN165" s="128">
        <f>AN$152+$D$167/2</f>
        <v>8888.0499999999993</v>
      </c>
      <c r="AO165" s="139">
        <f>-FUSELAGE_Dz_floor-$D$172-$D$170</f>
        <v>-0.80275062499999994</v>
      </c>
      <c r="AQ165" s="128" t="s">
        <v>455</v>
      </c>
      <c r="AR165" s="128">
        <f>AR$152+$D$167/2</f>
        <v>8888.0499999999993</v>
      </c>
      <c r="AS165" s="139">
        <f>-FUSELAGE_Dz_floor-$D$172-$D$170</f>
        <v>-0.80275062499999994</v>
      </c>
      <c r="BB165" s="157"/>
    </row>
    <row r="166" spans="2:54">
      <c r="B166" s="156"/>
      <c r="G166" s="128" t="s">
        <v>311</v>
      </c>
      <c r="H166" s="128">
        <f>H$152+$D$167/2</f>
        <v>0.50999999999999979</v>
      </c>
      <c r="I166" s="139">
        <f>-FUSELAGE_Dz_floor-$D$172</f>
        <v>-0.80075062499999994</v>
      </c>
      <c r="K166" s="128" t="s">
        <v>311</v>
      </c>
      <c r="L166" s="128">
        <f>L$152+$D$167/2</f>
        <v>1.17</v>
      </c>
      <c r="M166" s="139">
        <f>-FUSELAGE_Dz_floor-$D$172</f>
        <v>-0.80075062499999994</v>
      </c>
      <c r="O166" s="128" t="s">
        <v>311</v>
      </c>
      <c r="P166" s="128">
        <f>P$152+$D$167/2</f>
        <v>-0.41000000000000025</v>
      </c>
      <c r="Q166" s="139">
        <f>-FUSELAGE_Dz_floor-$D$172</f>
        <v>-0.80075062499999994</v>
      </c>
      <c r="S166" s="128" t="s">
        <v>311</v>
      </c>
      <c r="T166" s="128">
        <f>T$152+$D$167/2</f>
        <v>-1.0700000000000003</v>
      </c>
      <c r="U166" s="139">
        <f>-FUSELAGE_Dz_floor-$D$172</f>
        <v>-0.80075062499999994</v>
      </c>
      <c r="W166" s="128" t="s">
        <v>311</v>
      </c>
      <c r="X166" s="128">
        <f>X$152+$D$167/2</f>
        <v>8888.0499999999993</v>
      </c>
      <c r="Y166" s="139">
        <f>-FUSELAGE_Dz_floor-$D$172</f>
        <v>-0.80075062499999994</v>
      </c>
      <c r="AA166" s="128" t="s">
        <v>311</v>
      </c>
      <c r="AB166" s="128">
        <f>AB$152+$D$167/2</f>
        <v>8888.0499999999993</v>
      </c>
      <c r="AC166" s="139">
        <f>-FUSELAGE_Dz_floor-$D$172</f>
        <v>-0.80075062499999994</v>
      </c>
      <c r="AE166" s="128" t="s">
        <v>311</v>
      </c>
      <c r="AF166" s="128">
        <f>AF$152+$D$167/2</f>
        <v>8888.0499999999993</v>
      </c>
      <c r="AG166" s="139">
        <f>-FUSELAGE_Dz_floor-$D$172</f>
        <v>-0.80075062499999994</v>
      </c>
      <c r="AI166" s="128" t="s">
        <v>311</v>
      </c>
      <c r="AJ166" s="128">
        <f>AJ$152+$D$167/2</f>
        <v>8888.0499999999993</v>
      </c>
      <c r="AK166" s="139">
        <f>-FUSELAGE_Dz_floor-$D$172</f>
        <v>-0.80075062499999994</v>
      </c>
      <c r="AM166" s="128" t="s">
        <v>311</v>
      </c>
      <c r="AN166" s="128">
        <f>AN$152+$D$167/2</f>
        <v>8888.0499999999993</v>
      </c>
      <c r="AO166" s="139">
        <f>-FUSELAGE_Dz_floor-$D$172</f>
        <v>-0.80075062499999994</v>
      </c>
      <c r="AQ166" s="128" t="s">
        <v>311</v>
      </c>
      <c r="AR166" s="128">
        <f>AR$152+$D$167/2</f>
        <v>8888.0499999999993</v>
      </c>
      <c r="AS166" s="139">
        <f>-FUSELAGE_Dz_floor-$D$172</f>
        <v>-0.80075062499999994</v>
      </c>
      <c r="BB166" s="157"/>
    </row>
    <row r="167" spans="2:54">
      <c r="B167" s="156"/>
      <c r="C167" s="178" t="s">
        <v>495</v>
      </c>
      <c r="D167" s="178">
        <v>0.1</v>
      </c>
      <c r="G167" s="128" t="s">
        <v>35</v>
      </c>
      <c r="H167" s="128">
        <f>H$152+$D$169/2</f>
        <v>0.46999999999999981</v>
      </c>
      <c r="I167" s="139">
        <f>-FUSELAGE_Dz_floor-$D$172</f>
        <v>-0.80075062499999994</v>
      </c>
      <c r="K167" s="128" t="s">
        <v>35</v>
      </c>
      <c r="L167" s="128">
        <f>L$152+$D$169/2</f>
        <v>1.1299999999999999</v>
      </c>
      <c r="M167" s="139">
        <f>-FUSELAGE_Dz_floor-$D$172</f>
        <v>-0.80075062499999994</v>
      </c>
      <c r="O167" s="128" t="s">
        <v>35</v>
      </c>
      <c r="P167" s="128">
        <f>P$152+$D$169/2</f>
        <v>-0.45000000000000023</v>
      </c>
      <c r="Q167" s="139">
        <f>-FUSELAGE_Dz_floor-$D$172</f>
        <v>-0.80075062499999994</v>
      </c>
      <c r="S167" s="128" t="s">
        <v>35</v>
      </c>
      <c r="T167" s="128">
        <f>T$152+$D$169/2</f>
        <v>-1.1100000000000003</v>
      </c>
      <c r="U167" s="139">
        <f>-FUSELAGE_Dz_floor-$D$172</f>
        <v>-0.80075062499999994</v>
      </c>
      <c r="W167" s="128" t="s">
        <v>35</v>
      </c>
      <c r="X167" s="128">
        <f>X$152+$D$169/2</f>
        <v>8888.01</v>
      </c>
      <c r="Y167" s="139">
        <f>-FUSELAGE_Dz_floor-$D$172</f>
        <v>-0.80075062499999994</v>
      </c>
      <c r="AA167" s="128" t="s">
        <v>35</v>
      </c>
      <c r="AB167" s="128">
        <f>AB$152+$D$169/2</f>
        <v>8888.01</v>
      </c>
      <c r="AC167" s="139">
        <f>-FUSELAGE_Dz_floor-$D$172</f>
        <v>-0.80075062499999994</v>
      </c>
      <c r="AE167" s="128" t="s">
        <v>35</v>
      </c>
      <c r="AF167" s="128">
        <f>AF$152+$D$169/2</f>
        <v>8888.01</v>
      </c>
      <c r="AG167" s="139">
        <f>-FUSELAGE_Dz_floor-$D$172</f>
        <v>-0.80075062499999994</v>
      </c>
      <c r="AI167" s="128" t="s">
        <v>35</v>
      </c>
      <c r="AJ167" s="128">
        <f>AJ$152+$D$169/2</f>
        <v>8888.01</v>
      </c>
      <c r="AK167" s="139">
        <f>-FUSELAGE_Dz_floor-$D$172</f>
        <v>-0.80075062499999994</v>
      </c>
      <c r="AM167" s="128" t="s">
        <v>35</v>
      </c>
      <c r="AN167" s="128">
        <f>AN$152+$D$169/2</f>
        <v>8888.01</v>
      </c>
      <c r="AO167" s="139">
        <f>-FUSELAGE_Dz_floor-$D$172</f>
        <v>-0.80075062499999994</v>
      </c>
      <c r="AQ167" s="128" t="s">
        <v>35</v>
      </c>
      <c r="AR167" s="128">
        <f>AR$152+$D$169/2</f>
        <v>8888.01</v>
      </c>
      <c r="AS167" s="139">
        <f>-FUSELAGE_Dz_floor-$D$172</f>
        <v>-0.80075062499999994</v>
      </c>
      <c r="BB167" s="157"/>
    </row>
    <row r="168" spans="2:54">
      <c r="B168" s="156"/>
      <c r="C168" s="178" t="s">
        <v>496</v>
      </c>
      <c r="D168" s="178">
        <v>0.05</v>
      </c>
      <c r="G168" s="128" t="s">
        <v>312</v>
      </c>
      <c r="H168" s="128">
        <f>H$152+$D$169/2</f>
        <v>0.46999999999999981</v>
      </c>
      <c r="I168" s="139">
        <f>-FUSELAGE_Dz_floor</f>
        <v>-0.79075062499999993</v>
      </c>
      <c r="K168" s="128" t="s">
        <v>312</v>
      </c>
      <c r="L168" s="128">
        <f>L$152+$D$169/2</f>
        <v>1.1299999999999999</v>
      </c>
      <c r="M168" s="139">
        <f>-FUSELAGE_Dz_floor</f>
        <v>-0.79075062499999993</v>
      </c>
      <c r="O168" s="128" t="s">
        <v>312</v>
      </c>
      <c r="P168" s="128">
        <f>P$152+$D$169/2</f>
        <v>-0.45000000000000023</v>
      </c>
      <c r="Q168" s="139">
        <f>-FUSELAGE_Dz_floor</f>
        <v>-0.79075062499999993</v>
      </c>
      <c r="S168" s="128" t="s">
        <v>312</v>
      </c>
      <c r="T168" s="128">
        <f>T$152+$D$169/2</f>
        <v>-1.1100000000000003</v>
      </c>
      <c r="U168" s="139">
        <f>-FUSELAGE_Dz_floor</f>
        <v>-0.79075062499999993</v>
      </c>
      <c r="W168" s="128" t="s">
        <v>312</v>
      </c>
      <c r="X168" s="128">
        <f>X$152+$D$169/2</f>
        <v>8888.01</v>
      </c>
      <c r="Y168" s="139">
        <f>-FUSELAGE_Dz_floor</f>
        <v>-0.79075062499999993</v>
      </c>
      <c r="AA168" s="128" t="s">
        <v>312</v>
      </c>
      <c r="AB168" s="128">
        <f>AB$152+$D$169/2</f>
        <v>8888.01</v>
      </c>
      <c r="AC168" s="139">
        <f>-FUSELAGE_Dz_floor</f>
        <v>-0.79075062499999993</v>
      </c>
      <c r="AE168" s="128" t="s">
        <v>312</v>
      </c>
      <c r="AF168" s="128">
        <f>AF$152+$D$169/2</f>
        <v>8888.01</v>
      </c>
      <c r="AG168" s="139">
        <f>-FUSELAGE_Dz_floor</f>
        <v>-0.79075062499999993</v>
      </c>
      <c r="AI168" s="128" t="s">
        <v>312</v>
      </c>
      <c r="AJ168" s="128">
        <f>AJ$152+$D$169/2</f>
        <v>8888.01</v>
      </c>
      <c r="AK168" s="139">
        <f>-FUSELAGE_Dz_floor</f>
        <v>-0.79075062499999993</v>
      </c>
      <c r="AM168" s="128" t="s">
        <v>312</v>
      </c>
      <c r="AN168" s="128">
        <f>AN$152+$D$169/2</f>
        <v>8888.01</v>
      </c>
      <c r="AO168" s="139">
        <f>-FUSELAGE_Dz_floor</f>
        <v>-0.79075062499999993</v>
      </c>
      <c r="AQ168" s="128" t="s">
        <v>312</v>
      </c>
      <c r="AR168" s="128">
        <f>AR$152+$D$169/2</f>
        <v>8888.01</v>
      </c>
      <c r="AS168" s="139">
        <f>-FUSELAGE_Dz_floor</f>
        <v>-0.79075062499999993</v>
      </c>
      <c r="BB168" s="157"/>
    </row>
    <row r="169" spans="2:54">
      <c r="B169" s="156"/>
      <c r="C169" s="178" t="s">
        <v>497</v>
      </c>
      <c r="D169" s="178">
        <v>0.02</v>
      </c>
      <c r="G169" s="128" t="s">
        <v>313</v>
      </c>
      <c r="H169" s="128">
        <f>H$152-$D$169/2</f>
        <v>0.44999999999999979</v>
      </c>
      <c r="I169" s="139">
        <f>-FUSELAGE_Dz_floor</f>
        <v>-0.79075062499999993</v>
      </c>
      <c r="K169" s="128" t="s">
        <v>313</v>
      </c>
      <c r="L169" s="128">
        <f>L$152-$D$169/2</f>
        <v>1.1099999999999999</v>
      </c>
      <c r="M169" s="139">
        <f>-FUSELAGE_Dz_floor</f>
        <v>-0.79075062499999993</v>
      </c>
      <c r="O169" s="128" t="s">
        <v>313</v>
      </c>
      <c r="P169" s="128">
        <f>P$152-$D$169/2</f>
        <v>-0.47000000000000025</v>
      </c>
      <c r="Q169" s="139">
        <f>-FUSELAGE_Dz_floor</f>
        <v>-0.79075062499999993</v>
      </c>
      <c r="S169" s="128" t="s">
        <v>313</v>
      </c>
      <c r="T169" s="128">
        <f>T$152-$D$169/2</f>
        <v>-1.1300000000000003</v>
      </c>
      <c r="U169" s="139">
        <f>-FUSELAGE_Dz_floor</f>
        <v>-0.79075062499999993</v>
      </c>
      <c r="W169" s="128" t="s">
        <v>313</v>
      </c>
      <c r="X169" s="128">
        <f>X$152-$D$169/2</f>
        <v>8887.99</v>
      </c>
      <c r="Y169" s="139">
        <f>-FUSELAGE_Dz_floor</f>
        <v>-0.79075062499999993</v>
      </c>
      <c r="AA169" s="128" t="s">
        <v>313</v>
      </c>
      <c r="AB169" s="128">
        <f>AB$152-$D$169/2</f>
        <v>8887.99</v>
      </c>
      <c r="AC169" s="139">
        <f>-FUSELAGE_Dz_floor</f>
        <v>-0.79075062499999993</v>
      </c>
      <c r="AE169" s="128" t="s">
        <v>313</v>
      </c>
      <c r="AF169" s="128">
        <f>AF$152-$D$169/2</f>
        <v>8887.99</v>
      </c>
      <c r="AG169" s="139">
        <f>-FUSELAGE_Dz_floor</f>
        <v>-0.79075062499999993</v>
      </c>
      <c r="AI169" s="128" t="s">
        <v>313</v>
      </c>
      <c r="AJ169" s="128">
        <f>AJ$152-$D$169/2</f>
        <v>8887.99</v>
      </c>
      <c r="AK169" s="139">
        <f>-FUSELAGE_Dz_floor</f>
        <v>-0.79075062499999993</v>
      </c>
      <c r="AM169" s="128" t="s">
        <v>313</v>
      </c>
      <c r="AN169" s="128">
        <f>AN$152-$D$169/2</f>
        <v>8887.99</v>
      </c>
      <c r="AO169" s="139">
        <f>-FUSELAGE_Dz_floor</f>
        <v>-0.79075062499999993</v>
      </c>
      <c r="AQ169" s="128" t="s">
        <v>313</v>
      </c>
      <c r="AR169" s="128">
        <f>AR$152-$D$169/2</f>
        <v>8887.99</v>
      </c>
      <c r="AS169" s="139">
        <f>-FUSELAGE_Dz_floor</f>
        <v>-0.79075062499999993</v>
      </c>
      <c r="BB169" s="157"/>
    </row>
    <row r="170" spans="2:54">
      <c r="B170" s="156"/>
      <c r="C170" s="178" t="s">
        <v>498</v>
      </c>
      <c r="D170" s="178">
        <v>2E-3</v>
      </c>
      <c r="G170" s="128" t="s">
        <v>7</v>
      </c>
      <c r="H170" s="128">
        <f>H$152-$D$169/2</f>
        <v>0.44999999999999979</v>
      </c>
      <c r="I170" s="139">
        <f>-FUSELAGE_Dz_floor-$D$172</f>
        <v>-0.80075062499999994</v>
      </c>
      <c r="K170" s="128" t="s">
        <v>7</v>
      </c>
      <c r="L170" s="128">
        <f>L$152-$D$169/2</f>
        <v>1.1099999999999999</v>
      </c>
      <c r="M170" s="139">
        <f>-FUSELAGE_Dz_floor-$D$172</f>
        <v>-0.80075062499999994</v>
      </c>
      <c r="O170" s="128" t="s">
        <v>7</v>
      </c>
      <c r="P170" s="128">
        <f>P$152-$D$169/2</f>
        <v>-0.47000000000000025</v>
      </c>
      <c r="Q170" s="139">
        <f>-FUSELAGE_Dz_floor-$D$172</f>
        <v>-0.80075062499999994</v>
      </c>
      <c r="S170" s="128" t="s">
        <v>7</v>
      </c>
      <c r="T170" s="128">
        <f>T$152-$D$169/2</f>
        <v>-1.1300000000000003</v>
      </c>
      <c r="U170" s="139">
        <f>-FUSELAGE_Dz_floor-$D$172</f>
        <v>-0.80075062499999994</v>
      </c>
      <c r="W170" s="128" t="s">
        <v>7</v>
      </c>
      <c r="X170" s="128">
        <f>X$152-$D$169/2</f>
        <v>8887.99</v>
      </c>
      <c r="Y170" s="139">
        <f>-FUSELAGE_Dz_floor-$D$172</f>
        <v>-0.80075062499999994</v>
      </c>
      <c r="AA170" s="128" t="s">
        <v>7</v>
      </c>
      <c r="AB170" s="128">
        <f>AB$152-$D$169/2</f>
        <v>8887.99</v>
      </c>
      <c r="AC170" s="139">
        <f>-FUSELAGE_Dz_floor-$D$172</f>
        <v>-0.80075062499999994</v>
      </c>
      <c r="AE170" s="128" t="s">
        <v>7</v>
      </c>
      <c r="AF170" s="128">
        <f>AF$152-$D$169/2</f>
        <v>8887.99</v>
      </c>
      <c r="AG170" s="139">
        <f>-FUSELAGE_Dz_floor-$D$172</f>
        <v>-0.80075062499999994</v>
      </c>
      <c r="AI170" s="128" t="s">
        <v>7</v>
      </c>
      <c r="AJ170" s="128">
        <f>AJ$152-$D$169/2</f>
        <v>8887.99</v>
      </c>
      <c r="AK170" s="139">
        <f>-FUSELAGE_Dz_floor-$D$172</f>
        <v>-0.80075062499999994</v>
      </c>
      <c r="AM170" s="128" t="s">
        <v>7</v>
      </c>
      <c r="AN170" s="128">
        <f>AN$152-$D$169/2</f>
        <v>8887.99</v>
      </c>
      <c r="AO170" s="139">
        <f>-FUSELAGE_Dz_floor-$D$172</f>
        <v>-0.80075062499999994</v>
      </c>
      <c r="AQ170" s="128" t="s">
        <v>7</v>
      </c>
      <c r="AR170" s="128">
        <f>AR$152-$D$169/2</f>
        <v>8887.99</v>
      </c>
      <c r="AS170" s="139">
        <f>-FUSELAGE_Dz_floor-$D$172</f>
        <v>-0.80075062499999994</v>
      </c>
      <c r="BB170" s="157"/>
    </row>
    <row r="171" spans="2:54">
      <c r="B171" s="156"/>
      <c r="C171" s="178" t="s">
        <v>499</v>
      </c>
      <c r="D171" s="178">
        <v>4.0000000000000001E-3</v>
      </c>
      <c r="G171" s="128" t="s">
        <v>8</v>
      </c>
      <c r="H171" s="128">
        <f>H$152-$D$167/2</f>
        <v>0.40999999999999981</v>
      </c>
      <c r="I171" s="139">
        <f>-FUSELAGE_Dz_floor-$D$172</f>
        <v>-0.80075062499999994</v>
      </c>
      <c r="K171" s="128" t="s">
        <v>8</v>
      </c>
      <c r="L171" s="128">
        <f>L$152-$D$167/2</f>
        <v>1.0699999999999998</v>
      </c>
      <c r="M171" s="139">
        <f>-FUSELAGE_Dz_floor-$D$172</f>
        <v>-0.80075062499999994</v>
      </c>
      <c r="O171" s="128" t="s">
        <v>8</v>
      </c>
      <c r="P171" s="128">
        <f>P$152-$D$167/2</f>
        <v>-0.51000000000000023</v>
      </c>
      <c r="Q171" s="139">
        <f>-FUSELAGE_Dz_floor-$D$172</f>
        <v>-0.80075062499999994</v>
      </c>
      <c r="S171" s="128" t="s">
        <v>8</v>
      </c>
      <c r="T171" s="128">
        <f>T$152-$D$167/2</f>
        <v>-1.1700000000000004</v>
      </c>
      <c r="U171" s="139">
        <f>-FUSELAGE_Dz_floor-$D$172</f>
        <v>-0.80075062499999994</v>
      </c>
      <c r="W171" s="128" t="s">
        <v>8</v>
      </c>
      <c r="X171" s="128">
        <f>X$152-$D$167/2</f>
        <v>8887.9500000000007</v>
      </c>
      <c r="Y171" s="139">
        <f>-FUSELAGE_Dz_floor-$D$172</f>
        <v>-0.80075062499999994</v>
      </c>
      <c r="AA171" s="128" t="s">
        <v>8</v>
      </c>
      <c r="AB171" s="128">
        <f>AB$152-$D$167/2</f>
        <v>8887.9500000000007</v>
      </c>
      <c r="AC171" s="139">
        <f>-FUSELAGE_Dz_floor-$D$172</f>
        <v>-0.80075062499999994</v>
      </c>
      <c r="AE171" s="128" t="s">
        <v>8</v>
      </c>
      <c r="AF171" s="128">
        <f>AF$152-$D$167/2</f>
        <v>8887.9500000000007</v>
      </c>
      <c r="AG171" s="139">
        <f>-FUSELAGE_Dz_floor-$D$172</f>
        <v>-0.80075062499999994</v>
      </c>
      <c r="AI171" s="128" t="s">
        <v>8</v>
      </c>
      <c r="AJ171" s="128">
        <f>AJ$152-$D$167/2</f>
        <v>8887.9500000000007</v>
      </c>
      <c r="AK171" s="139">
        <f>-FUSELAGE_Dz_floor-$D$172</f>
        <v>-0.80075062499999994</v>
      </c>
      <c r="AM171" s="128" t="s">
        <v>8</v>
      </c>
      <c r="AN171" s="128">
        <f>AN$152-$D$167/2</f>
        <v>8887.9500000000007</v>
      </c>
      <c r="AO171" s="139">
        <f>-FUSELAGE_Dz_floor-$D$172</f>
        <v>-0.80075062499999994</v>
      </c>
      <c r="AQ171" s="128" t="s">
        <v>8</v>
      </c>
      <c r="AR171" s="128">
        <f>AR$152-$D$167/2</f>
        <v>8887.9500000000007</v>
      </c>
      <c r="AS171" s="139">
        <f>-FUSELAGE_Dz_floor-$D$172</f>
        <v>-0.80075062499999994</v>
      </c>
      <c r="BB171" s="157"/>
    </row>
    <row r="172" spans="2:54" ht="15" thickBot="1">
      <c r="B172" s="156"/>
      <c r="C172" s="178" t="s">
        <v>502</v>
      </c>
      <c r="D172" s="178">
        <v>0.01</v>
      </c>
      <c r="G172" s="144" t="s">
        <v>396</v>
      </c>
      <c r="H172" s="130">
        <f>H$152-$D$167/2</f>
        <v>0.40999999999999981</v>
      </c>
      <c r="I172" s="140">
        <f>-FUSELAGE_Dz_floor-$D$172-$D$170</f>
        <v>-0.80275062499999994</v>
      </c>
      <c r="K172" s="128" t="s">
        <v>396</v>
      </c>
      <c r="L172" s="128">
        <f>L$152-$D$167/2</f>
        <v>1.0699999999999998</v>
      </c>
      <c r="M172" s="139">
        <f>-FUSELAGE_Dz_floor-$D$172-$D$170</f>
        <v>-0.80275062499999994</v>
      </c>
      <c r="O172" s="128" t="s">
        <v>396</v>
      </c>
      <c r="P172" s="128">
        <f>P$152-$D$167/2</f>
        <v>-0.51000000000000023</v>
      </c>
      <c r="Q172" s="139">
        <f>-FUSELAGE_Dz_floor-$D$172-$D$170</f>
        <v>-0.80275062499999994</v>
      </c>
      <c r="S172" s="128" t="s">
        <v>396</v>
      </c>
      <c r="T172" s="128">
        <f>T$152-$D$167/2</f>
        <v>-1.1700000000000004</v>
      </c>
      <c r="U172" s="139">
        <f>-FUSELAGE_Dz_floor-$D$172-$D$170</f>
        <v>-0.80275062499999994</v>
      </c>
      <c r="W172" s="128" t="s">
        <v>396</v>
      </c>
      <c r="X172" s="128">
        <f>X$152-$D$167/2</f>
        <v>8887.9500000000007</v>
      </c>
      <c r="Y172" s="139">
        <f>-FUSELAGE_Dz_floor-$D$172-$D$170</f>
        <v>-0.80275062499999994</v>
      </c>
      <c r="AA172" s="128" t="s">
        <v>396</v>
      </c>
      <c r="AB172" s="128">
        <f>AB$152-$D$167/2</f>
        <v>8887.9500000000007</v>
      </c>
      <c r="AC172" s="139">
        <f>-FUSELAGE_Dz_floor-$D$172-$D$170</f>
        <v>-0.80275062499999994</v>
      </c>
      <c r="AE172" s="128" t="s">
        <v>396</v>
      </c>
      <c r="AF172" s="128">
        <f>AF$152-$D$167/2</f>
        <v>8887.9500000000007</v>
      </c>
      <c r="AG172" s="139">
        <f>-FUSELAGE_Dz_floor-$D$172-$D$170</f>
        <v>-0.80275062499999994</v>
      </c>
      <c r="AI172" s="128" t="s">
        <v>396</v>
      </c>
      <c r="AJ172" s="128">
        <f>AJ$152-$D$167/2</f>
        <v>8887.9500000000007</v>
      </c>
      <c r="AK172" s="139">
        <f>-FUSELAGE_Dz_floor-$D$172-$D$170</f>
        <v>-0.80275062499999994</v>
      </c>
      <c r="AM172" s="128" t="s">
        <v>396</v>
      </c>
      <c r="AN172" s="128">
        <f>AN$152-$D$167/2</f>
        <v>8887.9500000000007</v>
      </c>
      <c r="AO172" s="139">
        <f>-FUSELAGE_Dz_floor-$D$172-$D$170</f>
        <v>-0.80275062499999994</v>
      </c>
      <c r="AQ172" s="128" t="s">
        <v>396</v>
      </c>
      <c r="AR172" s="128">
        <f>AR$152-$D$167/2</f>
        <v>8887.9500000000007</v>
      </c>
      <c r="AS172" s="139">
        <f>-FUSELAGE_Dz_floor-$D$172-$D$170</f>
        <v>-0.80275062499999994</v>
      </c>
      <c r="BB172" s="157"/>
    </row>
    <row r="173" spans="2:54">
      <c r="B173" s="156"/>
      <c r="C173" s="178" t="s">
        <v>260</v>
      </c>
      <c r="D173" s="178">
        <v>0.08</v>
      </c>
      <c r="G173" s="159" t="s">
        <v>312</v>
      </c>
      <c r="H173" s="175">
        <f ca="1">IF(H153,H168,8888)</f>
        <v>0.46999999999999981</v>
      </c>
      <c r="I173" s="174">
        <f ca="1">IF(H153,I168,8888)</f>
        <v>-0.79075062499999993</v>
      </c>
      <c r="K173" s="159" t="s">
        <v>312</v>
      </c>
      <c r="L173" s="175">
        <f ca="1">IF(L153,L168,8888)</f>
        <v>1.1299999999999999</v>
      </c>
      <c r="M173" s="174">
        <f ca="1">IF(L153,M168,8888)</f>
        <v>-0.79075062499999993</v>
      </c>
      <c r="O173" s="159" t="s">
        <v>312</v>
      </c>
      <c r="P173" s="175">
        <f ca="1">IF(P153,P168,8888)</f>
        <v>8888</v>
      </c>
      <c r="Q173" s="174">
        <f ca="1">IF(P153,Q168,8888)</f>
        <v>8888</v>
      </c>
      <c r="S173" s="159" t="s">
        <v>312</v>
      </c>
      <c r="T173" s="175">
        <f ca="1">IF(T153,T168,8888)</f>
        <v>-1.1100000000000003</v>
      </c>
      <c r="U173" s="174">
        <f ca="1">IF(T153,U168,8888)</f>
        <v>-0.79075062499999993</v>
      </c>
      <c r="W173" s="159" t="s">
        <v>312</v>
      </c>
      <c r="X173" s="175">
        <f ca="1">IF(X153,X168,8888)</f>
        <v>8888</v>
      </c>
      <c r="Y173" s="174">
        <f ca="1">IF(X153,Y168,8888)</f>
        <v>8888</v>
      </c>
      <c r="AA173" s="159" t="s">
        <v>312</v>
      </c>
      <c r="AB173" s="175">
        <f ca="1">IF(AB153,AB168,8888)</f>
        <v>8888</v>
      </c>
      <c r="AC173" s="174">
        <f ca="1">IF(AB153,AC168,8888)</f>
        <v>8888</v>
      </c>
      <c r="AE173" s="159" t="s">
        <v>312</v>
      </c>
      <c r="AF173" s="175">
        <f ca="1">IF(AF153,AF168,8888)</f>
        <v>8888</v>
      </c>
      <c r="AG173" s="174">
        <f ca="1">IF(AF153,AG168,8888)</f>
        <v>8888</v>
      </c>
      <c r="AI173" s="159" t="s">
        <v>312</v>
      </c>
      <c r="AJ173" s="175">
        <f ca="1">IF(AJ153,AJ168,8888)</f>
        <v>8888</v>
      </c>
      <c r="AK173" s="174">
        <f ca="1">IF(AJ153,AK168,8888)</f>
        <v>8888</v>
      </c>
      <c r="AM173" s="159" t="s">
        <v>312</v>
      </c>
      <c r="AN173" s="175">
        <f ca="1">IF(AN153,AN168,8888)</f>
        <v>8888</v>
      </c>
      <c r="AO173" s="174">
        <f ca="1">IF(AN153,AO168,8888)</f>
        <v>8888</v>
      </c>
      <c r="AQ173" s="159" t="s">
        <v>312</v>
      </c>
      <c r="AR173" s="175">
        <f ca="1">IF(AR153,AR168,8888)</f>
        <v>8888</v>
      </c>
      <c r="AS173" s="174">
        <f ca="1">IF(AR153,AS168,8888)</f>
        <v>8888</v>
      </c>
      <c r="BB173" s="157"/>
    </row>
    <row r="174" spans="2:54">
      <c r="B174" s="156"/>
      <c r="C174" s="178" t="s">
        <v>501</v>
      </c>
      <c r="D174" s="178">
        <v>2E-3</v>
      </c>
      <c r="G174" s="143" t="s">
        <v>9</v>
      </c>
      <c r="H174" s="2">
        <f ca="1">IF(H153,H169-(H169-H168)/2,8888)</f>
        <v>0.4599999999999998</v>
      </c>
      <c r="I174" s="129">
        <f ca="1">IF(H153,-FUSELAGE_Dz_floor+SEAT_Dy_cushion-SEAT_t_cushion,8888)</f>
        <v>-0.50722062499999998</v>
      </c>
      <c r="K174" s="143" t="s">
        <v>9</v>
      </c>
      <c r="L174" s="2">
        <f ca="1">IF(L153,L169-(L169-L168)/2,8888)</f>
        <v>1.1199999999999999</v>
      </c>
      <c r="M174" s="129">
        <f ca="1">IF(L153,-FUSELAGE_Dz_floor+SEAT_Dy_cushion-SEAT_t_cushion,8888)</f>
        <v>-0.50722062499999998</v>
      </c>
      <c r="O174" s="143" t="s">
        <v>9</v>
      </c>
      <c r="P174" s="2">
        <f ca="1">IF(P153,P169-(P169-P168)/2,8888)</f>
        <v>8888</v>
      </c>
      <c r="Q174" s="129">
        <f ca="1">IF(P153,-FUSELAGE_Dz_floor+SEAT_Dy_cushion-SEAT_t_cushion,8888)</f>
        <v>8888</v>
      </c>
      <c r="S174" s="143" t="s">
        <v>9</v>
      </c>
      <c r="T174" s="2">
        <f ca="1">IF(T153,T169-(T169-T168)/2,8888)</f>
        <v>-1.1200000000000003</v>
      </c>
      <c r="U174" s="129">
        <f ca="1">IF(T153,-FUSELAGE_Dz_floor+SEAT_Dy_cushion-SEAT_t_cushion,8888)</f>
        <v>-0.50722062499999998</v>
      </c>
      <c r="W174" s="143" t="s">
        <v>9</v>
      </c>
      <c r="X174" s="2">
        <f ca="1">IF(X153,X169-(X169-X168)/2,8888)</f>
        <v>8888</v>
      </c>
      <c r="Y174" s="129">
        <f ca="1">IF(X153,-FUSELAGE_Dz_floor+SEAT_Dy_cushion-SEAT_t_cushion,8888)</f>
        <v>8888</v>
      </c>
      <c r="AA174" s="143" t="s">
        <v>9</v>
      </c>
      <c r="AB174" s="2">
        <f ca="1">IF(AB153,AB169-(AB169-AB168)/2,8888)</f>
        <v>8888</v>
      </c>
      <c r="AC174" s="129">
        <f ca="1">IF(AB153,-FUSELAGE_Dz_floor+SEAT_Dy_cushion-SEAT_t_cushion,8888)</f>
        <v>8888</v>
      </c>
      <c r="AE174" s="143" t="s">
        <v>9</v>
      </c>
      <c r="AF174" s="2">
        <f ca="1">IF(AF153,AF169-(AF169-AF168)/2,8888)</f>
        <v>8888</v>
      </c>
      <c r="AG174" s="129">
        <f ca="1">IF(AF153,-FUSELAGE_Dz_floor+SEAT_Dy_cushion-SEAT_t_cushion,8888)</f>
        <v>8888</v>
      </c>
      <c r="AI174" s="143" t="s">
        <v>9</v>
      </c>
      <c r="AJ174" s="2">
        <f ca="1">IF(AJ153,AJ169-(AJ169-AJ168)/2,8888)</f>
        <v>8888</v>
      </c>
      <c r="AK174" s="129">
        <f ca="1">IF(AJ153,-FUSELAGE_Dz_floor+SEAT_Dy_cushion-SEAT_t_cushion,8888)</f>
        <v>8888</v>
      </c>
      <c r="AM174" s="143" t="s">
        <v>9</v>
      </c>
      <c r="AN174" s="2">
        <f ca="1">IF(AN153,AN169-(AN169-AN168)/2,8888)</f>
        <v>8888</v>
      </c>
      <c r="AO174" s="129">
        <f ca="1">IF(AN153,-FUSELAGE_Dz_floor+SEAT_Dy_cushion-SEAT_t_cushion,8888)</f>
        <v>8888</v>
      </c>
      <c r="AQ174" s="143" t="s">
        <v>9</v>
      </c>
      <c r="AR174" s="2">
        <f ca="1">IF(AR153,AR169-(AR169-AR168)/2,8888)</f>
        <v>8888</v>
      </c>
      <c r="AS174" s="129">
        <f ca="1">IF(AR153,-FUSELAGE_Dz_floor+SEAT_Dy_cushion-SEAT_t_cushion,8888)</f>
        <v>8888</v>
      </c>
      <c r="BB174" s="157"/>
    </row>
    <row r="175" spans="2:54" ht="15" thickBot="1">
      <c r="B175" s="156"/>
      <c r="G175" s="144" t="s">
        <v>313</v>
      </c>
      <c r="H175" s="131">
        <f ca="1">IF(H153,H169,8888)</f>
        <v>0.44999999999999979</v>
      </c>
      <c r="I175" s="132">
        <f ca="1">IF(H153,I169,8888)</f>
        <v>-0.79075062499999993</v>
      </c>
      <c r="K175" s="144" t="s">
        <v>313</v>
      </c>
      <c r="L175" s="131">
        <f ca="1">IF(L153,L169,8888)</f>
        <v>1.1099999999999999</v>
      </c>
      <c r="M175" s="132">
        <f ca="1">IF(L153,M169,8888)</f>
        <v>-0.79075062499999993</v>
      </c>
      <c r="O175" s="144" t="s">
        <v>313</v>
      </c>
      <c r="P175" s="131">
        <f ca="1">IF(P153,P169,8888)</f>
        <v>8888</v>
      </c>
      <c r="Q175" s="132">
        <f ca="1">IF(P153,Q169,8888)</f>
        <v>8888</v>
      </c>
      <c r="S175" s="144" t="s">
        <v>313</v>
      </c>
      <c r="T175" s="131">
        <f ca="1">IF(T153,T169,8888)</f>
        <v>-1.1300000000000003</v>
      </c>
      <c r="U175" s="132">
        <f ca="1">IF(T153,U169,8888)</f>
        <v>-0.79075062499999993</v>
      </c>
      <c r="W175" s="144" t="s">
        <v>313</v>
      </c>
      <c r="X175" s="131">
        <f ca="1">IF(X153,X169,8888)</f>
        <v>8888</v>
      </c>
      <c r="Y175" s="132">
        <f ca="1">IF(X153,Y169,8888)</f>
        <v>8888</v>
      </c>
      <c r="AA175" s="144" t="s">
        <v>313</v>
      </c>
      <c r="AB175" s="131">
        <f ca="1">IF(AB153,AB169,8888)</f>
        <v>8888</v>
      </c>
      <c r="AC175" s="132">
        <f ca="1">IF(AB153,AC169,8888)</f>
        <v>8888</v>
      </c>
      <c r="AE175" s="144" t="s">
        <v>313</v>
      </c>
      <c r="AF175" s="131">
        <f ca="1">IF(AF153,AF169,8888)</f>
        <v>8888</v>
      </c>
      <c r="AG175" s="132">
        <f ca="1">IF(AF153,AG169,8888)</f>
        <v>8888</v>
      </c>
      <c r="AI175" s="144" t="s">
        <v>313</v>
      </c>
      <c r="AJ175" s="131">
        <f ca="1">IF(AJ153,AJ169,8888)</f>
        <v>8888</v>
      </c>
      <c r="AK175" s="132">
        <f ca="1">IF(AJ153,AK169,8888)</f>
        <v>8888</v>
      </c>
      <c r="AM175" s="144" t="s">
        <v>313</v>
      </c>
      <c r="AN175" s="131">
        <f ca="1">IF(AN153,AN169,8888)</f>
        <v>8888</v>
      </c>
      <c r="AO175" s="132">
        <f ca="1">IF(AN153,AO169,8888)</f>
        <v>8888</v>
      </c>
      <c r="AQ175" s="144" t="s">
        <v>313</v>
      </c>
      <c r="AR175" s="131">
        <f ca="1">IF(AR153,AR169,8888)</f>
        <v>8888</v>
      </c>
      <c r="AS175" s="132">
        <f ca="1">IF(AR153,AS169,8888)</f>
        <v>8888</v>
      </c>
      <c r="BB175" s="157"/>
    </row>
    <row r="176" spans="2:54">
      <c r="B176" s="156"/>
      <c r="Y176" s="171"/>
      <c r="BB176" s="157"/>
    </row>
    <row r="177" spans="1:56">
      <c r="B177" s="156"/>
      <c r="BB177" s="157"/>
    </row>
    <row r="178" spans="1:56">
      <c r="B178" s="156"/>
      <c r="G178" s="200" t="s">
        <v>276</v>
      </c>
      <c r="H178" t="b">
        <f ca="1">IF(H153,IF(AND(H152&gt;$P$136,H152&lt;$P$137),H152))</f>
        <v>0</v>
      </c>
      <c r="K178" s="200" t="s">
        <v>276</v>
      </c>
      <c r="L178" t="b">
        <f ca="1">IF(L153,IF(AND(L152&gt;$P$136,L152&lt;$P$137),L152))</f>
        <v>0</v>
      </c>
      <c r="O178" s="200" t="s">
        <v>276</v>
      </c>
      <c r="P178" t="b">
        <f ca="1">IF(P153,IF(AND(P152&gt;$P$136,P152&lt;$P$137),P152))</f>
        <v>0</v>
      </c>
      <c r="S178" s="200" t="s">
        <v>276</v>
      </c>
      <c r="T178">
        <f ca="1">IF(T153,IF(AND(T152&gt;$P$136,T152&lt;$P$137),T152))</f>
        <v>-1.1200000000000003</v>
      </c>
      <c r="W178" s="200" t="s">
        <v>276</v>
      </c>
      <c r="X178" t="b">
        <f ca="1">IF(X153,IF(AND(X152&gt;$P$136,X152&lt;$P$137),X152))</f>
        <v>0</v>
      </c>
      <c r="AA178" s="200" t="s">
        <v>276</v>
      </c>
      <c r="AB178" t="b">
        <f ca="1">IF(AB153,IF(AND(AB152&gt;$P$136,AB152&lt;$P$137),AB152))</f>
        <v>0</v>
      </c>
      <c r="AE178" s="200" t="s">
        <v>276</v>
      </c>
      <c r="AF178" t="b">
        <f ca="1">IF(AF153,IF(AND(AF152&gt;$P$136,AF152&lt;$P$137),AF152))</f>
        <v>0</v>
      </c>
      <c r="AI178" s="200" t="s">
        <v>276</v>
      </c>
      <c r="AJ178" t="b">
        <f ca="1">IF(AJ153,IF(AND(AJ152&gt;$P$136,AJ152&lt;$P$137),AJ152))</f>
        <v>0</v>
      </c>
      <c r="AM178" s="200" t="s">
        <v>276</v>
      </c>
      <c r="AN178" t="b">
        <f ca="1">IF(AN153,IF(AND(AN152&gt;$P$136,AN152&lt;$P$137),AN152))</f>
        <v>0</v>
      </c>
      <c r="AQ178" s="200" t="s">
        <v>276</v>
      </c>
      <c r="AR178" t="b">
        <f ca="1">IF(AR153,IF(AND(AR152&gt;$P$136,AR152&lt;$P$137),AR152))</f>
        <v>0</v>
      </c>
      <c r="BB178" s="157"/>
    </row>
    <row r="179" spans="1:56">
      <c r="B179" s="156"/>
      <c r="G179" s="200" t="s">
        <v>277</v>
      </c>
      <c r="H179" t="b">
        <f ca="1">IF(H153,IF(AND(H152&gt;$P$138,H152&lt;$P$139),H152))</f>
        <v>0</v>
      </c>
      <c r="K179" s="200" t="s">
        <v>277</v>
      </c>
      <c r="L179" t="b">
        <f ca="1">IF(L153,IF(AND(L152&gt;$P$138,L152&lt;$P$139),L152))</f>
        <v>0</v>
      </c>
      <c r="O179" s="200" t="s">
        <v>277</v>
      </c>
      <c r="P179" t="b">
        <f ca="1">IF(P153,IF(AND(P152&gt;$P$138,P152&lt;$P$139),P152))</f>
        <v>0</v>
      </c>
      <c r="S179" s="200" t="s">
        <v>277</v>
      </c>
      <c r="T179" t="b">
        <f ca="1">IF(T153,IF(AND(T152&gt;$P$138,T152&lt;$P$139),T152))</f>
        <v>0</v>
      </c>
      <c r="W179" s="200" t="s">
        <v>277</v>
      </c>
      <c r="X179" t="b">
        <f ca="1">IF(X153,IF(AND(X152&gt;$P$138,X152&lt;$P$139),X152))</f>
        <v>0</v>
      </c>
      <c r="AA179" s="200" t="s">
        <v>277</v>
      </c>
      <c r="AB179" t="b">
        <f ca="1">IF(AB153,IF(AND(AB152&gt;$P$138,AB152&lt;$P$139),AB152))</f>
        <v>0</v>
      </c>
      <c r="AE179" s="200" t="s">
        <v>277</v>
      </c>
      <c r="AF179" t="b">
        <f ca="1">IF(AF153,IF(AND(AF152&gt;$P$138,AF152&lt;$P$139),AF152))</f>
        <v>0</v>
      </c>
      <c r="AI179" s="200" t="s">
        <v>277</v>
      </c>
      <c r="AJ179" t="b">
        <f ca="1">IF(AJ153,IF(AND(AJ152&gt;$P$138,AJ152&lt;$P$139),AJ152))</f>
        <v>0</v>
      </c>
      <c r="AM179" s="200" t="s">
        <v>277</v>
      </c>
      <c r="AN179" t="b">
        <f ca="1">IF(AN153,IF(AND(AN152&gt;$P$138,AN152&lt;$P$139),AN152))</f>
        <v>0</v>
      </c>
      <c r="AQ179" s="200" t="s">
        <v>277</v>
      </c>
      <c r="AR179" t="b">
        <f ca="1">IF(AR153,IF(AND(AR152&gt;$P$138,AR152&lt;$P$139),AR152))</f>
        <v>0</v>
      </c>
      <c r="BB179" s="157"/>
    </row>
    <row r="180" spans="1:56">
      <c r="B180" s="156"/>
      <c r="G180" s="200" t="s">
        <v>278</v>
      </c>
      <c r="H180">
        <f ca="1">IF(H153,IF(AND(H152&gt;$P$140,H152&lt;$P$141),H152))</f>
        <v>0.4599999999999998</v>
      </c>
      <c r="K180" s="200" t="s">
        <v>278</v>
      </c>
      <c r="L180">
        <f ca="1">IF(L153,IF(AND(L152&gt;$P$140,L152&lt;$P$141),L152))</f>
        <v>1.1199999999999999</v>
      </c>
      <c r="O180" s="200" t="s">
        <v>278</v>
      </c>
      <c r="P180" t="b">
        <f ca="1">IF(P153,IF(AND(P152&gt;$P$140,P152&lt;$P$141),P152))</f>
        <v>0</v>
      </c>
      <c r="S180" s="200" t="s">
        <v>278</v>
      </c>
      <c r="T180" t="b">
        <f ca="1">IF(T153,IF(AND(T152&gt;$P$140,T152&lt;$P$141),T152))</f>
        <v>0</v>
      </c>
      <c r="W180" s="200" t="s">
        <v>278</v>
      </c>
      <c r="X180" t="b">
        <f ca="1">IF(X153,IF(AND(X152&gt;$P$140,X152&lt;$P$141),X152))</f>
        <v>0</v>
      </c>
      <c r="AA180" s="200" t="s">
        <v>278</v>
      </c>
      <c r="AB180" t="b">
        <f ca="1">IF(AB153,IF(AND(AB152&gt;$P$140,AB152&lt;$P$141),AB152))</f>
        <v>0</v>
      </c>
      <c r="AE180" s="200" t="s">
        <v>278</v>
      </c>
      <c r="AF180" t="b">
        <f ca="1">IF(AF153,IF(AND(AF152&gt;$P$140,AF152&lt;$P$141),AF152))</f>
        <v>0</v>
      </c>
      <c r="AI180" s="200" t="s">
        <v>278</v>
      </c>
      <c r="AJ180" t="b">
        <f ca="1">IF(AJ153,IF(AND(AJ152&gt;$P$140,AJ152&lt;$P$141),AJ152))</f>
        <v>0</v>
      </c>
      <c r="AM180" s="200" t="s">
        <v>278</v>
      </c>
      <c r="AN180" t="b">
        <f ca="1">IF(AN153,IF(AND(AN152&gt;$P$140,AN152&lt;$P$141),AN152))</f>
        <v>0</v>
      </c>
      <c r="AQ180" s="200" t="s">
        <v>278</v>
      </c>
      <c r="AR180" t="b">
        <f ca="1">IF(AR153,IF(AND(AR152&gt;$P$140,AR152&lt;$P$141),AR152))</f>
        <v>0</v>
      </c>
      <c r="BB180" s="157"/>
    </row>
    <row r="181" spans="1:56" ht="15" thickBot="1">
      <c r="B181" s="156"/>
      <c r="E181" s="1"/>
      <c r="BB181" s="157"/>
    </row>
    <row r="182" spans="1:56" ht="15" thickBot="1">
      <c r="B182" s="156"/>
      <c r="C182" s="141"/>
      <c r="D182" s="326" t="s">
        <v>379</v>
      </c>
      <c r="E182" s="327"/>
      <c r="G182" s="141"/>
      <c r="H182" s="326" t="s">
        <v>5</v>
      </c>
      <c r="I182" s="327"/>
      <c r="K182" s="141"/>
      <c r="L182" s="326" t="s">
        <v>6</v>
      </c>
      <c r="M182" s="327"/>
      <c r="BB182" s="157"/>
    </row>
    <row r="183" spans="1:56" ht="15" thickBot="1">
      <c r="B183" s="156"/>
      <c r="C183" s="136" t="s">
        <v>452</v>
      </c>
      <c r="D183" s="136" t="s">
        <v>384</v>
      </c>
      <c r="E183" s="138" t="s">
        <v>385</v>
      </c>
      <c r="G183" s="136" t="s">
        <v>452</v>
      </c>
      <c r="H183" s="136" t="s">
        <v>384</v>
      </c>
      <c r="I183" s="138" t="s">
        <v>385</v>
      </c>
      <c r="K183" s="136" t="s">
        <v>452</v>
      </c>
      <c r="L183" s="136" t="s">
        <v>384</v>
      </c>
      <c r="M183" s="138" t="s">
        <v>385</v>
      </c>
      <c r="BB183" s="157"/>
    </row>
    <row r="184" spans="1:56">
      <c r="B184" s="156"/>
      <c r="C184" s="128" t="s">
        <v>396</v>
      </c>
      <c r="D184" s="158">
        <f ca="1">IF(FUSELAGE_nrails_right,MIN(G180:AR180),8888)</f>
        <v>0.4599999999999998</v>
      </c>
      <c r="E184" s="160">
        <f>IF(FUSELAGE_use_side_seatrails,AV151,-FUSELAGE_Dz_floor+(SEAT_Dy_cushion-SEAT_t_cushion)/2)</f>
        <v>-0.6489856249999999</v>
      </c>
      <c r="G184" s="128" t="s">
        <v>396</v>
      </c>
      <c r="H184" s="158">
        <f>IF(FUSELAGE_nrails_middle,MIN(G179:AR179),8888)</f>
        <v>8888</v>
      </c>
      <c r="I184" s="160">
        <f>-FUSELAGE_Dz_floor+(SEAT_Dy_cushion-SEAT_t_cushion)/2</f>
        <v>-0.6489856249999999</v>
      </c>
      <c r="K184" s="128" t="s">
        <v>396</v>
      </c>
      <c r="L184" s="158">
        <f ca="1">IF(FUSELAGE_nrails_left,MAX(G178:AR178),8888)</f>
        <v>-1.1200000000000003</v>
      </c>
      <c r="M184" s="160">
        <f>IF(FUSELAGE_use_side_seatrails,AZ151,-FUSELAGE_Dz_floor+(SEAT_Dy_cushion-SEAT_t_cushion)/2)</f>
        <v>-0.6489856249999999</v>
      </c>
      <c r="BB184" s="157"/>
    </row>
    <row r="185" spans="1:56" ht="15" thickBot="1">
      <c r="B185" s="156"/>
      <c r="C185" s="130" t="s">
        <v>213</v>
      </c>
      <c r="D185" s="130">
        <f ca="1">IF(FUSELAGE_nrails_right,IF(FUSELAGE_use_side_seatrails,AV152,MAX(G180:AR180)),8888)</f>
        <v>1.1199999999999999</v>
      </c>
      <c r="E185" s="140">
        <f>IF(FUSELAGE_use_side_seatrails,AV151,-FUSELAGE_Dz_floor+(SEAT_Dy_cushion-SEAT_t_cushion)/2)</f>
        <v>-0.6489856249999999</v>
      </c>
      <c r="G185" s="130" t="s">
        <v>213</v>
      </c>
      <c r="H185" s="130">
        <f>IF(FUSELAGE_nrails_middle,MAX(G179:AR179),8888)</f>
        <v>8888</v>
      </c>
      <c r="I185" s="140">
        <f>-FUSELAGE_Dz_floor+(SEAT_Dy_cushion-SEAT_t_cushion)/2</f>
        <v>-0.6489856249999999</v>
      </c>
      <c r="K185" s="130" t="s">
        <v>213</v>
      </c>
      <c r="L185" s="130">
        <f ca="1">IF(FUSELAGE_nrails_left,IF(FUSELAGE_use_side_seatrails,AZ152,MIN(G178:AR178)),8888)</f>
        <v>-1.1200000000000003</v>
      </c>
      <c r="M185" s="140">
        <f>IF(FUSELAGE_use_side_seatrails,AZ151,-FUSELAGE_Dz_floor+(SEAT_Dy_cushion-SEAT_t_cushion)/2)</f>
        <v>-0.6489856249999999</v>
      </c>
      <c r="BB185" s="157"/>
    </row>
    <row r="186" spans="1:56" ht="15" thickBot="1">
      <c r="A186" s="157"/>
      <c r="B186" s="105"/>
      <c r="C186" s="106"/>
      <c r="D186" s="106"/>
      <c r="E186" s="106"/>
      <c r="F186" s="106"/>
      <c r="G186" s="106"/>
      <c r="H186" s="106"/>
      <c r="I186" s="106"/>
      <c r="J186" s="106"/>
      <c r="K186" s="106"/>
      <c r="L186" s="106"/>
      <c r="M186" s="106"/>
      <c r="N186" s="106"/>
      <c r="O186" s="106"/>
      <c r="P186" s="106"/>
      <c r="Q186" s="106"/>
      <c r="R186" s="106"/>
      <c r="S186" s="106"/>
      <c r="T186" s="106"/>
      <c r="U186" s="106"/>
      <c r="V186" s="106"/>
      <c r="W186" s="106"/>
      <c r="X186" s="106"/>
      <c r="Y186" s="106"/>
      <c r="Z186" s="106"/>
      <c r="AA186" s="106"/>
      <c r="AB186" s="106"/>
      <c r="AC186" s="106"/>
      <c r="AD186" s="106"/>
      <c r="AE186" s="106"/>
      <c r="AF186" s="106"/>
      <c r="AG186" s="106"/>
      <c r="AH186" s="106"/>
      <c r="AI186" s="106"/>
      <c r="AJ186" s="106"/>
      <c r="AK186" s="106"/>
      <c r="AL186" s="106"/>
      <c r="AM186" s="106"/>
      <c r="AN186" s="106"/>
      <c r="AO186" s="106"/>
      <c r="AP186" s="106"/>
      <c r="AQ186" s="106"/>
      <c r="AR186" s="106"/>
      <c r="AS186" s="106"/>
      <c r="AT186" s="106"/>
      <c r="AU186" s="106"/>
      <c r="AV186" s="106"/>
      <c r="AW186" s="106"/>
      <c r="AX186" s="106"/>
      <c r="AY186" s="106"/>
      <c r="AZ186" s="106"/>
      <c r="BA186" s="106"/>
      <c r="BB186" s="107"/>
    </row>
    <row r="187" spans="1:56" ht="15" thickBot="1"/>
    <row r="188" spans="1:56" ht="19" thickBot="1">
      <c r="B188" s="329" t="s">
        <v>400</v>
      </c>
      <c r="C188" s="330"/>
      <c r="D188" s="330"/>
      <c r="E188" s="330"/>
      <c r="F188" s="330"/>
      <c r="G188" s="330"/>
      <c r="H188" s="330"/>
      <c r="I188" s="330"/>
      <c r="J188" s="330"/>
      <c r="K188" s="330"/>
      <c r="L188" s="330"/>
      <c r="M188" s="330"/>
      <c r="N188" s="330"/>
      <c r="O188" s="330"/>
      <c r="P188" s="330"/>
      <c r="Q188" s="330"/>
      <c r="R188" s="330"/>
      <c r="S188" s="330"/>
      <c r="T188" s="330"/>
      <c r="U188" s="330"/>
      <c r="V188" s="330"/>
      <c r="W188" s="330"/>
      <c r="X188" s="330"/>
      <c r="Y188" s="330"/>
      <c r="Z188" s="330"/>
      <c r="AA188" s="330"/>
      <c r="AB188" s="330"/>
      <c r="AC188" s="330"/>
      <c r="AD188" s="330"/>
      <c r="AE188" s="330"/>
      <c r="AF188" s="330"/>
      <c r="AG188" s="330"/>
      <c r="AH188" s="330"/>
      <c r="AI188" s="330"/>
      <c r="AJ188" s="330"/>
      <c r="AK188" s="330"/>
      <c r="AL188" s="330"/>
      <c r="AM188" s="330"/>
      <c r="AN188" s="330"/>
      <c r="AO188" s="330"/>
      <c r="AP188" s="330"/>
      <c r="AQ188" s="330"/>
      <c r="AR188" s="330"/>
      <c r="AS188" s="330"/>
      <c r="AT188" s="330"/>
      <c r="AU188" s="330"/>
      <c r="AV188" s="330"/>
      <c r="AW188" s="330"/>
      <c r="AX188" s="330"/>
      <c r="AY188" s="330"/>
      <c r="AZ188" s="330"/>
      <c r="BA188" s="330"/>
      <c r="BB188" s="330"/>
      <c r="BC188" s="330"/>
      <c r="BD188" s="331"/>
    </row>
    <row r="189" spans="1:56">
      <c r="B189" s="156"/>
      <c r="BD189" s="157"/>
    </row>
    <row r="190" spans="1:56">
      <c r="B190" s="156"/>
      <c r="C190" s="179" t="s">
        <v>280</v>
      </c>
      <c r="D190" s="5" t="s">
        <v>338</v>
      </c>
      <c r="E190" s="179" t="s">
        <v>649</v>
      </c>
      <c r="F190" s="5" t="s">
        <v>650</v>
      </c>
      <c r="I190" s="199" t="s">
        <v>701</v>
      </c>
      <c r="J190" s="199" t="s">
        <v>127</v>
      </c>
      <c r="K190" s="199" t="s">
        <v>128</v>
      </c>
      <c r="L190" s="199" t="s">
        <v>390</v>
      </c>
      <c r="AN190">
        <v>0</v>
      </c>
      <c r="BD190" s="157"/>
    </row>
    <row r="191" spans="1:56">
      <c r="B191" s="156"/>
      <c r="C191" s="185" t="str">
        <f>Fuselage!$Z$278</f>
        <v>Galley BC</v>
      </c>
      <c r="D191" s="173">
        <f>E191+0.3</f>
        <v>1.3</v>
      </c>
      <c r="E191" s="217">
        <f>FUSELAGE_l_galley_BC</f>
        <v>1</v>
      </c>
      <c r="F191" s="173">
        <f>FUSELAGE_w_galley_BC</f>
        <v>2</v>
      </c>
      <c r="I191" s="199" t="s">
        <v>508</v>
      </c>
      <c r="J191" s="199">
        <v>0</v>
      </c>
      <c r="K191" s="199">
        <v>0</v>
      </c>
      <c r="L191" s="199">
        <v>0</v>
      </c>
      <c r="BD191" s="157"/>
    </row>
    <row r="192" spans="1:56">
      <c r="B192" s="156"/>
      <c r="C192" s="186" t="str">
        <f>Fuselage!$Z$277</f>
        <v>Galley FC</v>
      </c>
      <c r="D192" s="173">
        <f>E192+0.3</f>
        <v>1</v>
      </c>
      <c r="E192" s="217">
        <f>FUSELAGE_l_galley_FC</f>
        <v>0.7</v>
      </c>
      <c r="F192" s="173">
        <f>FUSELAGE_w_galley_FC</f>
        <v>1</v>
      </c>
      <c r="I192" s="199" t="s">
        <v>388</v>
      </c>
      <c r="J192" s="199">
        <f>0.0254*42</f>
        <v>1.0668</v>
      </c>
      <c r="K192" s="199">
        <f>0.0254*72</f>
        <v>1.8288</v>
      </c>
      <c r="L192" s="199">
        <v>110</v>
      </c>
      <c r="BD192" s="157"/>
    </row>
    <row r="193" spans="2:56">
      <c r="B193" s="156"/>
      <c r="C193" s="186" t="str">
        <f>Fuselage!$Z$279</f>
        <v>Galley YC</v>
      </c>
      <c r="D193" s="173">
        <f>E193+0.3</f>
        <v>1.2</v>
      </c>
      <c r="E193" s="217">
        <f>FUSELAGE_l_galley_YC</f>
        <v>0.9</v>
      </c>
      <c r="F193" s="173">
        <f>FUSELAGE_w_galley_YC</f>
        <v>1.1000000000000001</v>
      </c>
      <c r="I193" s="199" t="s">
        <v>706</v>
      </c>
      <c r="J193" s="199">
        <f>0.0254*32</f>
        <v>0.81279999999999997</v>
      </c>
      <c r="K193" s="199">
        <f>0.0254*72</f>
        <v>1.8288</v>
      </c>
      <c r="L193" s="199">
        <v>75</v>
      </c>
      <c r="BD193" s="157"/>
    </row>
    <row r="194" spans="2:56">
      <c r="B194" s="156"/>
      <c r="C194" s="186" t="str">
        <f>Fuselage!$Z$280</f>
        <v>Lavatory</v>
      </c>
      <c r="D194" s="173">
        <f>E194+0.3</f>
        <v>1.3</v>
      </c>
      <c r="E194" s="217">
        <f>FUSELAGE_l_lavatory</f>
        <v>1</v>
      </c>
      <c r="F194" s="173">
        <f>FUSELAGE_w_lavatory</f>
        <v>1.2</v>
      </c>
      <c r="I194" s="199" t="s">
        <v>707</v>
      </c>
      <c r="J194" s="199">
        <f>0.0254*30</f>
        <v>0.76200000000000001</v>
      </c>
      <c r="K194" s="199">
        <f>0.0254*48</f>
        <v>1.2191999999999998</v>
      </c>
      <c r="L194" s="199">
        <v>55</v>
      </c>
      <c r="BD194" s="157"/>
    </row>
    <row r="195" spans="2:56">
      <c r="B195" s="156"/>
      <c r="C195" s="186" t="str">
        <f>Fuselage!$Z$281</f>
        <v>Lavatory(x2)</v>
      </c>
      <c r="D195" s="173">
        <f>E195+0.3</f>
        <v>1.3</v>
      </c>
      <c r="E195" s="217">
        <f>FUSELAGE_l_lavatory</f>
        <v>1</v>
      </c>
      <c r="F195" s="173">
        <f>2*FUSELAGE_w_lavatory</f>
        <v>2.4</v>
      </c>
      <c r="I195" s="199" t="s">
        <v>702</v>
      </c>
      <c r="J195" s="199">
        <f>0.0254*24</f>
        <v>0.60959999999999992</v>
      </c>
      <c r="K195" s="199">
        <f>0.0254*48</f>
        <v>1.2191999999999998</v>
      </c>
      <c r="L195" s="199">
        <v>45</v>
      </c>
      <c r="BD195" s="157"/>
    </row>
    <row r="196" spans="2:56">
      <c r="B196" s="156"/>
      <c r="C196" s="187" t="str">
        <f>Fuselage!$Z$276</f>
        <v>None</v>
      </c>
      <c r="D196" s="181"/>
      <c r="E196" s="180"/>
      <c r="F196" s="181"/>
      <c r="I196" s="199" t="s">
        <v>703</v>
      </c>
      <c r="J196" s="199">
        <f>0.0254*20</f>
        <v>0.50800000000000001</v>
      </c>
      <c r="K196" s="199">
        <f>0.0254*44</f>
        <v>1.1175999999999999</v>
      </c>
      <c r="L196" s="199">
        <v>40</v>
      </c>
      <c r="BD196" s="157"/>
    </row>
    <row r="197" spans="2:56">
      <c r="B197" s="156"/>
      <c r="I197" s="199" t="s">
        <v>704</v>
      </c>
      <c r="J197" s="199">
        <f>0.0254*20</f>
        <v>0.50800000000000001</v>
      </c>
      <c r="K197" s="199">
        <f>0.0254*36</f>
        <v>0.91439999999999999</v>
      </c>
      <c r="L197" s="199">
        <v>35</v>
      </c>
      <c r="BD197" s="157"/>
    </row>
    <row r="198" spans="2:56">
      <c r="B198" s="156"/>
      <c r="I198" s="199" t="s">
        <v>705</v>
      </c>
      <c r="J198" s="199">
        <f>0.0254*19</f>
        <v>0.48259999999999997</v>
      </c>
      <c r="K198" s="199">
        <f>0.0254*26</f>
        <v>0.66039999999999999</v>
      </c>
      <c r="L198" s="199">
        <v>9</v>
      </c>
      <c r="BD198" s="157"/>
    </row>
    <row r="199" spans="2:56">
      <c r="B199" s="156"/>
      <c r="BD199" s="157"/>
    </row>
    <row r="200" spans="2:56">
      <c r="B200" s="156"/>
      <c r="H200" s="178" t="s">
        <v>107</v>
      </c>
      <c r="I200" s="178"/>
      <c r="J200" s="178"/>
      <c r="BD200" s="157"/>
    </row>
    <row r="201" spans="2:56">
      <c r="B201" s="156"/>
      <c r="C201" s="200" t="s">
        <v>336</v>
      </c>
      <c r="D201">
        <v>1</v>
      </c>
      <c r="G201" s="200" t="s">
        <v>638</v>
      </c>
      <c r="H201" s="178">
        <f ca="1">LOOKUP(D204,$C$191:$C$196,$E$191:$E$196)</f>
        <v>1</v>
      </c>
      <c r="K201" s="200" t="s">
        <v>644</v>
      </c>
      <c r="L201">
        <f ca="1">0-H206</f>
        <v>-1</v>
      </c>
      <c r="O201" s="200" t="s">
        <v>404</v>
      </c>
      <c r="P201">
        <f ca="1">IF(D203=1,SEAT_w_cushion_FC,IF(D203=2,SEAT_w_cushion_BC,IF(D203=3,SEAT_w_cushion_YC,0)))</f>
        <v>0</v>
      </c>
      <c r="S201" s="200" t="s">
        <v>647</v>
      </c>
      <c r="T201">
        <f ca="1">LOOKUP(D204,$C$191:$C$196,$E$191:$E$196)</f>
        <v>1</v>
      </c>
      <c r="W201" t="s">
        <v>130</v>
      </c>
      <c r="X201" t="str">
        <f ca="1">OFFSET(Fuselage!$B$275,D201,5)</f>
        <v>None</v>
      </c>
      <c r="AN201" s="200" t="s">
        <v>135</v>
      </c>
      <c r="AO201">
        <f ca="1">MAX(0,H206-MAX(T201,T203,T205,P202)-X202)</f>
        <v>0</v>
      </c>
      <c r="BD201" s="157"/>
    </row>
    <row r="202" spans="2:56">
      <c r="B202" s="156"/>
      <c r="C202" s="200" t="s">
        <v>200</v>
      </c>
      <c r="D202" t="str">
        <f ca="1">OFFSET(Fuselage!$B$275,D201,0)</f>
        <v/>
      </c>
      <c r="G202" s="200" t="s">
        <v>639</v>
      </c>
      <c r="H202" s="178">
        <f ca="1">LOOKUP(D205,$C$191:$C$196,$E$191:$E$196)</f>
        <v>0</v>
      </c>
      <c r="O202" s="200" t="s">
        <v>535</v>
      </c>
      <c r="P202">
        <f ca="1">IF(D203=1,SEAT_length_FC,IF(D203=2,SEAT_length_BC,IF(D203=3,SEAT_length_YC,0)))</f>
        <v>0</v>
      </c>
      <c r="S202" s="200" t="s">
        <v>648</v>
      </c>
      <c r="T202">
        <f ca="1">LOOKUP(D204,$C$191:$C$196,$F$191:$F$196)</f>
        <v>1.2</v>
      </c>
      <c r="W202" t="s">
        <v>131</v>
      </c>
      <c r="X202">
        <f ca="1">LOOKUP(X201,$I$191:$I$198,$J$191:$J$198)</f>
        <v>0</v>
      </c>
      <c r="BD202" s="157"/>
    </row>
    <row r="203" spans="2:56">
      <c r="B203" s="156"/>
      <c r="C203" s="200" t="s">
        <v>337</v>
      </c>
      <c r="D203" t="str">
        <f ca="1">OFFSET(Fuselage!$B$275,D201,4)</f>
        <v/>
      </c>
      <c r="G203" s="200" t="s">
        <v>309</v>
      </c>
      <c r="H203" s="178">
        <f ca="1">LOOKUP(D206,$C$191:$C$196,$E$191:$E$196)</f>
        <v>0.9</v>
      </c>
      <c r="K203" s="200" t="s">
        <v>645</v>
      </c>
      <c r="L203">
        <f ca="1">IF(D203=1,FUSELAGE_nseats_left_FC,IF(D203=2,FUSELAGE_nseats_left_BC,IF(D203=3,FUSELAGE_nseats_left_YC,0)))</f>
        <v>0</v>
      </c>
      <c r="O203" s="200" t="s">
        <v>405</v>
      </c>
      <c r="P203">
        <f ca="1">IF(D203=1,SEAT_w_armrest_FC,IF(D203=2,SEAT_w_armrest_BC,IF(D203=3,SEAT_w_armrest_YC,0)))</f>
        <v>0</v>
      </c>
      <c r="S203" s="200" t="s">
        <v>652</v>
      </c>
      <c r="T203">
        <f ca="1">LOOKUP(D205,$C$191:$C$196,$E$191:$E$196)</f>
        <v>0</v>
      </c>
      <c r="W203" s="200" t="s">
        <v>393</v>
      </c>
      <c r="X203" t="b">
        <f ca="1">IF(OFFSET(Fuselage!$B$275,D201,6)="YES",TRUE(),FALSE())</f>
        <v>0</v>
      </c>
      <c r="BD203" s="157"/>
    </row>
    <row r="204" spans="2:56">
      <c r="B204" s="156"/>
      <c r="C204" s="200" t="s">
        <v>640</v>
      </c>
      <c r="D204" t="str">
        <f ca="1">OFFSET(Fuselage!$B$275,D201,1)</f>
        <v>Lavatory</v>
      </c>
      <c r="G204" s="200" t="s">
        <v>132</v>
      </c>
      <c r="H204" s="178">
        <f ca="1">IF(D203=1,SEAT_pitch_FC,IF(D203=2,SEAT_pitch_BC,IF(D203=3,SEAT_pitch_YC,0)))</f>
        <v>0</v>
      </c>
      <c r="K204" s="200" t="s">
        <v>646</v>
      </c>
      <c r="L204">
        <f ca="1">IF(D203=1,FUSELAGE_nseats_middle_FC,IF(D203=2,FUSELAGE_nseats_middle_BC,IF(D203=3,FUSELAGE_nseats_middle_YC,0)))</f>
        <v>0</v>
      </c>
      <c r="S204" s="200" t="s">
        <v>653</v>
      </c>
      <c r="T204">
        <f ca="1">LOOKUP(D205,$C$191:$C$196,$F$191:$F$196)</f>
        <v>0</v>
      </c>
      <c r="BD204" s="157"/>
    </row>
    <row r="205" spans="2:56">
      <c r="B205" s="156"/>
      <c r="C205" s="200" t="s">
        <v>642</v>
      </c>
      <c r="D205" t="str">
        <f ca="1">OFFSET(Fuselage!$B$275,D201,2)</f>
        <v>None</v>
      </c>
      <c r="G205" s="200" t="s">
        <v>129</v>
      </c>
      <c r="H205" s="178">
        <f ca="1">IF(OR(X201="Type A",X201="Type B"),MAX(H201:H204)+42*0.0254,IF(X201="Type C",MAX(H201:H204)+X202,IF(X201&lt;&gt;"None",24*0.0254,0)))</f>
        <v>0</v>
      </c>
      <c r="K205" s="200" t="s">
        <v>655</v>
      </c>
      <c r="L205">
        <f ca="1">IF(D203=1,FUSELAGE_nseats_right_FC,IF(D203=2,FUSELAGE_nseats_right_BC,IF(D203=3,FUSELAGE_nseats_right_YC,0)))</f>
        <v>0</v>
      </c>
      <c r="O205" s="200" t="s">
        <v>407</v>
      </c>
      <c r="P205">
        <f ca="1">($C$13-(L203+L204+L205)*(P201+P203)+(FUSELAGE_n_aisles-1)*P203)/FUSELAGE_n_aisles</f>
        <v>2.76</v>
      </c>
      <c r="S205" s="200" t="s">
        <v>651</v>
      </c>
      <c r="T205">
        <f ca="1">LOOKUP(D206,$C$191:$C$196,$E$191:$E$196)</f>
        <v>0.9</v>
      </c>
      <c r="BD205" s="157"/>
    </row>
    <row r="206" spans="2:56">
      <c r="B206" s="156"/>
      <c r="C206" s="200" t="s">
        <v>641</v>
      </c>
      <c r="D206" t="str">
        <f ca="1">OFFSET(Fuselage!$B$275,D201,3)</f>
        <v>Galley YC</v>
      </c>
      <c r="G206" s="200" t="s">
        <v>643</v>
      </c>
      <c r="H206" s="178">
        <f ca="1">MAX(H201:H205)</f>
        <v>1</v>
      </c>
      <c r="S206" s="200" t="s">
        <v>654</v>
      </c>
      <c r="T206">
        <f ca="1">LOOKUP(D206,$C$191:$C$196,$F$191:$F$196)</f>
        <v>1.1000000000000001</v>
      </c>
      <c r="BD206" s="157"/>
    </row>
    <row r="207" spans="2:56" ht="15" thickBot="1">
      <c r="B207" s="156"/>
      <c r="AX207" t="s">
        <v>214</v>
      </c>
      <c r="BB207" t="s">
        <v>214</v>
      </c>
      <c r="BD207" s="157"/>
    </row>
    <row r="208" spans="2:56" ht="15" thickBot="1">
      <c r="B208" s="156"/>
      <c r="C208" s="141">
        <f ca="1">L205</f>
        <v>0</v>
      </c>
      <c r="D208" s="197" t="str">
        <f ca="1">IF($D203=1,"FC",IF($D203=2,"BC",IF($D203=3,"YC","Nothing")))</f>
        <v>Nothing</v>
      </c>
      <c r="E208" s="198"/>
      <c r="G208" s="141">
        <f ca="1">L204</f>
        <v>0</v>
      </c>
      <c r="H208" s="197" t="str">
        <f ca="1">IF($D203=1,"FC",IF($D203=2,"BC",IF($D203=3,"YC","Nothing")))</f>
        <v>Nothing</v>
      </c>
      <c r="I208" s="198"/>
      <c r="K208" s="141">
        <f ca="1" xml:space="preserve"> L203</f>
        <v>0</v>
      </c>
      <c r="L208" s="197" t="str">
        <f ca="1">IF($D203=1,"FC",IF($D203=2,"BC",IF($D203=3,"YC","Nothing")))</f>
        <v>Nothing</v>
      </c>
      <c r="M208" s="198"/>
      <c r="O208" s="141">
        <f ca="1">IF($D206&lt;&gt;"None",1,0)</f>
        <v>1</v>
      </c>
      <c r="P208" s="326" t="s">
        <v>380</v>
      </c>
      <c r="Q208" s="327"/>
      <c r="S208" s="141">
        <f ca="1">IF($D205&lt;&gt;"None",1,0)</f>
        <v>0</v>
      </c>
      <c r="T208" s="326" t="s">
        <v>381</v>
      </c>
      <c r="U208" s="327"/>
      <c r="W208" s="141">
        <f ca="1">IF($D204&lt;&gt;"None",1,0)</f>
        <v>1</v>
      </c>
      <c r="X208" s="326" t="s">
        <v>382</v>
      </c>
      <c r="Y208" s="327"/>
      <c r="AA208" s="141">
        <f ca="1">IF($D206="None",1,0)</f>
        <v>0</v>
      </c>
      <c r="AB208" s="326" t="str">
        <f ca="1">IF(AA208,D208,$D206)</f>
        <v>Galley YC</v>
      </c>
      <c r="AC208" s="327"/>
      <c r="AE208" s="141">
        <f ca="1">IF($D205="None",1,0)</f>
        <v>1</v>
      </c>
      <c r="AF208" s="326" t="str">
        <f ca="1">IF(AE208,H208,$D205)</f>
        <v>Nothing</v>
      </c>
      <c r="AG208" s="327"/>
      <c r="AI208" s="141">
        <f ca="1">IF($D204="None",1,0)</f>
        <v>0</v>
      </c>
      <c r="AJ208" s="326" t="str">
        <f ca="1">IF(AI208,L208,$D204)</f>
        <v>Lavatory</v>
      </c>
      <c r="AK208" s="327"/>
      <c r="AM208" s="141">
        <f ca="1">IF($X201="None",0,1)</f>
        <v>0</v>
      </c>
      <c r="AN208" s="326" t="s">
        <v>133</v>
      </c>
      <c r="AO208" s="327"/>
      <c r="AQ208" s="141">
        <f ca="1">IF($X201="None",0,1)</f>
        <v>0</v>
      </c>
      <c r="AR208" s="326" t="s">
        <v>134</v>
      </c>
      <c r="AS208" s="327"/>
      <c r="AW208" s="141"/>
      <c r="AX208" s="197" t="s">
        <v>133</v>
      </c>
      <c r="AY208" s="198"/>
      <c r="BA208" s="141"/>
      <c r="BB208" s="197" t="s">
        <v>134</v>
      </c>
      <c r="BC208" s="198"/>
      <c r="BD208" s="157"/>
    </row>
    <row r="209" spans="2:56" ht="15" thickBot="1">
      <c r="B209" s="156"/>
      <c r="C209" s="136" t="s">
        <v>452</v>
      </c>
      <c r="D209" s="136" t="s">
        <v>384</v>
      </c>
      <c r="E209" s="138" t="s">
        <v>385</v>
      </c>
      <c r="G209" s="136" t="s">
        <v>452</v>
      </c>
      <c r="H209" s="136" t="s">
        <v>384</v>
      </c>
      <c r="I209" s="138" t="s">
        <v>385</v>
      </c>
      <c r="K209" s="193" t="s">
        <v>452</v>
      </c>
      <c r="L209" s="193" t="s">
        <v>384</v>
      </c>
      <c r="M209" s="194" t="s">
        <v>385</v>
      </c>
      <c r="O209" s="136" t="s">
        <v>452</v>
      </c>
      <c r="P209" s="136" t="s">
        <v>384</v>
      </c>
      <c r="Q209" s="138" t="s">
        <v>385</v>
      </c>
      <c r="S209" s="136" t="s">
        <v>452</v>
      </c>
      <c r="T209" s="136" t="s">
        <v>384</v>
      </c>
      <c r="U209" s="138" t="s">
        <v>385</v>
      </c>
      <c r="W209" s="136" t="s">
        <v>452</v>
      </c>
      <c r="X209" s="136" t="s">
        <v>384</v>
      </c>
      <c r="Y209" s="138" t="s">
        <v>385</v>
      </c>
      <c r="AA209" s="36" t="s">
        <v>446</v>
      </c>
      <c r="AB209" s="136" t="s">
        <v>384</v>
      </c>
      <c r="AC209" s="138" t="s">
        <v>385</v>
      </c>
      <c r="AE209" s="136" t="s">
        <v>452</v>
      </c>
      <c r="AF209" s="136" t="s">
        <v>384</v>
      </c>
      <c r="AG209" s="138" t="s">
        <v>385</v>
      </c>
      <c r="AI209" s="193" t="s">
        <v>452</v>
      </c>
      <c r="AJ209" s="193" t="s">
        <v>384</v>
      </c>
      <c r="AK209" s="194" t="s">
        <v>385</v>
      </c>
      <c r="AM209" s="193" t="s">
        <v>452</v>
      </c>
      <c r="AN209" s="193" t="s">
        <v>384</v>
      </c>
      <c r="AO209" s="194" t="s">
        <v>385</v>
      </c>
      <c r="AQ209" s="193" t="s">
        <v>452</v>
      </c>
      <c r="AR209" s="193" t="s">
        <v>384</v>
      </c>
      <c r="AS209" s="194" t="s">
        <v>385</v>
      </c>
      <c r="AW209" s="193" t="s">
        <v>474</v>
      </c>
      <c r="AX209" s="193" t="s">
        <v>384</v>
      </c>
      <c r="AY209" s="194" t="s">
        <v>385</v>
      </c>
      <c r="BA209" s="193" t="s">
        <v>474</v>
      </c>
      <c r="BB209" s="193" t="s">
        <v>384</v>
      </c>
      <c r="BC209" s="194" t="s">
        <v>385</v>
      </c>
      <c r="BD209" s="157"/>
    </row>
    <row r="210" spans="2:56">
      <c r="B210" s="156"/>
      <c r="C210" s="128" t="s">
        <v>396</v>
      </c>
      <c r="D210" s="158">
        <f ca="1">IF(C208&gt;=1,L201,8888)</f>
        <v>8888</v>
      </c>
      <c r="E210" s="160">
        <f ca="1">IF(C208&gt;=1,1/2*($C$13-P201-2*P203)+1/2*P201,8888)</f>
        <v>8888</v>
      </c>
      <c r="G210" s="128" t="s">
        <v>396</v>
      </c>
      <c r="H210" s="158">
        <f ca="1">IF(G208&gt;=1,L201,8888)</f>
        <v>8888</v>
      </c>
      <c r="I210" s="160">
        <f ca="1">IF(G208&gt;=1,E221-P205,8888)</f>
        <v>8888</v>
      </c>
      <c r="K210" s="128" t="s">
        <v>396</v>
      </c>
      <c r="L210" s="158">
        <f ca="1">IF(K208&gt;=1,L201,8888)</f>
        <v>8888</v>
      </c>
      <c r="M210" s="160">
        <f ca="1">IF(K208&gt;=1,IF(FUSELAGE_n_aisles=1,E221-P205,I233-P205),8888)</f>
        <v>8888</v>
      </c>
      <c r="O210" s="128" t="s">
        <v>396</v>
      </c>
      <c r="P210" s="158">
        <f ca="1">IF(O208,$L201,8888)</f>
        <v>-1</v>
      </c>
      <c r="Q210" s="209">
        <f ca="1">IF(O208,FUSELAGE_y_position_of_left_seat_YC-(FUSELAGE_nseats_right_YC-1)*(SEAT_w_cushion_YC+SEAT_w_armrest_YC)/2+T206/2,8888)</f>
        <v>1.3399999999999999</v>
      </c>
      <c r="S210" s="128" t="s">
        <v>396</v>
      </c>
      <c r="T210" s="158">
        <f ca="1">IF(S208,$L201,8888)</f>
        <v>8888</v>
      </c>
      <c r="U210" s="160">
        <f ca="1">IF(S208,T204/2,8888)</f>
        <v>8888</v>
      </c>
      <c r="W210" s="128" t="s">
        <v>396</v>
      </c>
      <c r="X210" s="158">
        <f ca="1">IF(W208,$L201,8888)</f>
        <v>-1</v>
      </c>
      <c r="Y210" s="160">
        <f ca="1">IF(W208,-FUSELAGE_y_position_of_left_seat_YC+(FUSELAGE_nseats_left_YC-1)*(SEAT_w_cushion_YC+SEAT_w_armrest_YC)/2-T202/2,8888)</f>
        <v>-1.3899999999999997</v>
      </c>
      <c r="AA210" s="128" t="s">
        <v>396</v>
      </c>
      <c r="AB210" s="158">
        <f ca="1">IF($AA208,D210,P210)</f>
        <v>-1</v>
      </c>
      <c r="AC210" s="174">
        <f ca="1">IF($AA208,E210,Q210)</f>
        <v>1.3399999999999999</v>
      </c>
      <c r="AE210" s="128" t="s">
        <v>396</v>
      </c>
      <c r="AF210" s="158">
        <f ca="1">IF($AE208,H210,T210)</f>
        <v>8888</v>
      </c>
      <c r="AG210" s="174">
        <f ca="1">IF($AE208,I210,U210)</f>
        <v>8888</v>
      </c>
      <c r="AI210" s="128" t="s">
        <v>396</v>
      </c>
      <c r="AJ210" s="158">
        <f ca="1">IF($AI208,L210,X210)</f>
        <v>-1</v>
      </c>
      <c r="AK210" s="174">
        <f ca="1">IF($AI208,M210,Y210)</f>
        <v>-1.3899999999999997</v>
      </c>
      <c r="AM210" s="128" t="s">
        <v>396</v>
      </c>
      <c r="AN210" s="158">
        <f>AN190</f>
        <v>0</v>
      </c>
      <c r="AO210" s="174">
        <f ca="1">IF(AN210&gt;-Fuselage!$D$366,(FUSELAGE_a_ellipse)*SQRT(1-((AN210+Fuselage!$D$366)/(Fuselage!$K$364-FUSELAGE_t_fuselage))^2),IF(AN210&gt;$L$2505+Fuselage!$K$370,FUSELAGE_a_ellipse,(FUSELAGE_a_ellipse+FUSELAGE_t_fuselage-FUSELAGE_d_fo/4)/Fuselage!$K$368*(AN210-$L$2505-Fuselage!$K$370)+FUSELAGE_a_ellipse))</f>
        <v>1.4960570012328709</v>
      </c>
      <c r="AQ210" s="128" t="s">
        <v>396</v>
      </c>
      <c r="AR210" s="158">
        <f t="shared" ref="AR210:AR215" si="33">AN210</f>
        <v>0</v>
      </c>
      <c r="AS210" s="174">
        <f t="shared" ref="AS210:AS215" ca="1" si="34">-AO210</f>
        <v>-1.4960570012328709</v>
      </c>
      <c r="AW210" s="128">
        <v>1</v>
      </c>
      <c r="AX210" s="158">
        <f t="shared" ref="AX210:AX273" ca="1" si="35">OFFSET(AN$209,$AW210,0)</f>
        <v>0</v>
      </c>
      <c r="AY210" s="174">
        <f t="shared" ref="AY210:AY273" ca="1" si="36">OFFSET(AO$209,$AW210,0)</f>
        <v>1.4960570012328709</v>
      </c>
      <c r="BA210" s="128"/>
      <c r="BB210" s="158">
        <f t="shared" ref="BB210:BB273" ca="1" si="37">AX210</f>
        <v>0</v>
      </c>
      <c r="BC210" s="174">
        <f t="shared" ref="BC210:BC273" ca="1" si="38">-AY210</f>
        <v>-1.4960570012328709</v>
      </c>
      <c r="BD210" s="157"/>
    </row>
    <row r="211" spans="2:56">
      <c r="B211" s="156"/>
      <c r="C211" s="128" t="s">
        <v>213</v>
      </c>
      <c r="D211" s="128">
        <f ca="1">IF(X203,D210+P202/4,D210+P202)</f>
        <v>8888</v>
      </c>
      <c r="E211" s="139">
        <f ca="1">E210</f>
        <v>8888</v>
      </c>
      <c r="G211" s="128" t="s">
        <v>213</v>
      </c>
      <c r="H211" s="128">
        <f ca="1">H210+P202</f>
        <v>8888</v>
      </c>
      <c r="I211" s="139">
        <f ca="1">I210</f>
        <v>8888</v>
      </c>
      <c r="K211" s="128" t="s">
        <v>213</v>
      </c>
      <c r="L211" s="128">
        <f ca="1">IF(X203,IF(K208=1,L210+P202/4,L210+P202),L210+P202)</f>
        <v>8888</v>
      </c>
      <c r="M211" s="139">
        <f ca="1">M210</f>
        <v>8888</v>
      </c>
      <c r="O211" s="128" t="s">
        <v>213</v>
      </c>
      <c r="P211" s="128">
        <f ca="1">P210+$T205</f>
        <v>-9.9999999999999978E-2</v>
      </c>
      <c r="Q211" s="139">
        <f ca="1">Q210</f>
        <v>1.3399999999999999</v>
      </c>
      <c r="S211" s="128" t="s">
        <v>213</v>
      </c>
      <c r="T211" s="128">
        <f ca="1">T210+$T203</f>
        <v>8888</v>
      </c>
      <c r="U211" s="139">
        <f ca="1">U210</f>
        <v>8888</v>
      </c>
      <c r="W211" s="128" t="s">
        <v>213</v>
      </c>
      <c r="X211" s="128">
        <f ca="1">X210+$T201</f>
        <v>0</v>
      </c>
      <c r="Y211" s="139">
        <f ca="1">Y210</f>
        <v>-1.3899999999999997</v>
      </c>
      <c r="AA211" s="143" t="s">
        <v>213</v>
      </c>
      <c r="AB211" s="128">
        <f ca="1">IF($AA208,D211,P211)</f>
        <v>-9.9999999999999978E-2</v>
      </c>
      <c r="AC211" s="129">
        <f ca="1">IF($AA208,E211,Q211)</f>
        <v>1.3399999999999999</v>
      </c>
      <c r="AE211" s="128" t="s">
        <v>213</v>
      </c>
      <c r="AF211" s="128">
        <f ca="1">IF($AE208,H211,T211)</f>
        <v>8888</v>
      </c>
      <c r="AG211" s="129">
        <f ca="1">IF($AE208,I211,U211)</f>
        <v>8888</v>
      </c>
      <c r="AI211" s="128" t="s">
        <v>213</v>
      </c>
      <c r="AJ211" s="128">
        <f ca="1">IF($AI208,L211,X211)</f>
        <v>0</v>
      </c>
      <c r="AK211" s="129">
        <f ca="1">IF($AI208,M211,Y211)</f>
        <v>-1.3899999999999997</v>
      </c>
      <c r="AM211" s="128" t="s">
        <v>213</v>
      </c>
      <c r="AN211" s="128">
        <f ca="1">AN210-AO201/2</f>
        <v>0</v>
      </c>
      <c r="AO211" s="129">
        <f ca="1">IF(AN211&gt;-Fuselage!$D$366,(FUSELAGE_a_ellipse)*SQRT(1-((AN211+Fuselage!$D$366)/(Fuselage!$K$364-FUSELAGE_t_fuselage))^2),IF(AN211&gt;$L$2505+Fuselage!$K$370,FUSELAGE_a_ellipse,(FUSELAGE_a_ellipse+FUSELAGE_t_fuselage-FUSELAGE_d_fo/4)/Fuselage!$K$368*(AN211-$L$2505-Fuselage!$K$370)+FUSELAGE_a_ellipse))</f>
        <v>1.4960570012328709</v>
      </c>
      <c r="AQ211" s="128" t="s">
        <v>213</v>
      </c>
      <c r="AR211" s="128">
        <f t="shared" ca="1" si="33"/>
        <v>0</v>
      </c>
      <c r="AS211" s="129">
        <f t="shared" ca="1" si="34"/>
        <v>-1.4960570012328709</v>
      </c>
      <c r="AW211" s="128">
        <v>2</v>
      </c>
      <c r="AX211" s="128">
        <f t="shared" ca="1" si="35"/>
        <v>0</v>
      </c>
      <c r="AY211" s="129">
        <f t="shared" ca="1" si="36"/>
        <v>1.4960570012328709</v>
      </c>
      <c r="BA211" s="128"/>
      <c r="BB211" s="128">
        <f t="shared" ca="1" si="37"/>
        <v>0</v>
      </c>
      <c r="BC211" s="129">
        <f t="shared" ca="1" si="38"/>
        <v>-1.4960570012328709</v>
      </c>
      <c r="BD211" s="157"/>
    </row>
    <row r="212" spans="2:56">
      <c r="B212" s="156"/>
      <c r="C212" s="128" t="s">
        <v>286</v>
      </c>
      <c r="D212" s="128">
        <f ca="1">D211</f>
        <v>8888</v>
      </c>
      <c r="E212" s="139">
        <f ca="1">E211-P201</f>
        <v>8888</v>
      </c>
      <c r="G212" s="128" t="s">
        <v>286</v>
      </c>
      <c r="H212" s="128">
        <f ca="1">H211</f>
        <v>8888</v>
      </c>
      <c r="I212" s="139">
        <f ca="1">I211-P201</f>
        <v>8888</v>
      </c>
      <c r="K212" s="128" t="s">
        <v>286</v>
      </c>
      <c r="L212" s="128">
        <f ca="1">L211</f>
        <v>8888</v>
      </c>
      <c r="M212" s="139">
        <f ca="1">M211-P201</f>
        <v>8888</v>
      </c>
      <c r="O212" s="128" t="s">
        <v>286</v>
      </c>
      <c r="P212" s="128">
        <f ca="1">P211</f>
        <v>-9.9999999999999978E-2</v>
      </c>
      <c r="Q212" s="139">
        <f ca="1">Q211-$T206</f>
        <v>0.23999999999999977</v>
      </c>
      <c r="S212" s="128" t="s">
        <v>286</v>
      </c>
      <c r="T212" s="128">
        <f ca="1">T211</f>
        <v>8888</v>
      </c>
      <c r="U212" s="139">
        <f ca="1">U211-$T204</f>
        <v>8888</v>
      </c>
      <c r="W212" s="128" t="s">
        <v>286</v>
      </c>
      <c r="X212" s="128">
        <f ca="1">X211</f>
        <v>0</v>
      </c>
      <c r="Y212" s="139">
        <f ca="1">Y211+$T202</f>
        <v>-0.18999999999999972</v>
      </c>
      <c r="AA212" s="143" t="s">
        <v>286</v>
      </c>
      <c r="AB212" s="128">
        <f ca="1">IF($AA208,D212,P212)</f>
        <v>-9.9999999999999978E-2</v>
      </c>
      <c r="AC212" s="129">
        <f ca="1">IF($AA208,E212,Q212)</f>
        <v>0.23999999999999977</v>
      </c>
      <c r="AE212" s="128" t="s">
        <v>286</v>
      </c>
      <c r="AF212" s="128">
        <f ca="1">IF($AE208,H212,T212)</f>
        <v>8888</v>
      </c>
      <c r="AG212" s="129">
        <f ca="1">IF($AE208,I212,U212)</f>
        <v>8888</v>
      </c>
      <c r="AI212" s="128" t="s">
        <v>286</v>
      </c>
      <c r="AJ212" s="128">
        <f ca="1">IF($AI208,L212,X212)</f>
        <v>0</v>
      </c>
      <c r="AK212" s="129">
        <f ca="1">IF($AI208,M212,Y212)</f>
        <v>-0.18999999999999972</v>
      </c>
      <c r="AM212" s="128" t="s">
        <v>286</v>
      </c>
      <c r="AN212" s="128">
        <f ca="1">AN211</f>
        <v>0</v>
      </c>
      <c r="AO212" s="129">
        <f ca="1">IF(AN212&gt;-Fuselage!$D$366,IF(AM208,(FUSELAGE_a_ellipse+FUSELAGE_t_fuselage)*SQRT(1-((AN212+Fuselage!$D$366)/Fuselage!$K$364)^2),(FUSELAGE_a_ellipse)*SQRT(1-((AN212+Fuselage!$D$366)/Fuselage!$K$364)^2)),IF(AN212&gt;$L$2505+Fuselage!$K$370,(IF(AM208,FUSELAGE_a_ellipse+FUSELAGE_t_fuselage,FUSELAGE_a_ellipse)),IF(AM208,(FUSELAGE_a_ellipse+FUSELAGE_t_fuselage-FUSELAGE_d_fo/4)/Fuselage!$K$368*(AN212-$L$2505-Fuselage!$K$370)+FUSELAGE_a_ellipse+FUSELAGE_t_fuselage,(FUSELAGE_a_ellipse+FUSELAGE_t_fuselage-FUSELAGE_d_fo/4)/Fuselage!$K$368*(AN212-$L$2505-Fuselage!$K$370)+FUSELAGE_a_ellipse)))</f>
        <v>1.4960570012328709</v>
      </c>
      <c r="AQ212" s="128" t="s">
        <v>286</v>
      </c>
      <c r="AR212" s="128">
        <f t="shared" ca="1" si="33"/>
        <v>0</v>
      </c>
      <c r="AS212" s="129">
        <f t="shared" ca="1" si="34"/>
        <v>-1.4960570012328709</v>
      </c>
      <c r="AW212" s="128">
        <v>3</v>
      </c>
      <c r="AX212" s="128">
        <f t="shared" ca="1" si="35"/>
        <v>0</v>
      </c>
      <c r="AY212" s="129">
        <f t="shared" ca="1" si="36"/>
        <v>1.4960570012328709</v>
      </c>
      <c r="BA212" s="128"/>
      <c r="BB212" s="128">
        <f t="shared" ca="1" si="37"/>
        <v>0</v>
      </c>
      <c r="BC212" s="129">
        <f t="shared" ca="1" si="38"/>
        <v>-1.4960570012328709</v>
      </c>
      <c r="BD212" s="157"/>
    </row>
    <row r="213" spans="2:56">
      <c r="B213" s="156"/>
      <c r="C213" s="188" t="s">
        <v>522</v>
      </c>
      <c r="D213" s="188">
        <f ca="1">D210</f>
        <v>8888</v>
      </c>
      <c r="E213" s="189">
        <f ca="1">E212</f>
        <v>8888</v>
      </c>
      <c r="F213" s="157"/>
      <c r="G213" s="2" t="s">
        <v>522</v>
      </c>
      <c r="H213" s="128">
        <f ca="1">H210</f>
        <v>8888</v>
      </c>
      <c r="I213" s="139">
        <f ca="1">I212</f>
        <v>8888</v>
      </c>
      <c r="K213" s="128" t="s">
        <v>522</v>
      </c>
      <c r="L213" s="128">
        <f ca="1">L210</f>
        <v>8888</v>
      </c>
      <c r="M213" s="139">
        <f ca="1">M212</f>
        <v>8888</v>
      </c>
      <c r="O213" s="188" t="s">
        <v>522</v>
      </c>
      <c r="P213" s="188">
        <f ca="1">P210</f>
        <v>-1</v>
      </c>
      <c r="Q213" s="189">
        <f ca="1">Q212</f>
        <v>0.23999999999999977</v>
      </c>
      <c r="S213" s="188" t="s">
        <v>522</v>
      </c>
      <c r="T213" s="188">
        <f ca="1">T210</f>
        <v>8888</v>
      </c>
      <c r="U213" s="189">
        <f ca="1">U212</f>
        <v>8888</v>
      </c>
      <c r="W213" s="188" t="s">
        <v>522</v>
      </c>
      <c r="X213" s="188">
        <f ca="1">X210</f>
        <v>-1</v>
      </c>
      <c r="Y213" s="189">
        <f ca="1">Y212</f>
        <v>-0.18999999999999972</v>
      </c>
      <c r="AA213" s="195" t="s">
        <v>522</v>
      </c>
      <c r="AB213" s="128">
        <f ca="1">IF($AA208,D213,P213)</f>
        <v>-1</v>
      </c>
      <c r="AC213" s="129">
        <f ca="1">IF($AA208,E213,Q213)</f>
        <v>0.23999999999999977</v>
      </c>
      <c r="AD213" s="157"/>
      <c r="AE213" s="2" t="s">
        <v>522</v>
      </c>
      <c r="AF213" s="188">
        <f ca="1">IF($AE208,H213,T213)</f>
        <v>8888</v>
      </c>
      <c r="AG213" s="196">
        <f ca="1">IF($AE208,I213,U213)</f>
        <v>8888</v>
      </c>
      <c r="AI213" s="128" t="s">
        <v>522</v>
      </c>
      <c r="AJ213" s="188">
        <f ca="1">IF($AI208,L213,X213)</f>
        <v>-1</v>
      </c>
      <c r="AK213" s="196">
        <f ca="1">IF($AI208,M213,Y213)</f>
        <v>-0.18999999999999972</v>
      </c>
      <c r="AM213" s="128" t="s">
        <v>522</v>
      </c>
      <c r="AN213" s="128">
        <f ca="1">AN212-X202</f>
        <v>0</v>
      </c>
      <c r="AO213" s="129">
        <f ca="1">IF(AN213&gt;-Fuselage!$D$366,IF(AM208,(FUSELAGE_a_ellipse+FUSELAGE_t_fuselage)*SQRT(1-((AN213+Fuselage!$D$366)/Fuselage!$K$364)^2),(FUSELAGE_a_ellipse)*SQRT(1-((AN213+Fuselage!$D$366)/Fuselage!$K$364)^2)),IF(AN213&gt;$L$2505+Fuselage!$K$370,(IF(AM208,FUSELAGE_a_ellipse+FUSELAGE_t_fuselage,FUSELAGE_a_ellipse)),IF(AM208,(FUSELAGE_a_ellipse+FUSELAGE_t_fuselage-FUSELAGE_d_fo/4)/Fuselage!$K$368*(AN213-$L$2505-Fuselage!$K$370)+FUSELAGE_a_ellipse+FUSELAGE_t_fuselage,(FUSELAGE_a_ellipse+FUSELAGE_t_fuselage-FUSELAGE_d_fo/4)/Fuselage!$K$368*(AN213-$L$2505-Fuselage!$K$370)+FUSELAGE_a_ellipse)))</f>
        <v>1.4960570012328709</v>
      </c>
      <c r="AQ213" s="128" t="s">
        <v>522</v>
      </c>
      <c r="AR213" s="128">
        <f t="shared" ca="1" si="33"/>
        <v>0</v>
      </c>
      <c r="AS213" s="129">
        <f t="shared" ca="1" si="34"/>
        <v>-1.4960570012328709</v>
      </c>
      <c r="AW213" s="128">
        <v>4</v>
      </c>
      <c r="AX213" s="128">
        <f t="shared" ca="1" si="35"/>
        <v>0</v>
      </c>
      <c r="AY213" s="129">
        <f t="shared" ca="1" si="36"/>
        <v>1.4960570012328709</v>
      </c>
      <c r="BA213" s="128"/>
      <c r="BB213" s="128">
        <f t="shared" ca="1" si="37"/>
        <v>0</v>
      </c>
      <c r="BC213" s="129">
        <f t="shared" ca="1" si="38"/>
        <v>-1.4960570012328709</v>
      </c>
      <c r="BD213" s="157"/>
    </row>
    <row r="214" spans="2:56" ht="15" thickBot="1">
      <c r="B214" s="156"/>
      <c r="C214" s="128" t="s">
        <v>49</v>
      </c>
      <c r="D214" s="128">
        <f ca="1">IF(C208&gt;=2,D210,D213)</f>
        <v>8888</v>
      </c>
      <c r="E214" s="139">
        <f ca="1">IF(C208&gt;=2,E213-P203,E213)</f>
        <v>8888</v>
      </c>
      <c r="F214" s="157"/>
      <c r="G214" s="192" t="s">
        <v>49</v>
      </c>
      <c r="H214" s="190">
        <f ca="1">IF(G208&gt;=2,H210,H213)</f>
        <v>8888</v>
      </c>
      <c r="I214" s="191">
        <f ca="1">IF(G208&gt;=2,I213-P203,I213)</f>
        <v>8888</v>
      </c>
      <c r="K214" s="190" t="s">
        <v>49</v>
      </c>
      <c r="L214" s="190">
        <f ca="1">IF(K208&gt;=2,L210,L213)</f>
        <v>8888</v>
      </c>
      <c r="M214" s="191">
        <f ca="1">IF(K208&gt;=2,M213-P203,M213)</f>
        <v>8888</v>
      </c>
      <c r="O214" s="130" t="s">
        <v>396</v>
      </c>
      <c r="P214" s="130">
        <f ca="1">P210</f>
        <v>-1</v>
      </c>
      <c r="Q214" s="140">
        <f ca="1">Q210</f>
        <v>1.3399999999999999</v>
      </c>
      <c r="S214" s="130" t="s">
        <v>396</v>
      </c>
      <c r="T214" s="130">
        <f ca="1">T210</f>
        <v>8888</v>
      </c>
      <c r="U214" s="140">
        <f ca="1">U210</f>
        <v>8888</v>
      </c>
      <c r="W214" s="130" t="s">
        <v>396</v>
      </c>
      <c r="X214" s="130">
        <f ca="1">X210</f>
        <v>-1</v>
      </c>
      <c r="Y214" s="140">
        <f ca="1">Y210</f>
        <v>-1.3899999999999997</v>
      </c>
      <c r="AA214" s="143" t="s">
        <v>49</v>
      </c>
      <c r="AB214" s="128">
        <f ca="1">IF($AA208,D214,P214)</f>
        <v>-1</v>
      </c>
      <c r="AC214" s="129">
        <f ca="1">IF($AA208,E214,Q214)</f>
        <v>1.3399999999999999</v>
      </c>
      <c r="AD214" s="157"/>
      <c r="AE214" s="192" t="s">
        <v>49</v>
      </c>
      <c r="AF214" s="128">
        <f ca="1">IF($AE208,H214,T214)</f>
        <v>8888</v>
      </c>
      <c r="AG214" s="129">
        <f ca="1">IF($AE208,I214,U214)</f>
        <v>8888</v>
      </c>
      <c r="AI214" s="190" t="s">
        <v>49</v>
      </c>
      <c r="AJ214" s="128">
        <f ca="1">IF($AI208,L214,X214)</f>
        <v>-1</v>
      </c>
      <c r="AK214" s="129">
        <f ca="1">IF($AI208,M214,Y214)</f>
        <v>-1.3899999999999997</v>
      </c>
      <c r="AM214" s="128" t="s">
        <v>49</v>
      </c>
      <c r="AN214" s="128">
        <f ca="1">AN213</f>
        <v>0</v>
      </c>
      <c r="AO214" s="129">
        <f ca="1">IF(AN214&gt;-Fuselage!$D$366,(FUSELAGE_a_ellipse)*SQRT(1-((AN214+Fuselage!$D$366)/(Fuselage!$K$364-FUSELAGE_t_fuselage))^2),IF(AN214&gt;$L$2505+Fuselage!$K$370,FUSELAGE_a_ellipse,(FUSELAGE_a_ellipse+FUSELAGE_t_fuselage-FUSELAGE_d_fo/4)/Fuselage!$K$368*(AN214-$L$2505-Fuselage!$K$370)+FUSELAGE_a_ellipse))</f>
        <v>1.4960570012328709</v>
      </c>
      <c r="AQ214" s="128" t="s">
        <v>49</v>
      </c>
      <c r="AR214" s="128">
        <f t="shared" ca="1" si="33"/>
        <v>0</v>
      </c>
      <c r="AS214" s="129">
        <f t="shared" ca="1" si="34"/>
        <v>-1.4960570012328709</v>
      </c>
      <c r="AW214" s="128">
        <v>5</v>
      </c>
      <c r="AX214" s="128">
        <f t="shared" ca="1" si="35"/>
        <v>0</v>
      </c>
      <c r="AY214" s="129">
        <f t="shared" ca="1" si="36"/>
        <v>1.4960570012328709</v>
      </c>
      <c r="BA214" s="128"/>
      <c r="BB214" s="128">
        <f t="shared" ca="1" si="37"/>
        <v>0</v>
      </c>
      <c r="BC214" s="129">
        <f t="shared" ca="1" si="38"/>
        <v>-1.4960570012328709</v>
      </c>
      <c r="BD214" s="157"/>
    </row>
    <row r="215" spans="2:56">
      <c r="B215" s="156"/>
      <c r="C215" s="128" t="s">
        <v>453</v>
      </c>
      <c r="D215" s="128">
        <f ca="1">IF(C208&gt;=2,D210+P202,D213)</f>
        <v>8888</v>
      </c>
      <c r="E215" s="139">
        <f ca="1">E214</f>
        <v>8888</v>
      </c>
      <c r="F215" s="157"/>
      <c r="G215" s="2" t="s">
        <v>453</v>
      </c>
      <c r="H215" s="128">
        <f ca="1">IF(G208&gt;=2,H211,H213)</f>
        <v>8888</v>
      </c>
      <c r="I215" s="139">
        <f ca="1">IF(G208&gt;=2,I214,I213)</f>
        <v>8888</v>
      </c>
      <c r="K215" s="128" t="s">
        <v>453</v>
      </c>
      <c r="L215" s="128">
        <f ca="1">IF(K208&gt;=2,IF(X203,IF(K208=2,L210+P202/4,L210+P202),L210+P202),L213)</f>
        <v>8888</v>
      </c>
      <c r="M215" s="139">
        <f ca="1">IF(K208&gt;=2,M214,M213)</f>
        <v>8888</v>
      </c>
      <c r="AA215" s="143" t="s">
        <v>453</v>
      </c>
      <c r="AB215" s="128">
        <f ca="1">IF($AA208,D215,AB214)</f>
        <v>-1</v>
      </c>
      <c r="AC215" s="129">
        <f ca="1">IF($AA208,E215,AC214)</f>
        <v>1.3399999999999999</v>
      </c>
      <c r="AD215" s="157"/>
      <c r="AE215" s="2" t="s">
        <v>453</v>
      </c>
      <c r="AF215" s="128">
        <f ca="1">IF($AE208,H215,AF214)</f>
        <v>8888</v>
      </c>
      <c r="AG215" s="129">
        <f ca="1">IF($AE208,I215,AG214)</f>
        <v>8888</v>
      </c>
      <c r="AI215" s="128" t="s">
        <v>453</v>
      </c>
      <c r="AJ215" s="128">
        <f ca="1">IF($AI208,L215,AJ214)</f>
        <v>-1</v>
      </c>
      <c r="AK215" s="129">
        <f ca="1">IF($AI208,M215,AK214)</f>
        <v>-1.3899999999999997</v>
      </c>
      <c r="AM215" s="128" t="s">
        <v>453</v>
      </c>
      <c r="AN215" s="128">
        <f ca="1">L201</f>
        <v>-1</v>
      </c>
      <c r="AO215" s="129">
        <f ca="1">IF(AN215&gt;-Fuselage!$D$366,(FUSELAGE_a_ellipse)*SQRT(1-((AN215+Fuselage!$D$366)/(Fuselage!$K$364-FUSELAGE_t_fuselage))^2),IF(AN215&gt;$L$2505+Fuselage!$K$370,FUSELAGE_a_ellipse,(FUSELAGE_a_ellipse+FUSELAGE_t_fuselage-FUSELAGE_d_fo/4)/Fuselage!$K$368*(AN215-$L$2505-Fuselage!$K$370)+FUSELAGE_a_ellipse))</f>
        <v>1.4960570012328709</v>
      </c>
      <c r="AQ215" s="128" t="s">
        <v>453</v>
      </c>
      <c r="AR215" s="128">
        <f t="shared" ca="1" si="33"/>
        <v>-1</v>
      </c>
      <c r="AS215" s="129">
        <f t="shared" ca="1" si="34"/>
        <v>-1.4960570012328709</v>
      </c>
      <c r="AW215" s="128">
        <f>AW210+36</f>
        <v>37</v>
      </c>
      <c r="AX215" s="128">
        <f t="shared" ca="1" si="35"/>
        <v>-1</v>
      </c>
      <c r="AY215" s="129">
        <f t="shared" ca="1" si="36"/>
        <v>1.4960570012328709</v>
      </c>
      <c r="BA215" s="128"/>
      <c r="BB215" s="128">
        <f t="shared" ca="1" si="37"/>
        <v>-1</v>
      </c>
      <c r="BC215" s="129">
        <f t="shared" ca="1" si="38"/>
        <v>-1.4960570012328709</v>
      </c>
      <c r="BD215" s="157"/>
    </row>
    <row r="216" spans="2:56">
      <c r="B216" s="156"/>
      <c r="C216" s="128" t="s">
        <v>394</v>
      </c>
      <c r="D216" s="128">
        <f ca="1">IF(C208&gt;=2,D215,D213)</f>
        <v>8888</v>
      </c>
      <c r="E216" s="139">
        <f ca="1">IF(C208&gt;=2,E214-P201,E213)</f>
        <v>8888</v>
      </c>
      <c r="F216" s="157"/>
      <c r="G216" s="2" t="s">
        <v>394</v>
      </c>
      <c r="H216" s="128">
        <f ca="1">IF(G208&gt;=2,H211,H213)</f>
        <v>8888</v>
      </c>
      <c r="I216" s="139">
        <f ca="1">IF(G208&gt;=2,I215-P201,I213)</f>
        <v>8888</v>
      </c>
      <c r="K216" s="128" t="s">
        <v>394</v>
      </c>
      <c r="L216" s="128">
        <f ca="1">L215</f>
        <v>8888</v>
      </c>
      <c r="M216" s="139">
        <f ca="1">IF(K208&gt;=2,M215-P201,M213)</f>
        <v>8888</v>
      </c>
      <c r="AA216" s="143" t="s">
        <v>394</v>
      </c>
      <c r="AB216" s="128">
        <f ca="1">IF($AA208,D216,AB214)</f>
        <v>-1</v>
      </c>
      <c r="AC216" s="129">
        <f ca="1">IF($AA208,E216,AC214)</f>
        <v>1.3399999999999999</v>
      </c>
      <c r="AD216" s="157"/>
      <c r="AE216" s="2" t="s">
        <v>394</v>
      </c>
      <c r="AF216" s="128">
        <f ca="1">IF($AE208,H216,AF214)</f>
        <v>8888</v>
      </c>
      <c r="AG216" s="129">
        <f ca="1">IF($AE208,I216,AG214)</f>
        <v>8888</v>
      </c>
      <c r="AI216" s="128" t="s">
        <v>394</v>
      </c>
      <c r="AJ216" s="128">
        <f ca="1">IF($AI208,L216,AJ214)</f>
        <v>-1</v>
      </c>
      <c r="AK216" s="129">
        <f ca="1">IF($AI208,M216,AK214)</f>
        <v>-1.3899999999999997</v>
      </c>
      <c r="AW216" s="128">
        <f t="shared" ref="AW216:AW279" si="39">AW211+36</f>
        <v>38</v>
      </c>
      <c r="AX216" s="128">
        <f t="shared" ca="1" si="35"/>
        <v>-1.27</v>
      </c>
      <c r="AY216" s="129">
        <f t="shared" ca="1" si="36"/>
        <v>1.4960570012328709</v>
      </c>
      <c r="BB216" s="128">
        <f t="shared" ca="1" si="37"/>
        <v>-1.27</v>
      </c>
      <c r="BC216" s="129">
        <f t="shared" ca="1" si="38"/>
        <v>-1.4960570012328709</v>
      </c>
      <c r="BD216" s="157"/>
    </row>
    <row r="217" spans="2:56">
      <c r="B217" s="156"/>
      <c r="C217" s="188" t="s">
        <v>454</v>
      </c>
      <c r="D217" s="188">
        <f ca="1">IF(C208&gt;=2,D210,D213)</f>
        <v>8888</v>
      </c>
      <c r="E217" s="189">
        <f ca="1">E216</f>
        <v>8888</v>
      </c>
      <c r="F217" s="157"/>
      <c r="G217" s="115" t="s">
        <v>454</v>
      </c>
      <c r="H217" s="188">
        <f ca="1">IF(G208&gt;=2,H210,H213)</f>
        <v>8888</v>
      </c>
      <c r="I217" s="189">
        <f ca="1">IF(G208&gt;=2,I216,I213)</f>
        <v>8888</v>
      </c>
      <c r="K217" s="188" t="s">
        <v>454</v>
      </c>
      <c r="L217" s="188">
        <f ca="1">IF(K208&gt;=2,L210,L213)</f>
        <v>8888</v>
      </c>
      <c r="M217" s="189">
        <f ca="1">IF(K208&gt;=2,M216,M213)</f>
        <v>8888</v>
      </c>
      <c r="AA217" s="195" t="s">
        <v>454</v>
      </c>
      <c r="AB217" s="128">
        <f ca="1">IF($AA208,D217,AB214)</f>
        <v>-1</v>
      </c>
      <c r="AC217" s="129">
        <f ca="1">IF($AA208,E217,AC214)</f>
        <v>1.3399999999999999</v>
      </c>
      <c r="AD217" s="157"/>
      <c r="AE217" s="115" t="s">
        <v>454</v>
      </c>
      <c r="AF217" s="188">
        <f ca="1">IF($AE208,H217,AF214)</f>
        <v>8888</v>
      </c>
      <c r="AG217" s="196">
        <f ca="1">IF($AE208,I217,AG214)</f>
        <v>8888</v>
      </c>
      <c r="AI217" s="188" t="s">
        <v>454</v>
      </c>
      <c r="AJ217" s="188">
        <f ca="1">IF($AI208,L217,AJ214)</f>
        <v>-1</v>
      </c>
      <c r="AK217" s="196">
        <f ca="1">IF($AI208,M217,AK214)</f>
        <v>-1.3899999999999997</v>
      </c>
      <c r="AW217" s="128">
        <f t="shared" si="39"/>
        <v>39</v>
      </c>
      <c r="AX217" s="128">
        <f t="shared" ca="1" si="35"/>
        <v>-1.27</v>
      </c>
      <c r="AY217" s="129">
        <f t="shared" ca="1" si="36"/>
        <v>1.6053795662883501</v>
      </c>
      <c r="BB217" s="128">
        <f t="shared" ca="1" si="37"/>
        <v>-1.27</v>
      </c>
      <c r="BC217" s="129">
        <f t="shared" ca="1" si="38"/>
        <v>-1.6053795662883501</v>
      </c>
      <c r="BD217" s="157"/>
    </row>
    <row r="218" spans="2:56">
      <c r="B218" s="156"/>
      <c r="C218" s="128" t="s">
        <v>507</v>
      </c>
      <c r="D218" s="128">
        <f ca="1">IF(C208&gt;=3,D210,D217)</f>
        <v>8888</v>
      </c>
      <c r="E218" s="139">
        <f ca="1">IF(C208&gt;=3,E217-P203,E217)</f>
        <v>8888</v>
      </c>
      <c r="F218" s="157"/>
      <c r="G218" s="2" t="s">
        <v>507</v>
      </c>
      <c r="H218" s="128">
        <f ca="1">IF(G208&gt;=3,H210,H217)</f>
        <v>8888</v>
      </c>
      <c r="I218" s="139">
        <f ca="1">IF(G208&gt;=3,I217-P203,I217)</f>
        <v>8888</v>
      </c>
      <c r="K218" s="128" t="s">
        <v>507</v>
      </c>
      <c r="L218" s="128">
        <f ca="1">IF(K208&gt;=3,L210,L217)</f>
        <v>8888</v>
      </c>
      <c r="M218" s="139">
        <f ca="1">IF(K208&gt;=3,M217-P203,M217)</f>
        <v>8888</v>
      </c>
      <c r="AA218" s="143" t="s">
        <v>507</v>
      </c>
      <c r="AB218" s="128">
        <f ca="1">IF($AA208,D218,AB214)</f>
        <v>-1</v>
      </c>
      <c r="AC218" s="129">
        <f ca="1">IF($AA208,E218,AC214)</f>
        <v>1.3399999999999999</v>
      </c>
      <c r="AD218" s="157"/>
      <c r="AE218" s="2" t="s">
        <v>507</v>
      </c>
      <c r="AF218" s="128">
        <f ca="1">IF($AE208,H218,AF214)</f>
        <v>8888</v>
      </c>
      <c r="AG218" s="129">
        <f ca="1">IF($AE208,I218,AG214)</f>
        <v>8888</v>
      </c>
      <c r="AI218" s="128" t="s">
        <v>507</v>
      </c>
      <c r="AJ218" s="128">
        <f ca="1">IF($AI208,L218,AJ214)</f>
        <v>-1</v>
      </c>
      <c r="AK218" s="129">
        <f ca="1">IF($AI208,M218,AK214)</f>
        <v>-1.3899999999999997</v>
      </c>
      <c r="AW218" s="128">
        <f t="shared" si="39"/>
        <v>40</v>
      </c>
      <c r="AX218" s="128">
        <f t="shared" ca="1" si="35"/>
        <v>-2.032</v>
      </c>
      <c r="AY218" s="129">
        <f t="shared" ca="1" si="36"/>
        <v>1.6053795662883501</v>
      </c>
      <c r="BB218" s="128">
        <f t="shared" ca="1" si="37"/>
        <v>-2.032</v>
      </c>
      <c r="BC218" s="129">
        <f t="shared" ca="1" si="38"/>
        <v>-1.6053795662883501</v>
      </c>
      <c r="BD218" s="157"/>
    </row>
    <row r="219" spans="2:56">
      <c r="B219" s="156"/>
      <c r="C219" s="128" t="s">
        <v>455</v>
      </c>
      <c r="D219" s="128">
        <f ca="1">IF(C208&gt;=3,D215,D217)</f>
        <v>8888</v>
      </c>
      <c r="E219" s="139">
        <f ca="1">E218</f>
        <v>8888</v>
      </c>
      <c r="F219" s="157"/>
      <c r="G219" s="2" t="s">
        <v>455</v>
      </c>
      <c r="H219" s="128">
        <f ca="1">IF(G208&gt;=3,H211,H217)</f>
        <v>8888</v>
      </c>
      <c r="I219" s="139">
        <f ca="1">IF(G208&gt;=3,I218,I217)</f>
        <v>8888</v>
      </c>
      <c r="K219" s="128" t="s">
        <v>455</v>
      </c>
      <c r="L219" s="128">
        <f ca="1">IF(K208&gt;=3,IF(X203,IF(K208=3,L210+P202/4,L210+P202),L210+P202),L213)</f>
        <v>8888</v>
      </c>
      <c r="M219" s="139">
        <f ca="1">IF(K208&gt;=3,M218,M217)</f>
        <v>8888</v>
      </c>
      <c r="AA219" s="143" t="s">
        <v>455</v>
      </c>
      <c r="AB219" s="128">
        <f ca="1">IF($AA208,D219,AB214)</f>
        <v>-1</v>
      </c>
      <c r="AC219" s="129">
        <f ca="1">IF($AA208,E219,AC214)</f>
        <v>1.3399999999999999</v>
      </c>
      <c r="AD219" s="157"/>
      <c r="AE219" s="2" t="s">
        <v>455</v>
      </c>
      <c r="AF219" s="128">
        <f ca="1">IF($AE208,H219,AF214)</f>
        <v>8888</v>
      </c>
      <c r="AG219" s="129">
        <f ca="1">IF($AE208,I219,AG214)</f>
        <v>8888</v>
      </c>
      <c r="AI219" s="128" t="s">
        <v>455</v>
      </c>
      <c r="AJ219" s="128">
        <f ca="1">IF($AI208,L219,AJ214)</f>
        <v>-1</v>
      </c>
      <c r="AK219" s="129">
        <f ca="1">IF($AI208,M219,AK214)</f>
        <v>-1.3899999999999997</v>
      </c>
      <c r="AW219" s="128">
        <f t="shared" si="39"/>
        <v>41</v>
      </c>
      <c r="AX219" s="128">
        <f t="shared" ca="1" si="35"/>
        <v>-2.032</v>
      </c>
      <c r="AY219" s="129">
        <f t="shared" ca="1" si="36"/>
        <v>1.4960570012328709</v>
      </c>
      <c r="BB219" s="128">
        <f t="shared" ca="1" si="37"/>
        <v>-2.032</v>
      </c>
      <c r="BC219" s="129">
        <f t="shared" ca="1" si="38"/>
        <v>-1.4960570012328709</v>
      </c>
      <c r="BD219" s="157"/>
    </row>
    <row r="220" spans="2:56">
      <c r="B220" s="156"/>
      <c r="C220" s="128" t="s">
        <v>311</v>
      </c>
      <c r="D220" s="128">
        <f ca="1">IF(C208&gt;=3,D215,D217)</f>
        <v>8888</v>
      </c>
      <c r="E220" s="139">
        <f ca="1">IF(C208&gt;=3,E219-P201,E217)</f>
        <v>8888</v>
      </c>
      <c r="F220" s="157"/>
      <c r="G220" s="2" t="s">
        <v>311</v>
      </c>
      <c r="H220" s="128">
        <f ca="1">IF(G208&gt;=3,H211,H217)</f>
        <v>8888</v>
      </c>
      <c r="I220" s="139">
        <f ca="1">IF(G208&gt;=3,I219-P201,I217)</f>
        <v>8888</v>
      </c>
      <c r="K220" s="128" t="s">
        <v>311</v>
      </c>
      <c r="L220" s="128">
        <f ca="1">L219</f>
        <v>8888</v>
      </c>
      <c r="M220" s="139">
        <f ca="1">IF(K208&gt;=3,M219-P201,M217)</f>
        <v>8888</v>
      </c>
      <c r="AA220" s="143" t="s">
        <v>311</v>
      </c>
      <c r="AB220" s="128">
        <f ca="1">IF($AA208,D220,AB214)</f>
        <v>-1</v>
      </c>
      <c r="AC220" s="129">
        <f ca="1">IF($AA208,E220,AC214)</f>
        <v>1.3399999999999999</v>
      </c>
      <c r="AD220" s="157"/>
      <c r="AE220" s="2" t="s">
        <v>311</v>
      </c>
      <c r="AF220" s="128">
        <f ca="1">IF($AE208,H220,AF214)</f>
        <v>8888</v>
      </c>
      <c r="AG220" s="129">
        <f ca="1">IF($AE208,I220,AG214)</f>
        <v>8888</v>
      </c>
      <c r="AI220" s="128" t="s">
        <v>311</v>
      </c>
      <c r="AJ220" s="128">
        <f ca="1">IF($AI208,L220,AJ214)</f>
        <v>-1</v>
      </c>
      <c r="AK220" s="129">
        <f ca="1">IF($AI208,M220,AK214)</f>
        <v>-1.3899999999999997</v>
      </c>
      <c r="AW220" s="128">
        <f t="shared" si="39"/>
        <v>73</v>
      </c>
      <c r="AX220" s="128">
        <f t="shared" ca="1" si="35"/>
        <v>-2.762</v>
      </c>
      <c r="AY220" s="129">
        <f t="shared" ca="1" si="36"/>
        <v>1.4960570012328709</v>
      </c>
      <c r="BB220" s="128">
        <f t="shared" ca="1" si="37"/>
        <v>-2.762</v>
      </c>
      <c r="BC220" s="129">
        <f t="shared" ca="1" si="38"/>
        <v>-1.4960570012328709</v>
      </c>
      <c r="BD220" s="157"/>
    </row>
    <row r="221" spans="2:56">
      <c r="B221" s="156"/>
      <c r="C221" s="188" t="s">
        <v>35</v>
      </c>
      <c r="D221" s="188">
        <f ca="1">IF(C208&gt;=3,D210,D217)</f>
        <v>8888</v>
      </c>
      <c r="E221" s="189">
        <f ca="1">E220</f>
        <v>8888</v>
      </c>
      <c r="F221" s="157"/>
      <c r="G221" s="2" t="s">
        <v>35</v>
      </c>
      <c r="H221" s="188">
        <f ca="1">IF(G208&gt;=3,H210,H217)</f>
        <v>8888</v>
      </c>
      <c r="I221" s="189">
        <f ca="1">IF(G208&gt;=3,I220,I217)</f>
        <v>8888</v>
      </c>
      <c r="K221" s="188" t="s">
        <v>35</v>
      </c>
      <c r="L221" s="188">
        <f ca="1">IF(K208&gt;=3,L210,L217)</f>
        <v>8888</v>
      </c>
      <c r="M221" s="189">
        <f ca="1">IF(K208&gt;=3,M220,M217)</f>
        <v>8888</v>
      </c>
      <c r="AA221" s="195" t="s">
        <v>35</v>
      </c>
      <c r="AB221" s="128">
        <f ca="1">IF($AA208,D221,AB214)</f>
        <v>-1</v>
      </c>
      <c r="AC221" s="129">
        <f ca="1">IF($AA208,E221,AC214)</f>
        <v>1.3399999999999999</v>
      </c>
      <c r="AD221" s="157"/>
      <c r="AE221" s="2" t="s">
        <v>35</v>
      </c>
      <c r="AF221" s="188">
        <f ca="1">IF($AE208,H221,AF214)</f>
        <v>8888</v>
      </c>
      <c r="AG221" s="196">
        <f ca="1">IF($AE208,I221,AG214)</f>
        <v>8888</v>
      </c>
      <c r="AI221" s="128" t="s">
        <v>35</v>
      </c>
      <c r="AJ221" s="128">
        <f ca="1">IF($AI208,L221,AJ214)</f>
        <v>-1</v>
      </c>
      <c r="AK221" s="129">
        <f ca="1">IF($AI208,M221,AK214)</f>
        <v>-1.3899999999999997</v>
      </c>
      <c r="AW221" s="128">
        <f t="shared" si="39"/>
        <v>74</v>
      </c>
      <c r="AX221" s="128">
        <f t="shared" ca="1" si="35"/>
        <v>-3.032</v>
      </c>
      <c r="AY221" s="129">
        <f t="shared" ca="1" si="36"/>
        <v>1.4960570012328709</v>
      </c>
      <c r="BB221" s="128">
        <f t="shared" ca="1" si="37"/>
        <v>-3.032</v>
      </c>
      <c r="BC221" s="129">
        <f t="shared" ca="1" si="38"/>
        <v>-1.4960570012328709</v>
      </c>
      <c r="BD221" s="157"/>
    </row>
    <row r="222" spans="2:56" ht="15" thickBot="1">
      <c r="B222" s="156"/>
      <c r="C222" s="130" t="s">
        <v>396</v>
      </c>
      <c r="D222" s="130">
        <f ca="1">D210</f>
        <v>8888</v>
      </c>
      <c r="E222" s="140">
        <f ca="1">E210</f>
        <v>8888</v>
      </c>
      <c r="F222" s="157"/>
      <c r="G222" s="192" t="s">
        <v>312</v>
      </c>
      <c r="H222" s="128">
        <f ca="1">IF(G208&gt;=4,H210,H221)</f>
        <v>8888</v>
      </c>
      <c r="I222" s="139">
        <f ca="1">IF(G208&gt;=4,I221-P203,I221)</f>
        <v>8888</v>
      </c>
      <c r="K222" s="130" t="s">
        <v>396</v>
      </c>
      <c r="L222" s="130">
        <f ca="1">L210</f>
        <v>8888</v>
      </c>
      <c r="M222" s="140">
        <f ca="1">M210</f>
        <v>8888</v>
      </c>
      <c r="AA222" s="144" t="s">
        <v>396</v>
      </c>
      <c r="AB222" s="130">
        <f ca="1">IF($AA208,D222,AB214)</f>
        <v>-1</v>
      </c>
      <c r="AC222" s="132">
        <f ca="1">IF($AA208,E222,AC214)</f>
        <v>1.3399999999999999</v>
      </c>
      <c r="AD222" s="157"/>
      <c r="AE222" s="192" t="s">
        <v>312</v>
      </c>
      <c r="AF222" s="128">
        <f ca="1">IF($AE208,H222,AF214)</f>
        <v>8888</v>
      </c>
      <c r="AG222" s="129">
        <f ca="1">IF($AE208,I222,AG214)</f>
        <v>8888</v>
      </c>
      <c r="AI222" s="130" t="s">
        <v>396</v>
      </c>
      <c r="AJ222" s="130">
        <f ca="1">IF($AI208,L222,AJ214)</f>
        <v>-1</v>
      </c>
      <c r="AK222" s="132">
        <f ca="1">IF($AI208,M222,AK214)</f>
        <v>-1.3899999999999997</v>
      </c>
      <c r="AW222" s="128">
        <f t="shared" si="39"/>
        <v>75</v>
      </c>
      <c r="AX222" s="128">
        <f t="shared" ca="1" si="35"/>
        <v>-3.032</v>
      </c>
      <c r="AY222" s="129">
        <f t="shared" ca="1" si="36"/>
        <v>1.4960570012328709</v>
      </c>
      <c r="BB222" s="128">
        <f t="shared" ca="1" si="37"/>
        <v>-3.032</v>
      </c>
      <c r="BC222" s="129">
        <f t="shared" ca="1" si="38"/>
        <v>-1.4960570012328709</v>
      </c>
      <c r="BD222" s="157"/>
    </row>
    <row r="223" spans="2:56">
      <c r="B223" s="156"/>
      <c r="F223" s="157"/>
      <c r="G223" s="2" t="s">
        <v>313</v>
      </c>
      <c r="H223" s="128">
        <f ca="1">IF(G208&gt;=4,H211,H221)</f>
        <v>8888</v>
      </c>
      <c r="I223" s="139">
        <f ca="1">IF(G208&gt;=4,I222,I221)</f>
        <v>8888</v>
      </c>
      <c r="AD223" s="157"/>
      <c r="AE223" s="2" t="s">
        <v>313</v>
      </c>
      <c r="AF223" s="128">
        <f ca="1">IF($AE208,H223,AF214)</f>
        <v>8888</v>
      </c>
      <c r="AG223" s="129">
        <f ca="1">IF($AE208,I223,AG214)</f>
        <v>8888</v>
      </c>
      <c r="AW223" s="128">
        <f t="shared" si="39"/>
        <v>76</v>
      </c>
      <c r="AX223" s="128">
        <f t="shared" ca="1" si="35"/>
        <v>-3.032</v>
      </c>
      <c r="AY223" s="129">
        <f t="shared" ca="1" si="36"/>
        <v>1.4960570012328709</v>
      </c>
      <c r="BB223" s="128">
        <f t="shared" ca="1" si="37"/>
        <v>-3.032</v>
      </c>
      <c r="BC223" s="129">
        <f t="shared" ca="1" si="38"/>
        <v>-1.4960570012328709</v>
      </c>
      <c r="BD223" s="157"/>
    </row>
    <row r="224" spans="2:56">
      <c r="B224" s="156"/>
      <c r="F224" s="157"/>
      <c r="G224" s="2" t="s">
        <v>7</v>
      </c>
      <c r="H224" s="128">
        <f ca="1">IF(G208&gt;=4,H211,H221)</f>
        <v>8888</v>
      </c>
      <c r="I224" s="139">
        <f ca="1">IF(G208&gt;=4,I223-P201,I221)</f>
        <v>8888</v>
      </c>
      <c r="AD224" s="157"/>
      <c r="AE224" s="2" t="s">
        <v>7</v>
      </c>
      <c r="AF224" s="128">
        <f ca="1">IF($AE208,H224,AF214)</f>
        <v>8888</v>
      </c>
      <c r="AG224" s="129">
        <f ca="1">IF($AE208,I224,AG214)</f>
        <v>8888</v>
      </c>
      <c r="AW224" s="128">
        <f t="shared" si="39"/>
        <v>77</v>
      </c>
      <c r="AX224" s="128">
        <f t="shared" ca="1" si="35"/>
        <v>-3.032</v>
      </c>
      <c r="AY224" s="129">
        <f t="shared" ca="1" si="36"/>
        <v>1.4960570012328709</v>
      </c>
      <c r="BB224" s="128">
        <f t="shared" ca="1" si="37"/>
        <v>-3.032</v>
      </c>
      <c r="BC224" s="129">
        <f t="shared" ca="1" si="38"/>
        <v>-1.4960570012328709</v>
      </c>
      <c r="BD224" s="157"/>
    </row>
    <row r="225" spans="2:56">
      <c r="B225" s="156"/>
      <c r="F225" s="157"/>
      <c r="G225" s="115" t="s">
        <v>8</v>
      </c>
      <c r="H225" s="188">
        <f ca="1">IF(G208&gt;=4,H210,H221)</f>
        <v>8888</v>
      </c>
      <c r="I225" s="189">
        <f ca="1">IF(G208&gt;=4,I224,I221)</f>
        <v>8888</v>
      </c>
      <c r="AD225" s="157"/>
      <c r="AE225" s="115" t="s">
        <v>8</v>
      </c>
      <c r="AF225" s="188">
        <f ca="1">IF($AE208,H225,AF214)</f>
        <v>8888</v>
      </c>
      <c r="AG225" s="196">
        <f ca="1">IF($AE208,I225,AG214)</f>
        <v>8888</v>
      </c>
      <c r="AW225" s="128">
        <f t="shared" si="39"/>
        <v>109</v>
      </c>
      <c r="AX225" s="128">
        <f t="shared" ca="1" si="35"/>
        <v>-3.762</v>
      </c>
      <c r="AY225" s="129">
        <f t="shared" ca="1" si="36"/>
        <v>1.4960570012328709</v>
      </c>
      <c r="BB225" s="128">
        <f t="shared" ca="1" si="37"/>
        <v>-3.762</v>
      </c>
      <c r="BC225" s="129">
        <f t="shared" ca="1" si="38"/>
        <v>-1.4960570012328709</v>
      </c>
      <c r="BD225" s="157"/>
    </row>
    <row r="226" spans="2:56">
      <c r="B226" s="156"/>
      <c r="F226" s="157"/>
      <c r="G226" s="2" t="s">
        <v>9</v>
      </c>
      <c r="H226" s="128">
        <f ca="1">IF(G208&gt;=5,H210,H225)</f>
        <v>8888</v>
      </c>
      <c r="I226" s="139">
        <f ca="1">IF(G208&gt;=5,I225-P203,I225)</f>
        <v>8888</v>
      </c>
      <c r="AD226" s="157"/>
      <c r="AE226" s="2" t="s">
        <v>9</v>
      </c>
      <c r="AF226" s="128">
        <f ca="1">IF($AE208,H226,AF214)</f>
        <v>8888</v>
      </c>
      <c r="AG226" s="129">
        <f ca="1">IF($AE208,I226,AG214)</f>
        <v>8888</v>
      </c>
      <c r="AW226" s="128">
        <f t="shared" si="39"/>
        <v>110</v>
      </c>
      <c r="AX226" s="128">
        <f t="shared" ca="1" si="35"/>
        <v>-3.9470000000000001</v>
      </c>
      <c r="AY226" s="129">
        <f t="shared" ca="1" si="36"/>
        <v>1.4960570012328709</v>
      </c>
      <c r="BB226" s="128">
        <f t="shared" ca="1" si="37"/>
        <v>-3.9470000000000001</v>
      </c>
      <c r="BC226" s="129">
        <f t="shared" ca="1" si="38"/>
        <v>-1.4960570012328709</v>
      </c>
      <c r="BD226" s="157"/>
    </row>
    <row r="227" spans="2:56">
      <c r="B227" s="156"/>
      <c r="F227" s="157"/>
      <c r="G227" s="2" t="s">
        <v>196</v>
      </c>
      <c r="H227" s="128">
        <f ca="1">IF(G208&gt;=5,H211,H225)</f>
        <v>8888</v>
      </c>
      <c r="I227" s="139">
        <f ca="1">IF(G208&gt;=5,I226,I225)</f>
        <v>8888</v>
      </c>
      <c r="AD227" s="157"/>
      <c r="AE227" s="2" t="s">
        <v>196</v>
      </c>
      <c r="AF227" s="128">
        <f ca="1">IF($AE208,H227,AF214)</f>
        <v>8888</v>
      </c>
      <c r="AG227" s="129">
        <f ca="1">IF($AE208,I227,AG214)</f>
        <v>8888</v>
      </c>
      <c r="AW227" s="128">
        <f t="shared" si="39"/>
        <v>111</v>
      </c>
      <c r="AX227" s="128">
        <f t="shared" ca="1" si="35"/>
        <v>-3.9470000000000001</v>
      </c>
      <c r="AY227" s="129">
        <f t="shared" ca="1" si="36"/>
        <v>1.4960570012328709</v>
      </c>
      <c r="BB227" s="128">
        <f t="shared" ca="1" si="37"/>
        <v>-3.9470000000000001</v>
      </c>
      <c r="BC227" s="129">
        <f t="shared" ca="1" si="38"/>
        <v>-1.4960570012328709</v>
      </c>
      <c r="BD227" s="157"/>
    </row>
    <row r="228" spans="2:56">
      <c r="B228" s="156"/>
      <c r="F228" s="157"/>
      <c r="G228" s="2" t="s">
        <v>10</v>
      </c>
      <c r="H228" s="128">
        <f ca="1">IF(G208&gt;=5,H211,H225)</f>
        <v>8888</v>
      </c>
      <c r="I228" s="139">
        <f ca="1">IF(G208&gt;=5,I227-P201,I225)</f>
        <v>8888</v>
      </c>
      <c r="AD228" s="157"/>
      <c r="AE228" s="2" t="s">
        <v>10</v>
      </c>
      <c r="AF228" s="128">
        <f ca="1">IF($AE208,H228,AF214)</f>
        <v>8888</v>
      </c>
      <c r="AG228" s="129">
        <f ca="1">IF($AE208,I228,AG214)</f>
        <v>8888</v>
      </c>
      <c r="AW228" s="128">
        <f t="shared" si="39"/>
        <v>112</v>
      </c>
      <c r="AX228" s="128">
        <f t="shared" ca="1" si="35"/>
        <v>-3.9470000000000001</v>
      </c>
      <c r="AY228" s="129">
        <f t="shared" ca="1" si="36"/>
        <v>1.4960570012328709</v>
      </c>
      <c r="BB228" s="128">
        <f t="shared" ca="1" si="37"/>
        <v>-3.9470000000000001</v>
      </c>
      <c r="BC228" s="129">
        <f t="shared" ca="1" si="38"/>
        <v>-1.4960570012328709</v>
      </c>
      <c r="BD228" s="157"/>
    </row>
    <row r="229" spans="2:56">
      <c r="B229" s="156"/>
      <c r="F229" s="157"/>
      <c r="G229" s="2" t="s">
        <v>161</v>
      </c>
      <c r="H229" s="188">
        <f ca="1">IF(G208&gt;=5,H210,H225)</f>
        <v>8888</v>
      </c>
      <c r="I229" s="189">
        <f ca="1">IF(G208&gt;=5,I228,I225)</f>
        <v>8888</v>
      </c>
      <c r="AD229" s="157"/>
      <c r="AE229" s="2" t="s">
        <v>161</v>
      </c>
      <c r="AF229" s="188">
        <f ca="1">IF($AE208,H229,AF214)</f>
        <v>8888</v>
      </c>
      <c r="AG229" s="196">
        <f ca="1">IF($AE208,I229,AG214)</f>
        <v>8888</v>
      </c>
      <c r="AW229" s="128">
        <f t="shared" si="39"/>
        <v>113</v>
      </c>
      <c r="AX229" s="128">
        <f t="shared" ca="1" si="35"/>
        <v>-3.9470000000000001</v>
      </c>
      <c r="AY229" s="129">
        <f t="shared" ca="1" si="36"/>
        <v>1.4960570012328709</v>
      </c>
      <c r="BB229" s="128">
        <f t="shared" ca="1" si="37"/>
        <v>-3.9470000000000001</v>
      </c>
      <c r="BC229" s="129">
        <f t="shared" ca="1" si="38"/>
        <v>-1.4960570012328709</v>
      </c>
      <c r="BD229" s="157"/>
    </row>
    <row r="230" spans="2:56">
      <c r="B230" s="156"/>
      <c r="F230" s="157"/>
      <c r="G230" s="192" t="s">
        <v>11</v>
      </c>
      <c r="H230" s="128">
        <f ca="1">IF(G208&gt;=6,H210,H229)</f>
        <v>8888</v>
      </c>
      <c r="I230" s="139">
        <f ca="1">IF(G208&gt;=6,I229-P203,I229)</f>
        <v>8888</v>
      </c>
      <c r="AD230" s="157"/>
      <c r="AE230" s="192" t="s">
        <v>11</v>
      </c>
      <c r="AF230" s="128">
        <f ca="1">IF($AE208,H230,AF214)</f>
        <v>8888</v>
      </c>
      <c r="AG230" s="129">
        <f ca="1">IF($AE208,I230,AG214)</f>
        <v>8888</v>
      </c>
      <c r="AW230" s="128">
        <f t="shared" si="39"/>
        <v>145</v>
      </c>
      <c r="AX230" s="128">
        <f t="shared" ca="1" si="35"/>
        <v>-4.5620000000000003</v>
      </c>
      <c r="AY230" s="129">
        <f t="shared" ca="1" si="36"/>
        <v>1.4960570012328709</v>
      </c>
      <c r="BB230" s="128">
        <f t="shared" ca="1" si="37"/>
        <v>-4.5620000000000003</v>
      </c>
      <c r="BC230" s="129">
        <f t="shared" ca="1" si="38"/>
        <v>-1.4960570012328709</v>
      </c>
      <c r="BD230" s="157"/>
    </row>
    <row r="231" spans="2:56">
      <c r="B231" s="156"/>
      <c r="F231" s="157"/>
      <c r="G231" s="2" t="s">
        <v>12</v>
      </c>
      <c r="H231" s="128">
        <f ca="1">IF(G208&gt;=6,H211,H229)</f>
        <v>8888</v>
      </c>
      <c r="I231" s="139">
        <f ca="1">IF(G208&gt;=6,I230,I229)</f>
        <v>8888</v>
      </c>
      <c r="AD231" s="157"/>
      <c r="AE231" s="2" t="s">
        <v>12</v>
      </c>
      <c r="AF231" s="128">
        <f ca="1">IF($AE208,H231,AF214)</f>
        <v>8888</v>
      </c>
      <c r="AG231" s="129">
        <f ca="1">IF($AE208,I231,AG214)</f>
        <v>8888</v>
      </c>
      <c r="AW231" s="128">
        <f t="shared" si="39"/>
        <v>146</v>
      </c>
      <c r="AX231" s="128">
        <f t="shared" ca="1" si="35"/>
        <v>-4.7469999999999999</v>
      </c>
      <c r="AY231" s="129">
        <f t="shared" ca="1" si="36"/>
        <v>1.4960570012328709</v>
      </c>
      <c r="BB231" s="128">
        <f t="shared" ca="1" si="37"/>
        <v>-4.7469999999999999</v>
      </c>
      <c r="BC231" s="129">
        <f t="shared" ca="1" si="38"/>
        <v>-1.4960570012328709</v>
      </c>
      <c r="BD231" s="157"/>
    </row>
    <row r="232" spans="2:56">
      <c r="B232" s="156"/>
      <c r="F232" s="157"/>
      <c r="G232" s="2" t="s">
        <v>13</v>
      </c>
      <c r="H232" s="128">
        <f ca="1">IF(G208&gt;=6,H211,H229)</f>
        <v>8888</v>
      </c>
      <c r="I232" s="139">
        <f ca="1">IF(G208&gt;=6,I231-P201,I229)</f>
        <v>8888</v>
      </c>
      <c r="AD232" s="157"/>
      <c r="AE232" s="2" t="s">
        <v>13</v>
      </c>
      <c r="AF232" s="128">
        <f ca="1">IF($AE208,H232,AF214)</f>
        <v>8888</v>
      </c>
      <c r="AG232" s="129">
        <f ca="1">IF($AE208,I232,AG214)</f>
        <v>8888</v>
      </c>
      <c r="AW232" s="128">
        <f t="shared" si="39"/>
        <v>147</v>
      </c>
      <c r="AX232" s="128">
        <f t="shared" ca="1" si="35"/>
        <v>-4.7469999999999999</v>
      </c>
      <c r="AY232" s="129">
        <f t="shared" ca="1" si="36"/>
        <v>1.4960570012328709</v>
      </c>
      <c r="BB232" s="128">
        <f t="shared" ca="1" si="37"/>
        <v>-4.7469999999999999</v>
      </c>
      <c r="BC232" s="129">
        <f t="shared" ca="1" si="38"/>
        <v>-1.4960570012328709</v>
      </c>
      <c r="BD232" s="157"/>
    </row>
    <row r="233" spans="2:56">
      <c r="B233" s="156"/>
      <c r="F233" s="157"/>
      <c r="G233" s="115" t="s">
        <v>14</v>
      </c>
      <c r="H233" s="188">
        <f ca="1">IF(G208&gt;=6,H210,H229)</f>
        <v>8888</v>
      </c>
      <c r="I233" s="189">
        <f ca="1">IF(G208&gt;=6,I232,I229)</f>
        <v>8888</v>
      </c>
      <c r="AD233" s="157"/>
      <c r="AE233" s="115" t="s">
        <v>14</v>
      </c>
      <c r="AF233" s="188">
        <f ca="1">IF($AE208,H233,AF214)</f>
        <v>8888</v>
      </c>
      <c r="AG233" s="196">
        <f ca="1">IF($AE208,I233,AG214)</f>
        <v>8888</v>
      </c>
      <c r="AW233" s="128">
        <f t="shared" si="39"/>
        <v>148</v>
      </c>
      <c r="AX233" s="128">
        <f t="shared" ca="1" si="35"/>
        <v>-4.7469999999999999</v>
      </c>
      <c r="AY233" s="129">
        <f t="shared" ca="1" si="36"/>
        <v>1.4960570012328709</v>
      </c>
      <c r="BB233" s="128">
        <f t="shared" ca="1" si="37"/>
        <v>-4.7469999999999999</v>
      </c>
      <c r="BC233" s="129">
        <f t="shared" ca="1" si="38"/>
        <v>-1.4960570012328709</v>
      </c>
      <c r="BD233" s="157"/>
    </row>
    <row r="234" spans="2:56" ht="15" thickBot="1">
      <c r="B234" s="156"/>
      <c r="G234" s="130" t="s">
        <v>396</v>
      </c>
      <c r="H234" s="130">
        <f ca="1">H210</f>
        <v>8888</v>
      </c>
      <c r="I234" s="140">
        <f ca="1">I210</f>
        <v>8888</v>
      </c>
      <c r="AE234" s="130" t="s">
        <v>396</v>
      </c>
      <c r="AF234" s="130">
        <f ca="1">IF($AE208,H234,AF214)</f>
        <v>8888</v>
      </c>
      <c r="AG234" s="132">
        <f ca="1">IF($AE208,I234,AG214)</f>
        <v>8888</v>
      </c>
      <c r="AW234" s="128">
        <f t="shared" si="39"/>
        <v>149</v>
      </c>
      <c r="AX234" s="128">
        <f t="shared" ca="1" si="35"/>
        <v>-4.7469999999999999</v>
      </c>
      <c r="AY234" s="129">
        <f t="shared" ca="1" si="36"/>
        <v>1.4960570012328709</v>
      </c>
      <c r="BB234" s="128">
        <f t="shared" ca="1" si="37"/>
        <v>-4.7469999999999999</v>
      </c>
      <c r="BC234" s="129">
        <f t="shared" ca="1" si="38"/>
        <v>-1.4960570012328709</v>
      </c>
      <c r="BD234" s="157"/>
    </row>
    <row r="235" spans="2:56">
      <c r="B235" s="156"/>
      <c r="AW235" s="128">
        <f t="shared" si="39"/>
        <v>181</v>
      </c>
      <c r="AX235" s="128">
        <f t="shared" ca="1" si="35"/>
        <v>-5.3620000000000001</v>
      </c>
      <c r="AY235" s="129">
        <f t="shared" ca="1" si="36"/>
        <v>1.4960570012328709</v>
      </c>
      <c r="BB235" s="128">
        <f t="shared" ca="1" si="37"/>
        <v>-5.3620000000000001</v>
      </c>
      <c r="BC235" s="129">
        <f t="shared" ca="1" si="38"/>
        <v>-1.4960570012328709</v>
      </c>
      <c r="BD235" s="157"/>
    </row>
    <row r="236" spans="2:56">
      <c r="B236" s="156"/>
      <c r="AW236" s="128">
        <f t="shared" si="39"/>
        <v>182</v>
      </c>
      <c r="AX236" s="128">
        <f t="shared" ca="1" si="35"/>
        <v>-5.5469999999999997</v>
      </c>
      <c r="AY236" s="129">
        <f t="shared" ca="1" si="36"/>
        <v>1.4960570012328709</v>
      </c>
      <c r="BB236" s="128">
        <f t="shared" ca="1" si="37"/>
        <v>-5.5469999999999997</v>
      </c>
      <c r="BC236" s="129">
        <f t="shared" ca="1" si="38"/>
        <v>-1.4960570012328709</v>
      </c>
      <c r="BD236" s="157"/>
    </row>
    <row r="237" spans="2:56">
      <c r="B237" s="156"/>
      <c r="C237" s="200" t="s">
        <v>336</v>
      </c>
      <c r="D237">
        <f>D201+1</f>
        <v>2</v>
      </c>
      <c r="G237" s="200" t="s">
        <v>638</v>
      </c>
      <c r="H237">
        <f ca="1">LOOKUP(D240,$C$191:$C$196,$D$191:$D$196)</f>
        <v>0</v>
      </c>
      <c r="K237" s="200" t="s">
        <v>644</v>
      </c>
      <c r="L237">
        <f ca="1">L201-H242</f>
        <v>-2.762</v>
      </c>
      <c r="O237" s="200" t="s">
        <v>404</v>
      </c>
      <c r="P237">
        <f ca="1">IF(D239=1,SEAT_w_cushion_FC,IF(D239=2,SEAT_w_cushion_BC,IF(D239=3,SEAT_w_cushion_YC,0)))</f>
        <v>0.65</v>
      </c>
      <c r="S237" s="200" t="s">
        <v>647</v>
      </c>
      <c r="T237">
        <f ca="1">LOOKUP(D240,$C$191:$C$196,$E$191:$E$196)</f>
        <v>0</v>
      </c>
      <c r="W237" t="s">
        <v>130</v>
      </c>
      <c r="X237" t="str">
        <f ca="1">OFFSET(Fuselage!$B$275,D237,5)</f>
        <v>Type C</v>
      </c>
      <c r="AN237" s="200" t="s">
        <v>135</v>
      </c>
      <c r="AO237">
        <f ca="1">MAX(0,H242-MAX(T237,T239,T241,P238)-X238)</f>
        <v>0.54</v>
      </c>
      <c r="AW237" s="128">
        <f t="shared" si="39"/>
        <v>183</v>
      </c>
      <c r="AX237" s="128">
        <f t="shared" ca="1" si="35"/>
        <v>-5.5469999999999997</v>
      </c>
      <c r="AY237" s="129">
        <f t="shared" ca="1" si="36"/>
        <v>1.4960570012328709</v>
      </c>
      <c r="BB237" s="128">
        <f t="shared" ca="1" si="37"/>
        <v>-5.5469999999999997</v>
      </c>
      <c r="BC237" s="129">
        <f t="shared" ca="1" si="38"/>
        <v>-1.4960570012328709</v>
      </c>
      <c r="BD237" s="157"/>
    </row>
    <row r="238" spans="2:56">
      <c r="B238" s="156"/>
      <c r="C238" s="200" t="s">
        <v>200</v>
      </c>
      <c r="D238">
        <f ca="1">OFFSET(Fuselage!$B$275,D237,0)</f>
        <v>1</v>
      </c>
      <c r="G238" s="200" t="s">
        <v>639</v>
      </c>
      <c r="H238">
        <f ca="1">LOOKUP(D241,$C$191:$C$196,$D$191:$D$196)</f>
        <v>0</v>
      </c>
      <c r="O238" s="200" t="s">
        <v>535</v>
      </c>
      <c r="P238">
        <f ca="1">IF(D239=1,SEAT_length_FC,IF(D239=2,SEAT_length_BC,IF(D239=3,SEAT_length_YC,0)))</f>
        <v>0.46</v>
      </c>
      <c r="S238" s="200" t="s">
        <v>648</v>
      </c>
      <c r="T238">
        <f ca="1">LOOKUP(D240,$C$191:$C$196,$F$191:$F$196)</f>
        <v>0</v>
      </c>
      <c r="W238" t="s">
        <v>131</v>
      </c>
      <c r="X238">
        <f ca="1">LOOKUP(X237,$I$191:$I$198,$J$191:$J$198)</f>
        <v>0.76200000000000001</v>
      </c>
      <c r="AW238" s="128">
        <f t="shared" si="39"/>
        <v>184</v>
      </c>
      <c r="AX238" s="128">
        <f t="shared" ca="1" si="35"/>
        <v>-5.5469999999999997</v>
      </c>
      <c r="AY238" s="129">
        <f t="shared" ca="1" si="36"/>
        <v>1.4960570012328709</v>
      </c>
      <c r="BB238" s="128">
        <f t="shared" ca="1" si="37"/>
        <v>-5.5469999999999997</v>
      </c>
      <c r="BC238" s="129">
        <f t="shared" ca="1" si="38"/>
        <v>-1.4960570012328709</v>
      </c>
      <c r="BD238" s="157"/>
    </row>
    <row r="239" spans="2:56">
      <c r="B239" s="156"/>
      <c r="C239" s="200" t="s">
        <v>337</v>
      </c>
      <c r="D239">
        <f ca="1">OFFSET(Fuselage!$B$275,D237,4)</f>
        <v>1</v>
      </c>
      <c r="G239" s="200" t="s">
        <v>309</v>
      </c>
      <c r="H239">
        <f ca="1">LOOKUP(D242,$C$191:$C$196,$D$191:$D$196)</f>
        <v>0</v>
      </c>
      <c r="K239" s="200" t="s">
        <v>645</v>
      </c>
      <c r="L239">
        <f ca="1">IF(D239=1,FUSELAGE_nseats_left_FC,IF(D239=2,FUSELAGE_nseats_left_BC,IF(D239=3,FUSELAGE_nseats_left_YC,0)))</f>
        <v>1</v>
      </c>
      <c r="O239" s="200" t="s">
        <v>405</v>
      </c>
      <c r="P239">
        <f ca="1">IF(D239=1,SEAT_w_armrest_FC,IF(D239=2,SEAT_w_armrest_BC,IF(D239=3,SEAT_w_armrest_YC,0)))</f>
        <v>7.0000000000000007E-2</v>
      </c>
      <c r="S239" s="200" t="s">
        <v>652</v>
      </c>
      <c r="T239">
        <f ca="1">LOOKUP(D241,$C$191:$C$196,$E$191:$E$196)</f>
        <v>0</v>
      </c>
      <c r="W239" s="200" t="s">
        <v>393</v>
      </c>
      <c r="X239" t="b">
        <f ca="1">IF(OFFSET(Fuselage!$B$275,D237,6)="YES",TRUE(),FALSE())</f>
        <v>0</v>
      </c>
      <c r="AW239" s="128">
        <f t="shared" si="39"/>
        <v>185</v>
      </c>
      <c r="AX239" s="128">
        <f t="shared" ca="1" si="35"/>
        <v>-5.5469999999999997</v>
      </c>
      <c r="AY239" s="129">
        <f t="shared" ca="1" si="36"/>
        <v>1.4960570012328709</v>
      </c>
      <c r="BB239" s="128">
        <f t="shared" ca="1" si="37"/>
        <v>-5.5469999999999997</v>
      </c>
      <c r="BC239" s="129">
        <f t="shared" ca="1" si="38"/>
        <v>-1.4960570012328709</v>
      </c>
      <c r="BD239" s="157"/>
    </row>
    <row r="240" spans="2:56">
      <c r="B240" s="156"/>
      <c r="C240" s="200" t="s">
        <v>640</v>
      </c>
      <c r="D240" t="str">
        <f ca="1">OFFSET(Fuselage!$B$275,D237,1)</f>
        <v>None</v>
      </c>
      <c r="G240" s="200" t="s">
        <v>132</v>
      </c>
      <c r="H240">
        <f ca="1">IF(D239=1,SEAT_pitch_FC,IF(D239=2,SEAT_pitch_BC,IF(D239=3,SEAT_pitch_YC,0)))</f>
        <v>1</v>
      </c>
      <c r="K240" s="200" t="s">
        <v>646</v>
      </c>
      <c r="L240">
        <f ca="1">IF(D239=1,FUSELAGE_nseats_middle_FC,IF(D239=2,FUSELAGE_nseats_middle_BC,IF(D239=3,FUSELAGE_nseats_middle_YC,0)))</f>
        <v>0</v>
      </c>
      <c r="S240" s="200" t="s">
        <v>653</v>
      </c>
      <c r="T240">
        <f ca="1">LOOKUP(D241,$C$191:$C$196,$F$191:$F$196)</f>
        <v>0</v>
      </c>
      <c r="AW240" s="128">
        <f t="shared" si="39"/>
        <v>217</v>
      </c>
      <c r="AX240" s="128">
        <f t="shared" ca="1" si="35"/>
        <v>-6.1619999999999999</v>
      </c>
      <c r="AY240" s="129">
        <f t="shared" ca="1" si="36"/>
        <v>1.4960570012328709</v>
      </c>
      <c r="BB240" s="128">
        <f t="shared" ca="1" si="37"/>
        <v>-6.1619999999999999</v>
      </c>
      <c r="BC240" s="129">
        <f t="shared" ca="1" si="38"/>
        <v>-1.4960570012328709</v>
      </c>
      <c r="BD240" s="157"/>
    </row>
    <row r="241" spans="2:56">
      <c r="B241" s="156"/>
      <c r="C241" s="200" t="s">
        <v>642</v>
      </c>
      <c r="D241" t="str">
        <f ca="1">OFFSET(Fuselage!$B$275,D237,2)</f>
        <v>None</v>
      </c>
      <c r="G241" s="200" t="s">
        <v>129</v>
      </c>
      <c r="H241">
        <f ca="1">IF(OR(X237="Type A",X237="Type B"),MAX(H237:H240)+42*0.0254,IF(X237="Type C",MAX(H237:H240)+X238,IF(X237&lt;&gt;"None",24*0.0254,0)))</f>
        <v>1.762</v>
      </c>
      <c r="K241" s="200" t="s">
        <v>655</v>
      </c>
      <c r="L241">
        <f ca="1">IF(D239=1,FUSELAGE_nseats_right_FC,IF(D239=2,FUSELAGE_nseats_right_BC,IF(D239=3,FUSELAGE_nseats_right_YC,0)))</f>
        <v>2</v>
      </c>
      <c r="O241" s="200" t="s">
        <v>407</v>
      </c>
      <c r="P241">
        <f ca="1">($C$13-(L239+L240+L241)*(P237+P239)+(FUSELAGE_n_aisles-1)*P239)/FUSELAGE_n_aisles</f>
        <v>0.59999999999999964</v>
      </c>
      <c r="S241" s="200" t="s">
        <v>651</v>
      </c>
      <c r="T241">
        <f ca="1">LOOKUP(D242,$C$191:$C$196,$E$191:$E$196)</f>
        <v>0</v>
      </c>
      <c r="AW241" s="128">
        <f t="shared" si="39"/>
        <v>218</v>
      </c>
      <c r="AX241" s="128">
        <f t="shared" ca="1" si="35"/>
        <v>-6.3469999999999995</v>
      </c>
      <c r="AY241" s="129">
        <f t="shared" ca="1" si="36"/>
        <v>1.4960570012328709</v>
      </c>
      <c r="BB241" s="128">
        <f t="shared" ca="1" si="37"/>
        <v>-6.3469999999999995</v>
      </c>
      <c r="BC241" s="129">
        <f t="shared" ca="1" si="38"/>
        <v>-1.4960570012328709</v>
      </c>
      <c r="BD241" s="157"/>
    </row>
    <row r="242" spans="2:56">
      <c r="B242" s="156"/>
      <c r="C242" s="200" t="s">
        <v>641</v>
      </c>
      <c r="D242" t="str">
        <f ca="1">OFFSET(Fuselage!$B$275,D237,3)</f>
        <v>None</v>
      </c>
      <c r="G242" s="200" t="s">
        <v>643</v>
      </c>
      <c r="H242">
        <f ca="1">MAX(H237:H241)</f>
        <v>1.762</v>
      </c>
      <c r="S242" s="200" t="s">
        <v>654</v>
      </c>
      <c r="T242">
        <f ca="1">LOOKUP(D242,$C$191:$C$196,$F$191:$F$196)</f>
        <v>0</v>
      </c>
      <c r="AW242" s="128">
        <f t="shared" si="39"/>
        <v>219</v>
      </c>
      <c r="AX242" s="128">
        <f t="shared" ca="1" si="35"/>
        <v>-6.3469999999999995</v>
      </c>
      <c r="AY242" s="129">
        <f t="shared" ca="1" si="36"/>
        <v>1.4960570012328709</v>
      </c>
      <c r="BB242" s="128">
        <f t="shared" ca="1" si="37"/>
        <v>-6.3469999999999995</v>
      </c>
      <c r="BC242" s="129">
        <f t="shared" ca="1" si="38"/>
        <v>-1.4960570012328709</v>
      </c>
      <c r="BD242" s="157"/>
    </row>
    <row r="243" spans="2:56" ht="15" thickBot="1">
      <c r="B243" s="156"/>
      <c r="AW243" s="128">
        <f t="shared" si="39"/>
        <v>220</v>
      </c>
      <c r="AX243" s="128">
        <f t="shared" ca="1" si="35"/>
        <v>-6.3469999999999995</v>
      </c>
      <c r="AY243" s="129">
        <f t="shared" ca="1" si="36"/>
        <v>1.4960570012328709</v>
      </c>
      <c r="BB243" s="128">
        <f t="shared" ca="1" si="37"/>
        <v>-6.3469999999999995</v>
      </c>
      <c r="BC243" s="129">
        <f t="shared" ca="1" si="38"/>
        <v>-1.4960570012328709</v>
      </c>
      <c r="BD243" s="157"/>
    </row>
    <row r="244" spans="2:56" ht="15" thickBot="1">
      <c r="B244" s="156"/>
      <c r="C244" s="141">
        <f ca="1">L241</f>
        <v>2</v>
      </c>
      <c r="D244" s="197" t="str">
        <f ca="1">IF($D239=1,"FC",IF($D239=2,"BC",IF($D239=3,"YC","Nothing")))</f>
        <v>FC</v>
      </c>
      <c r="E244" s="198"/>
      <c r="G244" s="141">
        <f ca="1">L240</f>
        <v>0</v>
      </c>
      <c r="H244" s="197" t="str">
        <f ca="1">IF($D239=1,"FC",IF($D239=2,"BC",IF($D239=3,"YC","Nothing")))</f>
        <v>FC</v>
      </c>
      <c r="I244" s="198"/>
      <c r="K244" s="141">
        <f ca="1" xml:space="preserve"> L239</f>
        <v>1</v>
      </c>
      <c r="L244" s="197" t="str">
        <f ca="1">IF($D239=1,"FC",IF($D239=2,"BC",IF($D239=3,"YC","Nothing")))</f>
        <v>FC</v>
      </c>
      <c r="M244" s="198"/>
      <c r="O244" s="141">
        <f ca="1">IF($D242&lt;&gt;"None",1,0)</f>
        <v>0</v>
      </c>
      <c r="P244" s="326" t="s">
        <v>380</v>
      </c>
      <c r="Q244" s="327"/>
      <c r="S244" s="141">
        <f ca="1">IF($D241&lt;&gt;"None",1,0)</f>
        <v>0</v>
      </c>
      <c r="T244" s="326" t="s">
        <v>381</v>
      </c>
      <c r="U244" s="327"/>
      <c r="W244" s="141">
        <f ca="1">IF($D240&lt;&gt;"None",1,0)</f>
        <v>0</v>
      </c>
      <c r="X244" s="326" t="s">
        <v>382</v>
      </c>
      <c r="Y244" s="327"/>
      <c r="AA244" s="141">
        <f ca="1">IF($D242="None",1,0)</f>
        <v>1</v>
      </c>
      <c r="AB244" s="326" t="str">
        <f ca="1">IF(AA244,D244,$D242)</f>
        <v>FC</v>
      </c>
      <c r="AC244" s="327"/>
      <c r="AE244" s="141">
        <f ca="1">IF($D241="None",1,0)</f>
        <v>1</v>
      </c>
      <c r="AF244" s="326" t="str">
        <f ca="1">IF(AE244,H244,$D241)</f>
        <v>FC</v>
      </c>
      <c r="AG244" s="327"/>
      <c r="AI244" s="141">
        <f ca="1">IF($D240="None",1,0)</f>
        <v>1</v>
      </c>
      <c r="AJ244" s="326" t="str">
        <f ca="1">IF(AI244,L244,$D240)</f>
        <v>FC</v>
      </c>
      <c r="AK244" s="327"/>
      <c r="AM244" s="141">
        <f ca="1">IF($X237="None",0,1)</f>
        <v>1</v>
      </c>
      <c r="AN244" s="197" t="s">
        <v>133</v>
      </c>
      <c r="AO244" s="198"/>
      <c r="AQ244" s="141">
        <f ca="1">IF($X237="None",0,1)</f>
        <v>1</v>
      </c>
      <c r="AR244" s="197" t="s">
        <v>134</v>
      </c>
      <c r="AS244" s="198"/>
      <c r="AW244" s="128">
        <f t="shared" si="39"/>
        <v>221</v>
      </c>
      <c r="AX244" s="128">
        <f t="shared" ca="1" si="35"/>
        <v>-6.3469999999999995</v>
      </c>
      <c r="AY244" s="129">
        <f t="shared" ca="1" si="36"/>
        <v>1.4960570012328709</v>
      </c>
      <c r="BB244" s="128">
        <f t="shared" ca="1" si="37"/>
        <v>-6.3469999999999995</v>
      </c>
      <c r="BC244" s="129">
        <f t="shared" ca="1" si="38"/>
        <v>-1.4960570012328709</v>
      </c>
      <c r="BD244" s="157"/>
    </row>
    <row r="245" spans="2:56" ht="15" thickBot="1">
      <c r="B245" s="156"/>
      <c r="C245" s="136" t="s">
        <v>452</v>
      </c>
      <c r="D245" s="136" t="s">
        <v>384</v>
      </c>
      <c r="E245" s="138" t="s">
        <v>385</v>
      </c>
      <c r="G245" s="136" t="s">
        <v>452</v>
      </c>
      <c r="H245" s="136" t="s">
        <v>384</v>
      </c>
      <c r="I245" s="138" t="s">
        <v>385</v>
      </c>
      <c r="K245" s="193" t="s">
        <v>452</v>
      </c>
      <c r="L245" s="193" t="s">
        <v>384</v>
      </c>
      <c r="M245" s="194" t="s">
        <v>385</v>
      </c>
      <c r="O245" s="136" t="s">
        <v>452</v>
      </c>
      <c r="P245" s="136" t="s">
        <v>384</v>
      </c>
      <c r="Q245" s="138" t="s">
        <v>385</v>
      </c>
      <c r="S245" s="136" t="s">
        <v>452</v>
      </c>
      <c r="T245" s="136" t="s">
        <v>384</v>
      </c>
      <c r="U245" s="138" t="s">
        <v>385</v>
      </c>
      <c r="W245" s="136" t="s">
        <v>452</v>
      </c>
      <c r="X245" s="136" t="s">
        <v>384</v>
      </c>
      <c r="Y245" s="138" t="s">
        <v>385</v>
      </c>
      <c r="AA245" s="136" t="s">
        <v>452</v>
      </c>
      <c r="AB245" s="136" t="s">
        <v>384</v>
      </c>
      <c r="AC245" s="138" t="s">
        <v>385</v>
      </c>
      <c r="AE245" s="136" t="s">
        <v>452</v>
      </c>
      <c r="AF245" s="136" t="s">
        <v>384</v>
      </c>
      <c r="AG245" s="138" t="s">
        <v>385</v>
      </c>
      <c r="AI245" s="193" t="s">
        <v>452</v>
      </c>
      <c r="AJ245" s="193" t="s">
        <v>384</v>
      </c>
      <c r="AK245" s="194" t="s">
        <v>385</v>
      </c>
      <c r="AM245" s="193" t="s">
        <v>452</v>
      </c>
      <c r="AN245" s="193" t="s">
        <v>384</v>
      </c>
      <c r="AO245" s="194" t="s">
        <v>385</v>
      </c>
      <c r="AQ245" s="193" t="s">
        <v>452</v>
      </c>
      <c r="AR245" s="193" t="s">
        <v>384</v>
      </c>
      <c r="AS245" s="194" t="s">
        <v>385</v>
      </c>
      <c r="AW245" s="128">
        <f t="shared" si="39"/>
        <v>253</v>
      </c>
      <c r="AX245" s="128">
        <f t="shared" ca="1" si="35"/>
        <v>-6.9619999999999997</v>
      </c>
      <c r="AY245" s="129">
        <f t="shared" ca="1" si="36"/>
        <v>1.4960570012328709</v>
      </c>
      <c r="BB245" s="128">
        <f t="shared" ca="1" si="37"/>
        <v>-6.9619999999999997</v>
      </c>
      <c r="BC245" s="129">
        <f t="shared" ca="1" si="38"/>
        <v>-1.4960570012328709</v>
      </c>
      <c r="BD245" s="157"/>
    </row>
    <row r="246" spans="2:56">
      <c r="B246" s="156"/>
      <c r="C246" s="128" t="s">
        <v>396</v>
      </c>
      <c r="D246" s="158">
        <f ca="1">IF(C244&gt;=1,L237,8888)</f>
        <v>-2.762</v>
      </c>
      <c r="E246" s="160">
        <f ca="1">IF(C244&gt;=1,1/2*($C$13-P237-2*P239)+1/2*P237,8888)</f>
        <v>1.3099999999999998</v>
      </c>
      <c r="G246" s="128" t="s">
        <v>396</v>
      </c>
      <c r="H246" s="158">
        <f ca="1">IF(G244&gt;=1,L237,8888)</f>
        <v>8888</v>
      </c>
      <c r="I246" s="160">
        <f ca="1">IF(G244&gt;=1,E257-P241,8888)</f>
        <v>8888</v>
      </c>
      <c r="K246" s="128" t="s">
        <v>396</v>
      </c>
      <c r="L246" s="158">
        <f ca="1">IF(K244&gt;=1,L237,8888)</f>
        <v>-2.762</v>
      </c>
      <c r="M246" s="160">
        <f ca="1">IF(K244&gt;=1,IF(FUSELAGE_n_aisles=1,E257-P241,I269-P241),8888)</f>
        <v>-0.65999999999999981</v>
      </c>
      <c r="O246" s="128" t="s">
        <v>396</v>
      </c>
      <c r="P246" s="158">
        <f ca="1">IF(O244,$L237,8888)</f>
        <v>8888</v>
      </c>
      <c r="Q246" s="209">
        <f ca="1">IF(O244,FUSELAGE_y_position_of_left_seat_YC-(FUSELAGE_nseats_right_YC-1)*(SEAT_w_cushion_YC+SEAT_w_armrest_YC)/2+T242/2,8888)</f>
        <v>8888</v>
      </c>
      <c r="S246" s="128" t="s">
        <v>396</v>
      </c>
      <c r="T246" s="158">
        <f ca="1">IF(S244,$L237,8888)</f>
        <v>8888</v>
      </c>
      <c r="U246" s="160">
        <f ca="1">IF(S244,T240/2,8888)</f>
        <v>8888</v>
      </c>
      <c r="W246" s="128" t="s">
        <v>396</v>
      </c>
      <c r="X246" s="158">
        <f ca="1">IF(W244,$L237,8888)</f>
        <v>8888</v>
      </c>
      <c r="Y246" s="160">
        <f ca="1">IF(W244,-FUSELAGE_y_position_of_left_seat_YC+(FUSELAGE_nseats_left_YC-1)*(SEAT_w_cushion_YC+SEAT_w_armrest_YC)/2-T238/2,8888)</f>
        <v>8888</v>
      </c>
      <c r="AA246" s="128" t="s">
        <v>396</v>
      </c>
      <c r="AB246" s="158">
        <f ca="1">IF($AA244,D246,P246)</f>
        <v>-2.762</v>
      </c>
      <c r="AC246" s="174">
        <f ca="1">IF($AA244,E246,Q246)</f>
        <v>1.3099999999999998</v>
      </c>
      <c r="AE246" s="128" t="s">
        <v>396</v>
      </c>
      <c r="AF246" s="158">
        <f ca="1">IF($AE244,H246,T246)</f>
        <v>8888</v>
      </c>
      <c r="AG246" s="174">
        <f ca="1">IF($AE244,I246,U246)</f>
        <v>8888</v>
      </c>
      <c r="AI246" s="128" t="s">
        <v>396</v>
      </c>
      <c r="AJ246" s="158">
        <f ca="1">IF($AI244,L246,X246)</f>
        <v>-2.762</v>
      </c>
      <c r="AK246" s="174">
        <f ca="1">IF($AI244,M246,Y246)</f>
        <v>-0.65999999999999981</v>
      </c>
      <c r="AM246" s="128" t="s">
        <v>396</v>
      </c>
      <c r="AN246" s="158">
        <f ca="1">AN215</f>
        <v>-1</v>
      </c>
      <c r="AO246" s="174">
        <f ca="1">IF(AN246&gt;-Fuselage!$D$366,(FUSELAGE_a_ellipse)*SQRT(1-((AN246+Fuselage!$D$366)/(Fuselage!$K$364-FUSELAGE_t_fuselage))^2),IF(AN246&gt;$L$2505+Fuselage!$K$370,FUSELAGE_a_ellipse,(FUSELAGE_a_ellipse+FUSELAGE_t_fuselage-FUSELAGE_d_fo/4)/Fuselage!$K$368*(AN246-$L$2505-Fuselage!$K$370)+FUSELAGE_a_ellipse))</f>
        <v>1.4960570012328709</v>
      </c>
      <c r="AQ246" s="128" t="s">
        <v>396</v>
      </c>
      <c r="AR246" s="158">
        <f t="shared" ref="AR246:AR251" ca="1" si="40">AN246</f>
        <v>-1</v>
      </c>
      <c r="AS246" s="174">
        <f t="shared" ref="AS246:AS251" ca="1" si="41">-AO246</f>
        <v>-1.4960570012328709</v>
      </c>
      <c r="AW246" s="128">
        <f t="shared" si="39"/>
        <v>254</v>
      </c>
      <c r="AX246" s="128">
        <f t="shared" ca="1" si="35"/>
        <v>-7.1469999999999994</v>
      </c>
      <c r="AY246" s="129">
        <f t="shared" ca="1" si="36"/>
        <v>1.4960570012328709</v>
      </c>
      <c r="BB246" s="128">
        <f t="shared" ca="1" si="37"/>
        <v>-7.1469999999999994</v>
      </c>
      <c r="BC246" s="129">
        <f t="shared" ca="1" si="38"/>
        <v>-1.4960570012328709</v>
      </c>
      <c r="BD246" s="157"/>
    </row>
    <row r="247" spans="2:56">
      <c r="B247" s="156"/>
      <c r="C247" s="128" t="s">
        <v>213</v>
      </c>
      <c r="D247" s="128">
        <f ca="1">IF(X239,D246+P238/4,D246+P238)</f>
        <v>-2.302</v>
      </c>
      <c r="E247" s="139">
        <f ca="1">E246</f>
        <v>1.3099999999999998</v>
      </c>
      <c r="G247" s="128" t="s">
        <v>213</v>
      </c>
      <c r="H247" s="128">
        <f ca="1">H246+P238</f>
        <v>8888.4599999999991</v>
      </c>
      <c r="I247" s="139">
        <f ca="1">I246</f>
        <v>8888</v>
      </c>
      <c r="K247" s="128" t="s">
        <v>213</v>
      </c>
      <c r="L247" s="128">
        <f ca="1">IF(X239,IF(K244=1,L246+P238/4,L246+P238),L246+P238)</f>
        <v>-2.302</v>
      </c>
      <c r="M247" s="139">
        <f ca="1">M246</f>
        <v>-0.65999999999999981</v>
      </c>
      <c r="O247" s="128" t="s">
        <v>213</v>
      </c>
      <c r="P247" s="128">
        <f ca="1">P246+$T241</f>
        <v>8888</v>
      </c>
      <c r="Q247" s="139">
        <f ca="1">Q246</f>
        <v>8888</v>
      </c>
      <c r="S247" s="128" t="s">
        <v>213</v>
      </c>
      <c r="T247" s="128">
        <f ca="1">T246+$T239</f>
        <v>8888</v>
      </c>
      <c r="U247" s="139">
        <f ca="1">U246</f>
        <v>8888</v>
      </c>
      <c r="W247" s="128" t="s">
        <v>213</v>
      </c>
      <c r="X247" s="128">
        <f ca="1">X246+$T237</f>
        <v>8888</v>
      </c>
      <c r="Y247" s="139">
        <f ca="1">Y246</f>
        <v>8888</v>
      </c>
      <c r="AA247" s="143" t="s">
        <v>213</v>
      </c>
      <c r="AB247" s="128">
        <f ca="1">IF($AA244,D247,P247)</f>
        <v>-2.302</v>
      </c>
      <c r="AC247" s="129">
        <f ca="1">IF($AA244,E247,Q247)</f>
        <v>1.3099999999999998</v>
      </c>
      <c r="AE247" s="128" t="s">
        <v>213</v>
      </c>
      <c r="AF247" s="128">
        <f ca="1">IF($AE244,H247,T247)</f>
        <v>8888.4599999999991</v>
      </c>
      <c r="AG247" s="129">
        <f ca="1">IF($AE244,I247,U247)</f>
        <v>8888</v>
      </c>
      <c r="AI247" s="128" t="s">
        <v>213</v>
      </c>
      <c r="AJ247" s="128">
        <f ca="1">IF($AI244,L247,X247)</f>
        <v>-2.302</v>
      </c>
      <c r="AK247" s="129">
        <f ca="1">IF($AI244,M247,Y247)</f>
        <v>-0.65999999999999981</v>
      </c>
      <c r="AM247" s="128" t="s">
        <v>213</v>
      </c>
      <c r="AN247" s="128">
        <f ca="1">AN246-AO237/2</f>
        <v>-1.27</v>
      </c>
      <c r="AO247" s="129">
        <f ca="1">IF(AN247&gt;-Fuselage!$D$366,(FUSELAGE_a_ellipse)*SQRT(1-((AN247+Fuselage!$D$366)/(Fuselage!$K$364-FUSELAGE_t_fuselage))^2),IF(AN247&gt;$L$2505+Fuselage!$K$370,FUSELAGE_a_ellipse,(FUSELAGE_a_ellipse+FUSELAGE_t_fuselage-FUSELAGE_d_fo/4)/Fuselage!$K$368*(AN247-$L$2505-Fuselage!$K$370)+FUSELAGE_a_ellipse))</f>
        <v>1.4960570012328709</v>
      </c>
      <c r="AQ247" s="128" t="s">
        <v>213</v>
      </c>
      <c r="AR247" s="128">
        <f t="shared" ca="1" si="40"/>
        <v>-1.27</v>
      </c>
      <c r="AS247" s="129">
        <f t="shared" ca="1" si="41"/>
        <v>-1.4960570012328709</v>
      </c>
      <c r="AW247" s="128">
        <f t="shared" si="39"/>
        <v>255</v>
      </c>
      <c r="AX247" s="128">
        <f t="shared" ca="1" si="35"/>
        <v>-7.1469999999999994</v>
      </c>
      <c r="AY247" s="129">
        <f t="shared" ca="1" si="36"/>
        <v>1.4960570012328709</v>
      </c>
      <c r="BB247" s="128">
        <f t="shared" ca="1" si="37"/>
        <v>-7.1469999999999994</v>
      </c>
      <c r="BC247" s="129">
        <f t="shared" ca="1" si="38"/>
        <v>-1.4960570012328709</v>
      </c>
      <c r="BD247" s="157"/>
    </row>
    <row r="248" spans="2:56">
      <c r="B248" s="156"/>
      <c r="C248" s="128" t="s">
        <v>286</v>
      </c>
      <c r="D248" s="128">
        <f ca="1">D247</f>
        <v>-2.302</v>
      </c>
      <c r="E248" s="139">
        <f ca="1">E247-P237</f>
        <v>0.65999999999999981</v>
      </c>
      <c r="G248" s="128" t="s">
        <v>286</v>
      </c>
      <c r="H248" s="128">
        <f ca="1">H247</f>
        <v>8888.4599999999991</v>
      </c>
      <c r="I248" s="139">
        <f ca="1">I247-P237</f>
        <v>8887.35</v>
      </c>
      <c r="K248" s="128" t="s">
        <v>286</v>
      </c>
      <c r="L248" s="128">
        <f ca="1">L247</f>
        <v>-2.302</v>
      </c>
      <c r="M248" s="139">
        <f ca="1">M247-P237</f>
        <v>-1.3099999999999998</v>
      </c>
      <c r="O248" s="128" t="s">
        <v>286</v>
      </c>
      <c r="P248" s="128">
        <f ca="1">P247</f>
        <v>8888</v>
      </c>
      <c r="Q248" s="139">
        <f ca="1">Q247-$T242</f>
        <v>8888</v>
      </c>
      <c r="S248" s="128" t="s">
        <v>286</v>
      </c>
      <c r="T248" s="128">
        <f ca="1">T247</f>
        <v>8888</v>
      </c>
      <c r="U248" s="139">
        <f ca="1">U247-$T240</f>
        <v>8888</v>
      </c>
      <c r="W248" s="128" t="s">
        <v>286</v>
      </c>
      <c r="X248" s="128">
        <f ca="1">X247</f>
        <v>8888</v>
      </c>
      <c r="Y248" s="139">
        <f ca="1">Y247+$T238</f>
        <v>8888</v>
      </c>
      <c r="AA248" s="143" t="s">
        <v>286</v>
      </c>
      <c r="AB248" s="128">
        <f ca="1">IF($AA244,D248,P248)</f>
        <v>-2.302</v>
      </c>
      <c r="AC248" s="129">
        <f ca="1">IF($AA244,E248,Q248)</f>
        <v>0.65999999999999981</v>
      </c>
      <c r="AE248" s="128" t="s">
        <v>286</v>
      </c>
      <c r="AF248" s="128">
        <f ca="1">IF($AE244,H248,T248)</f>
        <v>8888.4599999999991</v>
      </c>
      <c r="AG248" s="129">
        <f ca="1">IF($AE244,I248,U248)</f>
        <v>8887.35</v>
      </c>
      <c r="AI248" s="128" t="s">
        <v>286</v>
      </c>
      <c r="AJ248" s="128">
        <f ca="1">IF($AI244,L248,X248)</f>
        <v>-2.302</v>
      </c>
      <c r="AK248" s="129">
        <f ca="1">IF($AI244,M248,Y248)</f>
        <v>-1.3099999999999998</v>
      </c>
      <c r="AM248" s="128" t="s">
        <v>286</v>
      </c>
      <c r="AN248" s="128">
        <f ca="1">AN247</f>
        <v>-1.27</v>
      </c>
      <c r="AO248" s="129">
        <f ca="1">IF(AN248&gt;-Fuselage!$D$366,IF(AM244,(FUSELAGE_a_ellipse+FUSELAGE_t_fuselage)*SQRT(1-((AN248+Fuselage!$D$366)/Fuselage!$K$364)^2),(FUSELAGE_a_ellipse)*SQRT(1-((AN248+Fuselage!$D$366)/Fuselage!$K$364)^2)),IF(AN248&gt;$L$2505+Fuselage!$K$370,(IF(AM244,FUSELAGE_a_ellipse+FUSELAGE_t_fuselage,FUSELAGE_a_ellipse)),IF(AM244,(FUSELAGE_a_ellipse+FUSELAGE_t_fuselage-FUSELAGE_d_fo/4)/Fuselage!$K$368*(AN248-$L$2505-Fuselage!$K$370)+FUSELAGE_a_ellipse+FUSELAGE_t_fuselage,(FUSELAGE_a_ellipse+FUSELAGE_t_fuselage-FUSELAGE_d_fo/4)/Fuselage!$K$368*(AN248-$L$2505-Fuselage!$K$370)+FUSELAGE_a_ellipse)))</f>
        <v>1.6053795662883501</v>
      </c>
      <c r="AQ248" s="128" t="s">
        <v>286</v>
      </c>
      <c r="AR248" s="128">
        <f t="shared" ca="1" si="40"/>
        <v>-1.27</v>
      </c>
      <c r="AS248" s="129">
        <f t="shared" ca="1" si="41"/>
        <v>-1.6053795662883501</v>
      </c>
      <c r="AW248" s="128">
        <f t="shared" si="39"/>
        <v>256</v>
      </c>
      <c r="AX248" s="128">
        <f t="shared" ca="1" si="35"/>
        <v>-7.1469999999999994</v>
      </c>
      <c r="AY248" s="129">
        <f t="shared" ca="1" si="36"/>
        <v>1.4960570012328709</v>
      </c>
      <c r="BB248" s="128">
        <f t="shared" ca="1" si="37"/>
        <v>-7.1469999999999994</v>
      </c>
      <c r="BC248" s="129">
        <f t="shared" ca="1" si="38"/>
        <v>-1.4960570012328709</v>
      </c>
      <c r="BD248" s="157"/>
    </row>
    <row r="249" spans="2:56">
      <c r="B249" s="156"/>
      <c r="C249" s="188" t="s">
        <v>522</v>
      </c>
      <c r="D249" s="188">
        <f ca="1">D246</f>
        <v>-2.762</v>
      </c>
      <c r="E249" s="189">
        <f ca="1">E248</f>
        <v>0.65999999999999981</v>
      </c>
      <c r="F249" s="157"/>
      <c r="G249" s="2" t="s">
        <v>522</v>
      </c>
      <c r="H249" s="128">
        <f ca="1">H246</f>
        <v>8888</v>
      </c>
      <c r="I249" s="139">
        <f ca="1">I248</f>
        <v>8887.35</v>
      </c>
      <c r="K249" s="128" t="s">
        <v>522</v>
      </c>
      <c r="L249" s="128">
        <f ca="1">L246</f>
        <v>-2.762</v>
      </c>
      <c r="M249" s="139">
        <f ca="1">M248</f>
        <v>-1.3099999999999998</v>
      </c>
      <c r="O249" s="188" t="s">
        <v>522</v>
      </c>
      <c r="P249" s="188">
        <f ca="1">P246</f>
        <v>8888</v>
      </c>
      <c r="Q249" s="189">
        <f ca="1">Q248</f>
        <v>8888</v>
      </c>
      <c r="S249" s="188" t="s">
        <v>522</v>
      </c>
      <c r="T249" s="188">
        <f ca="1">T246</f>
        <v>8888</v>
      </c>
      <c r="U249" s="189">
        <f ca="1">U248</f>
        <v>8888</v>
      </c>
      <c r="W249" s="188" t="s">
        <v>522</v>
      </c>
      <c r="X249" s="188">
        <f ca="1">X246</f>
        <v>8888</v>
      </c>
      <c r="Y249" s="189">
        <f ca="1">Y248</f>
        <v>8888</v>
      </c>
      <c r="AA249" s="195" t="s">
        <v>522</v>
      </c>
      <c r="AB249" s="128">
        <f ca="1">IF($AA244,D249,P249)</f>
        <v>-2.762</v>
      </c>
      <c r="AC249" s="129">
        <f ca="1">IF($AA244,E249,Q249)</f>
        <v>0.65999999999999981</v>
      </c>
      <c r="AD249" s="157"/>
      <c r="AE249" s="2" t="s">
        <v>522</v>
      </c>
      <c r="AF249" s="188">
        <f ca="1">IF($AE244,H249,T249)</f>
        <v>8888</v>
      </c>
      <c r="AG249" s="196">
        <f ca="1">IF($AE244,I249,U249)</f>
        <v>8887.35</v>
      </c>
      <c r="AI249" s="128" t="s">
        <v>522</v>
      </c>
      <c r="AJ249" s="188">
        <f ca="1">IF($AI244,L249,X249)</f>
        <v>-2.762</v>
      </c>
      <c r="AK249" s="196">
        <f ca="1">IF($AI244,M249,Y249)</f>
        <v>-1.3099999999999998</v>
      </c>
      <c r="AM249" s="128" t="s">
        <v>522</v>
      </c>
      <c r="AN249" s="128">
        <f ca="1">AN248-X238</f>
        <v>-2.032</v>
      </c>
      <c r="AO249" s="129">
        <f ca="1">IF(AN249&gt;-Fuselage!$D$366,IF(AM244,(FUSELAGE_a_ellipse+FUSELAGE_t_fuselage)*SQRT(1-((AN249+Fuselage!$D$366)/Fuselage!$K$364)^2),(FUSELAGE_a_ellipse)*SQRT(1-((AN249+Fuselage!$D$366)/Fuselage!$K$364)^2)),IF(AN249&gt;$L$2505+Fuselage!$K$370,(IF(AM244,FUSELAGE_a_ellipse+FUSELAGE_t_fuselage,FUSELAGE_a_ellipse)),IF(AM244,(FUSELAGE_a_ellipse+FUSELAGE_t_fuselage-FUSELAGE_d_fo/4)/Fuselage!$K$368*(AN249-$L$2505-Fuselage!$K$370)+FUSELAGE_a_ellipse+FUSELAGE_t_fuselage,(FUSELAGE_a_ellipse+FUSELAGE_t_fuselage-FUSELAGE_d_fo/4)/Fuselage!$K$368*(AN249-$L$2505-Fuselage!$K$370)+FUSELAGE_a_ellipse)))</f>
        <v>1.6053795662883501</v>
      </c>
      <c r="AQ249" s="128" t="s">
        <v>522</v>
      </c>
      <c r="AR249" s="128">
        <f t="shared" ca="1" si="40"/>
        <v>-2.032</v>
      </c>
      <c r="AS249" s="129">
        <f t="shared" ca="1" si="41"/>
        <v>-1.6053795662883501</v>
      </c>
      <c r="AW249" s="128">
        <f t="shared" si="39"/>
        <v>257</v>
      </c>
      <c r="AX249" s="128">
        <f t="shared" ca="1" si="35"/>
        <v>-7.1469999999999994</v>
      </c>
      <c r="AY249" s="129">
        <f t="shared" ca="1" si="36"/>
        <v>1.4960570012328709</v>
      </c>
      <c r="BB249" s="128">
        <f t="shared" ca="1" si="37"/>
        <v>-7.1469999999999994</v>
      </c>
      <c r="BC249" s="129">
        <f t="shared" ca="1" si="38"/>
        <v>-1.4960570012328709</v>
      </c>
      <c r="BD249" s="157"/>
    </row>
    <row r="250" spans="2:56" ht="15" thickBot="1">
      <c r="B250" s="156"/>
      <c r="C250" s="128" t="s">
        <v>49</v>
      </c>
      <c r="D250" s="128">
        <f ca="1">IF(C244&gt;=2,D246,D249)</f>
        <v>-2.762</v>
      </c>
      <c r="E250" s="139">
        <f ca="1">IF(C244&gt;=2,E249-P239,E249)</f>
        <v>0.58999999999999986</v>
      </c>
      <c r="F250" s="157"/>
      <c r="G250" s="192" t="s">
        <v>49</v>
      </c>
      <c r="H250" s="190">
        <f ca="1">IF(G244&gt;=2,H246,H249)</f>
        <v>8888</v>
      </c>
      <c r="I250" s="191">
        <f ca="1">IF(G244&gt;=2,I249-P239,I249)</f>
        <v>8887.35</v>
      </c>
      <c r="K250" s="190" t="s">
        <v>49</v>
      </c>
      <c r="L250" s="190">
        <f ca="1">IF(K244&gt;=2,L246,L249)</f>
        <v>-2.762</v>
      </c>
      <c r="M250" s="191">
        <f ca="1">IF(K244&gt;=2,M249-P239,M249)</f>
        <v>-1.3099999999999998</v>
      </c>
      <c r="O250" s="130" t="s">
        <v>396</v>
      </c>
      <c r="P250" s="130">
        <f ca="1">P246</f>
        <v>8888</v>
      </c>
      <c r="Q250" s="140">
        <f ca="1">Q246</f>
        <v>8888</v>
      </c>
      <c r="S250" s="130" t="s">
        <v>396</v>
      </c>
      <c r="T250" s="130">
        <f ca="1">T246</f>
        <v>8888</v>
      </c>
      <c r="U250" s="140">
        <f ca="1">U246</f>
        <v>8888</v>
      </c>
      <c r="W250" s="130" t="s">
        <v>396</v>
      </c>
      <c r="X250" s="130">
        <f ca="1">X246</f>
        <v>8888</v>
      </c>
      <c r="Y250" s="140">
        <f ca="1">Y246</f>
        <v>8888</v>
      </c>
      <c r="AA250" s="143" t="s">
        <v>49</v>
      </c>
      <c r="AB250" s="128">
        <f ca="1">IF($AA244,D250,P250)</f>
        <v>-2.762</v>
      </c>
      <c r="AC250" s="129">
        <f ca="1">IF($AA244,E250,Q250)</f>
        <v>0.58999999999999986</v>
      </c>
      <c r="AD250" s="157"/>
      <c r="AE250" s="192" t="s">
        <v>49</v>
      </c>
      <c r="AF250" s="128">
        <f ca="1">IF($AE244,H250,T250)</f>
        <v>8888</v>
      </c>
      <c r="AG250" s="129">
        <f ca="1">IF($AE244,I250,U250)</f>
        <v>8887.35</v>
      </c>
      <c r="AI250" s="190" t="s">
        <v>49</v>
      </c>
      <c r="AJ250" s="128">
        <f ca="1">IF($AI244,L250,X250)</f>
        <v>-2.762</v>
      </c>
      <c r="AK250" s="129">
        <f ca="1">IF($AI244,M250,Y250)</f>
        <v>-1.3099999999999998</v>
      </c>
      <c r="AM250" s="128" t="s">
        <v>49</v>
      </c>
      <c r="AN250" s="128">
        <f ca="1">AN249</f>
        <v>-2.032</v>
      </c>
      <c r="AO250" s="129">
        <f ca="1">IF(AN250&gt;-Fuselage!$D$366,(FUSELAGE_a_ellipse)*SQRT(1-((AN250+Fuselage!$D$366)/(Fuselage!$K$364-FUSELAGE_t_fuselage))^2),IF(AN250&gt;$L$2505+Fuselage!$K$370,FUSELAGE_a_ellipse,(FUSELAGE_a_ellipse+FUSELAGE_t_fuselage-FUSELAGE_d_fo/4)/Fuselage!$K$368*(AN250-$L$2505-Fuselage!$K$370)+FUSELAGE_a_ellipse))</f>
        <v>1.4960570012328709</v>
      </c>
      <c r="AQ250" s="128" t="s">
        <v>49</v>
      </c>
      <c r="AR250" s="128">
        <f t="shared" ca="1" si="40"/>
        <v>-2.032</v>
      </c>
      <c r="AS250" s="129">
        <f t="shared" ca="1" si="41"/>
        <v>-1.4960570012328709</v>
      </c>
      <c r="AW250" s="128">
        <f t="shared" si="39"/>
        <v>289</v>
      </c>
      <c r="AX250" s="128">
        <f t="shared" ca="1" si="35"/>
        <v>-7.7619999999999996</v>
      </c>
      <c r="AY250" s="129">
        <f t="shared" ca="1" si="36"/>
        <v>1.4960570012328709</v>
      </c>
      <c r="BB250" s="128">
        <f t="shared" ca="1" si="37"/>
        <v>-7.7619999999999996</v>
      </c>
      <c r="BC250" s="129">
        <f t="shared" ca="1" si="38"/>
        <v>-1.4960570012328709</v>
      </c>
      <c r="BD250" s="157"/>
    </row>
    <row r="251" spans="2:56">
      <c r="B251" s="156"/>
      <c r="C251" s="128" t="s">
        <v>453</v>
      </c>
      <c r="D251" s="128">
        <f ca="1">IF(C244&gt;=2,D246+P238,D249)</f>
        <v>-2.302</v>
      </c>
      <c r="E251" s="139">
        <f ca="1">E250</f>
        <v>0.58999999999999986</v>
      </c>
      <c r="F251" s="157"/>
      <c r="G251" s="2" t="s">
        <v>453</v>
      </c>
      <c r="H251" s="128">
        <f ca="1">IF(G244&gt;=2,H247,H249)</f>
        <v>8888</v>
      </c>
      <c r="I251" s="139">
        <f ca="1">IF(G244&gt;=2,I250,I249)</f>
        <v>8887.35</v>
      </c>
      <c r="K251" s="128" t="s">
        <v>453</v>
      </c>
      <c r="L251" s="128">
        <f ca="1">IF(K244&gt;=2,IF(X239,IF(K244=2,L246+P238/4,L246+P238),L246+P238),L249)</f>
        <v>-2.762</v>
      </c>
      <c r="M251" s="139">
        <f ca="1">IF(K244&gt;=2,M250,M249)</f>
        <v>-1.3099999999999998</v>
      </c>
      <c r="AA251" s="143" t="s">
        <v>453</v>
      </c>
      <c r="AB251" s="128">
        <f ca="1">IF($AA244,D251,AB250)</f>
        <v>-2.302</v>
      </c>
      <c r="AC251" s="129">
        <f ca="1">IF($AA244,E251,AC250)</f>
        <v>0.58999999999999986</v>
      </c>
      <c r="AD251" s="157"/>
      <c r="AE251" s="2" t="s">
        <v>453</v>
      </c>
      <c r="AF251" s="128">
        <f ca="1">IF($AE244,H251,AF250)</f>
        <v>8888</v>
      </c>
      <c r="AG251" s="129">
        <f ca="1">IF($AE244,I251,AG250)</f>
        <v>8887.35</v>
      </c>
      <c r="AI251" s="128" t="s">
        <v>453</v>
      </c>
      <c r="AJ251" s="128">
        <f ca="1">IF($AI244,L251,AJ250)</f>
        <v>-2.762</v>
      </c>
      <c r="AK251" s="129">
        <f ca="1">IF($AI244,M251,AK250)</f>
        <v>-1.3099999999999998</v>
      </c>
      <c r="AM251" s="128" t="s">
        <v>453</v>
      </c>
      <c r="AN251" s="128">
        <f ca="1">L237</f>
        <v>-2.762</v>
      </c>
      <c r="AO251" s="129">
        <f ca="1">IF(AN251&gt;-Fuselage!$D$366,(FUSELAGE_a_ellipse)*SQRT(1-((AN251+Fuselage!$D$366)/(Fuselage!$K$364-FUSELAGE_t_fuselage))^2),IF(AN251&gt;$L$2505+Fuselage!$K$370,FUSELAGE_a_ellipse,(FUSELAGE_a_ellipse+FUSELAGE_t_fuselage-FUSELAGE_d_fo/4)/Fuselage!$K$368*(AN251-$L$2505-Fuselage!$K$370)+FUSELAGE_a_ellipse))</f>
        <v>1.4960570012328709</v>
      </c>
      <c r="AQ251" s="128" t="s">
        <v>453</v>
      </c>
      <c r="AR251" s="128">
        <f t="shared" ca="1" si="40"/>
        <v>-2.762</v>
      </c>
      <c r="AS251" s="129">
        <f t="shared" ca="1" si="41"/>
        <v>-1.4960570012328709</v>
      </c>
      <c r="AW251" s="128">
        <f t="shared" si="39"/>
        <v>290</v>
      </c>
      <c r="AX251" s="128">
        <f t="shared" ca="1" si="35"/>
        <v>-7.9469999999999992</v>
      </c>
      <c r="AY251" s="129">
        <f t="shared" ca="1" si="36"/>
        <v>1.4960570012328709</v>
      </c>
      <c r="BB251" s="128">
        <f t="shared" ca="1" si="37"/>
        <v>-7.9469999999999992</v>
      </c>
      <c r="BC251" s="129">
        <f t="shared" ca="1" si="38"/>
        <v>-1.4960570012328709</v>
      </c>
      <c r="BD251" s="157"/>
    </row>
    <row r="252" spans="2:56">
      <c r="B252" s="156"/>
      <c r="C252" s="128" t="s">
        <v>394</v>
      </c>
      <c r="D252" s="128">
        <f ca="1">IF(C244&gt;=2,D251,D249)</f>
        <v>-2.302</v>
      </c>
      <c r="E252" s="139">
        <f ca="1">IF(C244&gt;=2,E250-P237,E249)</f>
        <v>-6.0000000000000164E-2</v>
      </c>
      <c r="F252" s="157"/>
      <c r="G252" s="2" t="s">
        <v>394</v>
      </c>
      <c r="H252" s="128">
        <f ca="1">IF(G244&gt;=2,H247,H249)</f>
        <v>8888</v>
      </c>
      <c r="I252" s="139">
        <f ca="1">IF(G244&gt;=2,I251-P237,I249)</f>
        <v>8887.35</v>
      </c>
      <c r="K252" s="128" t="s">
        <v>394</v>
      </c>
      <c r="L252" s="128">
        <f ca="1">L251</f>
        <v>-2.762</v>
      </c>
      <c r="M252" s="139">
        <f ca="1">IF(K244&gt;=2,M251-P237,M249)</f>
        <v>-1.3099999999999998</v>
      </c>
      <c r="AA252" s="143" t="s">
        <v>394</v>
      </c>
      <c r="AB252" s="128">
        <f ca="1">IF($AA244,D252,AB250)</f>
        <v>-2.302</v>
      </c>
      <c r="AC252" s="129">
        <f ca="1">IF($AA244,E252,AC250)</f>
        <v>-6.0000000000000164E-2</v>
      </c>
      <c r="AD252" s="157"/>
      <c r="AE252" s="2" t="s">
        <v>394</v>
      </c>
      <c r="AF252" s="128">
        <f ca="1">IF($AE244,H252,AF250)</f>
        <v>8888</v>
      </c>
      <c r="AG252" s="129">
        <f ca="1">IF($AE244,I252,AG250)</f>
        <v>8887.35</v>
      </c>
      <c r="AI252" s="128" t="s">
        <v>394</v>
      </c>
      <c r="AJ252" s="128">
        <f ca="1">IF($AI244,L252,AJ250)</f>
        <v>-2.762</v>
      </c>
      <c r="AK252" s="129">
        <f ca="1">IF($AI244,M252,AK250)</f>
        <v>-1.3099999999999998</v>
      </c>
      <c r="AW252" s="128">
        <f t="shared" si="39"/>
        <v>291</v>
      </c>
      <c r="AX252" s="128">
        <f t="shared" ca="1" si="35"/>
        <v>-7.9469999999999992</v>
      </c>
      <c r="AY252" s="129">
        <f t="shared" ca="1" si="36"/>
        <v>1.4960570012328709</v>
      </c>
      <c r="BB252" s="128">
        <f t="shared" ca="1" si="37"/>
        <v>-7.9469999999999992</v>
      </c>
      <c r="BC252" s="129">
        <f t="shared" ca="1" si="38"/>
        <v>-1.4960570012328709</v>
      </c>
      <c r="BD252" s="157"/>
    </row>
    <row r="253" spans="2:56">
      <c r="B253" s="156"/>
      <c r="C253" s="188" t="s">
        <v>454</v>
      </c>
      <c r="D253" s="188">
        <f ca="1">IF(C244&gt;=2,D246,D249)</f>
        <v>-2.762</v>
      </c>
      <c r="E253" s="189">
        <f ca="1">E252</f>
        <v>-6.0000000000000164E-2</v>
      </c>
      <c r="F253" s="157"/>
      <c r="G253" s="115" t="s">
        <v>454</v>
      </c>
      <c r="H253" s="188">
        <f ca="1">IF(G244&gt;=2,H246,H249)</f>
        <v>8888</v>
      </c>
      <c r="I253" s="189">
        <f ca="1">IF(G244&gt;=2,I252,I249)</f>
        <v>8887.35</v>
      </c>
      <c r="K253" s="188" t="s">
        <v>454</v>
      </c>
      <c r="L253" s="188">
        <f ca="1">IF(K244&gt;=2,L246,L249)</f>
        <v>-2.762</v>
      </c>
      <c r="M253" s="189">
        <f ca="1">IF(K244&gt;=2,M252,M249)</f>
        <v>-1.3099999999999998</v>
      </c>
      <c r="AA253" s="195" t="s">
        <v>454</v>
      </c>
      <c r="AB253" s="128">
        <f ca="1">IF($AA244,D253,AB250)</f>
        <v>-2.762</v>
      </c>
      <c r="AC253" s="129">
        <f ca="1">IF($AA244,E253,AC250)</f>
        <v>-6.0000000000000164E-2</v>
      </c>
      <c r="AD253" s="157"/>
      <c r="AE253" s="115" t="s">
        <v>454</v>
      </c>
      <c r="AF253" s="188">
        <f ca="1">IF($AE244,H253,AF250)</f>
        <v>8888</v>
      </c>
      <c r="AG253" s="196">
        <f ca="1">IF($AE244,I253,AG250)</f>
        <v>8887.35</v>
      </c>
      <c r="AI253" s="188" t="s">
        <v>454</v>
      </c>
      <c r="AJ253" s="188">
        <f ca="1">IF($AI244,L253,AJ250)</f>
        <v>-2.762</v>
      </c>
      <c r="AK253" s="196">
        <f ca="1">IF($AI244,M253,AK250)</f>
        <v>-1.3099999999999998</v>
      </c>
      <c r="AW253" s="128">
        <f t="shared" si="39"/>
        <v>292</v>
      </c>
      <c r="AX253" s="128">
        <f t="shared" ca="1" si="35"/>
        <v>-7.9469999999999992</v>
      </c>
      <c r="AY253" s="129">
        <f t="shared" ca="1" si="36"/>
        <v>1.4960570012328709</v>
      </c>
      <c r="BB253" s="128">
        <f t="shared" ca="1" si="37"/>
        <v>-7.9469999999999992</v>
      </c>
      <c r="BC253" s="129">
        <f t="shared" ca="1" si="38"/>
        <v>-1.4960570012328709</v>
      </c>
      <c r="BD253" s="157"/>
    </row>
    <row r="254" spans="2:56">
      <c r="B254" s="156"/>
      <c r="C254" s="128" t="s">
        <v>507</v>
      </c>
      <c r="D254" s="128">
        <f ca="1">IF(C244&gt;=3,D246,D253)</f>
        <v>-2.762</v>
      </c>
      <c r="E254" s="139">
        <f ca="1">IF(C244&gt;=3,E253-P239,E253)</f>
        <v>-6.0000000000000164E-2</v>
      </c>
      <c r="F254" s="157"/>
      <c r="G254" s="2" t="s">
        <v>507</v>
      </c>
      <c r="H254" s="128">
        <f ca="1">IF(G244&gt;=3,H246,H253)</f>
        <v>8888</v>
      </c>
      <c r="I254" s="139">
        <f ca="1">IF(G244&gt;=3,I253-P239,I253)</f>
        <v>8887.35</v>
      </c>
      <c r="K254" s="128" t="s">
        <v>507</v>
      </c>
      <c r="L254" s="128">
        <f ca="1">IF(K244&gt;=3,L246,L253)</f>
        <v>-2.762</v>
      </c>
      <c r="M254" s="139">
        <f ca="1">IF(K244&gt;=3,M253-P239,M253)</f>
        <v>-1.3099999999999998</v>
      </c>
      <c r="AA254" s="143" t="s">
        <v>507</v>
      </c>
      <c r="AB254" s="128">
        <f ca="1">IF($AA244,D254,AB250)</f>
        <v>-2.762</v>
      </c>
      <c r="AC254" s="129">
        <f ca="1">IF($AA244,E254,AC250)</f>
        <v>-6.0000000000000164E-2</v>
      </c>
      <c r="AD254" s="157"/>
      <c r="AE254" s="2" t="s">
        <v>507</v>
      </c>
      <c r="AF254" s="128">
        <f ca="1">IF($AE244,H254,AF250)</f>
        <v>8888</v>
      </c>
      <c r="AG254" s="129">
        <f ca="1">IF($AE244,I254,AG250)</f>
        <v>8887.35</v>
      </c>
      <c r="AI254" s="128" t="s">
        <v>507</v>
      </c>
      <c r="AJ254" s="128">
        <f ca="1">IF($AI244,L254,AJ250)</f>
        <v>-2.762</v>
      </c>
      <c r="AK254" s="129">
        <f ca="1">IF($AI244,M254,AK250)</f>
        <v>-1.3099999999999998</v>
      </c>
      <c r="AW254" s="128">
        <f t="shared" si="39"/>
        <v>293</v>
      </c>
      <c r="AX254" s="128">
        <f t="shared" ca="1" si="35"/>
        <v>-7.9469999999999992</v>
      </c>
      <c r="AY254" s="129">
        <f t="shared" ca="1" si="36"/>
        <v>1.4960570012328709</v>
      </c>
      <c r="BB254" s="128">
        <f t="shared" ca="1" si="37"/>
        <v>-7.9469999999999992</v>
      </c>
      <c r="BC254" s="129">
        <f t="shared" ca="1" si="38"/>
        <v>-1.4960570012328709</v>
      </c>
      <c r="BD254" s="157"/>
    </row>
    <row r="255" spans="2:56">
      <c r="B255" s="156"/>
      <c r="C255" s="128" t="s">
        <v>455</v>
      </c>
      <c r="D255" s="128">
        <f ca="1">IF(C244&gt;=3,D251,D253)</f>
        <v>-2.762</v>
      </c>
      <c r="E255" s="139">
        <f ca="1">E254</f>
        <v>-6.0000000000000164E-2</v>
      </c>
      <c r="F255" s="157"/>
      <c r="G255" s="2" t="s">
        <v>455</v>
      </c>
      <c r="H255" s="128">
        <f ca="1">IF(G244&gt;=3,H247,H253)</f>
        <v>8888</v>
      </c>
      <c r="I255" s="139">
        <f ca="1">IF(G244&gt;=3,I254,I253)</f>
        <v>8887.35</v>
      </c>
      <c r="K255" s="128" t="s">
        <v>455</v>
      </c>
      <c r="L255" s="128">
        <f ca="1">IF(K244&gt;=3,IF(X239,IF(K244=3,L246+P238/4,L246+P238),L246+P238),L249)</f>
        <v>-2.762</v>
      </c>
      <c r="M255" s="139">
        <f ca="1">IF(K244&gt;=3,M254,M253)</f>
        <v>-1.3099999999999998</v>
      </c>
      <c r="AA255" s="143" t="s">
        <v>455</v>
      </c>
      <c r="AB255" s="128">
        <f ca="1">IF($AA244,D255,AB250)</f>
        <v>-2.762</v>
      </c>
      <c r="AC255" s="129">
        <f ca="1">IF($AA244,E255,AC250)</f>
        <v>-6.0000000000000164E-2</v>
      </c>
      <c r="AD255" s="157"/>
      <c r="AE255" s="2" t="s">
        <v>455</v>
      </c>
      <c r="AF255" s="128">
        <f ca="1">IF($AE244,H255,AF250)</f>
        <v>8888</v>
      </c>
      <c r="AG255" s="129">
        <f ca="1">IF($AE244,I255,AG250)</f>
        <v>8887.35</v>
      </c>
      <c r="AI255" s="128" t="s">
        <v>455</v>
      </c>
      <c r="AJ255" s="128">
        <f ca="1">IF($AI244,L255,AJ250)</f>
        <v>-2.762</v>
      </c>
      <c r="AK255" s="129">
        <f ca="1">IF($AI244,M255,AK250)</f>
        <v>-1.3099999999999998</v>
      </c>
      <c r="AL255" s="156"/>
      <c r="AW255" s="128">
        <f t="shared" si="39"/>
        <v>325</v>
      </c>
      <c r="AX255" s="128">
        <f t="shared" ca="1" si="35"/>
        <v>-8.5619999999999994</v>
      </c>
      <c r="AY255" s="129">
        <f t="shared" ca="1" si="36"/>
        <v>1.4960570012328709</v>
      </c>
      <c r="BB255" s="128">
        <f t="shared" ca="1" si="37"/>
        <v>-8.5619999999999994</v>
      </c>
      <c r="BC255" s="129">
        <f t="shared" ca="1" si="38"/>
        <v>-1.4960570012328709</v>
      </c>
      <c r="BD255" s="157"/>
    </row>
    <row r="256" spans="2:56">
      <c r="B256" s="156"/>
      <c r="C256" s="128" t="s">
        <v>311</v>
      </c>
      <c r="D256" s="128">
        <f ca="1">IF(C244&gt;=3,D251,D253)</f>
        <v>-2.762</v>
      </c>
      <c r="E256" s="139">
        <f ca="1">IF(C244&gt;=3,E255-P237,E253)</f>
        <v>-6.0000000000000164E-2</v>
      </c>
      <c r="F256" s="157"/>
      <c r="G256" s="2" t="s">
        <v>311</v>
      </c>
      <c r="H256" s="128">
        <f ca="1">IF(G244&gt;=3,H247,H253)</f>
        <v>8888</v>
      </c>
      <c r="I256" s="139">
        <f ca="1">IF(G244&gt;=3,I255-P237,I253)</f>
        <v>8887.35</v>
      </c>
      <c r="K256" s="128" t="s">
        <v>311</v>
      </c>
      <c r="L256" s="128">
        <f ca="1">L255</f>
        <v>-2.762</v>
      </c>
      <c r="M256" s="139">
        <f ca="1">IF(K244&gt;=3,M255-P237,M253)</f>
        <v>-1.3099999999999998</v>
      </c>
      <c r="AA256" s="143" t="s">
        <v>311</v>
      </c>
      <c r="AB256" s="128">
        <f ca="1">IF($AA244,D256,AB250)</f>
        <v>-2.762</v>
      </c>
      <c r="AC256" s="129">
        <f ca="1">IF($AA244,E256,AC250)</f>
        <v>-6.0000000000000164E-2</v>
      </c>
      <c r="AD256" s="157"/>
      <c r="AE256" s="2" t="s">
        <v>311</v>
      </c>
      <c r="AF256" s="128">
        <f ca="1">IF($AE244,H256,AF250)</f>
        <v>8888</v>
      </c>
      <c r="AG256" s="129">
        <f ca="1">IF($AE244,I256,AG250)</f>
        <v>8887.35</v>
      </c>
      <c r="AI256" s="128" t="s">
        <v>311</v>
      </c>
      <c r="AJ256" s="128">
        <f ca="1">IF($AI244,L256,AJ250)</f>
        <v>-2.762</v>
      </c>
      <c r="AK256" s="129">
        <f ca="1">IF($AI244,M256,AK250)</f>
        <v>-1.3099999999999998</v>
      </c>
      <c r="AL256" s="156"/>
      <c r="AW256" s="128">
        <f t="shared" si="39"/>
        <v>326</v>
      </c>
      <c r="AX256" s="128">
        <f t="shared" ca="1" si="35"/>
        <v>-8.7469999999999999</v>
      </c>
      <c r="AY256" s="129">
        <f t="shared" ca="1" si="36"/>
        <v>1.4960570012328709</v>
      </c>
      <c r="BB256" s="128">
        <f t="shared" ca="1" si="37"/>
        <v>-8.7469999999999999</v>
      </c>
      <c r="BC256" s="129">
        <f t="shared" ca="1" si="38"/>
        <v>-1.4960570012328709</v>
      </c>
      <c r="BD256" s="157"/>
    </row>
    <row r="257" spans="2:56">
      <c r="B257" s="156"/>
      <c r="C257" s="188" t="s">
        <v>35</v>
      </c>
      <c r="D257" s="188">
        <f ca="1">IF(C244&gt;=3,D246,D253)</f>
        <v>-2.762</v>
      </c>
      <c r="E257" s="189">
        <f ca="1">E256</f>
        <v>-6.0000000000000164E-2</v>
      </c>
      <c r="F257" s="157"/>
      <c r="G257" s="2" t="s">
        <v>35</v>
      </c>
      <c r="H257" s="188">
        <f ca="1">IF(G244&gt;=3,H246,H253)</f>
        <v>8888</v>
      </c>
      <c r="I257" s="189">
        <f ca="1">IF(G244&gt;=3,I256,I253)</f>
        <v>8887.35</v>
      </c>
      <c r="K257" s="188" t="s">
        <v>35</v>
      </c>
      <c r="L257" s="188">
        <f ca="1">IF(K244&gt;=3,L246,L253)</f>
        <v>-2.762</v>
      </c>
      <c r="M257" s="189">
        <f ca="1">IF(K244&gt;=3,M256,M253)</f>
        <v>-1.3099999999999998</v>
      </c>
      <c r="AA257" s="36" t="s">
        <v>558</v>
      </c>
      <c r="AB257" s="128">
        <f ca="1">IF($AA244,D257,AB250)</f>
        <v>-2.762</v>
      </c>
      <c r="AC257" s="129">
        <f ca="1">IF($AA244,E257,AC250)</f>
        <v>-6.0000000000000164E-2</v>
      </c>
      <c r="AD257" s="157"/>
      <c r="AE257" s="2" t="s">
        <v>35</v>
      </c>
      <c r="AF257" s="188">
        <f ca="1">IF($AE244,H257,AF250)</f>
        <v>8888</v>
      </c>
      <c r="AG257" s="196">
        <f ca="1">IF($AE244,I257,AG250)</f>
        <v>8887.35</v>
      </c>
      <c r="AI257" s="128" t="s">
        <v>35</v>
      </c>
      <c r="AJ257" s="128">
        <f ca="1">IF($AI244,L257,AJ250)</f>
        <v>-2.762</v>
      </c>
      <c r="AK257" s="129">
        <f ca="1">IF($AI244,M257,AK250)</f>
        <v>-1.3099999999999998</v>
      </c>
      <c r="AL257" s="156"/>
      <c r="AW257" s="128">
        <f t="shared" si="39"/>
        <v>327</v>
      </c>
      <c r="AX257" s="128">
        <f t="shared" ca="1" si="35"/>
        <v>-8.7469999999999999</v>
      </c>
      <c r="AY257" s="129">
        <f t="shared" ca="1" si="36"/>
        <v>1.4960570012328709</v>
      </c>
      <c r="BB257" s="128">
        <f t="shared" ca="1" si="37"/>
        <v>-8.7469999999999999</v>
      </c>
      <c r="BC257" s="129">
        <f t="shared" ca="1" si="38"/>
        <v>-1.4960570012328709</v>
      </c>
      <c r="BD257" s="157"/>
    </row>
    <row r="258" spans="2:56" ht="15" thickBot="1">
      <c r="B258" s="156"/>
      <c r="C258" s="130" t="s">
        <v>396</v>
      </c>
      <c r="D258" s="130">
        <f ca="1">D246</f>
        <v>-2.762</v>
      </c>
      <c r="E258" s="140">
        <f ca="1">E246</f>
        <v>1.3099999999999998</v>
      </c>
      <c r="F258" s="157"/>
      <c r="G258" s="192" t="s">
        <v>312</v>
      </c>
      <c r="H258" s="128">
        <f ca="1">IF(G244&gt;=4,H246,H257)</f>
        <v>8888</v>
      </c>
      <c r="I258" s="139">
        <f ca="1">IF(G244&gt;=4,I257-P239,I257)</f>
        <v>8887.35</v>
      </c>
      <c r="K258" s="130" t="s">
        <v>396</v>
      </c>
      <c r="L258" s="130">
        <f ca="1">L246</f>
        <v>-2.762</v>
      </c>
      <c r="M258" s="140">
        <f ca="1">M246</f>
        <v>-0.65999999999999981</v>
      </c>
      <c r="AA258" s="144" t="s">
        <v>396</v>
      </c>
      <c r="AB258" s="130">
        <f ca="1">IF($AA244,D258,AB250)</f>
        <v>-2.762</v>
      </c>
      <c r="AC258" s="132">
        <f ca="1">IF($AA244,E258,AC250)</f>
        <v>1.3099999999999998</v>
      </c>
      <c r="AD258" s="157"/>
      <c r="AE258" s="192" t="s">
        <v>312</v>
      </c>
      <c r="AF258" s="128">
        <f ca="1">IF($AE244,H258,AF250)</f>
        <v>8888</v>
      </c>
      <c r="AG258" s="129">
        <f ca="1">IF($AE244,I258,AG250)</f>
        <v>8887.35</v>
      </c>
      <c r="AI258" s="130" t="s">
        <v>396</v>
      </c>
      <c r="AJ258" s="130">
        <f ca="1">IF($AI244,L258,AJ250)</f>
        <v>-2.762</v>
      </c>
      <c r="AK258" s="132">
        <f ca="1">IF($AI244,M258,AK250)</f>
        <v>-0.65999999999999981</v>
      </c>
      <c r="AW258" s="128">
        <f t="shared" si="39"/>
        <v>328</v>
      </c>
      <c r="AX258" s="128">
        <f t="shared" ca="1" si="35"/>
        <v>-8.7469999999999999</v>
      </c>
      <c r="AY258" s="129">
        <f t="shared" ca="1" si="36"/>
        <v>1.4960570012328709</v>
      </c>
      <c r="BB258" s="128">
        <f t="shared" ca="1" si="37"/>
        <v>-8.7469999999999999</v>
      </c>
      <c r="BC258" s="129">
        <f t="shared" ca="1" si="38"/>
        <v>-1.4960570012328709</v>
      </c>
      <c r="BD258" s="157"/>
    </row>
    <row r="259" spans="2:56">
      <c r="B259" s="156"/>
      <c r="F259" s="157"/>
      <c r="G259" s="2" t="s">
        <v>313</v>
      </c>
      <c r="H259" s="128">
        <f ca="1">IF(G244&gt;=4,H247,H257)</f>
        <v>8888</v>
      </c>
      <c r="I259" s="139">
        <f ca="1">IF(G244&gt;=4,I258,I257)</f>
        <v>8887.35</v>
      </c>
      <c r="AD259" s="157"/>
      <c r="AE259" s="2" t="s">
        <v>313</v>
      </c>
      <c r="AF259" s="128">
        <f ca="1">IF($AE244,H259,AF250)</f>
        <v>8888</v>
      </c>
      <c r="AG259" s="129">
        <f ca="1">IF($AE244,I259,AG250)</f>
        <v>8887.35</v>
      </c>
      <c r="AW259" s="128">
        <f t="shared" si="39"/>
        <v>329</v>
      </c>
      <c r="AX259" s="128">
        <f t="shared" ca="1" si="35"/>
        <v>-8.7469999999999999</v>
      </c>
      <c r="AY259" s="129">
        <f t="shared" ca="1" si="36"/>
        <v>1.4960570012328709</v>
      </c>
      <c r="BB259" s="128">
        <f t="shared" ca="1" si="37"/>
        <v>-8.7469999999999999</v>
      </c>
      <c r="BC259" s="129">
        <f t="shared" ca="1" si="38"/>
        <v>-1.4960570012328709</v>
      </c>
      <c r="BD259" s="157"/>
    </row>
    <row r="260" spans="2:56">
      <c r="B260" s="156"/>
      <c r="F260" s="157"/>
      <c r="G260" s="2" t="s">
        <v>7</v>
      </c>
      <c r="H260" s="128">
        <f ca="1">IF(G244&gt;=4,H247,H257)</f>
        <v>8888</v>
      </c>
      <c r="I260" s="139">
        <f ca="1">IF(G244&gt;=4,I259-P237,I257)</f>
        <v>8887.35</v>
      </c>
      <c r="AD260" s="157"/>
      <c r="AE260" s="2" t="s">
        <v>7</v>
      </c>
      <c r="AF260" s="128">
        <f ca="1">IF($AE244,H260,AF250)</f>
        <v>8888</v>
      </c>
      <c r="AG260" s="129">
        <f ca="1">IF($AE244,I260,AG250)</f>
        <v>8887.35</v>
      </c>
      <c r="AW260" s="128">
        <f t="shared" si="39"/>
        <v>361</v>
      </c>
      <c r="AX260" s="128">
        <f t="shared" ca="1" si="35"/>
        <v>-9.3620000000000001</v>
      </c>
      <c r="AY260" s="129">
        <f t="shared" ca="1" si="36"/>
        <v>1.4960570012328709</v>
      </c>
      <c r="BB260" s="128">
        <f t="shared" ca="1" si="37"/>
        <v>-9.3620000000000001</v>
      </c>
      <c r="BC260" s="129">
        <f t="shared" ca="1" si="38"/>
        <v>-1.4960570012328709</v>
      </c>
      <c r="BD260" s="157"/>
    </row>
    <row r="261" spans="2:56">
      <c r="B261" s="156"/>
      <c r="F261" s="157"/>
      <c r="G261" s="115" t="s">
        <v>8</v>
      </c>
      <c r="H261" s="188">
        <f ca="1">IF(G244&gt;=4,H246,H257)</f>
        <v>8888</v>
      </c>
      <c r="I261" s="189">
        <f ca="1">IF(G244&gt;=4,I260,I257)</f>
        <v>8887.35</v>
      </c>
      <c r="AD261" s="157"/>
      <c r="AE261" s="115" t="s">
        <v>8</v>
      </c>
      <c r="AF261" s="188">
        <f ca="1">IF($AE244,H261,AF250)</f>
        <v>8888</v>
      </c>
      <c r="AG261" s="196">
        <f ca="1">IF($AE244,I261,AG250)</f>
        <v>8887.35</v>
      </c>
      <c r="AW261" s="128">
        <f t="shared" si="39"/>
        <v>362</v>
      </c>
      <c r="AX261" s="128">
        <f t="shared" ca="1" si="35"/>
        <v>-9.5470000000000006</v>
      </c>
      <c r="AY261" s="129">
        <f t="shared" ca="1" si="36"/>
        <v>1.4960570012328709</v>
      </c>
      <c r="BB261" s="128">
        <f t="shared" ca="1" si="37"/>
        <v>-9.5470000000000006</v>
      </c>
      <c r="BC261" s="129">
        <f t="shared" ca="1" si="38"/>
        <v>-1.4960570012328709</v>
      </c>
      <c r="BD261" s="157"/>
    </row>
    <row r="262" spans="2:56">
      <c r="B262" s="156"/>
      <c r="F262" s="157"/>
      <c r="G262" s="2" t="s">
        <v>9</v>
      </c>
      <c r="H262" s="128">
        <f ca="1">IF(G244&gt;=5,H246,H261)</f>
        <v>8888</v>
      </c>
      <c r="I262" s="139">
        <f ca="1">IF(G244&gt;=5,I261-P239,I261)</f>
        <v>8887.35</v>
      </c>
      <c r="AD262" s="157"/>
      <c r="AE262" s="2" t="s">
        <v>9</v>
      </c>
      <c r="AF262" s="128">
        <f ca="1">IF($AE244,H262,AF250)</f>
        <v>8888</v>
      </c>
      <c r="AG262" s="129">
        <f ca="1">IF($AE244,I262,AG250)</f>
        <v>8887.35</v>
      </c>
      <c r="AW262" s="128">
        <f t="shared" si="39"/>
        <v>363</v>
      </c>
      <c r="AX262" s="128">
        <f t="shared" ca="1" si="35"/>
        <v>-9.5470000000000006</v>
      </c>
      <c r="AY262" s="129">
        <f t="shared" ca="1" si="36"/>
        <v>1.4960570012328709</v>
      </c>
      <c r="BB262" s="128">
        <f t="shared" ca="1" si="37"/>
        <v>-9.5470000000000006</v>
      </c>
      <c r="BC262" s="129">
        <f t="shared" ca="1" si="38"/>
        <v>-1.4960570012328709</v>
      </c>
      <c r="BD262" s="157"/>
    </row>
    <row r="263" spans="2:56">
      <c r="B263" s="156"/>
      <c r="F263" s="157"/>
      <c r="G263" s="2" t="s">
        <v>196</v>
      </c>
      <c r="H263" s="128">
        <f ca="1">IF(G244&gt;=5,H247,H261)</f>
        <v>8888</v>
      </c>
      <c r="I263" s="139">
        <f ca="1">IF(G244&gt;=5,I262,I261)</f>
        <v>8887.35</v>
      </c>
      <c r="AD263" s="157"/>
      <c r="AE263" s="2" t="s">
        <v>196</v>
      </c>
      <c r="AF263" s="128">
        <f ca="1">IF($AE244,H263,AF250)</f>
        <v>8888</v>
      </c>
      <c r="AG263" s="129">
        <f ca="1">IF($AE244,I263,AG250)</f>
        <v>8887.35</v>
      </c>
      <c r="AW263" s="128">
        <f t="shared" si="39"/>
        <v>364</v>
      </c>
      <c r="AX263" s="128">
        <f t="shared" ca="1" si="35"/>
        <v>-9.5470000000000006</v>
      </c>
      <c r="AY263" s="129">
        <f t="shared" ca="1" si="36"/>
        <v>1.4960570012328709</v>
      </c>
      <c r="BB263" s="128">
        <f t="shared" ca="1" si="37"/>
        <v>-9.5470000000000006</v>
      </c>
      <c r="BC263" s="129">
        <f t="shared" ca="1" si="38"/>
        <v>-1.4960570012328709</v>
      </c>
      <c r="BD263" s="157"/>
    </row>
    <row r="264" spans="2:56">
      <c r="B264" s="156"/>
      <c r="F264" s="157"/>
      <c r="G264" s="2" t="s">
        <v>10</v>
      </c>
      <c r="H264" s="128">
        <f ca="1">IF(G244&gt;=5,H247,H261)</f>
        <v>8888</v>
      </c>
      <c r="I264" s="139">
        <f ca="1">IF(G244&gt;=5,I263-P237,I261)</f>
        <v>8887.35</v>
      </c>
      <c r="AD264" s="157"/>
      <c r="AE264" s="2" t="s">
        <v>10</v>
      </c>
      <c r="AF264" s="128">
        <f ca="1">IF($AE244,H264,AF250)</f>
        <v>8888</v>
      </c>
      <c r="AG264" s="129">
        <f ca="1">IF($AE244,I264,AG250)</f>
        <v>8887.35</v>
      </c>
      <c r="AW264" s="128">
        <f t="shared" si="39"/>
        <v>365</v>
      </c>
      <c r="AX264" s="128">
        <f t="shared" ca="1" si="35"/>
        <v>-9.5470000000000006</v>
      </c>
      <c r="AY264" s="129">
        <f t="shared" ca="1" si="36"/>
        <v>1.4960570012328709</v>
      </c>
      <c r="BB264" s="128">
        <f t="shared" ca="1" si="37"/>
        <v>-9.5470000000000006</v>
      </c>
      <c r="BC264" s="129">
        <f t="shared" ca="1" si="38"/>
        <v>-1.4960570012328709</v>
      </c>
      <c r="BD264" s="157"/>
    </row>
    <row r="265" spans="2:56">
      <c r="B265" s="156"/>
      <c r="F265" s="157"/>
      <c r="G265" s="2" t="s">
        <v>161</v>
      </c>
      <c r="H265" s="188">
        <f ca="1">IF(G244&gt;=5,H246,H261)</f>
        <v>8888</v>
      </c>
      <c r="I265" s="189">
        <f ca="1">IF(G244&gt;=5,I264,I261)</f>
        <v>8887.35</v>
      </c>
      <c r="AD265" s="157"/>
      <c r="AE265" s="2" t="s">
        <v>161</v>
      </c>
      <c r="AF265" s="188">
        <f ca="1">IF($AE244,H265,AF250)</f>
        <v>8888</v>
      </c>
      <c r="AG265" s="196">
        <f ca="1">IF($AE244,I265,AG250)</f>
        <v>8887.35</v>
      </c>
      <c r="AW265" s="128">
        <f t="shared" si="39"/>
        <v>397</v>
      </c>
      <c r="AX265" s="128">
        <f t="shared" ca="1" si="35"/>
        <v>-10.162000000000001</v>
      </c>
      <c r="AY265" s="129">
        <f t="shared" ca="1" si="36"/>
        <v>1.4960570012328709</v>
      </c>
      <c r="BB265" s="128">
        <f t="shared" ca="1" si="37"/>
        <v>-10.162000000000001</v>
      </c>
      <c r="BC265" s="129">
        <f t="shared" ca="1" si="38"/>
        <v>-1.4960570012328709</v>
      </c>
      <c r="BD265" s="157"/>
    </row>
    <row r="266" spans="2:56">
      <c r="B266" s="156"/>
      <c r="F266" s="157"/>
      <c r="G266" s="192" t="s">
        <v>11</v>
      </c>
      <c r="H266" s="128">
        <f ca="1">IF(G244&gt;=6,H246,H265)</f>
        <v>8888</v>
      </c>
      <c r="I266" s="139">
        <f ca="1">IF(G244&gt;=6,I265-P239,I265)</f>
        <v>8887.35</v>
      </c>
      <c r="AD266" s="157"/>
      <c r="AE266" s="192" t="s">
        <v>11</v>
      </c>
      <c r="AF266" s="128">
        <f ca="1">IF($AE244,H266,AF250)</f>
        <v>8888</v>
      </c>
      <c r="AG266" s="129">
        <f ca="1">IF($AE244,I266,AG250)</f>
        <v>8887.35</v>
      </c>
      <c r="AW266" s="128">
        <f t="shared" si="39"/>
        <v>398</v>
      </c>
      <c r="AX266" s="128">
        <f t="shared" ca="1" si="35"/>
        <v>-10.347000000000001</v>
      </c>
      <c r="AY266" s="129">
        <f t="shared" ca="1" si="36"/>
        <v>1.4960570012328709</v>
      </c>
      <c r="BB266" s="128">
        <f t="shared" ca="1" si="37"/>
        <v>-10.347000000000001</v>
      </c>
      <c r="BC266" s="129">
        <f t="shared" ca="1" si="38"/>
        <v>-1.4960570012328709</v>
      </c>
      <c r="BD266" s="157"/>
    </row>
    <row r="267" spans="2:56">
      <c r="B267" s="156"/>
      <c r="F267" s="157"/>
      <c r="G267" s="2" t="s">
        <v>12</v>
      </c>
      <c r="H267" s="128">
        <f ca="1">IF(G244&gt;=6,H247,H265)</f>
        <v>8888</v>
      </c>
      <c r="I267" s="139">
        <f ca="1">IF(G244&gt;=6,I266,I265)</f>
        <v>8887.35</v>
      </c>
      <c r="AD267" s="157"/>
      <c r="AE267" s="2" t="s">
        <v>12</v>
      </c>
      <c r="AF267" s="128">
        <f ca="1">IF($AE244,H267,AF250)</f>
        <v>8888</v>
      </c>
      <c r="AG267" s="129">
        <f ca="1">IF($AE244,I267,AG250)</f>
        <v>8887.35</v>
      </c>
      <c r="AW267" s="128">
        <f t="shared" si="39"/>
        <v>399</v>
      </c>
      <c r="AX267" s="128">
        <f t="shared" ca="1" si="35"/>
        <v>-10.347000000000001</v>
      </c>
      <c r="AY267" s="129">
        <f t="shared" ca="1" si="36"/>
        <v>1.4960570012328709</v>
      </c>
      <c r="BB267" s="128">
        <f t="shared" ca="1" si="37"/>
        <v>-10.347000000000001</v>
      </c>
      <c r="BC267" s="129">
        <f t="shared" ca="1" si="38"/>
        <v>-1.4960570012328709</v>
      </c>
      <c r="BD267" s="157"/>
    </row>
    <row r="268" spans="2:56">
      <c r="B268" s="156"/>
      <c r="F268" s="157"/>
      <c r="G268" s="2" t="s">
        <v>13</v>
      </c>
      <c r="H268" s="128">
        <f ca="1">IF(G244&gt;=6,H247,H265)</f>
        <v>8888</v>
      </c>
      <c r="I268" s="139">
        <f ca="1">IF(G244&gt;=6,I267-P237,I265)</f>
        <v>8887.35</v>
      </c>
      <c r="AD268" s="157"/>
      <c r="AE268" s="2" t="s">
        <v>13</v>
      </c>
      <c r="AF268" s="128">
        <f ca="1">IF($AE244,H268,AF250)</f>
        <v>8888</v>
      </c>
      <c r="AG268" s="129">
        <f ca="1">IF($AE244,I268,AG250)</f>
        <v>8887.35</v>
      </c>
      <c r="AW268" s="128">
        <f t="shared" si="39"/>
        <v>400</v>
      </c>
      <c r="AX268" s="128">
        <f t="shared" ca="1" si="35"/>
        <v>-10.347000000000001</v>
      </c>
      <c r="AY268" s="129">
        <f t="shared" ca="1" si="36"/>
        <v>1.4960570012328709</v>
      </c>
      <c r="BB268" s="128">
        <f t="shared" ca="1" si="37"/>
        <v>-10.347000000000001</v>
      </c>
      <c r="BC268" s="129">
        <f t="shared" ca="1" si="38"/>
        <v>-1.4960570012328709</v>
      </c>
      <c r="BD268" s="157"/>
    </row>
    <row r="269" spans="2:56">
      <c r="B269" s="156"/>
      <c r="F269" s="157"/>
      <c r="G269" s="115" t="s">
        <v>14</v>
      </c>
      <c r="H269" s="188">
        <f ca="1">IF(G244&gt;=6,H246,H265)</f>
        <v>8888</v>
      </c>
      <c r="I269" s="189">
        <f ca="1">IF(G244&gt;=6,I268,I265)</f>
        <v>8887.35</v>
      </c>
      <c r="AD269" s="157"/>
      <c r="AE269" s="115" t="s">
        <v>14</v>
      </c>
      <c r="AF269" s="188">
        <f ca="1">IF($AE244,H269,AF250)</f>
        <v>8888</v>
      </c>
      <c r="AG269" s="196">
        <f ca="1">IF($AE244,I269,AG250)</f>
        <v>8887.35</v>
      </c>
      <c r="AW269" s="128">
        <f t="shared" si="39"/>
        <v>401</v>
      </c>
      <c r="AX269" s="128">
        <f t="shared" ca="1" si="35"/>
        <v>-10.347000000000001</v>
      </c>
      <c r="AY269" s="129">
        <f t="shared" ca="1" si="36"/>
        <v>1.4960570012328709</v>
      </c>
      <c r="BB269" s="128">
        <f t="shared" ca="1" si="37"/>
        <v>-10.347000000000001</v>
      </c>
      <c r="BC269" s="129">
        <f t="shared" ca="1" si="38"/>
        <v>-1.4960570012328709</v>
      </c>
      <c r="BD269" s="157"/>
    </row>
    <row r="270" spans="2:56" ht="15" thickBot="1">
      <c r="B270" s="156"/>
      <c r="G270" s="130" t="s">
        <v>396</v>
      </c>
      <c r="H270" s="130">
        <f ca="1">H246</f>
        <v>8888</v>
      </c>
      <c r="I270" s="140">
        <f ca="1">I246</f>
        <v>8888</v>
      </c>
      <c r="AE270" s="130" t="s">
        <v>396</v>
      </c>
      <c r="AF270" s="130">
        <f ca="1">IF($AE244,H270,AF250)</f>
        <v>8888</v>
      </c>
      <c r="AG270" s="132">
        <f ca="1">IF($AE244,I270,AG250)</f>
        <v>8888</v>
      </c>
      <c r="AW270" s="128">
        <f t="shared" si="39"/>
        <v>433</v>
      </c>
      <c r="AX270" s="128">
        <f t="shared" ca="1" si="35"/>
        <v>-10.962000000000002</v>
      </c>
      <c r="AY270" s="129">
        <f t="shared" ca="1" si="36"/>
        <v>1.4960570012328709</v>
      </c>
      <c r="BB270" s="128">
        <f t="shared" ca="1" si="37"/>
        <v>-10.962000000000002</v>
      </c>
      <c r="BC270" s="129">
        <f t="shared" ca="1" si="38"/>
        <v>-1.4960570012328709</v>
      </c>
      <c r="BD270" s="157"/>
    </row>
    <row r="271" spans="2:56">
      <c r="B271" s="156"/>
      <c r="AW271" s="128">
        <f t="shared" si="39"/>
        <v>434</v>
      </c>
      <c r="AX271" s="128">
        <f t="shared" ca="1" si="35"/>
        <v>-10.962000000000002</v>
      </c>
      <c r="AY271" s="129">
        <f t="shared" ca="1" si="36"/>
        <v>1.4960570012328709</v>
      </c>
      <c r="BB271" s="128">
        <f t="shared" ca="1" si="37"/>
        <v>-10.962000000000002</v>
      </c>
      <c r="BC271" s="129">
        <f t="shared" ca="1" si="38"/>
        <v>-1.4960570012328709</v>
      </c>
      <c r="BD271" s="157"/>
    </row>
    <row r="272" spans="2:56">
      <c r="B272" s="156"/>
      <c r="AW272" s="128">
        <f t="shared" si="39"/>
        <v>435</v>
      </c>
      <c r="AX272" s="128">
        <f t="shared" ca="1" si="35"/>
        <v>-10.962000000000002</v>
      </c>
      <c r="AY272" s="129">
        <f t="shared" ca="1" si="36"/>
        <v>1.6053795662883501</v>
      </c>
      <c r="BB272" s="128">
        <f t="shared" ca="1" si="37"/>
        <v>-10.962000000000002</v>
      </c>
      <c r="BC272" s="129">
        <f t="shared" ca="1" si="38"/>
        <v>-1.6053795662883501</v>
      </c>
      <c r="BD272" s="157"/>
    </row>
    <row r="273" spans="2:56">
      <c r="B273" s="156"/>
      <c r="C273" s="200" t="s">
        <v>336</v>
      </c>
      <c r="D273">
        <f>D237+1</f>
        <v>3</v>
      </c>
      <c r="G273" s="200" t="s">
        <v>638</v>
      </c>
      <c r="H273">
        <f ca="1">LOOKUP(D276,$C$191:$C$196,$D$191:$D$196)</f>
        <v>0</v>
      </c>
      <c r="K273" s="200" t="s">
        <v>644</v>
      </c>
      <c r="L273">
        <f ca="1">L237-H278</f>
        <v>-3.762</v>
      </c>
      <c r="O273" s="200" t="s">
        <v>404</v>
      </c>
      <c r="P273">
        <f ca="1">IF(D275=1,SEAT_w_cushion_FC,IF(D275=2,SEAT_w_cushion_BC,IF(D275=3,SEAT_w_cushion_YC,0)))</f>
        <v>0.65</v>
      </c>
      <c r="S273" s="200" t="s">
        <v>647</v>
      </c>
      <c r="T273">
        <f ca="1">LOOKUP(D276,$C$191:$C$196,$E$191:$E$196)</f>
        <v>0</v>
      </c>
      <c r="W273" t="s">
        <v>130</v>
      </c>
      <c r="X273" t="str">
        <f ca="1">OFFSET(Fuselage!$B$275,D273,5)</f>
        <v>None</v>
      </c>
      <c r="AN273" s="200" t="s">
        <v>135</v>
      </c>
      <c r="AO273">
        <f ca="1">MAX(0,H278-MAX(T273,T275,T277,P274)-X274)</f>
        <v>0.54</v>
      </c>
      <c r="AW273" s="128">
        <f t="shared" si="39"/>
        <v>436</v>
      </c>
      <c r="AX273" s="128">
        <f t="shared" ca="1" si="35"/>
        <v>-11.470000000000002</v>
      </c>
      <c r="AY273" s="129">
        <f t="shared" ca="1" si="36"/>
        <v>1.6053795662883501</v>
      </c>
      <c r="BB273" s="128">
        <f t="shared" ca="1" si="37"/>
        <v>-11.470000000000002</v>
      </c>
      <c r="BC273" s="129">
        <f t="shared" ca="1" si="38"/>
        <v>-1.6053795662883501</v>
      </c>
      <c r="BD273" s="157"/>
    </row>
    <row r="274" spans="2:56">
      <c r="B274" s="156"/>
      <c r="C274" s="200" t="s">
        <v>200</v>
      </c>
      <c r="D274">
        <f ca="1">OFFSET(Fuselage!$B$275,D273,0)</f>
        <v>2</v>
      </c>
      <c r="G274" s="200" t="s">
        <v>639</v>
      </c>
      <c r="H274">
        <f ca="1">LOOKUP(D277,$C$191:$C$196,$D$191:$D$196)</f>
        <v>0</v>
      </c>
      <c r="O274" s="200" t="s">
        <v>535</v>
      </c>
      <c r="P274">
        <f ca="1">IF(D275=1,SEAT_length_FC,IF(D275=2,SEAT_length_BC,IF(D275=3,SEAT_length_YC,0)))</f>
        <v>0.46</v>
      </c>
      <c r="S274" s="200" t="s">
        <v>648</v>
      </c>
      <c r="T274">
        <f ca="1">LOOKUP(D276,$C$191:$C$196,$F$191:$F$196)</f>
        <v>0</v>
      </c>
      <c r="W274" t="s">
        <v>131</v>
      </c>
      <c r="X274">
        <f ca="1">LOOKUP(X273,$I$191:$I$198,$J$191:$J$198)</f>
        <v>0</v>
      </c>
      <c r="AW274" s="128">
        <f t="shared" si="39"/>
        <v>437</v>
      </c>
      <c r="AX274" s="128">
        <f t="shared" ref="AX274:AX337" ca="1" si="42">OFFSET(AN$209,$AW274,0)</f>
        <v>-11.470000000000002</v>
      </c>
      <c r="AY274" s="129">
        <f t="shared" ref="AY274:AY337" ca="1" si="43">OFFSET(AO$209,$AW274,0)</f>
        <v>1.4960570012328709</v>
      </c>
      <c r="BB274" s="128">
        <f t="shared" ref="BB274:BB337" ca="1" si="44">AX274</f>
        <v>-11.470000000000002</v>
      </c>
      <c r="BC274" s="129">
        <f t="shared" ref="BC274:BC337" ca="1" si="45">-AY274</f>
        <v>-1.4960570012328709</v>
      </c>
      <c r="BD274" s="157"/>
    </row>
    <row r="275" spans="2:56">
      <c r="B275" s="156"/>
      <c r="C275" s="200" t="s">
        <v>337</v>
      </c>
      <c r="D275">
        <f ca="1">OFFSET(Fuselage!$B$275,D273,4)</f>
        <v>1</v>
      </c>
      <c r="G275" s="200" t="s">
        <v>309</v>
      </c>
      <c r="H275">
        <f ca="1">LOOKUP(D278,$C$191:$C$196,$D$191:$D$196)</f>
        <v>0</v>
      </c>
      <c r="K275" s="200" t="s">
        <v>645</v>
      </c>
      <c r="L275">
        <f ca="1">IF(D275=1,FUSELAGE_nseats_left_FC,IF(D275=2,FUSELAGE_nseats_left_BC,IF(D275=3,FUSELAGE_nseats_left_YC,0)))</f>
        <v>1</v>
      </c>
      <c r="O275" s="200" t="s">
        <v>405</v>
      </c>
      <c r="P275">
        <f ca="1">IF(D275=1,SEAT_w_armrest_FC,IF(D275=2,SEAT_w_armrest_BC,IF(D275=3,SEAT_w_armrest_YC,0)))</f>
        <v>7.0000000000000007E-2</v>
      </c>
      <c r="S275" s="200" t="s">
        <v>652</v>
      </c>
      <c r="T275">
        <f ca="1">LOOKUP(D277,$C$191:$C$196,$E$191:$E$196)</f>
        <v>0</v>
      </c>
      <c r="W275" s="200" t="s">
        <v>393</v>
      </c>
      <c r="X275" t="b">
        <f ca="1">IF(OFFSET(Fuselage!$B$275,D273,6)="YES",TRUE(),FALSE())</f>
        <v>0</v>
      </c>
      <c r="AW275" s="128">
        <f t="shared" si="39"/>
        <v>469</v>
      </c>
      <c r="AX275" s="128">
        <f t="shared" ca="1" si="42"/>
        <v>-11.762000000000002</v>
      </c>
      <c r="AY275" s="129">
        <f t="shared" ca="1" si="43"/>
        <v>1.4960570012328709</v>
      </c>
      <c r="BB275" s="128">
        <f t="shared" ca="1" si="44"/>
        <v>-11.762000000000002</v>
      </c>
      <c r="BC275" s="129">
        <f t="shared" ca="1" si="45"/>
        <v>-1.4960570012328709</v>
      </c>
      <c r="BD275" s="157"/>
    </row>
    <row r="276" spans="2:56">
      <c r="B276" s="156"/>
      <c r="C276" s="200" t="s">
        <v>640</v>
      </c>
      <c r="D276" t="str">
        <f ca="1">OFFSET(Fuselage!$B$275,D273,1)</f>
        <v>None</v>
      </c>
      <c r="G276" s="200" t="s">
        <v>132</v>
      </c>
      <c r="H276">
        <f ca="1">IF(D275=1,SEAT_pitch_FC,IF(D275=2,SEAT_pitch_BC,IF(D275=3,SEAT_pitch_YC,0)))</f>
        <v>1</v>
      </c>
      <c r="K276" s="200" t="s">
        <v>646</v>
      </c>
      <c r="L276">
        <f ca="1">IF(D275=1,FUSELAGE_nseats_middle_FC,IF(D275=2,FUSELAGE_nseats_middle_BC,IF(D275=3,FUSELAGE_nseats_middle_YC,0)))</f>
        <v>0</v>
      </c>
      <c r="S276" s="200" t="s">
        <v>653</v>
      </c>
      <c r="T276">
        <f ca="1">LOOKUP(D277,$C$191:$C$196,$F$191:$F$196)</f>
        <v>0</v>
      </c>
      <c r="AW276" s="128">
        <f t="shared" si="39"/>
        <v>470</v>
      </c>
      <c r="AX276" s="128">
        <f t="shared" ca="1" si="42"/>
        <v>-11.947000000000003</v>
      </c>
      <c r="AY276" s="129">
        <f t="shared" ca="1" si="43"/>
        <v>1.4960570012328709</v>
      </c>
      <c r="BB276" s="128">
        <f t="shared" ca="1" si="44"/>
        <v>-11.947000000000003</v>
      </c>
      <c r="BC276" s="129">
        <f t="shared" ca="1" si="45"/>
        <v>-1.4960570012328709</v>
      </c>
      <c r="BD276" s="157"/>
    </row>
    <row r="277" spans="2:56">
      <c r="B277" s="156"/>
      <c r="C277" s="200" t="s">
        <v>642</v>
      </c>
      <c r="D277" t="str">
        <f ca="1">OFFSET(Fuselage!$B$275,D273,2)</f>
        <v>None</v>
      </c>
      <c r="G277" s="200" t="s">
        <v>129</v>
      </c>
      <c r="H277">
        <f ca="1">IF(OR(X273="Type A",X273="Type B"),MAX(H273:H276)+42*0.0254,IF(X273="Type C",MAX(H273:H276)+X274,IF(X273&lt;&gt;"None",24*0.0254,0)))</f>
        <v>0</v>
      </c>
      <c r="K277" s="200" t="s">
        <v>655</v>
      </c>
      <c r="L277">
        <f ca="1">IF(D275=1,FUSELAGE_nseats_right_FC,IF(D275=2,FUSELAGE_nseats_right_BC,IF(D275=3,FUSELAGE_nseats_right_YC,0)))</f>
        <v>2</v>
      </c>
      <c r="O277" s="200" t="s">
        <v>407</v>
      </c>
      <c r="P277">
        <f ca="1">($C$13-(L275+L276+L277)*(P273+P275)+(FUSELAGE_n_aisles-1)*P275)/FUSELAGE_n_aisles</f>
        <v>0.59999999999999964</v>
      </c>
      <c r="S277" s="200" t="s">
        <v>651</v>
      </c>
      <c r="T277">
        <f ca="1">LOOKUP(D278,$C$191:$C$196,$E$191:$E$196)</f>
        <v>0</v>
      </c>
      <c r="AW277" s="128">
        <f t="shared" si="39"/>
        <v>471</v>
      </c>
      <c r="AX277" s="128">
        <f t="shared" ca="1" si="42"/>
        <v>-11.947000000000003</v>
      </c>
      <c r="AY277" s="129">
        <f t="shared" ca="1" si="43"/>
        <v>1.4960570012328709</v>
      </c>
      <c r="BB277" s="128">
        <f t="shared" ca="1" si="44"/>
        <v>-11.947000000000003</v>
      </c>
      <c r="BC277" s="129">
        <f t="shared" ca="1" si="45"/>
        <v>-1.4960570012328709</v>
      </c>
      <c r="BD277" s="157"/>
    </row>
    <row r="278" spans="2:56">
      <c r="B278" s="156"/>
      <c r="C278" s="200" t="s">
        <v>641</v>
      </c>
      <c r="D278" t="str">
        <f ca="1">OFFSET(Fuselage!$B$275,D273,3)</f>
        <v>None</v>
      </c>
      <c r="G278" s="200" t="s">
        <v>643</v>
      </c>
      <c r="H278">
        <f ca="1">MAX(H273:H277)</f>
        <v>1</v>
      </c>
      <c r="S278" s="200" t="s">
        <v>654</v>
      </c>
      <c r="T278">
        <f ca="1">LOOKUP(D278,$C$191:$C$196,$F$191:$F$196)</f>
        <v>0</v>
      </c>
      <c r="AW278" s="128">
        <f t="shared" si="39"/>
        <v>472</v>
      </c>
      <c r="AX278" s="128">
        <f t="shared" ca="1" si="42"/>
        <v>-11.947000000000003</v>
      </c>
      <c r="AY278" s="129">
        <f t="shared" ca="1" si="43"/>
        <v>1.4960570012328709</v>
      </c>
      <c r="BB278" s="128">
        <f t="shared" ca="1" si="44"/>
        <v>-11.947000000000003</v>
      </c>
      <c r="BC278" s="129">
        <f t="shared" ca="1" si="45"/>
        <v>-1.4960570012328709</v>
      </c>
      <c r="BD278" s="157"/>
    </row>
    <row r="279" spans="2:56" ht="15" thickBot="1">
      <c r="B279" s="156"/>
      <c r="AW279" s="128">
        <f t="shared" si="39"/>
        <v>473</v>
      </c>
      <c r="AX279" s="128">
        <f t="shared" ca="1" si="42"/>
        <v>-11.947000000000003</v>
      </c>
      <c r="AY279" s="129">
        <f t="shared" ca="1" si="43"/>
        <v>1.4960570012328709</v>
      </c>
      <c r="BB279" s="128">
        <f t="shared" ca="1" si="44"/>
        <v>-11.947000000000003</v>
      </c>
      <c r="BC279" s="129">
        <f t="shared" ca="1" si="45"/>
        <v>-1.4960570012328709</v>
      </c>
      <c r="BD279" s="157"/>
    </row>
    <row r="280" spans="2:56" ht="15" thickBot="1">
      <c r="B280" s="156"/>
      <c r="C280" s="141">
        <f ca="1">L277</f>
        <v>2</v>
      </c>
      <c r="D280" s="197" t="str">
        <f ca="1">IF($D275=1,"FC",IF($D275=2,"BC",IF($D275=3,"YC","Nothing")))</f>
        <v>FC</v>
      </c>
      <c r="E280" s="198"/>
      <c r="G280" s="141">
        <f ca="1">L276</f>
        <v>0</v>
      </c>
      <c r="H280" s="197" t="str">
        <f ca="1">IF($D275=1,"FC",IF($D275=2,"BC",IF($D275=3,"YC","Nothing")))</f>
        <v>FC</v>
      </c>
      <c r="I280" s="198"/>
      <c r="K280" s="141">
        <f ca="1" xml:space="preserve"> L275</f>
        <v>1</v>
      </c>
      <c r="L280" s="197" t="str">
        <f ca="1">IF($D275=1,"FC",IF($D275=2,"BC",IF($D275=3,"YC","Nothing")))</f>
        <v>FC</v>
      </c>
      <c r="M280" s="198"/>
      <c r="O280" s="141">
        <f ca="1">IF($D278&lt;&gt;"None",1,0)</f>
        <v>0</v>
      </c>
      <c r="P280" s="326" t="s">
        <v>380</v>
      </c>
      <c r="Q280" s="327"/>
      <c r="S280" s="141">
        <f ca="1">IF($D277&lt;&gt;"None",1,0)</f>
        <v>0</v>
      </c>
      <c r="T280" s="326" t="s">
        <v>381</v>
      </c>
      <c r="U280" s="327"/>
      <c r="W280" s="141">
        <f ca="1">IF($D276&lt;&gt;"None",1,0)</f>
        <v>0</v>
      </c>
      <c r="X280" s="326" t="s">
        <v>382</v>
      </c>
      <c r="Y280" s="327"/>
      <c r="AA280" s="141">
        <f ca="1">IF($D278="None",1,0)</f>
        <v>1</v>
      </c>
      <c r="AB280" s="326" t="str">
        <f ca="1">IF(AA280,D280,$D278)</f>
        <v>FC</v>
      </c>
      <c r="AC280" s="327"/>
      <c r="AE280" s="141">
        <f ca="1">IF($D277="None",1,0)</f>
        <v>1</v>
      </c>
      <c r="AF280" s="326" t="str">
        <f ca="1">IF(AE280,H280,$D277)</f>
        <v>FC</v>
      </c>
      <c r="AG280" s="327"/>
      <c r="AI280" s="141">
        <f ca="1">IF($D276="None",1,0)</f>
        <v>1</v>
      </c>
      <c r="AJ280" s="326" t="str">
        <f ca="1">IF(AI280,L280,$D276)</f>
        <v>FC</v>
      </c>
      <c r="AK280" s="327"/>
      <c r="AM280" s="141">
        <f ca="1">IF($X273="None",0,1)</f>
        <v>0</v>
      </c>
      <c r="AN280" s="197" t="s">
        <v>133</v>
      </c>
      <c r="AO280" s="198"/>
      <c r="AQ280" s="141">
        <f ca="1">IF($X273="None",0,1)</f>
        <v>0</v>
      </c>
      <c r="AR280" s="197" t="s">
        <v>134</v>
      </c>
      <c r="AS280" s="198"/>
      <c r="AW280" s="128">
        <f t="shared" ref="AW280:AW343" si="46">AW275+36</f>
        <v>505</v>
      </c>
      <c r="AX280" s="128">
        <f t="shared" ca="1" si="42"/>
        <v>-12.562000000000003</v>
      </c>
      <c r="AY280" s="129">
        <f t="shared" ca="1" si="43"/>
        <v>1.4960570012328709</v>
      </c>
      <c r="BB280" s="128">
        <f t="shared" ca="1" si="44"/>
        <v>-12.562000000000003</v>
      </c>
      <c r="BC280" s="129">
        <f t="shared" ca="1" si="45"/>
        <v>-1.4960570012328709</v>
      </c>
      <c r="BD280" s="157"/>
    </row>
    <row r="281" spans="2:56" ht="15" thickBot="1">
      <c r="B281" s="156"/>
      <c r="C281" s="136" t="s">
        <v>452</v>
      </c>
      <c r="D281" s="136" t="s">
        <v>384</v>
      </c>
      <c r="E281" s="138" t="s">
        <v>385</v>
      </c>
      <c r="G281" s="136" t="s">
        <v>452</v>
      </c>
      <c r="H281" s="136" t="s">
        <v>384</v>
      </c>
      <c r="I281" s="138" t="s">
        <v>385</v>
      </c>
      <c r="K281" s="193" t="s">
        <v>452</v>
      </c>
      <c r="L281" s="193" t="s">
        <v>384</v>
      </c>
      <c r="M281" s="194" t="s">
        <v>385</v>
      </c>
      <c r="O281" s="136" t="s">
        <v>452</v>
      </c>
      <c r="P281" s="136" t="s">
        <v>384</v>
      </c>
      <c r="Q281" s="138" t="s">
        <v>385</v>
      </c>
      <c r="S281" s="136" t="s">
        <v>452</v>
      </c>
      <c r="T281" s="136" t="s">
        <v>384</v>
      </c>
      <c r="U281" s="138" t="s">
        <v>385</v>
      </c>
      <c r="W281" s="136" t="s">
        <v>452</v>
      </c>
      <c r="X281" s="136" t="s">
        <v>384</v>
      </c>
      <c r="Y281" s="138" t="s">
        <v>385</v>
      </c>
      <c r="AA281" s="136" t="s">
        <v>452</v>
      </c>
      <c r="AB281" s="136" t="s">
        <v>384</v>
      </c>
      <c r="AC281" s="138" t="s">
        <v>385</v>
      </c>
      <c r="AE281" s="136" t="s">
        <v>452</v>
      </c>
      <c r="AF281" s="136" t="s">
        <v>384</v>
      </c>
      <c r="AG281" s="138" t="s">
        <v>385</v>
      </c>
      <c r="AI281" s="193" t="s">
        <v>452</v>
      </c>
      <c r="AJ281" s="193" t="s">
        <v>384</v>
      </c>
      <c r="AK281" s="194" t="s">
        <v>385</v>
      </c>
      <c r="AM281" s="193" t="s">
        <v>452</v>
      </c>
      <c r="AN281" s="193" t="s">
        <v>384</v>
      </c>
      <c r="AO281" s="194" t="s">
        <v>385</v>
      </c>
      <c r="AQ281" s="193" t="s">
        <v>452</v>
      </c>
      <c r="AR281" s="193" t="s">
        <v>384</v>
      </c>
      <c r="AS281" s="194" t="s">
        <v>385</v>
      </c>
      <c r="AW281" s="128">
        <f t="shared" si="46"/>
        <v>506</v>
      </c>
      <c r="AX281" s="128">
        <f t="shared" ca="1" si="42"/>
        <v>-12.747000000000003</v>
      </c>
      <c r="AY281" s="129">
        <f t="shared" ca="1" si="43"/>
        <v>1.4960570012328709</v>
      </c>
      <c r="BB281" s="128">
        <f t="shared" ca="1" si="44"/>
        <v>-12.747000000000003</v>
      </c>
      <c r="BC281" s="129">
        <f t="shared" ca="1" si="45"/>
        <v>-1.4960570012328709</v>
      </c>
      <c r="BD281" s="157"/>
    </row>
    <row r="282" spans="2:56">
      <c r="B282" s="156"/>
      <c r="C282" s="128" t="s">
        <v>396</v>
      </c>
      <c r="D282" s="158">
        <f ca="1">IF(C280&gt;=1,L273,8888)</f>
        <v>-3.762</v>
      </c>
      <c r="E282" s="160">
        <f ca="1">IF(C280&gt;=1,1/2*($C$13-P273-2*P275)+1/2*P273,8888)</f>
        <v>1.3099999999999998</v>
      </c>
      <c r="G282" s="128" t="s">
        <v>396</v>
      </c>
      <c r="H282" s="158">
        <f ca="1">IF(G280&gt;=1,L273,8888)</f>
        <v>8888</v>
      </c>
      <c r="I282" s="160">
        <f ca="1">IF(G280&gt;=1,E293-P277,8888)</f>
        <v>8888</v>
      </c>
      <c r="K282" s="128" t="s">
        <v>396</v>
      </c>
      <c r="L282" s="158">
        <f ca="1">IF(K280&gt;=1,L273,8888)</f>
        <v>-3.762</v>
      </c>
      <c r="M282" s="160">
        <f ca="1">IF(K280&gt;=1,IF(FUSELAGE_n_aisles=1,E293-P277,I305-P277),8888)</f>
        <v>-0.65999999999999981</v>
      </c>
      <c r="O282" s="128" t="s">
        <v>396</v>
      </c>
      <c r="P282" s="158">
        <f ca="1">IF(O280,$L273,8888)</f>
        <v>8888</v>
      </c>
      <c r="Q282" s="209">
        <f ca="1">IF(O280,FUSELAGE_y_position_of_left_seat_YC-(FUSELAGE_nseats_right_YC-1)*(SEAT_w_cushion_YC+SEAT_w_armrest_YC)/2+T278/2,8888)</f>
        <v>8888</v>
      </c>
      <c r="S282" s="128" t="s">
        <v>396</v>
      </c>
      <c r="T282" s="158">
        <f ca="1">IF(S280,$L273,8888)</f>
        <v>8888</v>
      </c>
      <c r="U282" s="160">
        <f ca="1">IF(S280,T276/2,8888)</f>
        <v>8888</v>
      </c>
      <c r="W282" s="128" t="s">
        <v>396</v>
      </c>
      <c r="X282" s="158">
        <f ca="1">IF(W280,$L273,8888)</f>
        <v>8888</v>
      </c>
      <c r="Y282" s="160">
        <f ca="1">IF(W280,-FUSELAGE_y_position_of_left_seat_YC+(FUSELAGE_nseats_left_YC-1)*(SEAT_w_cushion_YC+SEAT_w_armrest_YC)/2-T274/2,8888)</f>
        <v>8888</v>
      </c>
      <c r="AA282" s="128" t="s">
        <v>396</v>
      </c>
      <c r="AB282" s="158">
        <f ca="1">IF($AA280,D282,P282)</f>
        <v>-3.762</v>
      </c>
      <c r="AC282" s="174">
        <f ca="1">IF($AA280,E282,Q282)</f>
        <v>1.3099999999999998</v>
      </c>
      <c r="AE282" s="128" t="s">
        <v>396</v>
      </c>
      <c r="AF282" s="158">
        <f ca="1">IF($AE280,H282,T282)</f>
        <v>8888</v>
      </c>
      <c r="AG282" s="174">
        <f ca="1">IF($AE280,I282,U282)</f>
        <v>8888</v>
      </c>
      <c r="AI282" s="128" t="s">
        <v>396</v>
      </c>
      <c r="AJ282" s="158">
        <f ca="1">IF($AI280,L282,X282)</f>
        <v>-3.762</v>
      </c>
      <c r="AK282" s="174">
        <f ca="1">IF($AI280,M282,Y282)</f>
        <v>-0.65999999999999981</v>
      </c>
      <c r="AM282" s="128" t="s">
        <v>396</v>
      </c>
      <c r="AN282" s="158">
        <f ca="1">AN251</f>
        <v>-2.762</v>
      </c>
      <c r="AO282" s="174">
        <f ca="1">IF(AN282&gt;-Fuselage!$D$366,(FUSELAGE_a_ellipse)*SQRT(1-((AN282+Fuselage!$D$366)/(Fuselage!$K$364-FUSELAGE_t_fuselage))^2),IF(AN282&gt;$L$2505+Fuselage!$K$370,FUSELAGE_a_ellipse,(FUSELAGE_a_ellipse+FUSELAGE_t_fuselage-FUSELAGE_d_fo/4)/Fuselage!$K$368*(AN282-$L$2505-Fuselage!$K$370)+FUSELAGE_a_ellipse))</f>
        <v>1.4960570012328709</v>
      </c>
      <c r="AQ282" s="128" t="s">
        <v>396</v>
      </c>
      <c r="AR282" s="158">
        <f t="shared" ref="AR282:AR287" ca="1" si="47">AN282</f>
        <v>-2.762</v>
      </c>
      <c r="AS282" s="174">
        <f t="shared" ref="AS282:AS287" ca="1" si="48">-AO282</f>
        <v>-1.4960570012328709</v>
      </c>
      <c r="AW282" s="128">
        <f t="shared" si="46"/>
        <v>507</v>
      </c>
      <c r="AX282" s="128">
        <f t="shared" ca="1" si="42"/>
        <v>-12.747000000000003</v>
      </c>
      <c r="AY282" s="129">
        <f t="shared" ca="1" si="43"/>
        <v>1.4960570012328709</v>
      </c>
      <c r="BB282" s="128">
        <f t="shared" ca="1" si="44"/>
        <v>-12.747000000000003</v>
      </c>
      <c r="BC282" s="129">
        <f t="shared" ca="1" si="45"/>
        <v>-1.4960570012328709</v>
      </c>
      <c r="BD282" s="157"/>
    </row>
    <row r="283" spans="2:56">
      <c r="B283" s="156"/>
      <c r="C283" s="128" t="s">
        <v>213</v>
      </c>
      <c r="D283" s="128">
        <f ca="1">IF(X275,D282+P274/4,D282+P274)</f>
        <v>-3.302</v>
      </c>
      <c r="E283" s="139">
        <f ca="1">E282</f>
        <v>1.3099999999999998</v>
      </c>
      <c r="G283" s="128" t="s">
        <v>213</v>
      </c>
      <c r="H283" s="128">
        <f ca="1">H282+P274</f>
        <v>8888.4599999999991</v>
      </c>
      <c r="I283" s="139">
        <f ca="1">I282</f>
        <v>8888</v>
      </c>
      <c r="K283" s="128" t="s">
        <v>213</v>
      </c>
      <c r="L283" s="128">
        <f ca="1">IF(X275,IF(K280=1,L282+P274/4,L282+P274),L282+P274)</f>
        <v>-3.302</v>
      </c>
      <c r="M283" s="139">
        <f ca="1">M282</f>
        <v>-0.65999999999999981</v>
      </c>
      <c r="O283" s="128" t="s">
        <v>213</v>
      </c>
      <c r="P283" s="128">
        <f ca="1">P282+$T277</f>
        <v>8888</v>
      </c>
      <c r="Q283" s="139">
        <f ca="1">Q282</f>
        <v>8888</v>
      </c>
      <c r="S283" s="128" t="s">
        <v>213</v>
      </c>
      <c r="T283" s="128">
        <f ca="1">T282+$T275</f>
        <v>8888</v>
      </c>
      <c r="U283" s="139">
        <f ca="1">U282</f>
        <v>8888</v>
      </c>
      <c r="W283" s="128" t="s">
        <v>213</v>
      </c>
      <c r="X283" s="128">
        <f ca="1">X282+$T273</f>
        <v>8888</v>
      </c>
      <c r="Y283" s="139">
        <f ca="1">Y282</f>
        <v>8888</v>
      </c>
      <c r="AA283" s="143" t="s">
        <v>213</v>
      </c>
      <c r="AB283" s="128">
        <f ca="1">IF($AA280,D283,P283)</f>
        <v>-3.302</v>
      </c>
      <c r="AC283" s="129">
        <f ca="1">IF($AA280,E283,Q283)</f>
        <v>1.3099999999999998</v>
      </c>
      <c r="AE283" s="128" t="s">
        <v>213</v>
      </c>
      <c r="AF283" s="128">
        <f ca="1">IF($AE280,H283,T283)</f>
        <v>8888.4599999999991</v>
      </c>
      <c r="AG283" s="129">
        <f ca="1">IF($AE280,I283,U283)</f>
        <v>8888</v>
      </c>
      <c r="AI283" s="128" t="s">
        <v>213</v>
      </c>
      <c r="AJ283" s="128">
        <f ca="1">IF($AI280,L283,X283)</f>
        <v>-3.302</v>
      </c>
      <c r="AK283" s="129">
        <f ca="1">IF($AI280,M283,Y283)</f>
        <v>-0.65999999999999981</v>
      </c>
      <c r="AM283" s="128" t="s">
        <v>213</v>
      </c>
      <c r="AN283" s="128">
        <f ca="1">AN282-AO273/2</f>
        <v>-3.032</v>
      </c>
      <c r="AO283" s="129">
        <f ca="1">IF(AN283&gt;-Fuselage!$D$366,(FUSELAGE_a_ellipse)*SQRT(1-((AN283+Fuselage!$D$366)/(Fuselage!$K$364-FUSELAGE_t_fuselage))^2),IF(AN283&gt;$L$2505+Fuselage!$K$370,FUSELAGE_a_ellipse,(FUSELAGE_a_ellipse+FUSELAGE_t_fuselage-FUSELAGE_d_fo/4)/Fuselage!$K$368*(AN283-$L$2505-Fuselage!$K$370)+FUSELAGE_a_ellipse))</f>
        <v>1.4960570012328709</v>
      </c>
      <c r="AQ283" s="128" t="s">
        <v>213</v>
      </c>
      <c r="AR283" s="128">
        <f t="shared" ca="1" si="47"/>
        <v>-3.032</v>
      </c>
      <c r="AS283" s="129">
        <f t="shared" ca="1" si="48"/>
        <v>-1.4960570012328709</v>
      </c>
      <c r="AW283" s="128">
        <f t="shared" si="46"/>
        <v>508</v>
      </c>
      <c r="AX283" s="128">
        <f t="shared" ca="1" si="42"/>
        <v>-12.747000000000003</v>
      </c>
      <c r="AY283" s="129">
        <f t="shared" ca="1" si="43"/>
        <v>1.4960570012328709</v>
      </c>
      <c r="BB283" s="128">
        <f t="shared" ca="1" si="44"/>
        <v>-12.747000000000003</v>
      </c>
      <c r="BC283" s="129">
        <f t="shared" ca="1" si="45"/>
        <v>-1.4960570012328709</v>
      </c>
      <c r="BD283" s="157"/>
    </row>
    <row r="284" spans="2:56">
      <c r="B284" s="156"/>
      <c r="C284" s="128" t="s">
        <v>286</v>
      </c>
      <c r="D284" s="128">
        <f ca="1">D283</f>
        <v>-3.302</v>
      </c>
      <c r="E284" s="139">
        <f ca="1">E283-P273</f>
        <v>0.65999999999999981</v>
      </c>
      <c r="G284" s="128" t="s">
        <v>286</v>
      </c>
      <c r="H284" s="128">
        <f ca="1">H283</f>
        <v>8888.4599999999991</v>
      </c>
      <c r="I284" s="139">
        <f ca="1">I283-P273</f>
        <v>8887.35</v>
      </c>
      <c r="K284" s="128" t="s">
        <v>286</v>
      </c>
      <c r="L284" s="128">
        <f ca="1">L283</f>
        <v>-3.302</v>
      </c>
      <c r="M284" s="139">
        <f ca="1">M283-P273</f>
        <v>-1.3099999999999998</v>
      </c>
      <c r="O284" s="128" t="s">
        <v>286</v>
      </c>
      <c r="P284" s="128">
        <f ca="1">P283</f>
        <v>8888</v>
      </c>
      <c r="Q284" s="139">
        <f ca="1">Q283-$T278</f>
        <v>8888</v>
      </c>
      <c r="S284" s="128" t="s">
        <v>286</v>
      </c>
      <c r="T284" s="128">
        <f ca="1">T283</f>
        <v>8888</v>
      </c>
      <c r="U284" s="139">
        <f ca="1">U283-$T276</f>
        <v>8888</v>
      </c>
      <c r="W284" s="128" t="s">
        <v>286</v>
      </c>
      <c r="X284" s="128">
        <f ca="1">X283</f>
        <v>8888</v>
      </c>
      <c r="Y284" s="139">
        <f ca="1">Y283+$T274</f>
        <v>8888</v>
      </c>
      <c r="AA284" s="143" t="s">
        <v>286</v>
      </c>
      <c r="AB284" s="128">
        <f ca="1">IF($AA280,D284,P284)</f>
        <v>-3.302</v>
      </c>
      <c r="AC284" s="129">
        <f ca="1">IF($AA280,E284,Q284)</f>
        <v>0.65999999999999981</v>
      </c>
      <c r="AE284" s="128" t="s">
        <v>286</v>
      </c>
      <c r="AF284" s="128">
        <f ca="1">IF($AE280,H284,T284)</f>
        <v>8888.4599999999991</v>
      </c>
      <c r="AG284" s="129">
        <f ca="1">IF($AE280,I284,U284)</f>
        <v>8887.35</v>
      </c>
      <c r="AI284" s="128" t="s">
        <v>286</v>
      </c>
      <c r="AJ284" s="128">
        <f ca="1">IF($AI280,L284,X284)</f>
        <v>-3.302</v>
      </c>
      <c r="AK284" s="129">
        <f ca="1">IF($AI280,M284,Y284)</f>
        <v>-1.3099999999999998</v>
      </c>
      <c r="AM284" s="128" t="s">
        <v>286</v>
      </c>
      <c r="AN284" s="128">
        <f ca="1">AN283</f>
        <v>-3.032</v>
      </c>
      <c r="AO284" s="129">
        <f ca="1">IF(AN284&gt;-Fuselage!$D$366,IF(AM280,(FUSELAGE_a_ellipse+FUSELAGE_t_fuselage)*SQRT(1-((AN284+Fuselage!$D$366)/Fuselage!$K$364)^2),(FUSELAGE_a_ellipse)*SQRT(1-((AN284+Fuselage!$D$366)/Fuselage!$K$364)^2)),IF(AN284&gt;$L$2505+Fuselage!$K$370,(IF(AM280,FUSELAGE_a_ellipse+FUSELAGE_t_fuselage,FUSELAGE_a_ellipse)),IF(AM280,(FUSELAGE_a_ellipse+FUSELAGE_t_fuselage-FUSELAGE_d_fo/4)/Fuselage!$K$368*(AN284-$L$2505-Fuselage!$K$370)+FUSELAGE_a_ellipse+FUSELAGE_t_fuselage,(FUSELAGE_a_ellipse+FUSELAGE_t_fuselage-FUSELAGE_d_fo/4)/Fuselage!$K$368*(AN284-$L$2505-Fuselage!$K$370)+FUSELAGE_a_ellipse)))</f>
        <v>1.4960570012328709</v>
      </c>
      <c r="AQ284" s="128" t="s">
        <v>286</v>
      </c>
      <c r="AR284" s="128">
        <f t="shared" ca="1" si="47"/>
        <v>-3.032</v>
      </c>
      <c r="AS284" s="129">
        <f t="shared" ca="1" si="48"/>
        <v>-1.4960570012328709</v>
      </c>
      <c r="AW284" s="128">
        <f t="shared" si="46"/>
        <v>509</v>
      </c>
      <c r="AX284" s="128">
        <f t="shared" ca="1" si="42"/>
        <v>-12.747000000000003</v>
      </c>
      <c r="AY284" s="129">
        <f t="shared" ca="1" si="43"/>
        <v>1.4960570012328709</v>
      </c>
      <c r="BB284" s="128">
        <f t="shared" ca="1" si="44"/>
        <v>-12.747000000000003</v>
      </c>
      <c r="BC284" s="129">
        <f t="shared" ca="1" si="45"/>
        <v>-1.4960570012328709</v>
      </c>
      <c r="BD284" s="157"/>
    </row>
    <row r="285" spans="2:56">
      <c r="B285" s="156"/>
      <c r="C285" s="188" t="s">
        <v>522</v>
      </c>
      <c r="D285" s="188">
        <f ca="1">D282</f>
        <v>-3.762</v>
      </c>
      <c r="E285" s="189">
        <f ca="1">E284</f>
        <v>0.65999999999999981</v>
      </c>
      <c r="F285" s="157"/>
      <c r="G285" s="2" t="s">
        <v>522</v>
      </c>
      <c r="H285" s="128">
        <f ca="1">H282</f>
        <v>8888</v>
      </c>
      <c r="I285" s="139">
        <f ca="1">I284</f>
        <v>8887.35</v>
      </c>
      <c r="K285" s="128" t="s">
        <v>522</v>
      </c>
      <c r="L285" s="128">
        <f ca="1">L282</f>
        <v>-3.762</v>
      </c>
      <c r="M285" s="139">
        <f ca="1">M284</f>
        <v>-1.3099999999999998</v>
      </c>
      <c r="O285" s="188" t="s">
        <v>522</v>
      </c>
      <c r="P285" s="188">
        <f ca="1">P282</f>
        <v>8888</v>
      </c>
      <c r="Q285" s="189">
        <f ca="1">Q284</f>
        <v>8888</v>
      </c>
      <c r="S285" s="188" t="s">
        <v>522</v>
      </c>
      <c r="T285" s="188">
        <f ca="1">T282</f>
        <v>8888</v>
      </c>
      <c r="U285" s="189">
        <f ca="1">U284</f>
        <v>8888</v>
      </c>
      <c r="W285" s="188" t="s">
        <v>522</v>
      </c>
      <c r="X285" s="188">
        <f ca="1">X282</f>
        <v>8888</v>
      </c>
      <c r="Y285" s="189">
        <f ca="1">Y284</f>
        <v>8888</v>
      </c>
      <c r="AA285" s="195" t="s">
        <v>522</v>
      </c>
      <c r="AB285" s="128">
        <f ca="1">IF($AA280,D285,P285)</f>
        <v>-3.762</v>
      </c>
      <c r="AC285" s="129">
        <f ca="1">IF($AA280,E285,Q285)</f>
        <v>0.65999999999999981</v>
      </c>
      <c r="AD285" s="157"/>
      <c r="AE285" s="2" t="s">
        <v>522</v>
      </c>
      <c r="AF285" s="188">
        <f ca="1">IF($AE280,H285,T285)</f>
        <v>8888</v>
      </c>
      <c r="AG285" s="196">
        <f ca="1">IF($AE280,I285,U285)</f>
        <v>8887.35</v>
      </c>
      <c r="AI285" s="128" t="s">
        <v>522</v>
      </c>
      <c r="AJ285" s="188">
        <f ca="1">IF($AI280,L285,X285)</f>
        <v>-3.762</v>
      </c>
      <c r="AK285" s="196">
        <f ca="1">IF($AI280,M285,Y285)</f>
        <v>-1.3099999999999998</v>
      </c>
      <c r="AM285" s="128" t="s">
        <v>522</v>
      </c>
      <c r="AN285" s="128">
        <f ca="1">AN284-X274</f>
        <v>-3.032</v>
      </c>
      <c r="AO285" s="129">
        <f ca="1">IF(AN285&gt;-Fuselage!$D$366,IF(AM280,(FUSELAGE_a_ellipse+FUSELAGE_t_fuselage)*SQRT(1-((AN285+Fuselage!$D$366)/Fuselage!$K$364)^2),(FUSELAGE_a_ellipse)*SQRT(1-((AN285+Fuselage!$D$366)/Fuselage!$K$364)^2)),IF(AN285&gt;$L$2505+Fuselage!$K$370,(IF(AM280,FUSELAGE_a_ellipse+FUSELAGE_t_fuselage,FUSELAGE_a_ellipse)),IF(AM280,(FUSELAGE_a_ellipse+FUSELAGE_t_fuselage-FUSELAGE_d_fo/4)/Fuselage!$K$368*(AN285-$L$2505-Fuselage!$K$370)+FUSELAGE_a_ellipse+FUSELAGE_t_fuselage,(FUSELAGE_a_ellipse+FUSELAGE_t_fuselage-FUSELAGE_d_fo/4)/Fuselage!$K$368*(AN285-$L$2505-Fuselage!$K$370)+FUSELAGE_a_ellipse)))</f>
        <v>1.4960570012328709</v>
      </c>
      <c r="AQ285" s="128" t="s">
        <v>522</v>
      </c>
      <c r="AR285" s="128">
        <f t="shared" ca="1" si="47"/>
        <v>-3.032</v>
      </c>
      <c r="AS285" s="129">
        <f t="shared" ca="1" si="48"/>
        <v>-1.4960570012328709</v>
      </c>
      <c r="AW285" s="128">
        <f t="shared" si="46"/>
        <v>541</v>
      </c>
      <c r="AX285" s="128">
        <f t="shared" ca="1" si="42"/>
        <v>-13.362000000000004</v>
      </c>
      <c r="AY285" s="129">
        <f t="shared" ca="1" si="43"/>
        <v>1.4960570012328709</v>
      </c>
      <c r="BB285" s="128">
        <f t="shared" ca="1" si="44"/>
        <v>-13.362000000000004</v>
      </c>
      <c r="BC285" s="129">
        <f t="shared" ca="1" si="45"/>
        <v>-1.4960570012328709</v>
      </c>
      <c r="BD285" s="157"/>
    </row>
    <row r="286" spans="2:56" ht="15" thickBot="1">
      <c r="B286" s="156"/>
      <c r="C286" s="128" t="s">
        <v>49</v>
      </c>
      <c r="D286" s="128">
        <f ca="1">IF(C280&gt;=2,D282,D285)</f>
        <v>-3.762</v>
      </c>
      <c r="E286" s="139">
        <f ca="1">IF(C280&gt;=2,E285-P275,E285)</f>
        <v>0.58999999999999986</v>
      </c>
      <c r="F286" s="157"/>
      <c r="G286" s="192" t="s">
        <v>49</v>
      </c>
      <c r="H286" s="190">
        <f ca="1">IF(G280&gt;=2,H282,H285)</f>
        <v>8888</v>
      </c>
      <c r="I286" s="191">
        <f ca="1">IF(G280&gt;=2,I285-P275,I285)</f>
        <v>8887.35</v>
      </c>
      <c r="K286" s="190" t="s">
        <v>49</v>
      </c>
      <c r="L286" s="190">
        <f ca="1">IF(K280&gt;=2,L282,L285)</f>
        <v>-3.762</v>
      </c>
      <c r="M286" s="191">
        <f ca="1">IF(K280&gt;=2,M285-P275,M285)</f>
        <v>-1.3099999999999998</v>
      </c>
      <c r="O286" s="130" t="s">
        <v>396</v>
      </c>
      <c r="P286" s="130">
        <f ca="1">P282</f>
        <v>8888</v>
      </c>
      <c r="Q286" s="140">
        <f ca="1">Q282</f>
        <v>8888</v>
      </c>
      <c r="S286" s="130" t="s">
        <v>396</v>
      </c>
      <c r="T286" s="130">
        <f ca="1">T282</f>
        <v>8888</v>
      </c>
      <c r="U286" s="140">
        <f ca="1">U282</f>
        <v>8888</v>
      </c>
      <c r="W286" s="130" t="s">
        <v>396</v>
      </c>
      <c r="X286" s="130">
        <f ca="1">X282</f>
        <v>8888</v>
      </c>
      <c r="Y286" s="140">
        <f ca="1">Y282</f>
        <v>8888</v>
      </c>
      <c r="AA286" s="143" t="s">
        <v>49</v>
      </c>
      <c r="AB286" s="128">
        <f ca="1">IF($AA280,D286,P286)</f>
        <v>-3.762</v>
      </c>
      <c r="AC286" s="129">
        <f ca="1">IF($AA280,E286,Q286)</f>
        <v>0.58999999999999986</v>
      </c>
      <c r="AD286" s="157"/>
      <c r="AE286" s="192" t="s">
        <v>49</v>
      </c>
      <c r="AF286" s="128">
        <f ca="1">IF($AE280,H286,T286)</f>
        <v>8888</v>
      </c>
      <c r="AG286" s="129">
        <f ca="1">IF($AE280,I286,U286)</f>
        <v>8887.35</v>
      </c>
      <c r="AI286" s="190" t="s">
        <v>49</v>
      </c>
      <c r="AJ286" s="128">
        <f ca="1">IF($AI280,L286,X286)</f>
        <v>-3.762</v>
      </c>
      <c r="AK286" s="129">
        <f ca="1">IF($AI280,M286,Y286)</f>
        <v>-1.3099999999999998</v>
      </c>
      <c r="AM286" s="128" t="s">
        <v>49</v>
      </c>
      <c r="AN286" s="128">
        <f ca="1">AN285</f>
        <v>-3.032</v>
      </c>
      <c r="AO286" s="129">
        <f ca="1">IF(AN286&gt;-Fuselage!$D$366,(FUSELAGE_a_ellipse)*SQRT(1-((AN286+Fuselage!$D$366)/(Fuselage!$K$364-FUSELAGE_t_fuselage))^2),IF(AN286&gt;$L$2505+Fuselage!$K$370,FUSELAGE_a_ellipse,(FUSELAGE_a_ellipse+FUSELAGE_t_fuselage-FUSELAGE_d_fo/4)/Fuselage!$K$368*(AN286-$L$2505-Fuselage!$K$370)+FUSELAGE_a_ellipse))</f>
        <v>1.4960570012328709</v>
      </c>
      <c r="AQ286" s="128" t="s">
        <v>49</v>
      </c>
      <c r="AR286" s="128">
        <f t="shared" ca="1" si="47"/>
        <v>-3.032</v>
      </c>
      <c r="AS286" s="129">
        <f t="shared" ca="1" si="48"/>
        <v>-1.4960570012328709</v>
      </c>
      <c r="AW286" s="128">
        <f t="shared" si="46"/>
        <v>542</v>
      </c>
      <c r="AX286" s="128">
        <f t="shared" ca="1" si="42"/>
        <v>-13.362000000000004</v>
      </c>
      <c r="AY286" s="129">
        <f t="shared" ca="1" si="43"/>
        <v>1.4960570012328709</v>
      </c>
      <c r="BB286" s="128">
        <f t="shared" ca="1" si="44"/>
        <v>-13.362000000000004</v>
      </c>
      <c r="BC286" s="129">
        <f t="shared" ca="1" si="45"/>
        <v>-1.4960570012328709</v>
      </c>
      <c r="BD286" s="157"/>
    </row>
    <row r="287" spans="2:56">
      <c r="B287" s="156"/>
      <c r="C287" s="128" t="s">
        <v>453</v>
      </c>
      <c r="D287" s="128">
        <f ca="1">IF(C280&gt;=2,D282+P274,D285)</f>
        <v>-3.302</v>
      </c>
      <c r="E287" s="139">
        <f ca="1">E286</f>
        <v>0.58999999999999986</v>
      </c>
      <c r="F287" s="157"/>
      <c r="G287" s="2" t="s">
        <v>453</v>
      </c>
      <c r="H287" s="128">
        <f ca="1">IF(G280&gt;=2,H283,H285)</f>
        <v>8888</v>
      </c>
      <c r="I287" s="139">
        <f ca="1">IF(G280&gt;=2,I286,I285)</f>
        <v>8887.35</v>
      </c>
      <c r="K287" s="128" t="s">
        <v>453</v>
      </c>
      <c r="L287" s="128">
        <f ca="1">IF(K280&gt;=2,IF(X275,IF(K280=2,L282+P274/4,L282+P274),L282+P274),L285)</f>
        <v>-3.762</v>
      </c>
      <c r="M287" s="139">
        <f ca="1">IF(K280&gt;=2,M286,M285)</f>
        <v>-1.3099999999999998</v>
      </c>
      <c r="AA287" s="143" t="s">
        <v>453</v>
      </c>
      <c r="AB287" s="128">
        <f ca="1">IF($AA280,D287,AB286)</f>
        <v>-3.302</v>
      </c>
      <c r="AC287" s="129">
        <f ca="1">IF($AA280,E287,AC286)</f>
        <v>0.58999999999999986</v>
      </c>
      <c r="AD287" s="157"/>
      <c r="AE287" s="2" t="s">
        <v>453</v>
      </c>
      <c r="AF287" s="128">
        <f ca="1">IF($AE280,H287,AF286)</f>
        <v>8888</v>
      </c>
      <c r="AG287" s="129">
        <f ca="1">IF($AE280,I287,AG286)</f>
        <v>8887.35</v>
      </c>
      <c r="AI287" s="128" t="s">
        <v>453</v>
      </c>
      <c r="AJ287" s="128">
        <f ca="1">IF($AI280,L287,AJ286)</f>
        <v>-3.762</v>
      </c>
      <c r="AK287" s="129">
        <f ca="1">IF($AI280,M287,AK286)</f>
        <v>-1.3099999999999998</v>
      </c>
      <c r="AM287" s="128" t="s">
        <v>453</v>
      </c>
      <c r="AN287" s="128">
        <f ca="1">L273</f>
        <v>-3.762</v>
      </c>
      <c r="AO287" s="129">
        <f ca="1">IF(AN287&gt;-Fuselage!$D$366,(FUSELAGE_a_ellipse)*SQRT(1-((AN287+Fuselage!$D$366)/(Fuselage!$K$364-FUSELAGE_t_fuselage))^2),IF(AN287&gt;$L$2505+Fuselage!$K$370,FUSELAGE_a_ellipse,(FUSELAGE_a_ellipse+FUSELAGE_t_fuselage-FUSELAGE_d_fo/4)/Fuselage!$K$368*(AN287-$L$2505-Fuselage!$K$370)+FUSELAGE_a_ellipse))</f>
        <v>1.4960570012328709</v>
      </c>
      <c r="AQ287" s="128" t="s">
        <v>453</v>
      </c>
      <c r="AR287" s="128">
        <f t="shared" ca="1" si="47"/>
        <v>-3.762</v>
      </c>
      <c r="AS287" s="129">
        <f t="shared" ca="1" si="48"/>
        <v>-1.4960570012328709</v>
      </c>
      <c r="AW287" s="128">
        <f t="shared" si="46"/>
        <v>543</v>
      </c>
      <c r="AX287" s="128">
        <f t="shared" ca="1" si="42"/>
        <v>-13.362000000000004</v>
      </c>
      <c r="AY287" s="129">
        <f t="shared" ca="1" si="43"/>
        <v>1.6053795662883501</v>
      </c>
      <c r="BB287" s="128">
        <f t="shared" ca="1" si="44"/>
        <v>-13.362000000000004</v>
      </c>
      <c r="BC287" s="129">
        <f t="shared" ca="1" si="45"/>
        <v>-1.6053795662883501</v>
      </c>
      <c r="BD287" s="157"/>
    </row>
    <row r="288" spans="2:56">
      <c r="B288" s="156"/>
      <c r="C288" s="128" t="s">
        <v>394</v>
      </c>
      <c r="D288" s="128">
        <f ca="1">IF(C280&gt;=2,D287,D285)</f>
        <v>-3.302</v>
      </c>
      <c r="E288" s="139">
        <f ca="1">IF(C280&gt;=2,E286-P273,E285)</f>
        <v>-6.0000000000000164E-2</v>
      </c>
      <c r="F288" s="157"/>
      <c r="G288" s="2" t="s">
        <v>394</v>
      </c>
      <c r="H288" s="128">
        <f ca="1">IF(G280&gt;=2,H283,H285)</f>
        <v>8888</v>
      </c>
      <c r="I288" s="139">
        <f ca="1">IF(G280&gt;=2,I287-P273,I285)</f>
        <v>8887.35</v>
      </c>
      <c r="K288" s="128" t="s">
        <v>394</v>
      </c>
      <c r="L288" s="128">
        <f ca="1">L287</f>
        <v>-3.762</v>
      </c>
      <c r="M288" s="139">
        <f ca="1">IF(K280&gt;=2,M287-P273,M285)</f>
        <v>-1.3099999999999998</v>
      </c>
      <c r="AA288" s="143" t="s">
        <v>394</v>
      </c>
      <c r="AB288" s="128">
        <f ca="1">IF($AA280,D288,AB286)</f>
        <v>-3.302</v>
      </c>
      <c r="AC288" s="129">
        <f ca="1">IF($AA280,E288,AC286)</f>
        <v>-6.0000000000000164E-2</v>
      </c>
      <c r="AD288" s="157"/>
      <c r="AE288" s="2" t="s">
        <v>394</v>
      </c>
      <c r="AF288" s="128">
        <f ca="1">IF($AE280,H288,AF286)</f>
        <v>8888</v>
      </c>
      <c r="AG288" s="129">
        <f ca="1">IF($AE280,I288,AG286)</f>
        <v>8887.35</v>
      </c>
      <c r="AI288" s="128" t="s">
        <v>394</v>
      </c>
      <c r="AJ288" s="128">
        <f ca="1">IF($AI280,L288,AJ286)</f>
        <v>-3.762</v>
      </c>
      <c r="AK288" s="129">
        <f ca="1">IF($AI280,M288,AK286)</f>
        <v>-1.3099999999999998</v>
      </c>
      <c r="AW288" s="128">
        <f t="shared" si="46"/>
        <v>544</v>
      </c>
      <c r="AX288" s="128">
        <f t="shared" ca="1" si="42"/>
        <v>-13.870000000000005</v>
      </c>
      <c r="AY288" s="129">
        <f t="shared" ca="1" si="43"/>
        <v>1.6053795662883501</v>
      </c>
      <c r="BB288" s="128">
        <f t="shared" ca="1" si="44"/>
        <v>-13.870000000000005</v>
      </c>
      <c r="BC288" s="129">
        <f t="shared" ca="1" si="45"/>
        <v>-1.6053795662883501</v>
      </c>
      <c r="BD288" s="157"/>
    </row>
    <row r="289" spans="2:56">
      <c r="B289" s="156"/>
      <c r="C289" s="188" t="s">
        <v>454</v>
      </c>
      <c r="D289" s="188">
        <f ca="1">IF(C280&gt;=2,D282,D285)</f>
        <v>-3.762</v>
      </c>
      <c r="E289" s="189">
        <f ca="1">E288</f>
        <v>-6.0000000000000164E-2</v>
      </c>
      <c r="F289" s="157"/>
      <c r="G289" s="115" t="s">
        <v>454</v>
      </c>
      <c r="H289" s="188">
        <f ca="1">IF(G280&gt;=2,H282,H285)</f>
        <v>8888</v>
      </c>
      <c r="I289" s="189">
        <f ca="1">IF(G280&gt;=2,I288,I285)</f>
        <v>8887.35</v>
      </c>
      <c r="K289" s="188" t="s">
        <v>454</v>
      </c>
      <c r="L289" s="188">
        <f ca="1">IF(K280&gt;=2,L282,L285)</f>
        <v>-3.762</v>
      </c>
      <c r="M289" s="189">
        <f ca="1">IF(K280&gt;=2,M288,M285)</f>
        <v>-1.3099999999999998</v>
      </c>
      <c r="AA289" s="195" t="s">
        <v>454</v>
      </c>
      <c r="AB289" s="128">
        <f ca="1">IF($AA280,D289,AB286)</f>
        <v>-3.762</v>
      </c>
      <c r="AC289" s="129">
        <f ca="1">IF($AA280,E289,AC286)</f>
        <v>-6.0000000000000164E-2</v>
      </c>
      <c r="AD289" s="157"/>
      <c r="AE289" s="115" t="s">
        <v>454</v>
      </c>
      <c r="AF289" s="188">
        <f ca="1">IF($AE280,H289,AF286)</f>
        <v>8888</v>
      </c>
      <c r="AG289" s="196">
        <f ca="1">IF($AE280,I289,AG286)</f>
        <v>8887.35</v>
      </c>
      <c r="AI289" s="188" t="s">
        <v>454</v>
      </c>
      <c r="AJ289" s="188">
        <f ca="1">IF($AI280,L289,AJ286)</f>
        <v>-3.762</v>
      </c>
      <c r="AK289" s="196">
        <f ca="1">IF($AI280,M289,AK286)</f>
        <v>-1.3099999999999998</v>
      </c>
      <c r="AW289" s="128">
        <f t="shared" si="46"/>
        <v>545</v>
      </c>
      <c r="AX289" s="128">
        <f t="shared" ca="1" si="42"/>
        <v>-13.870000000000005</v>
      </c>
      <c r="AY289" s="129">
        <f t="shared" ca="1" si="43"/>
        <v>1.4960570012328709</v>
      </c>
      <c r="BB289" s="128">
        <f t="shared" ca="1" si="44"/>
        <v>-13.870000000000005</v>
      </c>
      <c r="BC289" s="129">
        <f t="shared" ca="1" si="45"/>
        <v>-1.4960570012328709</v>
      </c>
      <c r="BD289" s="157"/>
    </row>
    <row r="290" spans="2:56">
      <c r="B290" s="156"/>
      <c r="C290" s="128" t="s">
        <v>507</v>
      </c>
      <c r="D290" s="128">
        <f ca="1">IF(C280&gt;=3,D282,D289)</f>
        <v>-3.762</v>
      </c>
      <c r="E290" s="139">
        <f ca="1">IF(C280&gt;=3,E289-P275,E289)</f>
        <v>-6.0000000000000164E-2</v>
      </c>
      <c r="F290" s="157"/>
      <c r="G290" s="2" t="s">
        <v>507</v>
      </c>
      <c r="H290" s="128">
        <f ca="1">IF(G280&gt;=3,H282,H289)</f>
        <v>8888</v>
      </c>
      <c r="I290" s="139">
        <f ca="1">IF(G280&gt;=3,I289-P275,I289)</f>
        <v>8887.35</v>
      </c>
      <c r="K290" s="128" t="s">
        <v>507</v>
      </c>
      <c r="L290" s="128">
        <f ca="1">IF(K280&gt;=3,L282,L289)</f>
        <v>-3.762</v>
      </c>
      <c r="M290" s="139">
        <f ca="1">IF(K280&gt;=3,M289-P275,M289)</f>
        <v>-1.3099999999999998</v>
      </c>
      <c r="AA290" s="143" t="s">
        <v>507</v>
      </c>
      <c r="AB290" s="128">
        <f ca="1">IF($AA280,D290,AB286)</f>
        <v>-3.762</v>
      </c>
      <c r="AC290" s="129">
        <f ca="1">IF($AA280,E290,AC286)</f>
        <v>-6.0000000000000164E-2</v>
      </c>
      <c r="AD290" s="157"/>
      <c r="AE290" s="2" t="s">
        <v>507</v>
      </c>
      <c r="AF290" s="128">
        <f ca="1">IF($AE280,H290,AF286)</f>
        <v>8888</v>
      </c>
      <c r="AG290" s="129">
        <f ca="1">IF($AE280,I290,AG286)</f>
        <v>8887.35</v>
      </c>
      <c r="AI290" s="128" t="s">
        <v>507</v>
      </c>
      <c r="AJ290" s="128">
        <f ca="1">IF($AI280,L290,AJ286)</f>
        <v>-3.762</v>
      </c>
      <c r="AK290" s="129">
        <f ca="1">IF($AI280,M290,AK286)</f>
        <v>-1.3099999999999998</v>
      </c>
      <c r="AW290" s="128">
        <f t="shared" si="46"/>
        <v>577</v>
      </c>
      <c r="AX290" s="128">
        <f t="shared" ca="1" si="42"/>
        <v>-14.162000000000004</v>
      </c>
      <c r="AY290" s="129">
        <f t="shared" ca="1" si="43"/>
        <v>1.4960570012328709</v>
      </c>
      <c r="BB290" s="128">
        <f t="shared" ca="1" si="44"/>
        <v>-14.162000000000004</v>
      </c>
      <c r="BC290" s="129">
        <f t="shared" ca="1" si="45"/>
        <v>-1.4960570012328709</v>
      </c>
      <c r="BD290" s="157"/>
    </row>
    <row r="291" spans="2:56">
      <c r="B291" s="156"/>
      <c r="C291" s="128" t="s">
        <v>455</v>
      </c>
      <c r="D291" s="128">
        <f ca="1">IF(C280&gt;=3,D287,D289)</f>
        <v>-3.762</v>
      </c>
      <c r="E291" s="139">
        <f ca="1">E290</f>
        <v>-6.0000000000000164E-2</v>
      </c>
      <c r="F291" s="157"/>
      <c r="G291" s="2" t="s">
        <v>455</v>
      </c>
      <c r="H291" s="128">
        <f ca="1">IF(G280&gt;=3,H283,H289)</f>
        <v>8888</v>
      </c>
      <c r="I291" s="139">
        <f ca="1">IF(G280&gt;=3,I290,I289)</f>
        <v>8887.35</v>
      </c>
      <c r="K291" s="128" t="s">
        <v>455</v>
      </c>
      <c r="L291" s="128">
        <f ca="1">IF(K280&gt;=3,IF(X275,IF(K280=3,L282+P274/4,L282+P274),L282+P274),L285)</f>
        <v>-3.762</v>
      </c>
      <c r="M291" s="139">
        <f ca="1">IF(K280&gt;=3,M290,M289)</f>
        <v>-1.3099999999999998</v>
      </c>
      <c r="AA291" s="143" t="s">
        <v>455</v>
      </c>
      <c r="AB291" s="128">
        <f ca="1">IF($AA280,D291,AB286)</f>
        <v>-3.762</v>
      </c>
      <c r="AC291" s="129">
        <f ca="1">IF($AA280,E291,AC286)</f>
        <v>-6.0000000000000164E-2</v>
      </c>
      <c r="AD291" s="157"/>
      <c r="AE291" s="2" t="s">
        <v>455</v>
      </c>
      <c r="AF291" s="128">
        <f ca="1">IF($AE280,H291,AF286)</f>
        <v>8888</v>
      </c>
      <c r="AG291" s="129">
        <f ca="1">IF($AE280,I291,AG286)</f>
        <v>8887.35</v>
      </c>
      <c r="AI291" s="128" t="s">
        <v>455</v>
      </c>
      <c r="AJ291" s="128">
        <f ca="1">IF($AI280,L291,AJ286)</f>
        <v>-3.762</v>
      </c>
      <c r="AK291" s="129">
        <f ca="1">IF($AI280,M291,AK286)</f>
        <v>-1.3099999999999998</v>
      </c>
      <c r="AL291" s="156"/>
      <c r="AW291" s="128">
        <f t="shared" si="46"/>
        <v>578</v>
      </c>
      <c r="AX291" s="128">
        <f t="shared" ca="1" si="42"/>
        <v>-14.347000000000005</v>
      </c>
      <c r="AY291" s="129">
        <f t="shared" ca="1" si="43"/>
        <v>1.4960570012328709</v>
      </c>
      <c r="BB291" s="128">
        <f t="shared" ca="1" si="44"/>
        <v>-14.347000000000005</v>
      </c>
      <c r="BC291" s="129">
        <f t="shared" ca="1" si="45"/>
        <v>-1.4960570012328709</v>
      </c>
      <c r="BD291" s="157"/>
    </row>
    <row r="292" spans="2:56">
      <c r="B292" s="156"/>
      <c r="C292" s="128" t="s">
        <v>311</v>
      </c>
      <c r="D292" s="128">
        <f ca="1">IF(C280&gt;=3,D287,D289)</f>
        <v>-3.762</v>
      </c>
      <c r="E292" s="139">
        <f ca="1">IF(C280&gt;=3,E291-P273,E289)</f>
        <v>-6.0000000000000164E-2</v>
      </c>
      <c r="F292" s="157"/>
      <c r="G292" s="2" t="s">
        <v>311</v>
      </c>
      <c r="H292" s="128">
        <f ca="1">IF(G280&gt;=3,H283,H289)</f>
        <v>8888</v>
      </c>
      <c r="I292" s="139">
        <f ca="1">IF(G280&gt;=3,I291-P273,I289)</f>
        <v>8887.35</v>
      </c>
      <c r="K292" s="128" t="s">
        <v>311</v>
      </c>
      <c r="L292" s="128">
        <f ca="1">L291</f>
        <v>-3.762</v>
      </c>
      <c r="M292" s="139">
        <f ca="1">IF(K280&gt;=3,M291-P273,M289)</f>
        <v>-1.3099999999999998</v>
      </c>
      <c r="AA292" s="143" t="s">
        <v>311</v>
      </c>
      <c r="AB292" s="128">
        <f ca="1">IF($AA280,D292,AB286)</f>
        <v>-3.762</v>
      </c>
      <c r="AC292" s="129">
        <f ca="1">IF($AA280,E292,AC286)</f>
        <v>-6.0000000000000164E-2</v>
      </c>
      <c r="AD292" s="157"/>
      <c r="AE292" s="2" t="s">
        <v>311</v>
      </c>
      <c r="AF292" s="128">
        <f ca="1">IF($AE280,H292,AF286)</f>
        <v>8888</v>
      </c>
      <c r="AG292" s="129">
        <f ca="1">IF($AE280,I292,AG286)</f>
        <v>8887.35</v>
      </c>
      <c r="AI292" s="128" t="s">
        <v>311</v>
      </c>
      <c r="AJ292" s="128">
        <f ca="1">IF($AI280,L292,AJ286)</f>
        <v>-3.762</v>
      </c>
      <c r="AK292" s="129">
        <f ca="1">IF($AI280,M292,AK286)</f>
        <v>-1.3099999999999998</v>
      </c>
      <c r="AL292" s="156"/>
      <c r="AW292" s="128">
        <f t="shared" si="46"/>
        <v>579</v>
      </c>
      <c r="AX292" s="128">
        <f t="shared" ca="1" si="42"/>
        <v>-14.347000000000005</v>
      </c>
      <c r="AY292" s="129">
        <f t="shared" ca="1" si="43"/>
        <v>1.4960570012328709</v>
      </c>
      <c r="BB292" s="128">
        <f t="shared" ca="1" si="44"/>
        <v>-14.347000000000005</v>
      </c>
      <c r="BC292" s="129">
        <f t="shared" ca="1" si="45"/>
        <v>-1.4960570012328709</v>
      </c>
      <c r="BD292" s="157"/>
    </row>
    <row r="293" spans="2:56">
      <c r="B293" s="156"/>
      <c r="C293" s="188" t="s">
        <v>35</v>
      </c>
      <c r="D293" s="188">
        <f ca="1">IF(C280&gt;=3,D282,D289)</f>
        <v>-3.762</v>
      </c>
      <c r="E293" s="189">
        <f ca="1">E292</f>
        <v>-6.0000000000000164E-2</v>
      </c>
      <c r="F293" s="157"/>
      <c r="G293" s="2" t="s">
        <v>35</v>
      </c>
      <c r="H293" s="188">
        <f ca="1">IF(G280&gt;=3,H282,H289)</f>
        <v>8888</v>
      </c>
      <c r="I293" s="189">
        <f ca="1">IF(G280&gt;=3,I292,I289)</f>
        <v>8887.35</v>
      </c>
      <c r="K293" s="188" t="s">
        <v>35</v>
      </c>
      <c r="L293" s="188">
        <f ca="1">IF(K280&gt;=3,L282,L289)</f>
        <v>-3.762</v>
      </c>
      <c r="M293" s="189">
        <f ca="1">IF(K280&gt;=3,M292,M289)</f>
        <v>-1.3099999999999998</v>
      </c>
      <c r="AA293" s="143" t="s">
        <v>35</v>
      </c>
      <c r="AB293" s="128">
        <f ca="1">IF($AA280,D293,AB286)</f>
        <v>-3.762</v>
      </c>
      <c r="AC293" s="129">
        <f ca="1">IF($AA280,E293,AC286)</f>
        <v>-6.0000000000000164E-2</v>
      </c>
      <c r="AD293" s="157"/>
      <c r="AE293" s="2" t="s">
        <v>35</v>
      </c>
      <c r="AF293" s="188">
        <f ca="1">IF($AE280,H293,AF286)</f>
        <v>8888</v>
      </c>
      <c r="AG293" s="196">
        <f ca="1">IF($AE280,I293,AG286)</f>
        <v>8887.35</v>
      </c>
      <c r="AI293" s="128" t="s">
        <v>35</v>
      </c>
      <c r="AJ293" s="128">
        <f ca="1">IF($AI280,L293,AJ286)</f>
        <v>-3.762</v>
      </c>
      <c r="AK293" s="129">
        <f ca="1">IF($AI280,M293,AK286)</f>
        <v>-1.3099999999999998</v>
      </c>
      <c r="AL293" s="156"/>
      <c r="AW293" s="128">
        <f t="shared" si="46"/>
        <v>580</v>
      </c>
      <c r="AX293" s="128">
        <f t="shared" ca="1" si="42"/>
        <v>-14.347000000000005</v>
      </c>
      <c r="AY293" s="129">
        <f t="shared" ca="1" si="43"/>
        <v>1.4960570012328709</v>
      </c>
      <c r="BB293" s="128">
        <f t="shared" ca="1" si="44"/>
        <v>-14.347000000000005</v>
      </c>
      <c r="BC293" s="129">
        <f t="shared" ca="1" si="45"/>
        <v>-1.4960570012328709</v>
      </c>
      <c r="BD293" s="157"/>
    </row>
    <row r="294" spans="2:56" ht="15" thickBot="1">
      <c r="B294" s="156"/>
      <c r="C294" s="130" t="s">
        <v>396</v>
      </c>
      <c r="D294" s="130">
        <f ca="1">D282</f>
        <v>-3.762</v>
      </c>
      <c r="E294" s="140">
        <f ca="1">E282</f>
        <v>1.3099999999999998</v>
      </c>
      <c r="F294" s="157"/>
      <c r="G294" s="192" t="s">
        <v>312</v>
      </c>
      <c r="H294" s="128">
        <f ca="1">IF(G280&gt;=4,H282,H293)</f>
        <v>8888</v>
      </c>
      <c r="I294" s="139">
        <f ca="1">IF(G280&gt;=4,I293-P275,I293)</f>
        <v>8887.35</v>
      </c>
      <c r="K294" s="130" t="s">
        <v>396</v>
      </c>
      <c r="L294" s="130">
        <f ca="1">L282</f>
        <v>-3.762</v>
      </c>
      <c r="M294" s="140">
        <f ca="1">M282</f>
        <v>-0.65999999999999981</v>
      </c>
      <c r="AA294" s="144" t="s">
        <v>396</v>
      </c>
      <c r="AB294" s="130">
        <f ca="1">IF($AA280,D294,AB286)</f>
        <v>-3.762</v>
      </c>
      <c r="AC294" s="132">
        <f ca="1">IF($AA280,E294,AC286)</f>
        <v>1.3099999999999998</v>
      </c>
      <c r="AD294" s="157"/>
      <c r="AE294" s="192" t="s">
        <v>312</v>
      </c>
      <c r="AF294" s="128">
        <f ca="1">IF($AE280,H294,AF286)</f>
        <v>8888</v>
      </c>
      <c r="AG294" s="129">
        <f ca="1">IF($AE280,I294,AG286)</f>
        <v>8887.35</v>
      </c>
      <c r="AI294" s="130" t="s">
        <v>396</v>
      </c>
      <c r="AJ294" s="130">
        <f ca="1">IF($AI280,L294,AJ286)</f>
        <v>-3.762</v>
      </c>
      <c r="AK294" s="132">
        <f ca="1">IF($AI280,M294,AK286)</f>
        <v>-0.65999999999999981</v>
      </c>
      <c r="AW294" s="128">
        <f t="shared" si="46"/>
        <v>581</v>
      </c>
      <c r="AX294" s="128">
        <f t="shared" ca="1" si="42"/>
        <v>-14.347000000000005</v>
      </c>
      <c r="AY294" s="129">
        <f t="shared" ca="1" si="43"/>
        <v>1.4960570012328709</v>
      </c>
      <c r="BB294" s="128">
        <f t="shared" ca="1" si="44"/>
        <v>-14.347000000000005</v>
      </c>
      <c r="BC294" s="129">
        <f t="shared" ca="1" si="45"/>
        <v>-1.4960570012328709</v>
      </c>
      <c r="BD294" s="157"/>
    </row>
    <row r="295" spans="2:56">
      <c r="B295" s="156"/>
      <c r="F295" s="157"/>
      <c r="G295" s="2" t="s">
        <v>313</v>
      </c>
      <c r="H295" s="128">
        <f ca="1">IF(G280&gt;=4,H283,H293)</f>
        <v>8888</v>
      </c>
      <c r="I295" s="139">
        <f ca="1">IF(G280&gt;=4,I294,I293)</f>
        <v>8887.35</v>
      </c>
      <c r="AD295" s="157"/>
      <c r="AE295" s="2" t="s">
        <v>313</v>
      </c>
      <c r="AF295" s="128">
        <f ca="1">IF($AE280,H295,AF286)</f>
        <v>8888</v>
      </c>
      <c r="AG295" s="129">
        <f ca="1">IF($AE280,I295,AG286)</f>
        <v>8887.35</v>
      </c>
      <c r="AW295" s="128">
        <f t="shared" si="46"/>
        <v>613</v>
      </c>
      <c r="AX295" s="128">
        <f t="shared" ca="1" si="42"/>
        <v>-14.962000000000005</v>
      </c>
      <c r="AY295" s="129">
        <f t="shared" ca="1" si="43"/>
        <v>1.4960570012328709</v>
      </c>
      <c r="BB295" s="128">
        <f t="shared" ca="1" si="44"/>
        <v>-14.962000000000005</v>
      </c>
      <c r="BC295" s="129">
        <f t="shared" ca="1" si="45"/>
        <v>-1.4960570012328709</v>
      </c>
      <c r="BD295" s="157"/>
    </row>
    <row r="296" spans="2:56">
      <c r="B296" s="156"/>
      <c r="F296" s="157"/>
      <c r="G296" s="2" t="s">
        <v>7</v>
      </c>
      <c r="H296" s="128">
        <f ca="1">IF(G280&gt;=4,H283,H293)</f>
        <v>8888</v>
      </c>
      <c r="I296" s="139">
        <f ca="1">IF(G280&gt;=4,I295-P273,I293)</f>
        <v>8887.35</v>
      </c>
      <c r="AD296" s="157"/>
      <c r="AE296" s="2" t="s">
        <v>7</v>
      </c>
      <c r="AF296" s="128">
        <f ca="1">IF($AE280,H296,AF286)</f>
        <v>8888</v>
      </c>
      <c r="AG296" s="129">
        <f ca="1">IF($AE280,I296,AG286)</f>
        <v>8887.35</v>
      </c>
      <c r="AW296" s="128">
        <f t="shared" si="46"/>
        <v>614</v>
      </c>
      <c r="AX296" s="128">
        <f t="shared" ca="1" si="42"/>
        <v>-15.147000000000006</v>
      </c>
      <c r="AY296" s="129">
        <f t="shared" ca="1" si="43"/>
        <v>1.4960570012328709</v>
      </c>
      <c r="BB296" s="128">
        <f t="shared" ca="1" si="44"/>
        <v>-15.147000000000006</v>
      </c>
      <c r="BC296" s="129">
        <f t="shared" ca="1" si="45"/>
        <v>-1.4960570012328709</v>
      </c>
      <c r="BD296" s="157"/>
    </row>
    <row r="297" spans="2:56">
      <c r="B297" s="156"/>
      <c r="F297" s="157"/>
      <c r="G297" s="115" t="s">
        <v>8</v>
      </c>
      <c r="H297" s="188">
        <f ca="1">IF(G280&gt;=4,H282,H293)</f>
        <v>8888</v>
      </c>
      <c r="I297" s="189">
        <f ca="1">IF(G280&gt;=4,I296,I293)</f>
        <v>8887.35</v>
      </c>
      <c r="AD297" s="157"/>
      <c r="AE297" s="115" t="s">
        <v>8</v>
      </c>
      <c r="AF297" s="188">
        <f ca="1">IF($AE280,H297,AF286)</f>
        <v>8888</v>
      </c>
      <c r="AG297" s="196">
        <f ca="1">IF($AE280,I297,AG286)</f>
        <v>8887.35</v>
      </c>
      <c r="AW297" s="128">
        <f t="shared" si="46"/>
        <v>615</v>
      </c>
      <c r="AX297" s="128">
        <f t="shared" ca="1" si="42"/>
        <v>-15.147000000000006</v>
      </c>
      <c r="AY297" s="129">
        <f t="shared" ca="1" si="43"/>
        <v>1.4960570012328709</v>
      </c>
      <c r="BB297" s="128">
        <f t="shared" ca="1" si="44"/>
        <v>-15.147000000000006</v>
      </c>
      <c r="BC297" s="129">
        <f t="shared" ca="1" si="45"/>
        <v>-1.4960570012328709</v>
      </c>
      <c r="BD297" s="157"/>
    </row>
    <row r="298" spans="2:56">
      <c r="B298" s="156"/>
      <c r="F298" s="157"/>
      <c r="G298" s="2" t="s">
        <v>9</v>
      </c>
      <c r="H298" s="128">
        <f ca="1">IF(G280&gt;=5,H282,H297)</f>
        <v>8888</v>
      </c>
      <c r="I298" s="139">
        <f ca="1">IF(G280&gt;=5,I297-P275,I297)</f>
        <v>8887.35</v>
      </c>
      <c r="AD298" s="157"/>
      <c r="AE298" s="2" t="s">
        <v>9</v>
      </c>
      <c r="AF298" s="128">
        <f ca="1">IF($AE280,H298,AF286)</f>
        <v>8888</v>
      </c>
      <c r="AG298" s="129">
        <f ca="1">IF($AE280,I298,AG286)</f>
        <v>8887.35</v>
      </c>
      <c r="AW298" s="128">
        <f t="shared" si="46"/>
        <v>616</v>
      </c>
      <c r="AX298" s="128">
        <f t="shared" ca="1" si="42"/>
        <v>-15.147000000000006</v>
      </c>
      <c r="AY298" s="129">
        <f t="shared" ca="1" si="43"/>
        <v>1.4960570012328709</v>
      </c>
      <c r="BB298" s="128">
        <f t="shared" ca="1" si="44"/>
        <v>-15.147000000000006</v>
      </c>
      <c r="BC298" s="129">
        <f t="shared" ca="1" si="45"/>
        <v>-1.4960570012328709</v>
      </c>
      <c r="BD298" s="157"/>
    </row>
    <row r="299" spans="2:56">
      <c r="B299" s="156"/>
      <c r="F299" s="157"/>
      <c r="G299" s="2" t="s">
        <v>196</v>
      </c>
      <c r="H299" s="128">
        <f ca="1">IF(G280&gt;=5,H283,H297)</f>
        <v>8888</v>
      </c>
      <c r="I299" s="139">
        <f ca="1">IF(G280&gt;=5,I298,I297)</f>
        <v>8887.35</v>
      </c>
      <c r="AD299" s="157"/>
      <c r="AE299" s="2" t="s">
        <v>196</v>
      </c>
      <c r="AF299" s="128">
        <f ca="1">IF($AE280,H299,AF286)</f>
        <v>8888</v>
      </c>
      <c r="AG299" s="129">
        <f ca="1">IF($AE280,I299,AG286)</f>
        <v>8887.35</v>
      </c>
      <c r="AW299" s="128">
        <f t="shared" si="46"/>
        <v>617</v>
      </c>
      <c r="AX299" s="128">
        <f t="shared" ca="1" si="42"/>
        <v>-15.147000000000006</v>
      </c>
      <c r="AY299" s="129">
        <f t="shared" ca="1" si="43"/>
        <v>1.4960570012328709</v>
      </c>
      <c r="BB299" s="128">
        <f t="shared" ca="1" si="44"/>
        <v>-15.147000000000006</v>
      </c>
      <c r="BC299" s="129">
        <f t="shared" ca="1" si="45"/>
        <v>-1.4960570012328709</v>
      </c>
      <c r="BD299" s="157"/>
    </row>
    <row r="300" spans="2:56">
      <c r="B300" s="156"/>
      <c r="F300" s="157"/>
      <c r="G300" s="2" t="s">
        <v>10</v>
      </c>
      <c r="H300" s="128">
        <f ca="1">IF(G280&gt;=5,H283,H297)</f>
        <v>8888</v>
      </c>
      <c r="I300" s="139">
        <f ca="1">IF(G280&gt;=5,I299-P273,I297)</f>
        <v>8887.35</v>
      </c>
      <c r="AD300" s="157"/>
      <c r="AE300" s="2" t="s">
        <v>10</v>
      </c>
      <c r="AF300" s="128">
        <f ca="1">IF($AE280,H300,AF286)</f>
        <v>8888</v>
      </c>
      <c r="AG300" s="129">
        <f ca="1">IF($AE280,I300,AG286)</f>
        <v>8887.35</v>
      </c>
      <c r="AW300" s="128">
        <f t="shared" si="46"/>
        <v>649</v>
      </c>
      <c r="AX300" s="128">
        <f t="shared" ca="1" si="42"/>
        <v>-15.762000000000006</v>
      </c>
      <c r="AY300" s="129">
        <f t="shared" ca="1" si="43"/>
        <v>1.4960570012328709</v>
      </c>
      <c r="BB300" s="128">
        <f t="shared" ca="1" si="44"/>
        <v>-15.762000000000006</v>
      </c>
      <c r="BC300" s="129">
        <f t="shared" ca="1" si="45"/>
        <v>-1.4960570012328709</v>
      </c>
      <c r="BD300" s="157"/>
    </row>
    <row r="301" spans="2:56">
      <c r="B301" s="156"/>
      <c r="F301" s="157"/>
      <c r="G301" s="2" t="s">
        <v>161</v>
      </c>
      <c r="H301" s="188">
        <f ca="1">IF(G280&gt;=5,H282,H297)</f>
        <v>8888</v>
      </c>
      <c r="I301" s="189">
        <f ca="1">IF(G280&gt;=5,I300,I297)</f>
        <v>8887.35</v>
      </c>
      <c r="AD301" s="157"/>
      <c r="AE301" s="2" t="s">
        <v>161</v>
      </c>
      <c r="AF301" s="188">
        <f ca="1">IF($AE280,H301,AF286)</f>
        <v>8888</v>
      </c>
      <c r="AG301" s="196">
        <f ca="1">IF($AE280,I301,AG286)</f>
        <v>8887.35</v>
      </c>
      <c r="AW301" s="128">
        <f t="shared" si="46"/>
        <v>650</v>
      </c>
      <c r="AX301" s="128">
        <f t="shared" ca="1" si="42"/>
        <v>-15.947000000000006</v>
      </c>
      <c r="AY301" s="129">
        <f t="shared" ca="1" si="43"/>
        <v>1.4960570012328709</v>
      </c>
      <c r="BB301" s="128">
        <f t="shared" ca="1" si="44"/>
        <v>-15.947000000000006</v>
      </c>
      <c r="BC301" s="129">
        <f t="shared" ca="1" si="45"/>
        <v>-1.4960570012328709</v>
      </c>
      <c r="BD301" s="157"/>
    </row>
    <row r="302" spans="2:56">
      <c r="B302" s="156"/>
      <c r="F302" s="157"/>
      <c r="G302" s="192" t="s">
        <v>11</v>
      </c>
      <c r="H302" s="128">
        <f ca="1">IF(G280&gt;=6,H282,H301)</f>
        <v>8888</v>
      </c>
      <c r="I302" s="139">
        <f ca="1">IF(G280&gt;=6,I301-P275,I301)</f>
        <v>8887.35</v>
      </c>
      <c r="AD302" s="157"/>
      <c r="AE302" s="192" t="s">
        <v>11</v>
      </c>
      <c r="AF302" s="128">
        <f ca="1">IF($AE280,H302,AF286)</f>
        <v>8888</v>
      </c>
      <c r="AG302" s="129">
        <f ca="1">IF($AE280,I302,AG286)</f>
        <v>8887.35</v>
      </c>
      <c r="AW302" s="128">
        <f t="shared" si="46"/>
        <v>651</v>
      </c>
      <c r="AX302" s="128">
        <f t="shared" ca="1" si="42"/>
        <v>-15.947000000000006</v>
      </c>
      <c r="AY302" s="129">
        <f t="shared" ca="1" si="43"/>
        <v>1.4960570012328709</v>
      </c>
      <c r="BB302" s="128">
        <f t="shared" ca="1" si="44"/>
        <v>-15.947000000000006</v>
      </c>
      <c r="BC302" s="129">
        <f t="shared" ca="1" si="45"/>
        <v>-1.4960570012328709</v>
      </c>
      <c r="BD302" s="157"/>
    </row>
    <row r="303" spans="2:56">
      <c r="B303" s="156"/>
      <c r="F303" s="157"/>
      <c r="G303" s="2" t="s">
        <v>12</v>
      </c>
      <c r="H303" s="128">
        <f ca="1">IF(G280&gt;=6,H283,H301)</f>
        <v>8888</v>
      </c>
      <c r="I303" s="139">
        <f ca="1">IF(G280&gt;=6,I302,I301)</f>
        <v>8887.35</v>
      </c>
      <c r="AD303" s="157"/>
      <c r="AE303" s="2" t="s">
        <v>12</v>
      </c>
      <c r="AF303" s="128">
        <f ca="1">IF($AE280,H303,AF286)</f>
        <v>8888</v>
      </c>
      <c r="AG303" s="129">
        <f ca="1">IF($AE280,I303,AG286)</f>
        <v>8887.35</v>
      </c>
      <c r="AW303" s="128">
        <f t="shared" si="46"/>
        <v>652</v>
      </c>
      <c r="AX303" s="128">
        <f t="shared" ca="1" si="42"/>
        <v>-15.947000000000006</v>
      </c>
      <c r="AY303" s="129">
        <f t="shared" ca="1" si="43"/>
        <v>1.4960570012328709</v>
      </c>
      <c r="BB303" s="128">
        <f t="shared" ca="1" si="44"/>
        <v>-15.947000000000006</v>
      </c>
      <c r="BC303" s="129">
        <f t="shared" ca="1" si="45"/>
        <v>-1.4960570012328709</v>
      </c>
      <c r="BD303" s="157"/>
    </row>
    <row r="304" spans="2:56">
      <c r="B304" s="156"/>
      <c r="F304" s="157"/>
      <c r="G304" s="2" t="s">
        <v>13</v>
      </c>
      <c r="H304" s="128">
        <f ca="1">IF(G280&gt;=6,H283,H301)</f>
        <v>8888</v>
      </c>
      <c r="I304" s="139">
        <f ca="1">IF(G280&gt;=6,I303-P273,I301)</f>
        <v>8887.35</v>
      </c>
      <c r="AD304" s="157"/>
      <c r="AE304" s="2" t="s">
        <v>13</v>
      </c>
      <c r="AF304" s="128">
        <f ca="1">IF($AE280,H304,AF286)</f>
        <v>8888</v>
      </c>
      <c r="AG304" s="129">
        <f ca="1">IF($AE280,I304,AG286)</f>
        <v>8887.35</v>
      </c>
      <c r="AW304" s="128">
        <f t="shared" si="46"/>
        <v>653</v>
      </c>
      <c r="AX304" s="128">
        <f t="shared" ca="1" si="42"/>
        <v>-15.947000000000006</v>
      </c>
      <c r="AY304" s="129">
        <f t="shared" ca="1" si="43"/>
        <v>1.4960570012328709</v>
      </c>
      <c r="BB304" s="128">
        <f t="shared" ca="1" si="44"/>
        <v>-15.947000000000006</v>
      </c>
      <c r="BC304" s="129">
        <f t="shared" ca="1" si="45"/>
        <v>-1.4960570012328709</v>
      </c>
      <c r="BD304" s="157"/>
    </row>
    <row r="305" spans="2:56">
      <c r="B305" s="156"/>
      <c r="F305" s="157"/>
      <c r="G305" s="115" t="s">
        <v>14</v>
      </c>
      <c r="H305" s="188">
        <f ca="1">IF(G280&gt;=6,H282,H301)</f>
        <v>8888</v>
      </c>
      <c r="I305" s="189">
        <f ca="1">IF(G280&gt;=6,I304,I301)</f>
        <v>8887.35</v>
      </c>
      <c r="AD305" s="157"/>
      <c r="AE305" s="115" t="s">
        <v>14</v>
      </c>
      <c r="AF305" s="188">
        <f ca="1">IF($AE280,H305,AF286)</f>
        <v>8888</v>
      </c>
      <c r="AG305" s="196">
        <f ca="1">IF($AE280,I305,AG286)</f>
        <v>8887.35</v>
      </c>
      <c r="AW305" s="128">
        <f t="shared" si="46"/>
        <v>685</v>
      </c>
      <c r="AX305" s="128">
        <f t="shared" ca="1" si="42"/>
        <v>-16.562000000000005</v>
      </c>
      <c r="AY305" s="129">
        <f t="shared" ca="1" si="43"/>
        <v>1.4960570012328709</v>
      </c>
      <c r="BB305" s="128">
        <f t="shared" ca="1" si="44"/>
        <v>-16.562000000000005</v>
      </c>
      <c r="BC305" s="129">
        <f t="shared" ca="1" si="45"/>
        <v>-1.4960570012328709</v>
      </c>
      <c r="BD305" s="157"/>
    </row>
    <row r="306" spans="2:56" ht="15" thickBot="1">
      <c r="B306" s="156"/>
      <c r="G306" s="130" t="s">
        <v>396</v>
      </c>
      <c r="H306" s="130">
        <f ca="1">H282</f>
        <v>8888</v>
      </c>
      <c r="I306" s="140">
        <f ca="1">I282</f>
        <v>8888</v>
      </c>
      <c r="AE306" s="130" t="s">
        <v>396</v>
      </c>
      <c r="AF306" s="130">
        <f ca="1">IF($AE280,H306,AF286)</f>
        <v>8888</v>
      </c>
      <c r="AG306" s="132">
        <f ca="1">IF($AE280,I306,AG286)</f>
        <v>8888</v>
      </c>
      <c r="AW306" s="128">
        <f t="shared" si="46"/>
        <v>686</v>
      </c>
      <c r="AX306" s="128">
        <f t="shared" ca="1" si="42"/>
        <v>-16.562000000000005</v>
      </c>
      <c r="AY306" s="129">
        <f t="shared" ca="1" si="43"/>
        <v>1.4960570012328709</v>
      </c>
      <c r="BB306" s="128">
        <f t="shared" ca="1" si="44"/>
        <v>-16.562000000000005</v>
      </c>
      <c r="BC306" s="129">
        <f t="shared" ca="1" si="45"/>
        <v>-1.4960570012328709</v>
      </c>
      <c r="BD306" s="157"/>
    </row>
    <row r="307" spans="2:56">
      <c r="B307" s="156"/>
      <c r="AW307" s="128">
        <f t="shared" si="46"/>
        <v>687</v>
      </c>
      <c r="AX307" s="128">
        <f t="shared" ca="1" si="42"/>
        <v>-16.562000000000005</v>
      </c>
      <c r="AY307" s="129">
        <f t="shared" ca="1" si="43"/>
        <v>1.4960570012328709</v>
      </c>
      <c r="BB307" s="128">
        <f t="shared" ca="1" si="44"/>
        <v>-16.562000000000005</v>
      </c>
      <c r="BC307" s="129">
        <f t="shared" ca="1" si="45"/>
        <v>-1.4960570012328709</v>
      </c>
      <c r="BD307" s="157"/>
    </row>
    <row r="308" spans="2:56">
      <c r="B308" s="156"/>
      <c r="AW308" s="128">
        <f t="shared" si="46"/>
        <v>688</v>
      </c>
      <c r="AX308" s="128">
        <f t="shared" ca="1" si="42"/>
        <v>-16.562000000000005</v>
      </c>
      <c r="AY308" s="129">
        <f t="shared" ca="1" si="43"/>
        <v>1.4960570012328709</v>
      </c>
      <c r="BB308" s="128">
        <f t="shared" ca="1" si="44"/>
        <v>-16.562000000000005</v>
      </c>
      <c r="BC308" s="129">
        <f t="shared" ca="1" si="45"/>
        <v>-1.4960570012328709</v>
      </c>
      <c r="BD308" s="157"/>
    </row>
    <row r="309" spans="2:56">
      <c r="B309" s="156"/>
      <c r="C309" s="200" t="s">
        <v>336</v>
      </c>
      <c r="D309">
        <f>D273+1</f>
        <v>4</v>
      </c>
      <c r="G309" s="200" t="s">
        <v>638</v>
      </c>
      <c r="H309">
        <f ca="1">LOOKUP(D312,$C$191:$C$196,$D$191:$D$196)</f>
        <v>0</v>
      </c>
      <c r="K309" s="200" t="s">
        <v>644</v>
      </c>
      <c r="L309">
        <f ca="1">L273-H314</f>
        <v>-4.5620000000000003</v>
      </c>
      <c r="O309" s="200" t="s">
        <v>404</v>
      </c>
      <c r="P309">
        <f ca="1">IF(D311=1,SEAT_w_cushion_FC,IF(D311=2,SEAT_w_cushion_BC,IF(D311=3,SEAT_w_cushion_YC,0)))</f>
        <v>0.5</v>
      </c>
      <c r="S309" s="200" t="s">
        <v>647</v>
      </c>
      <c r="T309">
        <f ca="1">LOOKUP(D312,$C$191:$C$196,$E$191:$E$196)</f>
        <v>0</v>
      </c>
      <c r="W309" t="s">
        <v>130</v>
      </c>
      <c r="X309" t="str">
        <f ca="1">OFFSET(Fuselage!$B$275,D309,5)</f>
        <v>None</v>
      </c>
      <c r="AN309" s="200" t="s">
        <v>135</v>
      </c>
      <c r="AO309">
        <f ca="1">MAX(0,H314-MAX(T309,T311,T313,P310)-X310)</f>
        <v>0.37000000000000005</v>
      </c>
      <c r="AW309" s="128">
        <f t="shared" si="46"/>
        <v>689</v>
      </c>
      <c r="AX309" s="128">
        <f t="shared" ca="1" si="42"/>
        <v>-16.562000000000005</v>
      </c>
      <c r="AY309" s="129">
        <f t="shared" ca="1" si="43"/>
        <v>1.4960570012328709</v>
      </c>
      <c r="BB309" s="128">
        <f t="shared" ca="1" si="44"/>
        <v>-16.562000000000005</v>
      </c>
      <c r="BC309" s="129">
        <f t="shared" ca="1" si="45"/>
        <v>-1.4960570012328709</v>
      </c>
      <c r="BD309" s="157"/>
    </row>
    <row r="310" spans="2:56">
      <c r="B310" s="156"/>
      <c r="C310" s="200" t="s">
        <v>200</v>
      </c>
      <c r="D310">
        <f ca="1">OFFSET(Fuselage!$B$275,D309,0)</f>
        <v>3</v>
      </c>
      <c r="G310" s="200" t="s">
        <v>639</v>
      </c>
      <c r="H310">
        <f ca="1">LOOKUP(D313,$C$191:$C$196,$D$191:$D$196)</f>
        <v>0</v>
      </c>
      <c r="O310" s="200" t="s">
        <v>535</v>
      </c>
      <c r="P310">
        <f ca="1">IF(D311=1,SEAT_length_FC,IF(D311=2,SEAT_length_BC,IF(D311=3,SEAT_length_YC,0)))</f>
        <v>0.43</v>
      </c>
      <c r="S310" s="200" t="s">
        <v>648</v>
      </c>
      <c r="T310">
        <f ca="1">LOOKUP(D312,$C$191:$C$196,$F$191:$F$196)</f>
        <v>0</v>
      </c>
      <c r="W310" t="s">
        <v>131</v>
      </c>
      <c r="X310">
        <f ca="1">LOOKUP(X309,$I$191:$I$198,$J$191:$J$198)</f>
        <v>0</v>
      </c>
      <c r="AW310" s="128">
        <f t="shared" si="46"/>
        <v>721</v>
      </c>
      <c r="AX310" s="128">
        <f t="shared" ca="1" si="42"/>
        <v>-16.562000000000005</v>
      </c>
      <c r="AY310" s="129">
        <f t="shared" ca="1" si="43"/>
        <v>1.4960570012328709</v>
      </c>
      <c r="BB310" s="128">
        <f t="shared" ca="1" si="44"/>
        <v>-16.562000000000005</v>
      </c>
      <c r="BC310" s="129">
        <f t="shared" ca="1" si="45"/>
        <v>-1.4960570012328709</v>
      </c>
      <c r="BD310" s="157"/>
    </row>
    <row r="311" spans="2:56">
      <c r="B311" s="156"/>
      <c r="C311" s="200" t="s">
        <v>337</v>
      </c>
      <c r="D311">
        <f ca="1">OFFSET(Fuselage!$B$275,D309,4)</f>
        <v>3</v>
      </c>
      <c r="G311" s="200" t="s">
        <v>309</v>
      </c>
      <c r="H311">
        <f ca="1">LOOKUP(D314,$C$191:$C$196,$D$191:$D$196)</f>
        <v>0</v>
      </c>
      <c r="K311" s="200" t="s">
        <v>645</v>
      </c>
      <c r="L311">
        <f ca="1">IF(D311=1,FUSELAGE_nseats_left_FC,IF(D311=2,FUSELAGE_nseats_left_BC,IF(D311=3,FUSELAGE_nseats_left_YC,0)))</f>
        <v>2</v>
      </c>
      <c r="O311" s="200" t="s">
        <v>405</v>
      </c>
      <c r="P311">
        <f ca="1">IF(D311=1,SEAT_w_armrest_FC,IF(D311=2,SEAT_w_armrest_BC,IF(D311=3,SEAT_w_armrest_YC,0)))</f>
        <v>0.06</v>
      </c>
      <c r="S311" s="200" t="s">
        <v>652</v>
      </c>
      <c r="T311">
        <f ca="1">LOOKUP(D313,$C$191:$C$196,$E$191:$E$196)</f>
        <v>0</v>
      </c>
      <c r="W311" s="200" t="s">
        <v>393</v>
      </c>
      <c r="X311" t="b">
        <f ca="1">IF(OFFSET(Fuselage!$B$275,D309,6)="YES",TRUE(),FALSE())</f>
        <v>0</v>
      </c>
      <c r="AW311" s="128">
        <f t="shared" si="46"/>
        <v>722</v>
      </c>
      <c r="AX311" s="128">
        <f t="shared" ca="1" si="42"/>
        <v>-16.562000000000005</v>
      </c>
      <c r="AY311" s="129">
        <f t="shared" ca="1" si="43"/>
        <v>1.4960570012328709</v>
      </c>
      <c r="BB311" s="128">
        <f t="shared" ca="1" si="44"/>
        <v>-16.562000000000005</v>
      </c>
      <c r="BC311" s="129">
        <f t="shared" ca="1" si="45"/>
        <v>-1.4960570012328709</v>
      </c>
      <c r="BD311" s="157"/>
    </row>
    <row r="312" spans="2:56">
      <c r="B312" s="156"/>
      <c r="C312" s="200" t="s">
        <v>640</v>
      </c>
      <c r="D312" t="str">
        <f ca="1">OFFSET(Fuselage!$B$275,D309,1)</f>
        <v>None</v>
      </c>
      <c r="G312" s="200" t="s">
        <v>132</v>
      </c>
      <c r="H312">
        <f ca="1">IF(D311=1,SEAT_pitch_FC,IF(D311=2,SEAT_pitch_BC,IF(D311=3,SEAT_pitch_YC,0)))</f>
        <v>0.8</v>
      </c>
      <c r="K312" s="200" t="s">
        <v>646</v>
      </c>
      <c r="L312">
        <f ca="1">IF(D311=1,FUSELAGE_nseats_middle_FC,IF(D311=2,FUSELAGE_nseats_middle_BC,IF(D311=3,FUSELAGE_nseats_middle_YC,0)))</f>
        <v>0</v>
      </c>
      <c r="S312" s="200" t="s">
        <v>653</v>
      </c>
      <c r="T312">
        <f ca="1">LOOKUP(D313,$C$191:$C$196,$F$191:$F$196)</f>
        <v>0</v>
      </c>
      <c r="AW312" s="128">
        <f t="shared" si="46"/>
        <v>723</v>
      </c>
      <c r="AX312" s="128">
        <f t="shared" ca="1" si="42"/>
        <v>-16.562000000000005</v>
      </c>
      <c r="AY312" s="129">
        <f t="shared" ca="1" si="43"/>
        <v>1.4960570012328709</v>
      </c>
      <c r="BB312" s="128">
        <f t="shared" ca="1" si="44"/>
        <v>-16.562000000000005</v>
      </c>
      <c r="BC312" s="129">
        <f t="shared" ca="1" si="45"/>
        <v>-1.4960570012328709</v>
      </c>
      <c r="BD312" s="157"/>
    </row>
    <row r="313" spans="2:56">
      <c r="B313" s="156"/>
      <c r="C313" s="200" t="s">
        <v>642</v>
      </c>
      <c r="D313" t="str">
        <f ca="1">OFFSET(Fuselage!$B$275,D309,2)</f>
        <v>None</v>
      </c>
      <c r="G313" s="200" t="s">
        <v>129</v>
      </c>
      <c r="H313">
        <f ca="1">IF(OR(X309="Type A",X309="Type B"),MAX(H309:H312)+42*0.0254,IF(X309="Type C",MAX(H309:H312)+X310,IF(X309&lt;&gt;"None",24*0.0254,0)))</f>
        <v>0</v>
      </c>
      <c r="K313" s="200" t="s">
        <v>655</v>
      </c>
      <c r="L313">
        <f ca="1">IF(D311=1,FUSELAGE_nseats_right_FC,IF(D311=2,FUSELAGE_nseats_right_BC,IF(D311=3,FUSELAGE_nseats_right_YC,0)))</f>
        <v>2</v>
      </c>
      <c r="O313" s="200" t="s">
        <v>407</v>
      </c>
      <c r="P313">
        <f ca="1">($C$13-(L311+L312+L313)*(P309+P311)+(FUSELAGE_n_aisles-1)*P311)/FUSELAGE_n_aisles</f>
        <v>0.51999999999999957</v>
      </c>
      <c r="S313" s="200" t="s">
        <v>651</v>
      </c>
      <c r="T313">
        <f ca="1">LOOKUP(D314,$C$191:$C$196,$E$191:$E$196)</f>
        <v>0</v>
      </c>
      <c r="AW313" s="128">
        <f t="shared" si="46"/>
        <v>724</v>
      </c>
      <c r="AX313" s="128">
        <f t="shared" ca="1" si="42"/>
        <v>-16.562000000000005</v>
      </c>
      <c r="AY313" s="129">
        <f t="shared" ca="1" si="43"/>
        <v>1.4960570012328709</v>
      </c>
      <c r="BB313" s="128">
        <f t="shared" ca="1" si="44"/>
        <v>-16.562000000000005</v>
      </c>
      <c r="BC313" s="129">
        <f t="shared" ca="1" si="45"/>
        <v>-1.4960570012328709</v>
      </c>
      <c r="BD313" s="157"/>
    </row>
    <row r="314" spans="2:56">
      <c r="B314" s="156"/>
      <c r="C314" s="200" t="s">
        <v>641</v>
      </c>
      <c r="D314" t="str">
        <f ca="1">OFFSET(Fuselage!$B$275,D309,3)</f>
        <v>None</v>
      </c>
      <c r="G314" s="200" t="s">
        <v>643</v>
      </c>
      <c r="H314">
        <f ca="1">MAX(H309:H313)</f>
        <v>0.8</v>
      </c>
      <c r="S314" s="200" t="s">
        <v>654</v>
      </c>
      <c r="T314">
        <f ca="1">LOOKUP(D314,$C$191:$C$196,$F$191:$F$196)</f>
        <v>0</v>
      </c>
      <c r="AW314" s="128">
        <f t="shared" si="46"/>
        <v>725</v>
      </c>
      <c r="AX314" s="128">
        <f t="shared" ca="1" si="42"/>
        <v>-16.562000000000005</v>
      </c>
      <c r="AY314" s="129">
        <f t="shared" ca="1" si="43"/>
        <v>1.4960570012328709</v>
      </c>
      <c r="BB314" s="128">
        <f t="shared" ca="1" si="44"/>
        <v>-16.562000000000005</v>
      </c>
      <c r="BC314" s="129">
        <f t="shared" ca="1" si="45"/>
        <v>-1.4960570012328709</v>
      </c>
      <c r="BD314" s="157"/>
    </row>
    <row r="315" spans="2:56" ht="15" thickBot="1">
      <c r="B315" s="156"/>
      <c r="AW315" s="128">
        <f t="shared" si="46"/>
        <v>757</v>
      </c>
      <c r="AX315" s="128">
        <f t="shared" ca="1" si="42"/>
        <v>-16.562000000000005</v>
      </c>
      <c r="AY315" s="129">
        <f t="shared" ca="1" si="43"/>
        <v>1.4960570012328709</v>
      </c>
      <c r="BB315" s="128">
        <f t="shared" ca="1" si="44"/>
        <v>-16.562000000000005</v>
      </c>
      <c r="BC315" s="129">
        <f t="shared" ca="1" si="45"/>
        <v>-1.4960570012328709</v>
      </c>
      <c r="BD315" s="157"/>
    </row>
    <row r="316" spans="2:56" ht="15" thickBot="1">
      <c r="B316" s="156"/>
      <c r="C316" s="141">
        <f ca="1">L313</f>
        <v>2</v>
      </c>
      <c r="D316" s="197" t="str">
        <f ca="1">IF($D311=1,"FC",IF($D311=2,"BC",IF($D311=3,"YC","Nothing")))</f>
        <v>YC</v>
      </c>
      <c r="E316" s="198"/>
      <c r="G316" s="141">
        <f ca="1">L312</f>
        <v>0</v>
      </c>
      <c r="H316" s="197" t="str">
        <f ca="1">IF($D311=1,"FC",IF($D311=2,"BC",IF($D311=3,"YC","Nothing")))</f>
        <v>YC</v>
      </c>
      <c r="I316" s="198"/>
      <c r="K316" s="141">
        <f ca="1" xml:space="preserve"> L311</f>
        <v>2</v>
      </c>
      <c r="L316" s="197" t="str">
        <f ca="1">IF($D311=1,"FC",IF($D311=2,"BC",IF($D311=3,"YC","Nothing")))</f>
        <v>YC</v>
      </c>
      <c r="M316" s="198"/>
      <c r="O316" s="141">
        <f ca="1">IF($D314&lt;&gt;"None",1,0)</f>
        <v>0</v>
      </c>
      <c r="P316" s="326" t="s">
        <v>380</v>
      </c>
      <c r="Q316" s="327"/>
      <c r="S316" s="141">
        <f ca="1">IF($D313&lt;&gt;"None",1,0)</f>
        <v>0</v>
      </c>
      <c r="T316" s="326" t="s">
        <v>381</v>
      </c>
      <c r="U316" s="327"/>
      <c r="W316" s="141">
        <f ca="1">IF($D312&lt;&gt;"None",1,0)</f>
        <v>0</v>
      </c>
      <c r="X316" s="326" t="s">
        <v>382</v>
      </c>
      <c r="Y316" s="327"/>
      <c r="AA316" s="141">
        <f ca="1">IF($D314="None",1,0)</f>
        <v>1</v>
      </c>
      <c r="AB316" s="326" t="str">
        <f ca="1">IF(AA316,D316,$D314)</f>
        <v>YC</v>
      </c>
      <c r="AC316" s="327"/>
      <c r="AE316" s="141">
        <f ca="1">IF($D313="None",1,0)</f>
        <v>1</v>
      </c>
      <c r="AF316" s="326" t="str">
        <f ca="1">IF(AE316,H316,$D313)</f>
        <v>YC</v>
      </c>
      <c r="AG316" s="327"/>
      <c r="AI316" s="141">
        <f ca="1">IF($D312="None",1,0)</f>
        <v>1</v>
      </c>
      <c r="AJ316" s="326" t="str">
        <f ca="1">IF(AI316,L316,$D312)</f>
        <v>YC</v>
      </c>
      <c r="AK316" s="327"/>
      <c r="AM316" s="141">
        <f ca="1">IF($X309="None",0,1)</f>
        <v>0</v>
      </c>
      <c r="AN316" s="197" t="s">
        <v>133</v>
      </c>
      <c r="AO316" s="198"/>
      <c r="AQ316" s="141">
        <f ca="1">IF($X309="None",0,1)</f>
        <v>0</v>
      </c>
      <c r="AR316" s="197" t="s">
        <v>134</v>
      </c>
      <c r="AS316" s="198"/>
      <c r="AW316" s="128">
        <f t="shared" si="46"/>
        <v>758</v>
      </c>
      <c r="AX316" s="128">
        <f t="shared" ca="1" si="42"/>
        <v>-16.562000000000005</v>
      </c>
      <c r="AY316" s="129">
        <f t="shared" ca="1" si="43"/>
        <v>1.4960570012328709</v>
      </c>
      <c r="BB316" s="128">
        <f t="shared" ca="1" si="44"/>
        <v>-16.562000000000005</v>
      </c>
      <c r="BC316" s="129">
        <f t="shared" ca="1" si="45"/>
        <v>-1.4960570012328709</v>
      </c>
      <c r="BD316" s="157"/>
    </row>
    <row r="317" spans="2:56" ht="15" thickBot="1">
      <c r="B317" s="156"/>
      <c r="C317" s="136" t="s">
        <v>452</v>
      </c>
      <c r="D317" s="136" t="s">
        <v>384</v>
      </c>
      <c r="E317" s="138" t="s">
        <v>385</v>
      </c>
      <c r="G317" s="136" t="s">
        <v>452</v>
      </c>
      <c r="H317" s="136" t="s">
        <v>384</v>
      </c>
      <c r="I317" s="138" t="s">
        <v>385</v>
      </c>
      <c r="K317" s="193" t="s">
        <v>452</v>
      </c>
      <c r="L317" s="193" t="s">
        <v>384</v>
      </c>
      <c r="M317" s="194" t="s">
        <v>385</v>
      </c>
      <c r="O317" s="136" t="s">
        <v>452</v>
      </c>
      <c r="P317" s="136" t="s">
        <v>384</v>
      </c>
      <c r="Q317" s="138" t="s">
        <v>385</v>
      </c>
      <c r="S317" s="136" t="s">
        <v>452</v>
      </c>
      <c r="T317" s="136" t="s">
        <v>384</v>
      </c>
      <c r="U317" s="138" t="s">
        <v>385</v>
      </c>
      <c r="W317" s="136" t="s">
        <v>452</v>
      </c>
      <c r="X317" s="136" t="s">
        <v>384</v>
      </c>
      <c r="Y317" s="138" t="s">
        <v>385</v>
      </c>
      <c r="AA317" s="136" t="s">
        <v>452</v>
      </c>
      <c r="AB317" s="136" t="s">
        <v>384</v>
      </c>
      <c r="AC317" s="138" t="s">
        <v>385</v>
      </c>
      <c r="AE317" s="136" t="s">
        <v>452</v>
      </c>
      <c r="AF317" s="136" t="s">
        <v>384</v>
      </c>
      <c r="AG317" s="138" t="s">
        <v>385</v>
      </c>
      <c r="AI317" s="193" t="s">
        <v>452</v>
      </c>
      <c r="AJ317" s="193" t="s">
        <v>384</v>
      </c>
      <c r="AK317" s="194" t="s">
        <v>385</v>
      </c>
      <c r="AM317" s="193" t="s">
        <v>452</v>
      </c>
      <c r="AN317" s="193" t="s">
        <v>384</v>
      </c>
      <c r="AO317" s="194" t="s">
        <v>385</v>
      </c>
      <c r="AQ317" s="193" t="s">
        <v>452</v>
      </c>
      <c r="AR317" s="193" t="s">
        <v>384</v>
      </c>
      <c r="AS317" s="194" t="s">
        <v>385</v>
      </c>
      <c r="AW317" s="128">
        <f t="shared" si="46"/>
        <v>759</v>
      </c>
      <c r="AX317" s="128">
        <f t="shared" ca="1" si="42"/>
        <v>-16.562000000000005</v>
      </c>
      <c r="AY317" s="129">
        <f t="shared" ca="1" si="43"/>
        <v>1.4960570012328709</v>
      </c>
      <c r="BB317" s="128">
        <f t="shared" ca="1" si="44"/>
        <v>-16.562000000000005</v>
      </c>
      <c r="BC317" s="129">
        <f t="shared" ca="1" si="45"/>
        <v>-1.4960570012328709</v>
      </c>
      <c r="BD317" s="157"/>
    </row>
    <row r="318" spans="2:56">
      <c r="B318" s="156"/>
      <c r="C318" s="128" t="s">
        <v>396</v>
      </c>
      <c r="D318" s="158">
        <f ca="1">IF(C316&gt;=1,L309,8888)</f>
        <v>-4.5620000000000003</v>
      </c>
      <c r="E318" s="160">
        <f ca="1">IF(C316&gt;=1,1/2*($C$13-P309-2*P311)+1/2*P309,8888)</f>
        <v>1.3199999999999998</v>
      </c>
      <c r="G318" s="128" t="s">
        <v>396</v>
      </c>
      <c r="H318" s="158">
        <f ca="1">IF(G316&gt;=1,L309,8888)</f>
        <v>8888</v>
      </c>
      <c r="I318" s="160">
        <f ca="1">IF(G316&gt;=1,E329-P313,8888)</f>
        <v>8888</v>
      </c>
      <c r="K318" s="128" t="s">
        <v>396</v>
      </c>
      <c r="L318" s="158">
        <f ca="1">IF(K316&gt;=1,L309,8888)</f>
        <v>-4.5620000000000003</v>
      </c>
      <c r="M318" s="160">
        <f ca="1">IF(K316&gt;=1,IF(FUSELAGE_n_aisles=1,E329-P313,I341-P313),8888)</f>
        <v>-0.25999999999999979</v>
      </c>
      <c r="O318" s="128" t="s">
        <v>396</v>
      </c>
      <c r="P318" s="158">
        <f ca="1">IF(O316,$L309,8888)</f>
        <v>8888</v>
      </c>
      <c r="Q318" s="209">
        <f ca="1">IF(O316,FUSELAGE_y_position_of_left_seat_YC-(FUSELAGE_nseats_right_YC-1)*(SEAT_w_cushion_YC+SEAT_w_armrest_YC)/2+T314/2,8888)</f>
        <v>8888</v>
      </c>
      <c r="S318" s="128" t="s">
        <v>396</v>
      </c>
      <c r="T318" s="158">
        <f ca="1">IF(S316,$L309,8888)</f>
        <v>8888</v>
      </c>
      <c r="U318" s="160">
        <f ca="1">IF(S316,T312/2,8888)</f>
        <v>8888</v>
      </c>
      <c r="W318" s="128" t="s">
        <v>396</v>
      </c>
      <c r="X318" s="158">
        <f ca="1">IF(W316,$L309,8888)</f>
        <v>8888</v>
      </c>
      <c r="Y318" s="160">
        <f ca="1">IF(W316,-FUSELAGE_y_position_of_left_seat_YC+(FUSELAGE_nseats_left_YC-1)*(SEAT_w_cushion_YC+SEAT_w_armrest_YC)/2-T310/2,8888)</f>
        <v>8888</v>
      </c>
      <c r="AA318" s="128" t="s">
        <v>396</v>
      </c>
      <c r="AB318" s="158">
        <f ca="1">IF($AA316,D318,P318)</f>
        <v>-4.5620000000000003</v>
      </c>
      <c r="AC318" s="174">
        <f ca="1">IF($AA316,E318,Q318)</f>
        <v>1.3199999999999998</v>
      </c>
      <c r="AE318" s="128" t="s">
        <v>396</v>
      </c>
      <c r="AF318" s="158">
        <f ca="1">IF($AE316,H318,T318)</f>
        <v>8888</v>
      </c>
      <c r="AG318" s="174">
        <f ca="1">IF($AE316,I318,U318)</f>
        <v>8888</v>
      </c>
      <c r="AI318" s="128" t="s">
        <v>396</v>
      </c>
      <c r="AJ318" s="158">
        <f ca="1">IF($AI316,L318,X318)</f>
        <v>-4.5620000000000003</v>
      </c>
      <c r="AK318" s="174">
        <f ca="1">IF($AI316,M318,Y318)</f>
        <v>-0.25999999999999979</v>
      </c>
      <c r="AM318" s="128" t="s">
        <v>396</v>
      </c>
      <c r="AN318" s="158">
        <f ca="1">AN287</f>
        <v>-3.762</v>
      </c>
      <c r="AO318" s="174">
        <f ca="1">IF(AN318&gt;-Fuselage!$D$366,(FUSELAGE_a_ellipse)*SQRT(1-((AN318+Fuselage!$D$366)/(Fuselage!$K$364-FUSELAGE_t_fuselage))^2),IF(AN318&gt;$L$2505+Fuselage!$K$370,FUSELAGE_a_ellipse,(FUSELAGE_a_ellipse+FUSELAGE_t_fuselage-FUSELAGE_d_fo/4)/Fuselage!$K$368*(AN318-$L$2505-Fuselage!$K$370)+FUSELAGE_a_ellipse))</f>
        <v>1.4960570012328709</v>
      </c>
      <c r="AQ318" s="128" t="s">
        <v>396</v>
      </c>
      <c r="AR318" s="158">
        <f t="shared" ref="AR318:AR323" ca="1" si="49">AN318</f>
        <v>-3.762</v>
      </c>
      <c r="AS318" s="174">
        <f t="shared" ref="AS318:AS323" ca="1" si="50">-AO318</f>
        <v>-1.4960570012328709</v>
      </c>
      <c r="AW318" s="128">
        <f t="shared" si="46"/>
        <v>760</v>
      </c>
      <c r="AX318" s="128">
        <f t="shared" ca="1" si="42"/>
        <v>-16.562000000000005</v>
      </c>
      <c r="AY318" s="129">
        <f t="shared" ca="1" si="43"/>
        <v>1.4960570012328709</v>
      </c>
      <c r="BB318" s="128">
        <f t="shared" ca="1" si="44"/>
        <v>-16.562000000000005</v>
      </c>
      <c r="BC318" s="129">
        <f t="shared" ca="1" si="45"/>
        <v>-1.4960570012328709</v>
      </c>
      <c r="BD318" s="157"/>
    </row>
    <row r="319" spans="2:56">
      <c r="B319" s="156"/>
      <c r="C319" s="128" t="s">
        <v>213</v>
      </c>
      <c r="D319" s="128">
        <f ca="1">IF(X311,D318+P310/4,D318+P310)</f>
        <v>-4.1320000000000006</v>
      </c>
      <c r="E319" s="139">
        <f ca="1">E318</f>
        <v>1.3199999999999998</v>
      </c>
      <c r="G319" s="128" t="s">
        <v>213</v>
      </c>
      <c r="H319" s="128">
        <f ca="1">H318+P310</f>
        <v>8888.43</v>
      </c>
      <c r="I319" s="139">
        <f ca="1">I318</f>
        <v>8888</v>
      </c>
      <c r="K319" s="128" t="s">
        <v>213</v>
      </c>
      <c r="L319" s="128">
        <f ca="1">IF(X311,IF(K316=1,L318+P310/4,L318+P310),L318+P310)</f>
        <v>-4.1320000000000006</v>
      </c>
      <c r="M319" s="139">
        <f ca="1">M318</f>
        <v>-0.25999999999999979</v>
      </c>
      <c r="O319" s="128" t="s">
        <v>213</v>
      </c>
      <c r="P319" s="128">
        <f ca="1">P318+$T313</f>
        <v>8888</v>
      </c>
      <c r="Q319" s="139">
        <f ca="1">Q318</f>
        <v>8888</v>
      </c>
      <c r="S319" s="128" t="s">
        <v>213</v>
      </c>
      <c r="T319" s="128">
        <f ca="1">T318+$T311</f>
        <v>8888</v>
      </c>
      <c r="U319" s="139">
        <f ca="1">U318</f>
        <v>8888</v>
      </c>
      <c r="W319" s="128" t="s">
        <v>213</v>
      </c>
      <c r="X319" s="128">
        <f ca="1">X318+$T309</f>
        <v>8888</v>
      </c>
      <c r="Y319" s="139">
        <f ca="1">Y318</f>
        <v>8888</v>
      </c>
      <c r="AA319" s="143" t="s">
        <v>213</v>
      </c>
      <c r="AB319" s="128">
        <f ca="1">IF($AA316,D319,P319)</f>
        <v>-4.1320000000000006</v>
      </c>
      <c r="AC319" s="129">
        <f ca="1">IF($AA316,E319,Q319)</f>
        <v>1.3199999999999998</v>
      </c>
      <c r="AE319" s="128" t="s">
        <v>213</v>
      </c>
      <c r="AF319" s="128">
        <f ca="1">IF($AE316,H319,T319)</f>
        <v>8888.43</v>
      </c>
      <c r="AG319" s="129">
        <f ca="1">IF($AE316,I319,U319)</f>
        <v>8888</v>
      </c>
      <c r="AI319" s="128" t="s">
        <v>213</v>
      </c>
      <c r="AJ319" s="128">
        <f ca="1">IF($AI316,L319,X319)</f>
        <v>-4.1320000000000006</v>
      </c>
      <c r="AK319" s="129">
        <f ca="1">IF($AI316,M319,Y319)</f>
        <v>-0.25999999999999979</v>
      </c>
      <c r="AM319" s="128" t="s">
        <v>213</v>
      </c>
      <c r="AN319" s="128">
        <f ca="1">AN318-AO309/2</f>
        <v>-3.9470000000000001</v>
      </c>
      <c r="AO319" s="129">
        <f ca="1">IF(AN319&gt;-Fuselage!$D$366,(FUSELAGE_a_ellipse)*SQRT(1-((AN319+Fuselage!$D$366)/(Fuselage!$K$364-FUSELAGE_t_fuselage))^2),IF(AN319&gt;$L$2505+Fuselage!$K$370,FUSELAGE_a_ellipse,(FUSELAGE_a_ellipse+FUSELAGE_t_fuselage-FUSELAGE_d_fo/4)/Fuselage!$K$368*(AN319-$L$2505-Fuselage!$K$370)+FUSELAGE_a_ellipse))</f>
        <v>1.4960570012328709</v>
      </c>
      <c r="AQ319" s="128" t="s">
        <v>213</v>
      </c>
      <c r="AR319" s="128">
        <f t="shared" ca="1" si="49"/>
        <v>-3.9470000000000001</v>
      </c>
      <c r="AS319" s="129">
        <f t="shared" ca="1" si="50"/>
        <v>-1.4960570012328709</v>
      </c>
      <c r="AW319" s="128">
        <f t="shared" si="46"/>
        <v>761</v>
      </c>
      <c r="AX319" s="128">
        <f t="shared" ca="1" si="42"/>
        <v>-16.562000000000005</v>
      </c>
      <c r="AY319" s="129">
        <f t="shared" ca="1" si="43"/>
        <v>1.4960570012328709</v>
      </c>
      <c r="BB319" s="128">
        <f t="shared" ca="1" si="44"/>
        <v>-16.562000000000005</v>
      </c>
      <c r="BC319" s="129">
        <f t="shared" ca="1" si="45"/>
        <v>-1.4960570012328709</v>
      </c>
      <c r="BD319" s="157"/>
    </row>
    <row r="320" spans="2:56">
      <c r="B320" s="156"/>
      <c r="C320" s="128" t="s">
        <v>286</v>
      </c>
      <c r="D320" s="128">
        <f ca="1">D319</f>
        <v>-4.1320000000000006</v>
      </c>
      <c r="E320" s="139">
        <f ca="1">E319-P309</f>
        <v>0.81999999999999984</v>
      </c>
      <c r="G320" s="128" t="s">
        <v>286</v>
      </c>
      <c r="H320" s="128">
        <f ca="1">H319</f>
        <v>8888.43</v>
      </c>
      <c r="I320" s="139">
        <f ca="1">I319-P309</f>
        <v>8887.5</v>
      </c>
      <c r="K320" s="128" t="s">
        <v>286</v>
      </c>
      <c r="L320" s="128">
        <f ca="1">L319</f>
        <v>-4.1320000000000006</v>
      </c>
      <c r="M320" s="139">
        <f ca="1">M319-P309</f>
        <v>-0.75999999999999979</v>
      </c>
      <c r="O320" s="128" t="s">
        <v>286</v>
      </c>
      <c r="P320" s="128">
        <f ca="1">P319</f>
        <v>8888</v>
      </c>
      <c r="Q320" s="139">
        <f ca="1">Q319-$T314</f>
        <v>8888</v>
      </c>
      <c r="S320" s="128" t="s">
        <v>286</v>
      </c>
      <c r="T320" s="128">
        <f ca="1">T319</f>
        <v>8888</v>
      </c>
      <c r="U320" s="139">
        <f ca="1">U319-$T312</f>
        <v>8888</v>
      </c>
      <c r="W320" s="128" t="s">
        <v>286</v>
      </c>
      <c r="X320" s="128">
        <f ca="1">X319</f>
        <v>8888</v>
      </c>
      <c r="Y320" s="139">
        <f ca="1">Y319+$T310</f>
        <v>8888</v>
      </c>
      <c r="AA320" s="143" t="s">
        <v>286</v>
      </c>
      <c r="AB320" s="128">
        <f ca="1">IF($AA316,D320,P320)</f>
        <v>-4.1320000000000006</v>
      </c>
      <c r="AC320" s="129">
        <f ca="1">IF($AA316,E320,Q320)</f>
        <v>0.81999999999999984</v>
      </c>
      <c r="AE320" s="128" t="s">
        <v>286</v>
      </c>
      <c r="AF320" s="128">
        <f ca="1">IF($AE316,H320,T320)</f>
        <v>8888.43</v>
      </c>
      <c r="AG320" s="129">
        <f ca="1">IF($AE316,I320,U320)</f>
        <v>8887.5</v>
      </c>
      <c r="AI320" s="128" t="s">
        <v>286</v>
      </c>
      <c r="AJ320" s="128">
        <f ca="1">IF($AI316,L320,X320)</f>
        <v>-4.1320000000000006</v>
      </c>
      <c r="AK320" s="129">
        <f ca="1">IF($AI316,M320,Y320)</f>
        <v>-0.75999999999999979</v>
      </c>
      <c r="AM320" s="128" t="s">
        <v>286</v>
      </c>
      <c r="AN320" s="128">
        <f ca="1">AN319</f>
        <v>-3.9470000000000001</v>
      </c>
      <c r="AO320" s="129">
        <f ca="1">IF(AN320&gt;-Fuselage!$D$366,IF(AM316,(FUSELAGE_a_ellipse+FUSELAGE_t_fuselage)*SQRT(1-((AN320+Fuselage!$D$366)/Fuselage!$K$364)^2),(FUSELAGE_a_ellipse)*SQRT(1-((AN320+Fuselage!$D$366)/Fuselage!$K$364)^2)),IF(AN320&gt;$L$2505+Fuselage!$K$370,(IF(AM316,FUSELAGE_a_ellipse+FUSELAGE_t_fuselage,FUSELAGE_a_ellipse)),IF(AM316,(FUSELAGE_a_ellipse+FUSELAGE_t_fuselage-FUSELAGE_d_fo/4)/Fuselage!$K$368*(AN320-$L$2505-Fuselage!$K$370)+FUSELAGE_a_ellipse+FUSELAGE_t_fuselage,(FUSELAGE_a_ellipse+FUSELAGE_t_fuselage-FUSELAGE_d_fo/4)/Fuselage!$K$368*(AN320-$L$2505-Fuselage!$K$370)+FUSELAGE_a_ellipse)))</f>
        <v>1.4960570012328709</v>
      </c>
      <c r="AQ320" s="128" t="s">
        <v>286</v>
      </c>
      <c r="AR320" s="128">
        <f t="shared" ca="1" si="49"/>
        <v>-3.9470000000000001</v>
      </c>
      <c r="AS320" s="129">
        <f t="shared" ca="1" si="50"/>
        <v>-1.4960570012328709</v>
      </c>
      <c r="AW320" s="128">
        <f t="shared" si="46"/>
        <v>793</v>
      </c>
      <c r="AX320" s="128">
        <f t="shared" ca="1" si="42"/>
        <v>-16.562000000000005</v>
      </c>
      <c r="AY320" s="129">
        <f t="shared" ca="1" si="43"/>
        <v>1.4960570012328709</v>
      </c>
      <c r="BB320" s="128">
        <f t="shared" ca="1" si="44"/>
        <v>-16.562000000000005</v>
      </c>
      <c r="BC320" s="129">
        <f t="shared" ca="1" si="45"/>
        <v>-1.4960570012328709</v>
      </c>
      <c r="BD320" s="157"/>
    </row>
    <row r="321" spans="2:56">
      <c r="B321" s="156"/>
      <c r="C321" s="188" t="s">
        <v>522</v>
      </c>
      <c r="D321" s="188">
        <f ca="1">D318</f>
        <v>-4.5620000000000003</v>
      </c>
      <c r="E321" s="189">
        <f ca="1">E320</f>
        <v>0.81999999999999984</v>
      </c>
      <c r="F321" s="157"/>
      <c r="G321" s="2" t="s">
        <v>522</v>
      </c>
      <c r="H321" s="128">
        <f ca="1">H318</f>
        <v>8888</v>
      </c>
      <c r="I321" s="139">
        <f ca="1">I320</f>
        <v>8887.5</v>
      </c>
      <c r="K321" s="128" t="s">
        <v>522</v>
      </c>
      <c r="L321" s="128">
        <f ca="1">L318</f>
        <v>-4.5620000000000003</v>
      </c>
      <c r="M321" s="139">
        <f ca="1">M320</f>
        <v>-0.75999999999999979</v>
      </c>
      <c r="O321" s="188" t="s">
        <v>522</v>
      </c>
      <c r="P321" s="188">
        <f ca="1">P318</f>
        <v>8888</v>
      </c>
      <c r="Q321" s="189">
        <f ca="1">Q320</f>
        <v>8888</v>
      </c>
      <c r="S321" s="188" t="s">
        <v>522</v>
      </c>
      <c r="T321" s="188">
        <f ca="1">T318</f>
        <v>8888</v>
      </c>
      <c r="U321" s="189">
        <f ca="1">U320</f>
        <v>8888</v>
      </c>
      <c r="W321" s="188" t="s">
        <v>522</v>
      </c>
      <c r="X321" s="188">
        <f ca="1">X318</f>
        <v>8888</v>
      </c>
      <c r="Y321" s="189">
        <f ca="1">Y320</f>
        <v>8888</v>
      </c>
      <c r="AA321" s="195" t="s">
        <v>522</v>
      </c>
      <c r="AB321" s="128">
        <f ca="1">IF($AA316,D321,P321)</f>
        <v>-4.5620000000000003</v>
      </c>
      <c r="AC321" s="129">
        <f ca="1">IF($AA316,E321,Q321)</f>
        <v>0.81999999999999984</v>
      </c>
      <c r="AD321" s="157"/>
      <c r="AE321" s="2" t="s">
        <v>522</v>
      </c>
      <c r="AF321" s="188">
        <f ca="1">IF($AE316,H321,T321)</f>
        <v>8888</v>
      </c>
      <c r="AG321" s="196">
        <f ca="1">IF($AE316,I321,U321)</f>
        <v>8887.5</v>
      </c>
      <c r="AI321" s="128" t="s">
        <v>522</v>
      </c>
      <c r="AJ321" s="188">
        <f ca="1">IF($AI316,L321,X321)</f>
        <v>-4.5620000000000003</v>
      </c>
      <c r="AK321" s="196">
        <f ca="1">IF($AI316,M321,Y321)</f>
        <v>-0.75999999999999979</v>
      </c>
      <c r="AM321" s="128" t="s">
        <v>522</v>
      </c>
      <c r="AN321" s="128">
        <f ca="1">AN320-X310</f>
        <v>-3.9470000000000001</v>
      </c>
      <c r="AO321" s="129">
        <f ca="1">IF(AN321&gt;-Fuselage!$D$366,IF(AM316,(FUSELAGE_a_ellipse+FUSELAGE_t_fuselage)*SQRT(1-((AN321+Fuselage!$D$366)/Fuselage!$K$364)^2),(FUSELAGE_a_ellipse)*SQRT(1-((AN321+Fuselage!$D$366)/Fuselage!$K$364)^2)),IF(AN321&gt;$L$2505+Fuselage!$K$370,(IF(AM316,FUSELAGE_a_ellipse+FUSELAGE_t_fuselage,FUSELAGE_a_ellipse)),IF(AM316,(FUSELAGE_a_ellipse+FUSELAGE_t_fuselage-FUSELAGE_d_fo/4)/Fuselage!$K$368*(AN321-$L$2505-Fuselage!$K$370)+FUSELAGE_a_ellipse+FUSELAGE_t_fuselage,(FUSELAGE_a_ellipse+FUSELAGE_t_fuselage-FUSELAGE_d_fo/4)/Fuselage!$K$368*(AN321-$L$2505-Fuselage!$K$370)+FUSELAGE_a_ellipse)))</f>
        <v>1.4960570012328709</v>
      </c>
      <c r="AQ321" s="128" t="s">
        <v>522</v>
      </c>
      <c r="AR321" s="128">
        <f t="shared" ca="1" si="49"/>
        <v>-3.9470000000000001</v>
      </c>
      <c r="AS321" s="129">
        <f t="shared" ca="1" si="50"/>
        <v>-1.4960570012328709</v>
      </c>
      <c r="AW321" s="128">
        <f t="shared" si="46"/>
        <v>794</v>
      </c>
      <c r="AX321" s="128">
        <f t="shared" ca="1" si="42"/>
        <v>-16.562000000000005</v>
      </c>
      <c r="AY321" s="129">
        <f t="shared" ca="1" si="43"/>
        <v>1.4960570012328709</v>
      </c>
      <c r="BB321" s="128">
        <f t="shared" ca="1" si="44"/>
        <v>-16.562000000000005</v>
      </c>
      <c r="BC321" s="129">
        <f t="shared" ca="1" si="45"/>
        <v>-1.4960570012328709</v>
      </c>
      <c r="BD321" s="157"/>
    </row>
    <row r="322" spans="2:56" ht="15" thickBot="1">
      <c r="B322" s="156"/>
      <c r="C322" s="128" t="s">
        <v>49</v>
      </c>
      <c r="D322" s="128">
        <f ca="1">IF(C316&gt;=2,D318,D321)</f>
        <v>-4.5620000000000003</v>
      </c>
      <c r="E322" s="139">
        <f ca="1">IF(C316&gt;=2,E321-P311,E321)</f>
        <v>0.75999999999999979</v>
      </c>
      <c r="F322" s="157"/>
      <c r="G322" s="192" t="s">
        <v>49</v>
      </c>
      <c r="H322" s="190">
        <f ca="1">IF(G316&gt;=2,H318,H321)</f>
        <v>8888</v>
      </c>
      <c r="I322" s="191">
        <f ca="1">IF(G316&gt;=2,I321-P311,I321)</f>
        <v>8887.5</v>
      </c>
      <c r="K322" s="190" t="s">
        <v>49</v>
      </c>
      <c r="L322" s="190">
        <f ca="1">IF(K316&gt;=2,L318,L321)</f>
        <v>-4.5620000000000003</v>
      </c>
      <c r="M322" s="191">
        <f ca="1">IF(K316&gt;=2,M321-P311,M321)</f>
        <v>-0.81999999999999984</v>
      </c>
      <c r="O322" s="130" t="s">
        <v>396</v>
      </c>
      <c r="P322" s="130">
        <f ca="1">P318</f>
        <v>8888</v>
      </c>
      <c r="Q322" s="140">
        <f ca="1">Q318</f>
        <v>8888</v>
      </c>
      <c r="S322" s="130" t="s">
        <v>396</v>
      </c>
      <c r="T322" s="130">
        <f ca="1">T318</f>
        <v>8888</v>
      </c>
      <c r="U322" s="140">
        <f ca="1">U318</f>
        <v>8888</v>
      </c>
      <c r="W322" s="130" t="s">
        <v>396</v>
      </c>
      <c r="X322" s="130">
        <f ca="1">X318</f>
        <v>8888</v>
      </c>
      <c r="Y322" s="140">
        <f ca="1">Y318</f>
        <v>8888</v>
      </c>
      <c r="AA322" s="143" t="s">
        <v>49</v>
      </c>
      <c r="AB322" s="128">
        <f ca="1">IF($AA316,D322,P322)</f>
        <v>-4.5620000000000003</v>
      </c>
      <c r="AC322" s="129">
        <f ca="1">IF($AA316,E322,Q322)</f>
        <v>0.75999999999999979</v>
      </c>
      <c r="AD322" s="157"/>
      <c r="AE322" s="192" t="s">
        <v>49</v>
      </c>
      <c r="AF322" s="128">
        <f ca="1">IF($AE316,H322,T322)</f>
        <v>8888</v>
      </c>
      <c r="AG322" s="129">
        <f ca="1">IF($AE316,I322,U322)</f>
        <v>8887.5</v>
      </c>
      <c r="AI322" s="190" t="s">
        <v>49</v>
      </c>
      <c r="AJ322" s="128">
        <f ca="1">IF($AI316,L322,X322)</f>
        <v>-4.5620000000000003</v>
      </c>
      <c r="AK322" s="129">
        <f ca="1">IF($AI316,M322,Y322)</f>
        <v>-0.81999999999999984</v>
      </c>
      <c r="AM322" s="128" t="s">
        <v>49</v>
      </c>
      <c r="AN322" s="128">
        <f ca="1">AN321</f>
        <v>-3.9470000000000001</v>
      </c>
      <c r="AO322" s="129">
        <f ca="1">IF(AN322&gt;-Fuselage!$D$366,(FUSELAGE_a_ellipse)*SQRT(1-((AN322+Fuselage!$D$366)/(Fuselage!$K$364-FUSELAGE_t_fuselage))^2),IF(AN322&gt;$L$2505+Fuselage!$K$370,FUSELAGE_a_ellipse,(FUSELAGE_a_ellipse+FUSELAGE_t_fuselage-FUSELAGE_d_fo/4)/Fuselage!$K$368*(AN322-$L$2505-Fuselage!$K$370)+FUSELAGE_a_ellipse))</f>
        <v>1.4960570012328709</v>
      </c>
      <c r="AQ322" s="128" t="s">
        <v>49</v>
      </c>
      <c r="AR322" s="128">
        <f t="shared" ca="1" si="49"/>
        <v>-3.9470000000000001</v>
      </c>
      <c r="AS322" s="129">
        <f t="shared" ca="1" si="50"/>
        <v>-1.4960570012328709</v>
      </c>
      <c r="AW322" s="128">
        <f t="shared" si="46"/>
        <v>795</v>
      </c>
      <c r="AX322" s="128">
        <f t="shared" ca="1" si="42"/>
        <v>-16.562000000000005</v>
      </c>
      <c r="AY322" s="129">
        <f t="shared" ca="1" si="43"/>
        <v>1.4960570012328709</v>
      </c>
      <c r="BB322" s="128">
        <f t="shared" ca="1" si="44"/>
        <v>-16.562000000000005</v>
      </c>
      <c r="BC322" s="129">
        <f t="shared" ca="1" si="45"/>
        <v>-1.4960570012328709</v>
      </c>
      <c r="BD322" s="157"/>
    </row>
    <row r="323" spans="2:56">
      <c r="B323" s="156"/>
      <c r="C323" s="128" t="s">
        <v>453</v>
      </c>
      <c r="D323" s="128">
        <f ca="1">IF(C316&gt;=2,D318+P310,D321)</f>
        <v>-4.1320000000000006</v>
      </c>
      <c r="E323" s="139">
        <f ca="1">E322</f>
        <v>0.75999999999999979</v>
      </c>
      <c r="F323" s="157"/>
      <c r="G323" s="2" t="s">
        <v>453</v>
      </c>
      <c r="H323" s="128">
        <f ca="1">IF(G316&gt;=2,H319,H321)</f>
        <v>8888</v>
      </c>
      <c r="I323" s="139">
        <f ca="1">IF(G316&gt;=2,I322,I321)</f>
        <v>8887.5</v>
      </c>
      <c r="K323" s="128" t="s">
        <v>453</v>
      </c>
      <c r="L323" s="128">
        <f ca="1">IF(K316&gt;=2,IF(X311,IF(K316=2,L318+P310/4,L318+P310),L318+P310),L321)</f>
        <v>-4.1320000000000006</v>
      </c>
      <c r="M323" s="139">
        <f ca="1">IF(K316&gt;=2,M322,M321)</f>
        <v>-0.81999999999999984</v>
      </c>
      <c r="AA323" s="143" t="s">
        <v>453</v>
      </c>
      <c r="AB323" s="128">
        <f ca="1">IF($AA316,D323,AB322)</f>
        <v>-4.1320000000000006</v>
      </c>
      <c r="AC323" s="129">
        <f ca="1">IF($AA316,E323,AC322)</f>
        <v>0.75999999999999979</v>
      </c>
      <c r="AD323" s="157"/>
      <c r="AE323" s="2" t="s">
        <v>453</v>
      </c>
      <c r="AF323" s="128">
        <f ca="1">IF($AE316,H323,AF322)</f>
        <v>8888</v>
      </c>
      <c r="AG323" s="129">
        <f ca="1">IF($AE316,I323,AG322)</f>
        <v>8887.5</v>
      </c>
      <c r="AI323" s="128" t="s">
        <v>453</v>
      </c>
      <c r="AJ323" s="128">
        <f ca="1">IF($AI316,L323,AJ322)</f>
        <v>-4.1320000000000006</v>
      </c>
      <c r="AK323" s="129">
        <f ca="1">IF($AI316,M323,AK322)</f>
        <v>-0.81999999999999984</v>
      </c>
      <c r="AM323" s="128" t="s">
        <v>453</v>
      </c>
      <c r="AN323" s="128">
        <f ca="1">L309</f>
        <v>-4.5620000000000003</v>
      </c>
      <c r="AO323" s="129">
        <f ca="1">IF(AN323&gt;-Fuselage!$D$366,(FUSELAGE_a_ellipse)*SQRT(1-((AN323+Fuselage!$D$366)/(Fuselage!$K$364-FUSELAGE_t_fuselage))^2),IF(AN323&gt;$L$2505+Fuselage!$K$370,FUSELAGE_a_ellipse,(FUSELAGE_a_ellipse+FUSELAGE_t_fuselage-FUSELAGE_d_fo/4)/Fuselage!$K$368*(AN323-$L$2505-Fuselage!$K$370)+FUSELAGE_a_ellipse))</f>
        <v>1.4960570012328709</v>
      </c>
      <c r="AQ323" s="128" t="s">
        <v>453</v>
      </c>
      <c r="AR323" s="128">
        <f t="shared" ca="1" si="49"/>
        <v>-4.5620000000000003</v>
      </c>
      <c r="AS323" s="129">
        <f t="shared" ca="1" si="50"/>
        <v>-1.4960570012328709</v>
      </c>
      <c r="AW323" s="128">
        <f t="shared" si="46"/>
        <v>796</v>
      </c>
      <c r="AX323" s="128">
        <f t="shared" ca="1" si="42"/>
        <v>-16.562000000000005</v>
      </c>
      <c r="AY323" s="129">
        <f t="shared" ca="1" si="43"/>
        <v>1.4960570012328709</v>
      </c>
      <c r="BB323" s="128">
        <f t="shared" ca="1" si="44"/>
        <v>-16.562000000000005</v>
      </c>
      <c r="BC323" s="129">
        <f t="shared" ca="1" si="45"/>
        <v>-1.4960570012328709</v>
      </c>
      <c r="BD323" s="157"/>
    </row>
    <row r="324" spans="2:56">
      <c r="B324" s="156"/>
      <c r="C324" s="128" t="s">
        <v>394</v>
      </c>
      <c r="D324" s="128">
        <f ca="1">IF(C316&gt;=2,D323,D321)</f>
        <v>-4.1320000000000006</v>
      </c>
      <c r="E324" s="139">
        <f ca="1">IF(C316&gt;=2,E322-P309,E321)</f>
        <v>0.25999999999999979</v>
      </c>
      <c r="F324" s="157"/>
      <c r="G324" s="2" t="s">
        <v>394</v>
      </c>
      <c r="H324" s="128">
        <f ca="1">IF(G316&gt;=2,H319,H321)</f>
        <v>8888</v>
      </c>
      <c r="I324" s="139">
        <f ca="1">IF(G316&gt;=2,I323-P309,I321)</f>
        <v>8887.5</v>
      </c>
      <c r="K324" s="128" t="s">
        <v>394</v>
      </c>
      <c r="L324" s="128">
        <f ca="1">L323</f>
        <v>-4.1320000000000006</v>
      </c>
      <c r="M324" s="139">
        <f ca="1">IF(K316&gt;=2,M323-P309,M321)</f>
        <v>-1.3199999999999998</v>
      </c>
      <c r="AA324" s="143" t="s">
        <v>394</v>
      </c>
      <c r="AB324" s="128">
        <f ca="1">IF($AA316,D324,AB322)</f>
        <v>-4.1320000000000006</v>
      </c>
      <c r="AC324" s="129">
        <f ca="1">IF($AA316,E324,AC322)</f>
        <v>0.25999999999999979</v>
      </c>
      <c r="AD324" s="157"/>
      <c r="AE324" s="2" t="s">
        <v>394</v>
      </c>
      <c r="AF324" s="128">
        <f ca="1">IF($AE316,H324,AF322)</f>
        <v>8888</v>
      </c>
      <c r="AG324" s="129">
        <f ca="1">IF($AE316,I324,AG322)</f>
        <v>8887.5</v>
      </c>
      <c r="AI324" s="128" t="s">
        <v>394</v>
      </c>
      <c r="AJ324" s="128">
        <f ca="1">IF($AI316,L324,AJ322)</f>
        <v>-4.1320000000000006</v>
      </c>
      <c r="AK324" s="129">
        <f ca="1">IF($AI316,M324,AK322)</f>
        <v>-1.3199999999999998</v>
      </c>
      <c r="AW324" s="128">
        <f t="shared" si="46"/>
        <v>797</v>
      </c>
      <c r="AX324" s="128">
        <f t="shared" ca="1" si="42"/>
        <v>-16.562000000000005</v>
      </c>
      <c r="AY324" s="129">
        <f t="shared" ca="1" si="43"/>
        <v>1.4960570012328709</v>
      </c>
      <c r="BB324" s="128">
        <f t="shared" ca="1" si="44"/>
        <v>-16.562000000000005</v>
      </c>
      <c r="BC324" s="129">
        <f t="shared" ca="1" si="45"/>
        <v>-1.4960570012328709</v>
      </c>
      <c r="BD324" s="157"/>
    </row>
    <row r="325" spans="2:56">
      <c r="B325" s="156"/>
      <c r="C325" s="188" t="s">
        <v>454</v>
      </c>
      <c r="D325" s="188">
        <f ca="1">IF(C316&gt;=2,D318,D321)</f>
        <v>-4.5620000000000003</v>
      </c>
      <c r="E325" s="189">
        <f ca="1">E324</f>
        <v>0.25999999999999979</v>
      </c>
      <c r="F325" s="157"/>
      <c r="G325" s="115" t="s">
        <v>454</v>
      </c>
      <c r="H325" s="188">
        <f ca="1">IF(G316&gt;=2,H318,H321)</f>
        <v>8888</v>
      </c>
      <c r="I325" s="189">
        <f ca="1">IF(G316&gt;=2,I324,I321)</f>
        <v>8887.5</v>
      </c>
      <c r="K325" s="188" t="s">
        <v>454</v>
      </c>
      <c r="L325" s="188">
        <f ca="1">IF(K316&gt;=2,L318,L321)</f>
        <v>-4.5620000000000003</v>
      </c>
      <c r="M325" s="189">
        <f ca="1">IF(K316&gt;=2,M324,M321)</f>
        <v>-1.3199999999999998</v>
      </c>
      <c r="AA325" s="195" t="s">
        <v>454</v>
      </c>
      <c r="AB325" s="128">
        <f ca="1">IF($AA316,D325,AB322)</f>
        <v>-4.5620000000000003</v>
      </c>
      <c r="AC325" s="129">
        <f ca="1">IF($AA316,E325,AC322)</f>
        <v>0.25999999999999979</v>
      </c>
      <c r="AD325" s="157"/>
      <c r="AE325" s="115" t="s">
        <v>454</v>
      </c>
      <c r="AF325" s="188">
        <f ca="1">IF($AE316,H325,AF322)</f>
        <v>8888</v>
      </c>
      <c r="AG325" s="196">
        <f ca="1">IF($AE316,I325,AG322)</f>
        <v>8887.5</v>
      </c>
      <c r="AI325" s="188" t="s">
        <v>454</v>
      </c>
      <c r="AJ325" s="188">
        <f ca="1">IF($AI316,L325,AJ322)</f>
        <v>-4.5620000000000003</v>
      </c>
      <c r="AK325" s="196">
        <f ca="1">IF($AI316,M325,AK322)</f>
        <v>-1.3199999999999998</v>
      </c>
      <c r="AW325" s="128">
        <f t="shared" si="46"/>
        <v>829</v>
      </c>
      <c r="AX325" s="128">
        <f t="shared" ca="1" si="42"/>
        <v>-16.562000000000005</v>
      </c>
      <c r="AY325" s="129">
        <f t="shared" ca="1" si="43"/>
        <v>1.4960570012328709</v>
      </c>
      <c r="BB325" s="128">
        <f t="shared" ca="1" si="44"/>
        <v>-16.562000000000005</v>
      </c>
      <c r="BC325" s="129">
        <f t="shared" ca="1" si="45"/>
        <v>-1.4960570012328709</v>
      </c>
      <c r="BD325" s="157"/>
    </row>
    <row r="326" spans="2:56">
      <c r="B326" s="156"/>
      <c r="C326" s="128" t="s">
        <v>507</v>
      </c>
      <c r="D326" s="128">
        <f ca="1">IF(C316&gt;=3,D318,D325)</f>
        <v>-4.5620000000000003</v>
      </c>
      <c r="E326" s="139">
        <f ca="1">IF(C316&gt;=3,E325-P311,E325)</f>
        <v>0.25999999999999979</v>
      </c>
      <c r="F326" s="157"/>
      <c r="G326" s="2" t="s">
        <v>507</v>
      </c>
      <c r="H326" s="128">
        <f ca="1">IF(G316&gt;=3,H318,H325)</f>
        <v>8888</v>
      </c>
      <c r="I326" s="139">
        <f ca="1">IF(G316&gt;=3,I325-P311,I325)</f>
        <v>8887.5</v>
      </c>
      <c r="K326" s="128" t="s">
        <v>507</v>
      </c>
      <c r="L326" s="128">
        <f ca="1">IF(K316&gt;=3,L318,L325)</f>
        <v>-4.5620000000000003</v>
      </c>
      <c r="M326" s="139">
        <f ca="1">IF(K316&gt;=3,M325-P311,M325)</f>
        <v>-1.3199999999999998</v>
      </c>
      <c r="AA326" s="143" t="s">
        <v>507</v>
      </c>
      <c r="AB326" s="128">
        <f ca="1">IF($AA316,D326,AB322)</f>
        <v>-4.5620000000000003</v>
      </c>
      <c r="AC326" s="129">
        <f ca="1">IF($AA316,E326,AC322)</f>
        <v>0.25999999999999979</v>
      </c>
      <c r="AD326" s="157"/>
      <c r="AE326" s="2" t="s">
        <v>507</v>
      </c>
      <c r="AF326" s="128">
        <f ca="1">IF($AE316,H326,AF322)</f>
        <v>8888</v>
      </c>
      <c r="AG326" s="129">
        <f ca="1">IF($AE316,I326,AG322)</f>
        <v>8887.5</v>
      </c>
      <c r="AI326" s="128" t="s">
        <v>507</v>
      </c>
      <c r="AJ326" s="128">
        <f ca="1">IF($AI316,L326,AJ322)</f>
        <v>-4.5620000000000003</v>
      </c>
      <c r="AK326" s="129">
        <f ca="1">IF($AI316,M326,AK322)</f>
        <v>-1.3199999999999998</v>
      </c>
      <c r="AW326" s="128">
        <f t="shared" si="46"/>
        <v>830</v>
      </c>
      <c r="AX326" s="128">
        <f t="shared" ca="1" si="42"/>
        <v>-16.562000000000005</v>
      </c>
      <c r="AY326" s="129">
        <f t="shared" ca="1" si="43"/>
        <v>1.4960570012328709</v>
      </c>
      <c r="BB326" s="128">
        <f t="shared" ca="1" si="44"/>
        <v>-16.562000000000005</v>
      </c>
      <c r="BC326" s="129">
        <f t="shared" ca="1" si="45"/>
        <v>-1.4960570012328709</v>
      </c>
      <c r="BD326" s="157"/>
    </row>
    <row r="327" spans="2:56">
      <c r="B327" s="156"/>
      <c r="C327" s="128" t="s">
        <v>455</v>
      </c>
      <c r="D327" s="128">
        <f ca="1">IF(C316&gt;=3,D323,D325)</f>
        <v>-4.5620000000000003</v>
      </c>
      <c r="E327" s="139">
        <f ca="1">E326</f>
        <v>0.25999999999999979</v>
      </c>
      <c r="F327" s="157"/>
      <c r="G327" s="2" t="s">
        <v>455</v>
      </c>
      <c r="H327" s="128">
        <f ca="1">IF(G316&gt;=3,H319,H325)</f>
        <v>8888</v>
      </c>
      <c r="I327" s="139">
        <f ca="1">IF(G316&gt;=3,I326,I325)</f>
        <v>8887.5</v>
      </c>
      <c r="K327" s="128" t="s">
        <v>455</v>
      </c>
      <c r="L327" s="128">
        <f ca="1">IF(K316&gt;=3,IF(X311,IF(K316=3,L318+P310/4,L318+P310),L318+P310),L321)</f>
        <v>-4.5620000000000003</v>
      </c>
      <c r="M327" s="139">
        <f ca="1">IF(K316&gt;=3,M326,M325)</f>
        <v>-1.3199999999999998</v>
      </c>
      <c r="AA327" s="143" t="s">
        <v>455</v>
      </c>
      <c r="AB327" s="128">
        <f ca="1">IF($AA316,D327,AB322)</f>
        <v>-4.5620000000000003</v>
      </c>
      <c r="AC327" s="129">
        <f ca="1">IF($AA316,E327,AC322)</f>
        <v>0.25999999999999979</v>
      </c>
      <c r="AD327" s="157"/>
      <c r="AE327" s="2" t="s">
        <v>455</v>
      </c>
      <c r="AF327" s="128">
        <f ca="1">IF($AE316,H327,AF322)</f>
        <v>8888</v>
      </c>
      <c r="AG327" s="129">
        <f ca="1">IF($AE316,I327,AG322)</f>
        <v>8887.5</v>
      </c>
      <c r="AI327" s="128" t="s">
        <v>455</v>
      </c>
      <c r="AJ327" s="128">
        <f ca="1">IF($AI316,L327,AJ322)</f>
        <v>-4.5620000000000003</v>
      </c>
      <c r="AK327" s="129">
        <f ca="1">IF($AI316,M327,AK322)</f>
        <v>-1.3199999999999998</v>
      </c>
      <c r="AL327" s="156"/>
      <c r="AW327" s="128">
        <f t="shared" si="46"/>
        <v>831</v>
      </c>
      <c r="AX327" s="128">
        <f t="shared" ca="1" si="42"/>
        <v>-16.562000000000005</v>
      </c>
      <c r="AY327" s="129">
        <f t="shared" ca="1" si="43"/>
        <v>1.4960570012328709</v>
      </c>
      <c r="BB327" s="128">
        <f t="shared" ca="1" si="44"/>
        <v>-16.562000000000005</v>
      </c>
      <c r="BC327" s="129">
        <f t="shared" ca="1" si="45"/>
        <v>-1.4960570012328709</v>
      </c>
      <c r="BD327" s="157"/>
    </row>
    <row r="328" spans="2:56">
      <c r="B328" s="156"/>
      <c r="C328" s="128" t="s">
        <v>311</v>
      </c>
      <c r="D328" s="128">
        <f ca="1">IF(C316&gt;=3,D323,D325)</f>
        <v>-4.5620000000000003</v>
      </c>
      <c r="E328" s="139">
        <f ca="1">IF(C316&gt;=3,E327-P309,E325)</f>
        <v>0.25999999999999979</v>
      </c>
      <c r="F328" s="157"/>
      <c r="G328" s="2" t="s">
        <v>311</v>
      </c>
      <c r="H328" s="128">
        <f ca="1">IF(G316&gt;=3,H319,H325)</f>
        <v>8888</v>
      </c>
      <c r="I328" s="139">
        <f ca="1">IF(G316&gt;=3,I327-P309,I325)</f>
        <v>8887.5</v>
      </c>
      <c r="K328" s="128" t="s">
        <v>311</v>
      </c>
      <c r="L328" s="128">
        <f ca="1">L327</f>
        <v>-4.5620000000000003</v>
      </c>
      <c r="M328" s="139">
        <f ca="1">IF(K316&gt;=3,M327-P309,M325)</f>
        <v>-1.3199999999999998</v>
      </c>
      <c r="AA328" s="143" t="s">
        <v>311</v>
      </c>
      <c r="AB328" s="128">
        <f ca="1">IF($AA316,D328,AB322)</f>
        <v>-4.5620000000000003</v>
      </c>
      <c r="AC328" s="129">
        <f ca="1">IF($AA316,E328,AC322)</f>
        <v>0.25999999999999979</v>
      </c>
      <c r="AD328" s="157"/>
      <c r="AE328" s="2" t="s">
        <v>311</v>
      </c>
      <c r="AF328" s="128">
        <f ca="1">IF($AE316,H328,AF322)</f>
        <v>8888</v>
      </c>
      <c r="AG328" s="129">
        <f ca="1">IF($AE316,I328,AG322)</f>
        <v>8887.5</v>
      </c>
      <c r="AI328" s="128" t="s">
        <v>311</v>
      </c>
      <c r="AJ328" s="128">
        <f ca="1">IF($AI316,L328,AJ322)</f>
        <v>-4.5620000000000003</v>
      </c>
      <c r="AK328" s="129">
        <f ca="1">IF($AI316,M328,AK322)</f>
        <v>-1.3199999999999998</v>
      </c>
      <c r="AL328" s="156"/>
      <c r="AW328" s="128">
        <f t="shared" si="46"/>
        <v>832</v>
      </c>
      <c r="AX328" s="128">
        <f t="shared" ca="1" si="42"/>
        <v>-16.562000000000005</v>
      </c>
      <c r="AY328" s="129">
        <f t="shared" ca="1" si="43"/>
        <v>1.4960570012328709</v>
      </c>
      <c r="BB328" s="128">
        <f t="shared" ca="1" si="44"/>
        <v>-16.562000000000005</v>
      </c>
      <c r="BC328" s="129">
        <f t="shared" ca="1" si="45"/>
        <v>-1.4960570012328709</v>
      </c>
      <c r="BD328" s="157"/>
    </row>
    <row r="329" spans="2:56">
      <c r="B329" s="156"/>
      <c r="C329" s="188" t="s">
        <v>35</v>
      </c>
      <c r="D329" s="188">
        <f ca="1">IF(C316&gt;=3,D318,D325)</f>
        <v>-4.5620000000000003</v>
      </c>
      <c r="E329" s="189">
        <f ca="1">E328</f>
        <v>0.25999999999999979</v>
      </c>
      <c r="F329" s="157"/>
      <c r="G329" s="2" t="s">
        <v>35</v>
      </c>
      <c r="H329" s="188">
        <f ca="1">IF(G316&gt;=3,H318,H325)</f>
        <v>8888</v>
      </c>
      <c r="I329" s="189">
        <f ca="1">IF(G316&gt;=3,I328,I325)</f>
        <v>8887.5</v>
      </c>
      <c r="K329" s="188" t="s">
        <v>35</v>
      </c>
      <c r="L329" s="188">
        <f ca="1">IF(K316&gt;=3,L318,L325)</f>
        <v>-4.5620000000000003</v>
      </c>
      <c r="M329" s="189">
        <f ca="1">IF(K316&gt;=3,M328,M325)</f>
        <v>-1.3199999999999998</v>
      </c>
      <c r="AA329" s="143" t="s">
        <v>35</v>
      </c>
      <c r="AB329" s="128">
        <f ca="1">IF($AA316,D329,AB322)</f>
        <v>-4.5620000000000003</v>
      </c>
      <c r="AC329" s="129">
        <f ca="1">IF($AA316,E329,AC322)</f>
        <v>0.25999999999999979</v>
      </c>
      <c r="AD329" s="157"/>
      <c r="AE329" s="2" t="s">
        <v>35</v>
      </c>
      <c r="AF329" s="188">
        <f ca="1">IF($AE316,H329,AF322)</f>
        <v>8888</v>
      </c>
      <c r="AG329" s="196">
        <f ca="1">IF($AE316,I329,AG322)</f>
        <v>8887.5</v>
      </c>
      <c r="AI329" s="128" t="s">
        <v>35</v>
      </c>
      <c r="AJ329" s="128">
        <f ca="1">IF($AI316,L329,AJ322)</f>
        <v>-4.5620000000000003</v>
      </c>
      <c r="AK329" s="129">
        <f ca="1">IF($AI316,M329,AK322)</f>
        <v>-1.3199999999999998</v>
      </c>
      <c r="AL329" s="156"/>
      <c r="AW329" s="128">
        <f t="shared" si="46"/>
        <v>833</v>
      </c>
      <c r="AX329" s="128">
        <f t="shared" ca="1" si="42"/>
        <v>-16.562000000000005</v>
      </c>
      <c r="AY329" s="129">
        <f t="shared" ca="1" si="43"/>
        <v>1.4960570012328709</v>
      </c>
      <c r="BB329" s="128">
        <f t="shared" ca="1" si="44"/>
        <v>-16.562000000000005</v>
      </c>
      <c r="BC329" s="129">
        <f t="shared" ca="1" si="45"/>
        <v>-1.4960570012328709</v>
      </c>
      <c r="BD329" s="157"/>
    </row>
    <row r="330" spans="2:56" ht="15" thickBot="1">
      <c r="B330" s="156"/>
      <c r="C330" s="130" t="s">
        <v>396</v>
      </c>
      <c r="D330" s="130">
        <f ca="1">D318</f>
        <v>-4.5620000000000003</v>
      </c>
      <c r="E330" s="140">
        <f ca="1">E318</f>
        <v>1.3199999999999998</v>
      </c>
      <c r="F330" s="157"/>
      <c r="G330" s="192" t="s">
        <v>312</v>
      </c>
      <c r="H330" s="128">
        <f ca="1">IF(G316&gt;=4,H318,H329)</f>
        <v>8888</v>
      </c>
      <c r="I330" s="139">
        <f ca="1">IF(G316&gt;=4,I329-P311,I329)</f>
        <v>8887.5</v>
      </c>
      <c r="K330" s="130" t="s">
        <v>396</v>
      </c>
      <c r="L330" s="130">
        <f ca="1">L318</f>
        <v>-4.5620000000000003</v>
      </c>
      <c r="M330" s="140">
        <f ca="1">M318</f>
        <v>-0.25999999999999979</v>
      </c>
      <c r="AA330" s="144" t="s">
        <v>396</v>
      </c>
      <c r="AB330" s="130">
        <f ca="1">IF($AA316,D330,AB322)</f>
        <v>-4.5620000000000003</v>
      </c>
      <c r="AC330" s="132">
        <f ca="1">IF($AA316,E330,AC322)</f>
        <v>1.3199999999999998</v>
      </c>
      <c r="AD330" s="157"/>
      <c r="AE330" s="192" t="s">
        <v>312</v>
      </c>
      <c r="AF330" s="128">
        <f ca="1">IF($AE316,H330,AF322)</f>
        <v>8888</v>
      </c>
      <c r="AG330" s="129">
        <f ca="1">IF($AE316,I330,AG322)</f>
        <v>8887.5</v>
      </c>
      <c r="AI330" s="130" t="s">
        <v>396</v>
      </c>
      <c r="AJ330" s="130">
        <f ca="1">IF($AI316,L330,AJ322)</f>
        <v>-4.5620000000000003</v>
      </c>
      <c r="AK330" s="132">
        <f ca="1">IF($AI316,M330,AK322)</f>
        <v>-0.25999999999999979</v>
      </c>
      <c r="AW330" s="128">
        <f t="shared" si="46"/>
        <v>865</v>
      </c>
      <c r="AX330" s="128">
        <f t="shared" ca="1" si="42"/>
        <v>-16.562000000000005</v>
      </c>
      <c r="AY330" s="129">
        <f t="shared" ca="1" si="43"/>
        <v>1.4960570012328709</v>
      </c>
      <c r="BB330" s="128">
        <f t="shared" ca="1" si="44"/>
        <v>-16.562000000000005</v>
      </c>
      <c r="BC330" s="129">
        <f t="shared" ca="1" si="45"/>
        <v>-1.4960570012328709</v>
      </c>
      <c r="BD330" s="157"/>
    </row>
    <row r="331" spans="2:56">
      <c r="B331" s="156"/>
      <c r="F331" s="157"/>
      <c r="G331" s="2" t="s">
        <v>313</v>
      </c>
      <c r="H331" s="128">
        <f ca="1">IF(G316&gt;=4,H319,H329)</f>
        <v>8888</v>
      </c>
      <c r="I331" s="139">
        <f ca="1">IF(G316&gt;=4,I330,I329)</f>
        <v>8887.5</v>
      </c>
      <c r="AD331" s="157"/>
      <c r="AE331" s="2" t="s">
        <v>313</v>
      </c>
      <c r="AF331" s="128">
        <f ca="1">IF($AE316,H331,AF322)</f>
        <v>8888</v>
      </c>
      <c r="AG331" s="129">
        <f ca="1">IF($AE316,I331,AG322)</f>
        <v>8887.5</v>
      </c>
      <c r="AW331" s="128">
        <f t="shared" si="46"/>
        <v>866</v>
      </c>
      <c r="AX331" s="128">
        <f t="shared" ca="1" si="42"/>
        <v>-16.562000000000005</v>
      </c>
      <c r="AY331" s="129">
        <f t="shared" ca="1" si="43"/>
        <v>1.4960570012328709</v>
      </c>
      <c r="BB331" s="128">
        <f t="shared" ca="1" si="44"/>
        <v>-16.562000000000005</v>
      </c>
      <c r="BC331" s="129">
        <f t="shared" ca="1" si="45"/>
        <v>-1.4960570012328709</v>
      </c>
      <c r="BD331" s="157"/>
    </row>
    <row r="332" spans="2:56">
      <c r="B332" s="156"/>
      <c r="F332" s="157"/>
      <c r="G332" s="2" t="s">
        <v>7</v>
      </c>
      <c r="H332" s="128">
        <f ca="1">IF(G316&gt;=4,H319,H329)</f>
        <v>8888</v>
      </c>
      <c r="I332" s="139">
        <f ca="1">IF(G316&gt;=4,I331-P309,I329)</f>
        <v>8887.5</v>
      </c>
      <c r="AD332" s="157"/>
      <c r="AE332" s="2" t="s">
        <v>7</v>
      </c>
      <c r="AF332" s="128">
        <f ca="1">IF($AE316,H332,AF322)</f>
        <v>8888</v>
      </c>
      <c r="AG332" s="129">
        <f ca="1">IF($AE316,I332,AG322)</f>
        <v>8887.5</v>
      </c>
      <c r="AW332" s="128">
        <f t="shared" si="46"/>
        <v>867</v>
      </c>
      <c r="AX332" s="128">
        <f t="shared" ca="1" si="42"/>
        <v>-16.562000000000005</v>
      </c>
      <c r="AY332" s="129">
        <f t="shared" ca="1" si="43"/>
        <v>1.4960570012328709</v>
      </c>
      <c r="BB332" s="128">
        <f t="shared" ca="1" si="44"/>
        <v>-16.562000000000005</v>
      </c>
      <c r="BC332" s="129">
        <f t="shared" ca="1" si="45"/>
        <v>-1.4960570012328709</v>
      </c>
      <c r="BD332" s="157"/>
    </row>
    <row r="333" spans="2:56">
      <c r="B333" s="156"/>
      <c r="F333" s="157"/>
      <c r="G333" s="115" t="s">
        <v>8</v>
      </c>
      <c r="H333" s="188">
        <f ca="1">IF(G316&gt;=4,H318,H329)</f>
        <v>8888</v>
      </c>
      <c r="I333" s="189">
        <f ca="1">IF(G316&gt;=4,I332,I329)</f>
        <v>8887.5</v>
      </c>
      <c r="AD333" s="157"/>
      <c r="AE333" s="115" t="s">
        <v>8</v>
      </c>
      <c r="AF333" s="188">
        <f ca="1">IF($AE316,H333,AF322)</f>
        <v>8888</v>
      </c>
      <c r="AG333" s="196">
        <f ca="1">IF($AE316,I333,AG322)</f>
        <v>8887.5</v>
      </c>
      <c r="AW333" s="128">
        <f t="shared" si="46"/>
        <v>868</v>
      </c>
      <c r="AX333" s="128">
        <f t="shared" ca="1" si="42"/>
        <v>-16.562000000000005</v>
      </c>
      <c r="AY333" s="129">
        <f t="shared" ca="1" si="43"/>
        <v>1.4960570012328709</v>
      </c>
      <c r="BB333" s="128">
        <f t="shared" ca="1" si="44"/>
        <v>-16.562000000000005</v>
      </c>
      <c r="BC333" s="129">
        <f t="shared" ca="1" si="45"/>
        <v>-1.4960570012328709</v>
      </c>
      <c r="BD333" s="157"/>
    </row>
    <row r="334" spans="2:56">
      <c r="B334" s="156"/>
      <c r="F334" s="157"/>
      <c r="G334" s="2" t="s">
        <v>9</v>
      </c>
      <c r="H334" s="128">
        <f ca="1">IF(G316&gt;=5,H318,H333)</f>
        <v>8888</v>
      </c>
      <c r="I334" s="139">
        <f ca="1">IF(G316&gt;=5,I333-P311,I333)</f>
        <v>8887.5</v>
      </c>
      <c r="AD334" s="157"/>
      <c r="AE334" s="2" t="s">
        <v>9</v>
      </c>
      <c r="AF334" s="128">
        <f ca="1">IF($AE316,H334,AF322)</f>
        <v>8888</v>
      </c>
      <c r="AG334" s="129">
        <f ca="1">IF($AE316,I334,AG322)</f>
        <v>8887.5</v>
      </c>
      <c r="AW334" s="128">
        <f t="shared" si="46"/>
        <v>869</v>
      </c>
      <c r="AX334" s="128">
        <f t="shared" ca="1" si="42"/>
        <v>-16.562000000000005</v>
      </c>
      <c r="AY334" s="129">
        <f t="shared" ca="1" si="43"/>
        <v>1.4960570012328709</v>
      </c>
      <c r="BB334" s="128">
        <f t="shared" ca="1" si="44"/>
        <v>-16.562000000000005</v>
      </c>
      <c r="BC334" s="129">
        <f t="shared" ca="1" si="45"/>
        <v>-1.4960570012328709</v>
      </c>
      <c r="BD334" s="157"/>
    </row>
    <row r="335" spans="2:56">
      <c r="B335" s="156"/>
      <c r="F335" s="157"/>
      <c r="G335" s="2" t="s">
        <v>196</v>
      </c>
      <c r="H335" s="128">
        <f ca="1">IF(G316&gt;=5,H319,H333)</f>
        <v>8888</v>
      </c>
      <c r="I335" s="139">
        <f ca="1">IF(G316&gt;=5,I334,I333)</f>
        <v>8887.5</v>
      </c>
      <c r="AD335" s="157"/>
      <c r="AE335" s="2" t="s">
        <v>196</v>
      </c>
      <c r="AF335" s="128">
        <f ca="1">IF($AE316,H335,AF322)</f>
        <v>8888</v>
      </c>
      <c r="AG335" s="129">
        <f ca="1">IF($AE316,I335,AG322)</f>
        <v>8887.5</v>
      </c>
      <c r="AW335" s="128">
        <f t="shared" si="46"/>
        <v>901</v>
      </c>
      <c r="AX335" s="128">
        <f t="shared" ca="1" si="42"/>
        <v>-16.562000000000005</v>
      </c>
      <c r="AY335" s="129">
        <f t="shared" ca="1" si="43"/>
        <v>1.4960570012328709</v>
      </c>
      <c r="BB335" s="128">
        <f t="shared" ca="1" si="44"/>
        <v>-16.562000000000005</v>
      </c>
      <c r="BC335" s="129">
        <f t="shared" ca="1" si="45"/>
        <v>-1.4960570012328709</v>
      </c>
      <c r="BD335" s="157"/>
    </row>
    <row r="336" spans="2:56">
      <c r="B336" s="156"/>
      <c r="F336" s="157"/>
      <c r="G336" s="2" t="s">
        <v>10</v>
      </c>
      <c r="H336" s="128">
        <f ca="1">IF(G316&gt;=5,H319,H333)</f>
        <v>8888</v>
      </c>
      <c r="I336" s="139">
        <f ca="1">IF(G316&gt;=5,I335-P309,I333)</f>
        <v>8887.5</v>
      </c>
      <c r="AD336" s="157"/>
      <c r="AE336" s="2" t="s">
        <v>10</v>
      </c>
      <c r="AF336" s="128">
        <f ca="1">IF($AE316,H336,AF322)</f>
        <v>8888</v>
      </c>
      <c r="AG336" s="129">
        <f ca="1">IF($AE316,I336,AG322)</f>
        <v>8887.5</v>
      </c>
      <c r="AW336" s="128">
        <f t="shared" si="46"/>
        <v>902</v>
      </c>
      <c r="AX336" s="128">
        <f t="shared" ca="1" si="42"/>
        <v>-16.562000000000005</v>
      </c>
      <c r="AY336" s="129">
        <f t="shared" ca="1" si="43"/>
        <v>1.4960570012328709</v>
      </c>
      <c r="BB336" s="128">
        <f t="shared" ca="1" si="44"/>
        <v>-16.562000000000005</v>
      </c>
      <c r="BC336" s="129">
        <f t="shared" ca="1" si="45"/>
        <v>-1.4960570012328709</v>
      </c>
      <c r="BD336" s="157"/>
    </row>
    <row r="337" spans="2:56">
      <c r="B337" s="156"/>
      <c r="F337" s="157"/>
      <c r="G337" s="2" t="s">
        <v>161</v>
      </c>
      <c r="H337" s="188">
        <f ca="1">IF(G316&gt;=5,H318,H333)</f>
        <v>8888</v>
      </c>
      <c r="I337" s="189">
        <f ca="1">IF(G316&gt;=5,I336,I333)</f>
        <v>8887.5</v>
      </c>
      <c r="AD337" s="157"/>
      <c r="AE337" s="2" t="s">
        <v>161</v>
      </c>
      <c r="AF337" s="188">
        <f ca="1">IF($AE316,H337,AF322)</f>
        <v>8888</v>
      </c>
      <c r="AG337" s="196">
        <f ca="1">IF($AE316,I337,AG322)</f>
        <v>8887.5</v>
      </c>
      <c r="AW337" s="128">
        <f t="shared" si="46"/>
        <v>903</v>
      </c>
      <c r="AX337" s="128">
        <f t="shared" ca="1" si="42"/>
        <v>-16.562000000000005</v>
      </c>
      <c r="AY337" s="129">
        <f t="shared" ca="1" si="43"/>
        <v>1.4960570012328709</v>
      </c>
      <c r="BB337" s="128">
        <f t="shared" ca="1" si="44"/>
        <v>-16.562000000000005</v>
      </c>
      <c r="BC337" s="129">
        <f t="shared" ca="1" si="45"/>
        <v>-1.4960570012328709</v>
      </c>
      <c r="BD337" s="157"/>
    </row>
    <row r="338" spans="2:56">
      <c r="B338" s="156"/>
      <c r="F338" s="157"/>
      <c r="G338" s="192" t="s">
        <v>11</v>
      </c>
      <c r="H338" s="128">
        <f ca="1">IF(G316&gt;=6,H318,H337)</f>
        <v>8888</v>
      </c>
      <c r="I338" s="139">
        <f ca="1">IF(G316&gt;=6,I337-P311,I337)</f>
        <v>8887.5</v>
      </c>
      <c r="AD338" s="157"/>
      <c r="AE338" s="192" t="s">
        <v>11</v>
      </c>
      <c r="AF338" s="128">
        <f ca="1">IF($AE316,H338,AF322)</f>
        <v>8888</v>
      </c>
      <c r="AG338" s="129">
        <f ca="1">IF($AE316,I338,AG322)</f>
        <v>8887.5</v>
      </c>
      <c r="AW338" s="128">
        <f t="shared" si="46"/>
        <v>904</v>
      </c>
      <c r="AX338" s="128">
        <f t="shared" ref="AX338:AX401" ca="1" si="51">OFFSET(AN$209,$AW338,0)</f>
        <v>-16.562000000000005</v>
      </c>
      <c r="AY338" s="129">
        <f t="shared" ref="AY338:AY401" ca="1" si="52">OFFSET(AO$209,$AW338,0)</f>
        <v>1.4960570012328709</v>
      </c>
      <c r="BB338" s="128">
        <f t="shared" ref="BB338:BB401" ca="1" si="53">AX338</f>
        <v>-16.562000000000005</v>
      </c>
      <c r="BC338" s="129">
        <f t="shared" ref="BC338:BC401" ca="1" si="54">-AY338</f>
        <v>-1.4960570012328709</v>
      </c>
      <c r="BD338" s="157"/>
    </row>
    <row r="339" spans="2:56">
      <c r="B339" s="156"/>
      <c r="F339" s="157"/>
      <c r="G339" s="2" t="s">
        <v>12</v>
      </c>
      <c r="H339" s="128">
        <f ca="1">IF(G316&gt;=6,H319,H337)</f>
        <v>8888</v>
      </c>
      <c r="I339" s="139">
        <f ca="1">IF(G316&gt;=6,I338,I337)</f>
        <v>8887.5</v>
      </c>
      <c r="AD339" s="157"/>
      <c r="AE339" s="2" t="s">
        <v>12</v>
      </c>
      <c r="AF339" s="128">
        <f ca="1">IF($AE316,H339,AF322)</f>
        <v>8888</v>
      </c>
      <c r="AG339" s="129">
        <f ca="1">IF($AE316,I339,AG322)</f>
        <v>8887.5</v>
      </c>
      <c r="AW339" s="128">
        <f t="shared" si="46"/>
        <v>905</v>
      </c>
      <c r="AX339" s="128">
        <f t="shared" ca="1" si="51"/>
        <v>-16.562000000000005</v>
      </c>
      <c r="AY339" s="129">
        <f t="shared" ca="1" si="52"/>
        <v>1.4960570012328709</v>
      </c>
      <c r="BB339" s="128">
        <f t="shared" ca="1" si="53"/>
        <v>-16.562000000000005</v>
      </c>
      <c r="BC339" s="129">
        <f t="shared" ca="1" si="54"/>
        <v>-1.4960570012328709</v>
      </c>
      <c r="BD339" s="157"/>
    </row>
    <row r="340" spans="2:56">
      <c r="B340" s="156"/>
      <c r="F340" s="157"/>
      <c r="G340" s="2" t="s">
        <v>13</v>
      </c>
      <c r="H340" s="128">
        <f ca="1">IF(G316&gt;=6,H319,H337)</f>
        <v>8888</v>
      </c>
      <c r="I340" s="139">
        <f ca="1">IF(G316&gt;=6,I339-P309,I337)</f>
        <v>8887.5</v>
      </c>
      <c r="AD340" s="157"/>
      <c r="AE340" s="2" t="s">
        <v>13</v>
      </c>
      <c r="AF340" s="128">
        <f ca="1">IF($AE316,H340,AF322)</f>
        <v>8888</v>
      </c>
      <c r="AG340" s="129">
        <f ca="1">IF($AE316,I340,AG322)</f>
        <v>8887.5</v>
      </c>
      <c r="AW340" s="128">
        <f t="shared" si="46"/>
        <v>937</v>
      </c>
      <c r="AX340" s="128">
        <f t="shared" ca="1" si="51"/>
        <v>-16.562000000000005</v>
      </c>
      <c r="AY340" s="129">
        <f t="shared" ca="1" si="52"/>
        <v>1.4960570012328709</v>
      </c>
      <c r="BB340" s="128">
        <f t="shared" ca="1" si="53"/>
        <v>-16.562000000000005</v>
      </c>
      <c r="BC340" s="129">
        <f t="shared" ca="1" si="54"/>
        <v>-1.4960570012328709</v>
      </c>
      <c r="BD340" s="157"/>
    </row>
    <row r="341" spans="2:56">
      <c r="B341" s="156"/>
      <c r="F341" s="157"/>
      <c r="G341" s="115" t="s">
        <v>14</v>
      </c>
      <c r="H341" s="188">
        <f ca="1">IF(G316&gt;=6,H318,H337)</f>
        <v>8888</v>
      </c>
      <c r="I341" s="189">
        <f ca="1">IF(G316&gt;=6,I340,I337)</f>
        <v>8887.5</v>
      </c>
      <c r="AD341" s="157"/>
      <c r="AE341" s="115" t="s">
        <v>14</v>
      </c>
      <c r="AF341" s="188">
        <f ca="1">IF($AE316,H341,AF322)</f>
        <v>8888</v>
      </c>
      <c r="AG341" s="196">
        <f ca="1">IF($AE316,I341,AG322)</f>
        <v>8887.5</v>
      </c>
      <c r="AW341" s="128">
        <f t="shared" si="46"/>
        <v>938</v>
      </c>
      <c r="AX341" s="128">
        <f t="shared" ca="1" si="51"/>
        <v>-16.562000000000005</v>
      </c>
      <c r="AY341" s="129">
        <f t="shared" ca="1" si="52"/>
        <v>1.4960570012328709</v>
      </c>
      <c r="BB341" s="128">
        <f t="shared" ca="1" si="53"/>
        <v>-16.562000000000005</v>
      </c>
      <c r="BC341" s="129">
        <f t="shared" ca="1" si="54"/>
        <v>-1.4960570012328709</v>
      </c>
      <c r="BD341" s="157"/>
    </row>
    <row r="342" spans="2:56" ht="15" thickBot="1">
      <c r="B342" s="156"/>
      <c r="G342" s="130" t="s">
        <v>396</v>
      </c>
      <c r="H342" s="130">
        <f ca="1">H318</f>
        <v>8888</v>
      </c>
      <c r="I342" s="140">
        <f ca="1">I318</f>
        <v>8888</v>
      </c>
      <c r="AE342" s="130" t="s">
        <v>396</v>
      </c>
      <c r="AF342" s="130">
        <f ca="1">IF($AE316,H342,AF322)</f>
        <v>8888</v>
      </c>
      <c r="AG342" s="132">
        <f ca="1">IF($AE316,I342,AG322)</f>
        <v>8888</v>
      </c>
      <c r="AW342" s="128">
        <f t="shared" si="46"/>
        <v>939</v>
      </c>
      <c r="AX342" s="128">
        <f t="shared" ca="1" si="51"/>
        <v>-16.562000000000005</v>
      </c>
      <c r="AY342" s="129">
        <f t="shared" ca="1" si="52"/>
        <v>1.4960570012328709</v>
      </c>
      <c r="BB342" s="128">
        <f t="shared" ca="1" si="53"/>
        <v>-16.562000000000005</v>
      </c>
      <c r="BC342" s="129">
        <f t="shared" ca="1" si="54"/>
        <v>-1.4960570012328709</v>
      </c>
      <c r="BD342" s="157"/>
    </row>
    <row r="343" spans="2:56">
      <c r="B343" s="156"/>
      <c r="AW343" s="128">
        <f t="shared" si="46"/>
        <v>940</v>
      </c>
      <c r="AX343" s="128">
        <f t="shared" ca="1" si="51"/>
        <v>-16.562000000000005</v>
      </c>
      <c r="AY343" s="129">
        <f t="shared" ca="1" si="52"/>
        <v>1.4960570012328709</v>
      </c>
      <c r="BB343" s="128">
        <f t="shared" ca="1" si="53"/>
        <v>-16.562000000000005</v>
      </c>
      <c r="BC343" s="129">
        <f t="shared" ca="1" si="54"/>
        <v>-1.4960570012328709</v>
      </c>
      <c r="BD343" s="157"/>
    </row>
    <row r="344" spans="2:56">
      <c r="B344" s="156"/>
      <c r="AW344" s="128">
        <f t="shared" ref="AW344:AW407" si="55">AW339+36</f>
        <v>941</v>
      </c>
      <c r="AX344" s="128">
        <f t="shared" ca="1" si="51"/>
        <v>-16.562000000000005</v>
      </c>
      <c r="AY344" s="129">
        <f t="shared" ca="1" si="52"/>
        <v>1.4960570012328709</v>
      </c>
      <c r="BB344" s="128">
        <f t="shared" ca="1" si="53"/>
        <v>-16.562000000000005</v>
      </c>
      <c r="BC344" s="129">
        <f t="shared" ca="1" si="54"/>
        <v>-1.4960570012328709</v>
      </c>
      <c r="BD344" s="157"/>
    </row>
    <row r="345" spans="2:56">
      <c r="B345" s="156"/>
      <c r="C345" s="200" t="s">
        <v>336</v>
      </c>
      <c r="D345">
        <f>D309+1</f>
        <v>5</v>
      </c>
      <c r="G345" s="200" t="s">
        <v>638</v>
      </c>
      <c r="H345">
        <f ca="1">LOOKUP(D348,$C$191:$C$196,$D$191:$D$196)</f>
        <v>0</v>
      </c>
      <c r="K345" s="200" t="s">
        <v>644</v>
      </c>
      <c r="L345">
        <f ca="1">L309-H350</f>
        <v>-5.3620000000000001</v>
      </c>
      <c r="O345" s="200" t="s">
        <v>404</v>
      </c>
      <c r="P345">
        <f ca="1">IF(D347=1,SEAT_w_cushion_FC,IF(D347=2,SEAT_w_cushion_BC,IF(D347=3,SEAT_w_cushion_YC,0)))</f>
        <v>0.5</v>
      </c>
      <c r="S345" s="200" t="s">
        <v>647</v>
      </c>
      <c r="T345">
        <f ca="1">LOOKUP(D348,$C$191:$C$196,$E$191:$E$196)</f>
        <v>0</v>
      </c>
      <c r="W345" t="s">
        <v>130</v>
      </c>
      <c r="X345" t="str">
        <f ca="1">OFFSET(Fuselage!$B$275,D345,5)</f>
        <v>None</v>
      </c>
      <c r="AN345" s="200" t="s">
        <v>135</v>
      </c>
      <c r="AO345">
        <f ca="1">MAX(0,H350-MAX(T345,T347,T349,P346)-X346)</f>
        <v>0.37000000000000005</v>
      </c>
      <c r="AW345" s="128">
        <f t="shared" si="55"/>
        <v>973</v>
      </c>
      <c r="AX345" s="128">
        <f t="shared" ca="1" si="51"/>
        <v>-16.562000000000005</v>
      </c>
      <c r="AY345" s="129">
        <f t="shared" ca="1" si="52"/>
        <v>1.4960570012328709</v>
      </c>
      <c r="BB345" s="128">
        <f t="shared" ca="1" si="53"/>
        <v>-16.562000000000005</v>
      </c>
      <c r="BC345" s="129">
        <f t="shared" ca="1" si="54"/>
        <v>-1.4960570012328709</v>
      </c>
      <c r="BD345" s="157"/>
    </row>
    <row r="346" spans="2:56">
      <c r="B346" s="156"/>
      <c r="C346" s="200" t="s">
        <v>200</v>
      </c>
      <c r="D346">
        <f ca="1">OFFSET(Fuselage!$B$275,D345,0)</f>
        <v>4</v>
      </c>
      <c r="G346" s="200" t="s">
        <v>639</v>
      </c>
      <c r="H346">
        <f ca="1">LOOKUP(D349,$C$191:$C$196,$D$191:$D$196)</f>
        <v>0</v>
      </c>
      <c r="O346" s="200" t="s">
        <v>535</v>
      </c>
      <c r="P346">
        <f ca="1">IF(D347=1,SEAT_length_FC,IF(D347=2,SEAT_length_BC,IF(D347=3,SEAT_length_YC,0)))</f>
        <v>0.43</v>
      </c>
      <c r="S346" s="200" t="s">
        <v>648</v>
      </c>
      <c r="T346">
        <f ca="1">LOOKUP(D348,$C$191:$C$196,$F$191:$F$196)</f>
        <v>0</v>
      </c>
      <c r="W346" t="s">
        <v>131</v>
      </c>
      <c r="X346">
        <f ca="1">LOOKUP(X345,$I$191:$I$198,$J$191:$J$198)</f>
        <v>0</v>
      </c>
      <c r="AW346" s="128">
        <f t="shared" si="55"/>
        <v>974</v>
      </c>
      <c r="AX346" s="128">
        <f t="shared" ca="1" si="51"/>
        <v>-16.562000000000005</v>
      </c>
      <c r="AY346" s="129">
        <f t="shared" ca="1" si="52"/>
        <v>1.4960570012328709</v>
      </c>
      <c r="BB346" s="128">
        <f t="shared" ca="1" si="53"/>
        <v>-16.562000000000005</v>
      </c>
      <c r="BC346" s="129">
        <f t="shared" ca="1" si="54"/>
        <v>-1.4960570012328709</v>
      </c>
      <c r="BD346" s="157"/>
    </row>
    <row r="347" spans="2:56">
      <c r="B347" s="156"/>
      <c r="C347" s="200" t="s">
        <v>337</v>
      </c>
      <c r="D347">
        <f ca="1">OFFSET(Fuselage!$B$275,D345,4)</f>
        <v>3</v>
      </c>
      <c r="G347" s="200" t="s">
        <v>309</v>
      </c>
      <c r="H347">
        <f ca="1">LOOKUP(D350,$C$191:$C$196,$D$191:$D$196)</f>
        <v>0</v>
      </c>
      <c r="K347" s="200" t="s">
        <v>645</v>
      </c>
      <c r="L347">
        <f ca="1">IF(D347=1,FUSELAGE_nseats_left_FC,IF(D347=2,FUSELAGE_nseats_left_BC,IF(D347=3,FUSELAGE_nseats_left_YC,0)))</f>
        <v>2</v>
      </c>
      <c r="O347" s="200" t="s">
        <v>405</v>
      </c>
      <c r="P347">
        <f ca="1">IF(D347=1,SEAT_w_armrest_FC,IF(D347=2,SEAT_w_armrest_BC,IF(D347=3,SEAT_w_armrest_YC,0)))</f>
        <v>0.06</v>
      </c>
      <c r="S347" s="200" t="s">
        <v>652</v>
      </c>
      <c r="T347">
        <f ca="1">LOOKUP(D349,$C$191:$C$196,$E$191:$E$196)</f>
        <v>0</v>
      </c>
      <c r="W347" s="200" t="s">
        <v>393</v>
      </c>
      <c r="X347" t="b">
        <f ca="1">IF(OFFSET(Fuselage!$B$275,D345,6)="YES",TRUE(),FALSE())</f>
        <v>0</v>
      </c>
      <c r="AW347" s="128">
        <f t="shared" si="55"/>
        <v>975</v>
      </c>
      <c r="AX347" s="128">
        <f t="shared" ca="1" si="51"/>
        <v>-16.562000000000005</v>
      </c>
      <c r="AY347" s="129">
        <f t="shared" ca="1" si="52"/>
        <v>1.4960570012328709</v>
      </c>
      <c r="BB347" s="128">
        <f t="shared" ca="1" si="53"/>
        <v>-16.562000000000005</v>
      </c>
      <c r="BC347" s="129">
        <f t="shared" ca="1" si="54"/>
        <v>-1.4960570012328709</v>
      </c>
      <c r="BD347" s="157"/>
    </row>
    <row r="348" spans="2:56">
      <c r="B348" s="156"/>
      <c r="C348" s="200" t="s">
        <v>640</v>
      </c>
      <c r="D348" t="str">
        <f ca="1">OFFSET(Fuselage!$B$275,D345,1)</f>
        <v>None</v>
      </c>
      <c r="G348" s="200" t="s">
        <v>132</v>
      </c>
      <c r="H348">
        <f ca="1">IF(D347=1,SEAT_pitch_FC,IF(D347=2,SEAT_pitch_BC,IF(D347=3,SEAT_pitch_YC,0)))</f>
        <v>0.8</v>
      </c>
      <c r="K348" s="200" t="s">
        <v>646</v>
      </c>
      <c r="L348">
        <f ca="1">IF(D347=1,FUSELAGE_nseats_middle_FC,IF(D347=2,FUSELAGE_nseats_middle_BC,IF(D347=3,FUSELAGE_nseats_middle_YC,0)))</f>
        <v>0</v>
      </c>
      <c r="S348" s="200" t="s">
        <v>653</v>
      </c>
      <c r="T348">
        <f ca="1">LOOKUP(D349,$C$191:$C$196,$F$191:$F$196)</f>
        <v>0</v>
      </c>
      <c r="AW348" s="128">
        <f t="shared" si="55"/>
        <v>976</v>
      </c>
      <c r="AX348" s="128">
        <f t="shared" ca="1" si="51"/>
        <v>-16.562000000000005</v>
      </c>
      <c r="AY348" s="129">
        <f t="shared" ca="1" si="52"/>
        <v>1.4960570012328709</v>
      </c>
      <c r="BB348" s="128">
        <f t="shared" ca="1" si="53"/>
        <v>-16.562000000000005</v>
      </c>
      <c r="BC348" s="129">
        <f t="shared" ca="1" si="54"/>
        <v>-1.4960570012328709</v>
      </c>
      <c r="BD348" s="157"/>
    </row>
    <row r="349" spans="2:56">
      <c r="B349" s="156"/>
      <c r="C349" s="200" t="s">
        <v>642</v>
      </c>
      <c r="D349" t="str">
        <f ca="1">OFFSET(Fuselage!$B$275,D345,2)</f>
        <v>None</v>
      </c>
      <c r="G349" s="200" t="s">
        <v>129</v>
      </c>
      <c r="H349">
        <f ca="1">IF(OR(X345="Type A",X345="Type B"),MAX(H345:H348)+42*0.0254,IF(X345="Type C",MAX(H345:H348)+X346,IF(X345&lt;&gt;"None",24*0.0254,0)))</f>
        <v>0</v>
      </c>
      <c r="K349" s="200" t="s">
        <v>655</v>
      </c>
      <c r="L349">
        <f ca="1">IF(D347=1,FUSELAGE_nseats_right_FC,IF(D347=2,FUSELAGE_nseats_right_BC,IF(D347=3,FUSELAGE_nseats_right_YC,0)))</f>
        <v>2</v>
      </c>
      <c r="O349" s="200" t="s">
        <v>407</v>
      </c>
      <c r="P349">
        <f ca="1">($C$13-(L347+L348+L349)*(P345+P347)+(FUSELAGE_n_aisles-1)*P347)/FUSELAGE_n_aisles</f>
        <v>0.51999999999999957</v>
      </c>
      <c r="S349" s="200" t="s">
        <v>651</v>
      </c>
      <c r="T349">
        <f ca="1">LOOKUP(D350,$C$191:$C$196,$E$191:$E$196)</f>
        <v>0</v>
      </c>
      <c r="AW349" s="128">
        <f t="shared" si="55"/>
        <v>977</v>
      </c>
      <c r="AX349" s="128">
        <f t="shared" ca="1" si="51"/>
        <v>-16.562000000000005</v>
      </c>
      <c r="AY349" s="129">
        <f t="shared" ca="1" si="52"/>
        <v>1.4960570012328709</v>
      </c>
      <c r="BB349" s="128">
        <f t="shared" ca="1" si="53"/>
        <v>-16.562000000000005</v>
      </c>
      <c r="BC349" s="129">
        <f t="shared" ca="1" si="54"/>
        <v>-1.4960570012328709</v>
      </c>
      <c r="BD349" s="157"/>
    </row>
    <row r="350" spans="2:56">
      <c r="B350" s="156"/>
      <c r="C350" s="200" t="s">
        <v>641</v>
      </c>
      <c r="D350" t="str">
        <f ca="1">OFFSET(Fuselage!$B$275,D345,3)</f>
        <v>None</v>
      </c>
      <c r="G350" s="200" t="s">
        <v>643</v>
      </c>
      <c r="H350">
        <f ca="1">MAX(H345:H349)</f>
        <v>0.8</v>
      </c>
      <c r="S350" s="200" t="s">
        <v>654</v>
      </c>
      <c r="T350">
        <f ca="1">LOOKUP(D350,$C$191:$C$196,$F$191:$F$196)</f>
        <v>0</v>
      </c>
      <c r="AW350" s="128">
        <f t="shared" si="55"/>
        <v>1009</v>
      </c>
      <c r="AX350" s="128">
        <f t="shared" ca="1" si="51"/>
        <v>-16.562000000000005</v>
      </c>
      <c r="AY350" s="129">
        <f t="shared" ca="1" si="52"/>
        <v>1.4960570012328709</v>
      </c>
      <c r="BB350" s="128">
        <f t="shared" ca="1" si="53"/>
        <v>-16.562000000000005</v>
      </c>
      <c r="BC350" s="129">
        <f t="shared" ca="1" si="54"/>
        <v>-1.4960570012328709</v>
      </c>
      <c r="BD350" s="157"/>
    </row>
    <row r="351" spans="2:56" ht="15" thickBot="1">
      <c r="B351" s="156"/>
      <c r="AW351" s="128">
        <f t="shared" si="55"/>
        <v>1010</v>
      </c>
      <c r="AX351" s="128">
        <f t="shared" ca="1" si="51"/>
        <v>-16.562000000000005</v>
      </c>
      <c r="AY351" s="129">
        <f t="shared" ca="1" si="52"/>
        <v>1.4960570012328709</v>
      </c>
      <c r="BB351" s="128">
        <f t="shared" ca="1" si="53"/>
        <v>-16.562000000000005</v>
      </c>
      <c r="BC351" s="129">
        <f t="shared" ca="1" si="54"/>
        <v>-1.4960570012328709</v>
      </c>
      <c r="BD351" s="157"/>
    </row>
    <row r="352" spans="2:56" ht="15" thickBot="1">
      <c r="B352" s="156"/>
      <c r="C352" s="141">
        <f ca="1">L349</f>
        <v>2</v>
      </c>
      <c r="D352" s="197" t="str">
        <f ca="1">IF($D347=1,"FC",IF($D347=2,"BC",IF($D347=3,"YC","Nothing")))</f>
        <v>YC</v>
      </c>
      <c r="E352" s="198"/>
      <c r="G352" s="141">
        <f ca="1">L348</f>
        <v>0</v>
      </c>
      <c r="H352" s="197" t="str">
        <f ca="1">IF($D347=1,"FC",IF($D347=2,"BC",IF($D347=3,"YC","Nothing")))</f>
        <v>YC</v>
      </c>
      <c r="I352" s="198"/>
      <c r="K352" s="141">
        <f ca="1" xml:space="preserve"> L347</f>
        <v>2</v>
      </c>
      <c r="L352" s="197" t="str">
        <f ca="1">IF($D347=1,"FC",IF($D347=2,"BC",IF($D347=3,"YC","Nothing")))</f>
        <v>YC</v>
      </c>
      <c r="M352" s="198"/>
      <c r="O352" s="141">
        <f ca="1">IF($D350&lt;&gt;"None",1,0)</f>
        <v>0</v>
      </c>
      <c r="P352" s="326" t="s">
        <v>380</v>
      </c>
      <c r="Q352" s="327"/>
      <c r="S352" s="141">
        <f ca="1">IF($D349&lt;&gt;"None",1,0)</f>
        <v>0</v>
      </c>
      <c r="T352" s="326" t="s">
        <v>381</v>
      </c>
      <c r="U352" s="327"/>
      <c r="W352" s="141">
        <f ca="1">IF($D348&lt;&gt;"None",1,0)</f>
        <v>0</v>
      </c>
      <c r="X352" s="326" t="s">
        <v>382</v>
      </c>
      <c r="Y352" s="327"/>
      <c r="AA352" s="141">
        <f ca="1">IF($D350="None",1,0)</f>
        <v>1</v>
      </c>
      <c r="AB352" s="326" t="str">
        <f ca="1">IF(AA352,D352,$D350)</f>
        <v>YC</v>
      </c>
      <c r="AC352" s="327"/>
      <c r="AE352" s="141">
        <f ca="1">IF($D349="None",1,0)</f>
        <v>1</v>
      </c>
      <c r="AF352" s="326" t="str">
        <f ca="1">IF(AE352,H352,$D349)</f>
        <v>YC</v>
      </c>
      <c r="AG352" s="327"/>
      <c r="AI352" s="141">
        <f ca="1">IF($D348="None",1,0)</f>
        <v>1</v>
      </c>
      <c r="AJ352" s="326" t="str">
        <f ca="1">IF(AI352,L352,$D348)</f>
        <v>YC</v>
      </c>
      <c r="AK352" s="327"/>
      <c r="AM352" s="141">
        <f ca="1">IF($X345="None",0,1)</f>
        <v>0</v>
      </c>
      <c r="AN352" s="197" t="s">
        <v>133</v>
      </c>
      <c r="AO352" s="198"/>
      <c r="AQ352" s="141">
        <f ca="1">IF($X345="None",0,1)</f>
        <v>0</v>
      </c>
      <c r="AR352" s="197" t="s">
        <v>134</v>
      </c>
      <c r="AS352" s="198"/>
      <c r="AW352" s="128">
        <f t="shared" si="55"/>
        <v>1011</v>
      </c>
      <c r="AX352" s="128">
        <f t="shared" ca="1" si="51"/>
        <v>-16.562000000000005</v>
      </c>
      <c r="AY352" s="129">
        <f t="shared" ca="1" si="52"/>
        <v>1.4960570012328709</v>
      </c>
      <c r="BB352" s="128">
        <f t="shared" ca="1" si="53"/>
        <v>-16.562000000000005</v>
      </c>
      <c r="BC352" s="129">
        <f t="shared" ca="1" si="54"/>
        <v>-1.4960570012328709</v>
      </c>
      <c r="BD352" s="157"/>
    </row>
    <row r="353" spans="2:56" ht="15" thickBot="1">
      <c r="B353" s="156"/>
      <c r="C353" s="136" t="s">
        <v>452</v>
      </c>
      <c r="D353" s="136" t="s">
        <v>384</v>
      </c>
      <c r="E353" s="138" t="s">
        <v>385</v>
      </c>
      <c r="G353" s="136" t="s">
        <v>452</v>
      </c>
      <c r="H353" s="136" t="s">
        <v>384</v>
      </c>
      <c r="I353" s="138" t="s">
        <v>385</v>
      </c>
      <c r="K353" s="193" t="s">
        <v>452</v>
      </c>
      <c r="L353" s="193" t="s">
        <v>384</v>
      </c>
      <c r="M353" s="194" t="s">
        <v>385</v>
      </c>
      <c r="O353" s="136" t="s">
        <v>452</v>
      </c>
      <c r="P353" s="136" t="s">
        <v>384</v>
      </c>
      <c r="Q353" s="138" t="s">
        <v>385</v>
      </c>
      <c r="S353" s="136" t="s">
        <v>452</v>
      </c>
      <c r="T353" s="136" t="s">
        <v>384</v>
      </c>
      <c r="U353" s="138" t="s">
        <v>385</v>
      </c>
      <c r="W353" s="136" t="s">
        <v>452</v>
      </c>
      <c r="X353" s="136" t="s">
        <v>384</v>
      </c>
      <c r="Y353" s="138" t="s">
        <v>385</v>
      </c>
      <c r="AA353" s="136" t="s">
        <v>452</v>
      </c>
      <c r="AB353" s="136" t="s">
        <v>384</v>
      </c>
      <c r="AC353" s="138" t="s">
        <v>385</v>
      </c>
      <c r="AE353" s="136" t="s">
        <v>452</v>
      </c>
      <c r="AF353" s="136" t="s">
        <v>384</v>
      </c>
      <c r="AG353" s="138" t="s">
        <v>385</v>
      </c>
      <c r="AI353" s="193" t="s">
        <v>452</v>
      </c>
      <c r="AJ353" s="193" t="s">
        <v>384</v>
      </c>
      <c r="AK353" s="194" t="s">
        <v>385</v>
      </c>
      <c r="AM353" s="193" t="s">
        <v>452</v>
      </c>
      <c r="AN353" s="193" t="s">
        <v>384</v>
      </c>
      <c r="AO353" s="194" t="s">
        <v>385</v>
      </c>
      <c r="AQ353" s="193" t="s">
        <v>452</v>
      </c>
      <c r="AR353" s="193" t="s">
        <v>384</v>
      </c>
      <c r="AS353" s="194" t="s">
        <v>385</v>
      </c>
      <c r="AW353" s="128">
        <f t="shared" si="55"/>
        <v>1012</v>
      </c>
      <c r="AX353" s="128">
        <f t="shared" ca="1" si="51"/>
        <v>-16.562000000000005</v>
      </c>
      <c r="AY353" s="129">
        <f t="shared" ca="1" si="52"/>
        <v>1.4960570012328709</v>
      </c>
      <c r="BB353" s="128">
        <f t="shared" ca="1" si="53"/>
        <v>-16.562000000000005</v>
      </c>
      <c r="BC353" s="129">
        <f t="shared" ca="1" si="54"/>
        <v>-1.4960570012328709</v>
      </c>
      <c r="BD353" s="157"/>
    </row>
    <row r="354" spans="2:56">
      <c r="B354" s="156"/>
      <c r="C354" s="128" t="s">
        <v>396</v>
      </c>
      <c r="D354" s="158">
        <f ca="1">IF(C352&gt;=1,L345,8888)</f>
        <v>-5.3620000000000001</v>
      </c>
      <c r="E354" s="160">
        <f ca="1">IF(C352&gt;=1,1/2*($C$13-P345-2*P347)+1/2*P345,8888)</f>
        <v>1.3199999999999998</v>
      </c>
      <c r="G354" s="128" t="s">
        <v>396</v>
      </c>
      <c r="H354" s="158">
        <f ca="1">IF(G352&gt;=1,L345,8888)</f>
        <v>8888</v>
      </c>
      <c r="I354" s="160">
        <f ca="1">IF(G352&gt;=1,E365-P349,8888)</f>
        <v>8888</v>
      </c>
      <c r="K354" s="128" t="s">
        <v>396</v>
      </c>
      <c r="L354" s="158">
        <f ca="1">IF(K352&gt;=1,L345,8888)</f>
        <v>-5.3620000000000001</v>
      </c>
      <c r="M354" s="160">
        <f ca="1">IF(K352&gt;=1,IF(FUSELAGE_n_aisles=1,E365-P349,I377-P349),8888)</f>
        <v>-0.25999999999999979</v>
      </c>
      <c r="O354" s="128" t="s">
        <v>396</v>
      </c>
      <c r="P354" s="158">
        <f ca="1">IF(O352,$L345,8888)</f>
        <v>8888</v>
      </c>
      <c r="Q354" s="209">
        <f ca="1">IF(O352,FUSELAGE_y_position_of_left_seat_YC-(FUSELAGE_nseats_right_YC-1)*(SEAT_w_cushion_YC+SEAT_w_armrest_YC)/2+T350/2,8888)</f>
        <v>8888</v>
      </c>
      <c r="S354" s="128" t="s">
        <v>396</v>
      </c>
      <c r="T354" s="158">
        <f ca="1">IF(S352,$L345,8888)</f>
        <v>8888</v>
      </c>
      <c r="U354" s="160">
        <f ca="1">IF(S352,T348/2,8888)</f>
        <v>8888</v>
      </c>
      <c r="W354" s="128" t="s">
        <v>396</v>
      </c>
      <c r="X354" s="158">
        <f ca="1">IF(W352,$L345,8888)</f>
        <v>8888</v>
      </c>
      <c r="Y354" s="160">
        <f ca="1">IF(W352,-FUSELAGE_y_position_of_left_seat_YC+(FUSELAGE_nseats_left_YC-1)*(SEAT_w_cushion_YC+SEAT_w_armrest_YC)/2-T346/2,8888)</f>
        <v>8888</v>
      </c>
      <c r="AA354" s="128" t="s">
        <v>396</v>
      </c>
      <c r="AB354" s="158">
        <f ca="1">IF($AA352,D354,P354)</f>
        <v>-5.3620000000000001</v>
      </c>
      <c r="AC354" s="174">
        <f ca="1">IF($AA352,E354,Q354)</f>
        <v>1.3199999999999998</v>
      </c>
      <c r="AE354" s="128" t="s">
        <v>396</v>
      </c>
      <c r="AF354" s="158">
        <f ca="1">IF($AE352,H354,T354)</f>
        <v>8888</v>
      </c>
      <c r="AG354" s="174">
        <f ca="1">IF($AE352,I354,U354)</f>
        <v>8888</v>
      </c>
      <c r="AI354" s="128" t="s">
        <v>396</v>
      </c>
      <c r="AJ354" s="158">
        <f ca="1">IF($AI352,L354,X354)</f>
        <v>-5.3620000000000001</v>
      </c>
      <c r="AK354" s="174">
        <f ca="1">IF($AI352,M354,Y354)</f>
        <v>-0.25999999999999979</v>
      </c>
      <c r="AM354" s="128" t="s">
        <v>396</v>
      </c>
      <c r="AN354" s="158">
        <f ca="1">AN323</f>
        <v>-4.5620000000000003</v>
      </c>
      <c r="AO354" s="174">
        <f ca="1">IF(AN354&gt;-Fuselage!$D$366,(FUSELAGE_a_ellipse)*SQRT(1-((AN354+Fuselage!$D$366)/(Fuselage!$K$364-FUSELAGE_t_fuselage))^2),IF(AN354&gt;$L$2505+Fuselage!$K$370,FUSELAGE_a_ellipse,(FUSELAGE_a_ellipse+FUSELAGE_t_fuselage-FUSELAGE_d_fo/4)/Fuselage!$K$368*(AN354-$L$2505-Fuselage!$K$370)+FUSELAGE_a_ellipse))</f>
        <v>1.4960570012328709</v>
      </c>
      <c r="AQ354" s="128" t="s">
        <v>396</v>
      </c>
      <c r="AR354" s="158">
        <f t="shared" ref="AR354:AR359" ca="1" si="56">AN354</f>
        <v>-4.5620000000000003</v>
      </c>
      <c r="AS354" s="174">
        <f t="shared" ref="AS354:AS359" ca="1" si="57">-AO354</f>
        <v>-1.4960570012328709</v>
      </c>
      <c r="AW354" s="128">
        <f t="shared" si="55"/>
        <v>1013</v>
      </c>
      <c r="AX354" s="128">
        <f t="shared" ca="1" si="51"/>
        <v>-16.562000000000005</v>
      </c>
      <c r="AY354" s="129">
        <f t="shared" ca="1" si="52"/>
        <v>1.4960570012328709</v>
      </c>
      <c r="BB354" s="128">
        <f t="shared" ca="1" si="53"/>
        <v>-16.562000000000005</v>
      </c>
      <c r="BC354" s="129">
        <f t="shared" ca="1" si="54"/>
        <v>-1.4960570012328709</v>
      </c>
      <c r="BD354" s="157"/>
    </row>
    <row r="355" spans="2:56">
      <c r="B355" s="156"/>
      <c r="C355" s="128" t="s">
        <v>213</v>
      </c>
      <c r="D355" s="128">
        <f ca="1">IF(X347,D354+P346/4,D354+P346)</f>
        <v>-4.9320000000000004</v>
      </c>
      <c r="E355" s="139">
        <f ca="1">E354</f>
        <v>1.3199999999999998</v>
      </c>
      <c r="G355" s="128" t="s">
        <v>213</v>
      </c>
      <c r="H355" s="128">
        <f ca="1">H354+P346</f>
        <v>8888.43</v>
      </c>
      <c r="I355" s="139">
        <f ca="1">I354</f>
        <v>8888</v>
      </c>
      <c r="K355" s="128" t="s">
        <v>213</v>
      </c>
      <c r="L355" s="128">
        <f ca="1">IF(X347,IF(K352=1,L354+P346/4,L354+P346),L354+P346)</f>
        <v>-4.9320000000000004</v>
      </c>
      <c r="M355" s="139">
        <f ca="1">M354</f>
        <v>-0.25999999999999979</v>
      </c>
      <c r="O355" s="128" t="s">
        <v>213</v>
      </c>
      <c r="P355" s="128">
        <f ca="1">P354+$T349</f>
        <v>8888</v>
      </c>
      <c r="Q355" s="139">
        <f ca="1">Q354</f>
        <v>8888</v>
      </c>
      <c r="S355" s="128" t="s">
        <v>213</v>
      </c>
      <c r="T355" s="128">
        <f ca="1">T354+$T347</f>
        <v>8888</v>
      </c>
      <c r="U355" s="139">
        <f ca="1">U354</f>
        <v>8888</v>
      </c>
      <c r="W355" s="128" t="s">
        <v>213</v>
      </c>
      <c r="X355" s="128">
        <f ca="1">X354+$T345</f>
        <v>8888</v>
      </c>
      <c r="Y355" s="139">
        <f ca="1">Y354</f>
        <v>8888</v>
      </c>
      <c r="AA355" s="143" t="s">
        <v>213</v>
      </c>
      <c r="AB355" s="128">
        <f ca="1">IF($AA352,D355,P355)</f>
        <v>-4.9320000000000004</v>
      </c>
      <c r="AC355" s="129">
        <f ca="1">IF($AA352,E355,Q355)</f>
        <v>1.3199999999999998</v>
      </c>
      <c r="AE355" s="128" t="s">
        <v>213</v>
      </c>
      <c r="AF355" s="128">
        <f ca="1">IF($AE352,H355,T355)</f>
        <v>8888.43</v>
      </c>
      <c r="AG355" s="129">
        <f ca="1">IF($AE352,I355,U355)</f>
        <v>8888</v>
      </c>
      <c r="AI355" s="128" t="s">
        <v>213</v>
      </c>
      <c r="AJ355" s="128">
        <f ca="1">IF($AI352,L355,X355)</f>
        <v>-4.9320000000000004</v>
      </c>
      <c r="AK355" s="129">
        <f ca="1">IF($AI352,M355,Y355)</f>
        <v>-0.25999999999999979</v>
      </c>
      <c r="AM355" s="128" t="s">
        <v>213</v>
      </c>
      <c r="AN355" s="128">
        <f ca="1">AN354-AO345/2</f>
        <v>-4.7469999999999999</v>
      </c>
      <c r="AO355" s="129">
        <f ca="1">IF(AN355&gt;-Fuselage!$D$366,(FUSELAGE_a_ellipse)*SQRT(1-((AN355+Fuselage!$D$366)/(Fuselage!$K$364-FUSELAGE_t_fuselage))^2),IF(AN355&gt;$L$2505+Fuselage!$K$370,FUSELAGE_a_ellipse,(FUSELAGE_a_ellipse+FUSELAGE_t_fuselage-FUSELAGE_d_fo/4)/Fuselage!$K$368*(AN355-$L$2505-Fuselage!$K$370)+FUSELAGE_a_ellipse))</f>
        <v>1.4960570012328709</v>
      </c>
      <c r="AQ355" s="128" t="s">
        <v>213</v>
      </c>
      <c r="AR355" s="128">
        <f t="shared" ca="1" si="56"/>
        <v>-4.7469999999999999</v>
      </c>
      <c r="AS355" s="129">
        <f t="shared" ca="1" si="57"/>
        <v>-1.4960570012328709</v>
      </c>
      <c r="AW355" s="128">
        <f t="shared" si="55"/>
        <v>1045</v>
      </c>
      <c r="AX355" s="128">
        <f t="shared" ca="1" si="51"/>
        <v>-16.562000000000005</v>
      </c>
      <c r="AY355" s="129">
        <f t="shared" ca="1" si="52"/>
        <v>1.4960570012328709</v>
      </c>
      <c r="BB355" s="128">
        <f t="shared" ca="1" si="53"/>
        <v>-16.562000000000005</v>
      </c>
      <c r="BC355" s="129">
        <f t="shared" ca="1" si="54"/>
        <v>-1.4960570012328709</v>
      </c>
      <c r="BD355" s="157"/>
    </row>
    <row r="356" spans="2:56">
      <c r="B356" s="156"/>
      <c r="C356" s="128" t="s">
        <v>286</v>
      </c>
      <c r="D356" s="128">
        <f ca="1">D355</f>
        <v>-4.9320000000000004</v>
      </c>
      <c r="E356" s="139">
        <f ca="1">E355-P345</f>
        <v>0.81999999999999984</v>
      </c>
      <c r="G356" s="128" t="s">
        <v>286</v>
      </c>
      <c r="H356" s="128">
        <f ca="1">H355</f>
        <v>8888.43</v>
      </c>
      <c r="I356" s="139">
        <f ca="1">I355-P345</f>
        <v>8887.5</v>
      </c>
      <c r="K356" s="128" t="s">
        <v>286</v>
      </c>
      <c r="L356" s="128">
        <f ca="1">L355</f>
        <v>-4.9320000000000004</v>
      </c>
      <c r="M356" s="139">
        <f ca="1">M355-P345</f>
        <v>-0.75999999999999979</v>
      </c>
      <c r="O356" s="128" t="s">
        <v>286</v>
      </c>
      <c r="P356" s="128">
        <f ca="1">P355</f>
        <v>8888</v>
      </c>
      <c r="Q356" s="139">
        <f ca="1">Q355-$T350</f>
        <v>8888</v>
      </c>
      <c r="S356" s="128" t="s">
        <v>286</v>
      </c>
      <c r="T356" s="128">
        <f ca="1">T355</f>
        <v>8888</v>
      </c>
      <c r="U356" s="139">
        <f ca="1">U355-$T348</f>
        <v>8888</v>
      </c>
      <c r="W356" s="128" t="s">
        <v>286</v>
      </c>
      <c r="X356" s="128">
        <f ca="1">X355</f>
        <v>8888</v>
      </c>
      <c r="Y356" s="139">
        <f ca="1">Y355+$T346</f>
        <v>8888</v>
      </c>
      <c r="AA356" s="143" t="s">
        <v>286</v>
      </c>
      <c r="AB356" s="128">
        <f ca="1">IF($AA352,D356,P356)</f>
        <v>-4.9320000000000004</v>
      </c>
      <c r="AC356" s="129">
        <f ca="1">IF($AA352,E356,Q356)</f>
        <v>0.81999999999999984</v>
      </c>
      <c r="AE356" s="128" t="s">
        <v>286</v>
      </c>
      <c r="AF356" s="128">
        <f ca="1">IF($AE352,H356,T356)</f>
        <v>8888.43</v>
      </c>
      <c r="AG356" s="129">
        <f ca="1">IF($AE352,I356,U356)</f>
        <v>8887.5</v>
      </c>
      <c r="AI356" s="128" t="s">
        <v>286</v>
      </c>
      <c r="AJ356" s="128">
        <f ca="1">IF($AI352,L356,X356)</f>
        <v>-4.9320000000000004</v>
      </c>
      <c r="AK356" s="129">
        <f ca="1">IF($AI352,M356,Y356)</f>
        <v>-0.75999999999999979</v>
      </c>
      <c r="AM356" s="128" t="s">
        <v>286</v>
      </c>
      <c r="AN356" s="128">
        <f ca="1">AN355</f>
        <v>-4.7469999999999999</v>
      </c>
      <c r="AO356" s="129">
        <f ca="1">IF(AN356&gt;-Fuselage!$D$366,IF(AM352,(FUSELAGE_a_ellipse+FUSELAGE_t_fuselage)*SQRT(1-((AN356+Fuselage!$D$366)/Fuselage!$K$364)^2),(FUSELAGE_a_ellipse)*SQRT(1-((AN356+Fuselage!$D$366)/Fuselage!$K$364)^2)),IF(AN356&gt;$L$2505+Fuselage!$K$370,(IF(AM352,FUSELAGE_a_ellipse+FUSELAGE_t_fuselage,FUSELAGE_a_ellipse)),IF(AM352,(FUSELAGE_a_ellipse+FUSELAGE_t_fuselage-FUSELAGE_d_fo/4)/Fuselage!$K$368*(AN356-$L$2505-Fuselage!$K$370)+FUSELAGE_a_ellipse+FUSELAGE_t_fuselage,(FUSELAGE_a_ellipse+FUSELAGE_t_fuselage-FUSELAGE_d_fo/4)/Fuselage!$K$368*(AN356-$L$2505-Fuselage!$K$370)+FUSELAGE_a_ellipse)))</f>
        <v>1.4960570012328709</v>
      </c>
      <c r="AQ356" s="128" t="s">
        <v>286</v>
      </c>
      <c r="AR356" s="128">
        <f t="shared" ca="1" si="56"/>
        <v>-4.7469999999999999</v>
      </c>
      <c r="AS356" s="129">
        <f t="shared" ca="1" si="57"/>
        <v>-1.4960570012328709</v>
      </c>
      <c r="AW356" s="128">
        <f t="shared" si="55"/>
        <v>1046</v>
      </c>
      <c r="AX356" s="128">
        <f t="shared" ca="1" si="51"/>
        <v>-16.562000000000005</v>
      </c>
      <c r="AY356" s="129">
        <f t="shared" ca="1" si="52"/>
        <v>1.4960570012328709</v>
      </c>
      <c r="BB356" s="128">
        <f t="shared" ca="1" si="53"/>
        <v>-16.562000000000005</v>
      </c>
      <c r="BC356" s="129">
        <f t="shared" ca="1" si="54"/>
        <v>-1.4960570012328709</v>
      </c>
      <c r="BD356" s="157"/>
    </row>
    <row r="357" spans="2:56">
      <c r="B357" s="156"/>
      <c r="C357" s="188" t="s">
        <v>522</v>
      </c>
      <c r="D357" s="188">
        <f ca="1">D354</f>
        <v>-5.3620000000000001</v>
      </c>
      <c r="E357" s="189">
        <f ca="1">E356</f>
        <v>0.81999999999999984</v>
      </c>
      <c r="F357" s="157"/>
      <c r="G357" s="2" t="s">
        <v>522</v>
      </c>
      <c r="H357" s="128">
        <f ca="1">H354</f>
        <v>8888</v>
      </c>
      <c r="I357" s="139">
        <f ca="1">I356</f>
        <v>8887.5</v>
      </c>
      <c r="K357" s="128" t="s">
        <v>522</v>
      </c>
      <c r="L357" s="128">
        <f ca="1">L354</f>
        <v>-5.3620000000000001</v>
      </c>
      <c r="M357" s="139">
        <f ca="1">M356</f>
        <v>-0.75999999999999979</v>
      </c>
      <c r="O357" s="188" t="s">
        <v>522</v>
      </c>
      <c r="P357" s="188">
        <f ca="1">P354</f>
        <v>8888</v>
      </c>
      <c r="Q357" s="189">
        <f ca="1">Q356</f>
        <v>8888</v>
      </c>
      <c r="S357" s="188" t="s">
        <v>522</v>
      </c>
      <c r="T357" s="188">
        <f ca="1">T354</f>
        <v>8888</v>
      </c>
      <c r="U357" s="189">
        <f ca="1">U356</f>
        <v>8888</v>
      </c>
      <c r="W357" s="188" t="s">
        <v>522</v>
      </c>
      <c r="X357" s="188">
        <f ca="1">X354</f>
        <v>8888</v>
      </c>
      <c r="Y357" s="189">
        <f ca="1">Y356</f>
        <v>8888</v>
      </c>
      <c r="AA357" s="195" t="s">
        <v>522</v>
      </c>
      <c r="AB357" s="128">
        <f ca="1">IF($AA352,D357,P357)</f>
        <v>-5.3620000000000001</v>
      </c>
      <c r="AC357" s="129">
        <f ca="1">IF($AA352,E357,Q357)</f>
        <v>0.81999999999999984</v>
      </c>
      <c r="AD357" s="157"/>
      <c r="AE357" s="2" t="s">
        <v>522</v>
      </c>
      <c r="AF357" s="188">
        <f ca="1">IF($AE352,H357,T357)</f>
        <v>8888</v>
      </c>
      <c r="AG357" s="196">
        <f ca="1">IF($AE352,I357,U357)</f>
        <v>8887.5</v>
      </c>
      <c r="AI357" s="128" t="s">
        <v>522</v>
      </c>
      <c r="AJ357" s="188">
        <f ca="1">IF($AI352,L357,X357)</f>
        <v>-5.3620000000000001</v>
      </c>
      <c r="AK357" s="196">
        <f ca="1">IF($AI352,M357,Y357)</f>
        <v>-0.75999999999999979</v>
      </c>
      <c r="AM357" s="128" t="s">
        <v>522</v>
      </c>
      <c r="AN357" s="128">
        <f ca="1">AN356-X346</f>
        <v>-4.7469999999999999</v>
      </c>
      <c r="AO357" s="129">
        <f ca="1">IF(AN357&gt;-Fuselage!$D$366,IF(AM352,(FUSELAGE_a_ellipse+FUSELAGE_t_fuselage)*SQRT(1-((AN357+Fuselage!$D$366)/Fuselage!$K$364)^2),(FUSELAGE_a_ellipse)*SQRT(1-((AN357+Fuselage!$D$366)/Fuselage!$K$364)^2)),IF(AN357&gt;$L$2505+Fuselage!$K$370,(IF(AM352,FUSELAGE_a_ellipse+FUSELAGE_t_fuselage,FUSELAGE_a_ellipse)),IF(AM352,(FUSELAGE_a_ellipse+FUSELAGE_t_fuselage-FUSELAGE_d_fo/4)/Fuselage!$K$368*(AN357-$L$2505-Fuselage!$K$370)+FUSELAGE_a_ellipse+FUSELAGE_t_fuselage,(FUSELAGE_a_ellipse+FUSELAGE_t_fuselage-FUSELAGE_d_fo/4)/Fuselage!$K$368*(AN357-$L$2505-Fuselage!$K$370)+FUSELAGE_a_ellipse)))</f>
        <v>1.4960570012328709</v>
      </c>
      <c r="AQ357" s="128" t="s">
        <v>522</v>
      </c>
      <c r="AR357" s="128">
        <f t="shared" ca="1" si="56"/>
        <v>-4.7469999999999999</v>
      </c>
      <c r="AS357" s="129">
        <f t="shared" ca="1" si="57"/>
        <v>-1.4960570012328709</v>
      </c>
      <c r="AW357" s="128">
        <f t="shared" si="55"/>
        <v>1047</v>
      </c>
      <c r="AX357" s="128">
        <f t="shared" ca="1" si="51"/>
        <v>-16.562000000000005</v>
      </c>
      <c r="AY357" s="129">
        <f t="shared" ca="1" si="52"/>
        <v>1.4960570012328709</v>
      </c>
      <c r="BB357" s="128">
        <f t="shared" ca="1" si="53"/>
        <v>-16.562000000000005</v>
      </c>
      <c r="BC357" s="129">
        <f t="shared" ca="1" si="54"/>
        <v>-1.4960570012328709</v>
      </c>
      <c r="BD357" s="157"/>
    </row>
    <row r="358" spans="2:56" ht="15" thickBot="1">
      <c r="B358" s="156"/>
      <c r="C358" s="128" t="s">
        <v>49</v>
      </c>
      <c r="D358" s="128">
        <f ca="1">IF(C352&gt;=2,D354,D357)</f>
        <v>-5.3620000000000001</v>
      </c>
      <c r="E358" s="139">
        <f ca="1">IF(C352&gt;=2,E357-P347,E357)</f>
        <v>0.75999999999999979</v>
      </c>
      <c r="F358" s="157"/>
      <c r="G358" s="192" t="s">
        <v>49</v>
      </c>
      <c r="H358" s="190">
        <f ca="1">IF(G352&gt;=2,H354,H357)</f>
        <v>8888</v>
      </c>
      <c r="I358" s="191">
        <f ca="1">IF(G352&gt;=2,I357-P347,I357)</f>
        <v>8887.5</v>
      </c>
      <c r="K358" s="190" t="s">
        <v>49</v>
      </c>
      <c r="L358" s="190">
        <f ca="1">IF(K352&gt;=2,L354,L357)</f>
        <v>-5.3620000000000001</v>
      </c>
      <c r="M358" s="191">
        <f ca="1">IF(K352&gt;=2,M357-P347,M357)</f>
        <v>-0.81999999999999984</v>
      </c>
      <c r="O358" s="130" t="s">
        <v>396</v>
      </c>
      <c r="P358" s="130">
        <f ca="1">P354</f>
        <v>8888</v>
      </c>
      <c r="Q358" s="140">
        <f ca="1">Q354</f>
        <v>8888</v>
      </c>
      <c r="S358" s="130" t="s">
        <v>396</v>
      </c>
      <c r="T358" s="130">
        <f ca="1">T354</f>
        <v>8888</v>
      </c>
      <c r="U358" s="140">
        <f ca="1">U354</f>
        <v>8888</v>
      </c>
      <c r="W358" s="130" t="s">
        <v>396</v>
      </c>
      <c r="X358" s="130">
        <f ca="1">X354</f>
        <v>8888</v>
      </c>
      <c r="Y358" s="140">
        <f ca="1">Y354</f>
        <v>8888</v>
      </c>
      <c r="AA358" s="143" t="s">
        <v>49</v>
      </c>
      <c r="AB358" s="128">
        <f ca="1">IF($AA352,D358,P358)</f>
        <v>-5.3620000000000001</v>
      </c>
      <c r="AC358" s="129">
        <f ca="1">IF($AA352,E358,Q358)</f>
        <v>0.75999999999999979</v>
      </c>
      <c r="AD358" s="157"/>
      <c r="AE358" s="192" t="s">
        <v>49</v>
      </c>
      <c r="AF358" s="128">
        <f ca="1">IF($AE352,H358,T358)</f>
        <v>8888</v>
      </c>
      <c r="AG358" s="129">
        <f ca="1">IF($AE352,I358,U358)</f>
        <v>8887.5</v>
      </c>
      <c r="AI358" s="190" t="s">
        <v>49</v>
      </c>
      <c r="AJ358" s="128">
        <f ca="1">IF($AI352,L358,X358)</f>
        <v>-5.3620000000000001</v>
      </c>
      <c r="AK358" s="129">
        <f ca="1">IF($AI352,M358,Y358)</f>
        <v>-0.81999999999999984</v>
      </c>
      <c r="AM358" s="128" t="s">
        <v>49</v>
      </c>
      <c r="AN358" s="128">
        <f ca="1">AN357</f>
        <v>-4.7469999999999999</v>
      </c>
      <c r="AO358" s="129">
        <f ca="1">IF(AN358&gt;-Fuselage!$D$366,(FUSELAGE_a_ellipse)*SQRT(1-((AN358+Fuselage!$D$366)/(Fuselage!$K$364-FUSELAGE_t_fuselage))^2),IF(AN358&gt;$L$2505+Fuselage!$K$370,FUSELAGE_a_ellipse,(FUSELAGE_a_ellipse+FUSELAGE_t_fuselage-FUSELAGE_d_fo/4)/Fuselage!$K$368*(AN358-$L$2505-Fuselage!$K$370)+FUSELAGE_a_ellipse))</f>
        <v>1.4960570012328709</v>
      </c>
      <c r="AQ358" s="128" t="s">
        <v>49</v>
      </c>
      <c r="AR358" s="128">
        <f t="shared" ca="1" si="56"/>
        <v>-4.7469999999999999</v>
      </c>
      <c r="AS358" s="129">
        <f t="shared" ca="1" si="57"/>
        <v>-1.4960570012328709</v>
      </c>
      <c r="AW358" s="128">
        <f t="shared" si="55"/>
        <v>1048</v>
      </c>
      <c r="AX358" s="128">
        <f t="shared" ca="1" si="51"/>
        <v>-16.562000000000005</v>
      </c>
      <c r="AY358" s="129">
        <f t="shared" ca="1" si="52"/>
        <v>1.4960570012328709</v>
      </c>
      <c r="BB358" s="128">
        <f t="shared" ca="1" si="53"/>
        <v>-16.562000000000005</v>
      </c>
      <c r="BC358" s="129">
        <f t="shared" ca="1" si="54"/>
        <v>-1.4960570012328709</v>
      </c>
      <c r="BD358" s="157"/>
    </row>
    <row r="359" spans="2:56">
      <c r="B359" s="156"/>
      <c r="C359" s="128" t="s">
        <v>453</v>
      </c>
      <c r="D359" s="128">
        <f ca="1">IF(C352&gt;=2,D354+P346,D357)</f>
        <v>-4.9320000000000004</v>
      </c>
      <c r="E359" s="139">
        <f ca="1">E358</f>
        <v>0.75999999999999979</v>
      </c>
      <c r="F359" s="157"/>
      <c r="G359" s="2" t="s">
        <v>453</v>
      </c>
      <c r="H359" s="128">
        <f ca="1">IF(G352&gt;=2,H355,H357)</f>
        <v>8888</v>
      </c>
      <c r="I359" s="139">
        <f ca="1">IF(G352&gt;=2,I358,I357)</f>
        <v>8887.5</v>
      </c>
      <c r="K359" s="128" t="s">
        <v>453</v>
      </c>
      <c r="L359" s="128">
        <f ca="1">IF(K352&gt;=2,IF(X347,IF(K352=2,L354+P346/4,L354+P346),L354+P346),L357)</f>
        <v>-4.9320000000000004</v>
      </c>
      <c r="M359" s="139">
        <f ca="1">IF(K352&gt;=2,M358,M357)</f>
        <v>-0.81999999999999984</v>
      </c>
      <c r="AA359" s="143" t="s">
        <v>453</v>
      </c>
      <c r="AB359" s="128">
        <f ca="1">IF($AA352,D359,AB358)</f>
        <v>-4.9320000000000004</v>
      </c>
      <c r="AC359" s="129">
        <f ca="1">IF($AA352,E359,AC358)</f>
        <v>0.75999999999999979</v>
      </c>
      <c r="AD359" s="157"/>
      <c r="AE359" s="2" t="s">
        <v>453</v>
      </c>
      <c r="AF359" s="128">
        <f ca="1">IF($AE352,H359,AF358)</f>
        <v>8888</v>
      </c>
      <c r="AG359" s="129">
        <f ca="1">IF($AE352,I359,AG358)</f>
        <v>8887.5</v>
      </c>
      <c r="AI359" s="128" t="s">
        <v>453</v>
      </c>
      <c r="AJ359" s="128">
        <f ca="1">IF($AI352,L359,AJ358)</f>
        <v>-4.9320000000000004</v>
      </c>
      <c r="AK359" s="129">
        <f ca="1">IF($AI352,M359,AK358)</f>
        <v>-0.81999999999999984</v>
      </c>
      <c r="AM359" s="128" t="s">
        <v>453</v>
      </c>
      <c r="AN359" s="128">
        <f ca="1">L345</f>
        <v>-5.3620000000000001</v>
      </c>
      <c r="AO359" s="129">
        <f ca="1">IF(AN359&gt;-Fuselage!$D$366,(FUSELAGE_a_ellipse)*SQRT(1-((AN359+Fuselage!$D$366)/(Fuselage!$K$364-FUSELAGE_t_fuselage))^2),IF(AN359&gt;$L$2505+Fuselage!$K$370,FUSELAGE_a_ellipse,(FUSELAGE_a_ellipse+FUSELAGE_t_fuselage-FUSELAGE_d_fo/4)/Fuselage!$K$368*(AN359-$L$2505-Fuselage!$K$370)+FUSELAGE_a_ellipse))</f>
        <v>1.4960570012328709</v>
      </c>
      <c r="AQ359" s="128" t="s">
        <v>453</v>
      </c>
      <c r="AR359" s="128">
        <f t="shared" ca="1" si="56"/>
        <v>-5.3620000000000001</v>
      </c>
      <c r="AS359" s="129">
        <f t="shared" ca="1" si="57"/>
        <v>-1.4960570012328709</v>
      </c>
      <c r="AW359" s="128">
        <f t="shared" si="55"/>
        <v>1049</v>
      </c>
      <c r="AX359" s="128">
        <f t="shared" ca="1" si="51"/>
        <v>-16.562000000000005</v>
      </c>
      <c r="AY359" s="129">
        <f t="shared" ca="1" si="52"/>
        <v>1.4960570012328709</v>
      </c>
      <c r="BB359" s="128">
        <f t="shared" ca="1" si="53"/>
        <v>-16.562000000000005</v>
      </c>
      <c r="BC359" s="129">
        <f t="shared" ca="1" si="54"/>
        <v>-1.4960570012328709</v>
      </c>
      <c r="BD359" s="157"/>
    </row>
    <row r="360" spans="2:56">
      <c r="B360" s="156"/>
      <c r="C360" s="128" t="s">
        <v>394</v>
      </c>
      <c r="D360" s="128">
        <f ca="1">IF(C352&gt;=2,D359,D357)</f>
        <v>-4.9320000000000004</v>
      </c>
      <c r="E360" s="139">
        <f ca="1">IF(C352&gt;=2,E358-P345,E357)</f>
        <v>0.25999999999999979</v>
      </c>
      <c r="F360" s="157"/>
      <c r="G360" s="2" t="s">
        <v>394</v>
      </c>
      <c r="H360" s="128">
        <f ca="1">IF(G352&gt;=2,H355,H357)</f>
        <v>8888</v>
      </c>
      <c r="I360" s="139">
        <f ca="1">IF(G352&gt;=2,I359-P345,I357)</f>
        <v>8887.5</v>
      </c>
      <c r="K360" s="128" t="s">
        <v>394</v>
      </c>
      <c r="L360" s="128">
        <f ca="1">L359</f>
        <v>-4.9320000000000004</v>
      </c>
      <c r="M360" s="139">
        <f ca="1">IF(K352&gt;=2,M359-P345,M357)</f>
        <v>-1.3199999999999998</v>
      </c>
      <c r="AA360" s="143" t="s">
        <v>394</v>
      </c>
      <c r="AB360" s="128">
        <f ca="1">IF($AA352,D360,AB358)</f>
        <v>-4.9320000000000004</v>
      </c>
      <c r="AC360" s="129">
        <f ca="1">IF($AA352,E360,AC358)</f>
        <v>0.25999999999999979</v>
      </c>
      <c r="AD360" s="157"/>
      <c r="AE360" s="2" t="s">
        <v>394</v>
      </c>
      <c r="AF360" s="128">
        <f ca="1">IF($AE352,H360,AF358)</f>
        <v>8888</v>
      </c>
      <c r="AG360" s="129">
        <f ca="1">IF($AE352,I360,AG358)</f>
        <v>8887.5</v>
      </c>
      <c r="AI360" s="128" t="s">
        <v>394</v>
      </c>
      <c r="AJ360" s="128">
        <f ca="1">IF($AI352,L360,AJ358)</f>
        <v>-4.9320000000000004</v>
      </c>
      <c r="AK360" s="129">
        <f ca="1">IF($AI352,M360,AK358)</f>
        <v>-1.3199999999999998</v>
      </c>
      <c r="AW360" s="128">
        <f t="shared" si="55"/>
        <v>1081</v>
      </c>
      <c r="AX360" s="128">
        <f t="shared" ca="1" si="51"/>
        <v>-16.562000000000005</v>
      </c>
      <c r="AY360" s="129">
        <f t="shared" ca="1" si="52"/>
        <v>1.4960570012328709</v>
      </c>
      <c r="BB360" s="128">
        <f t="shared" ca="1" si="53"/>
        <v>-16.562000000000005</v>
      </c>
      <c r="BC360" s="129">
        <f t="shared" ca="1" si="54"/>
        <v>-1.4960570012328709</v>
      </c>
      <c r="BD360" s="157"/>
    </row>
    <row r="361" spans="2:56">
      <c r="B361" s="156"/>
      <c r="C361" s="188" t="s">
        <v>454</v>
      </c>
      <c r="D361" s="188">
        <f ca="1">IF(C352&gt;=2,D354,D357)</f>
        <v>-5.3620000000000001</v>
      </c>
      <c r="E361" s="189">
        <f ca="1">E360</f>
        <v>0.25999999999999979</v>
      </c>
      <c r="F361" s="157"/>
      <c r="G361" s="115" t="s">
        <v>454</v>
      </c>
      <c r="H361" s="188">
        <f ca="1">IF(G352&gt;=2,H354,H357)</f>
        <v>8888</v>
      </c>
      <c r="I361" s="189">
        <f ca="1">IF(G352&gt;=2,I360,I357)</f>
        <v>8887.5</v>
      </c>
      <c r="K361" s="188" t="s">
        <v>454</v>
      </c>
      <c r="L361" s="188">
        <f ca="1">IF(K352&gt;=2,L354,L357)</f>
        <v>-5.3620000000000001</v>
      </c>
      <c r="M361" s="189">
        <f ca="1">IF(K352&gt;=2,M360,M357)</f>
        <v>-1.3199999999999998</v>
      </c>
      <c r="AA361" s="195" t="s">
        <v>454</v>
      </c>
      <c r="AB361" s="128">
        <f ca="1">IF($AA352,D361,AB358)</f>
        <v>-5.3620000000000001</v>
      </c>
      <c r="AC361" s="129">
        <f ca="1">IF($AA352,E361,AC358)</f>
        <v>0.25999999999999979</v>
      </c>
      <c r="AD361" s="157"/>
      <c r="AE361" s="115" t="s">
        <v>454</v>
      </c>
      <c r="AF361" s="188">
        <f ca="1">IF($AE352,H361,AF358)</f>
        <v>8888</v>
      </c>
      <c r="AG361" s="196">
        <f ca="1">IF($AE352,I361,AG358)</f>
        <v>8887.5</v>
      </c>
      <c r="AI361" s="188" t="s">
        <v>454</v>
      </c>
      <c r="AJ361" s="188">
        <f ca="1">IF($AI352,L361,AJ358)</f>
        <v>-5.3620000000000001</v>
      </c>
      <c r="AK361" s="196">
        <f ca="1">IF($AI352,M361,AK358)</f>
        <v>-1.3199999999999998</v>
      </c>
      <c r="AW361" s="128">
        <f t="shared" si="55"/>
        <v>1082</v>
      </c>
      <c r="AX361" s="128">
        <f t="shared" ca="1" si="51"/>
        <v>-16.562000000000005</v>
      </c>
      <c r="AY361" s="129">
        <f t="shared" ca="1" si="52"/>
        <v>1.4960570012328709</v>
      </c>
      <c r="BB361" s="128">
        <f t="shared" ca="1" si="53"/>
        <v>-16.562000000000005</v>
      </c>
      <c r="BC361" s="129">
        <f t="shared" ca="1" si="54"/>
        <v>-1.4960570012328709</v>
      </c>
      <c r="BD361" s="157"/>
    </row>
    <row r="362" spans="2:56">
      <c r="B362" s="156"/>
      <c r="C362" s="128" t="s">
        <v>507</v>
      </c>
      <c r="D362" s="128">
        <f ca="1">IF(C352&gt;=3,D354,D361)</f>
        <v>-5.3620000000000001</v>
      </c>
      <c r="E362" s="139">
        <f ca="1">IF(C352&gt;=3,E361-P347,E361)</f>
        <v>0.25999999999999979</v>
      </c>
      <c r="F362" s="157"/>
      <c r="G362" s="2" t="s">
        <v>507</v>
      </c>
      <c r="H362" s="128">
        <f ca="1">IF(G352&gt;=3,H354,H361)</f>
        <v>8888</v>
      </c>
      <c r="I362" s="139">
        <f ca="1">IF(G352&gt;=3,I361-P347,I361)</f>
        <v>8887.5</v>
      </c>
      <c r="K362" s="128" t="s">
        <v>507</v>
      </c>
      <c r="L362" s="128">
        <f ca="1">IF(K352&gt;=3,L354,L361)</f>
        <v>-5.3620000000000001</v>
      </c>
      <c r="M362" s="139">
        <f ca="1">IF(K352&gt;=3,M361-P347,M361)</f>
        <v>-1.3199999999999998</v>
      </c>
      <c r="AA362" s="143" t="s">
        <v>507</v>
      </c>
      <c r="AB362" s="128">
        <f ca="1">IF($AA352,D362,AB358)</f>
        <v>-5.3620000000000001</v>
      </c>
      <c r="AC362" s="129">
        <f ca="1">IF($AA352,E362,AC358)</f>
        <v>0.25999999999999979</v>
      </c>
      <c r="AD362" s="157"/>
      <c r="AE362" s="2" t="s">
        <v>507</v>
      </c>
      <c r="AF362" s="128">
        <f ca="1">IF($AE352,H362,AF358)</f>
        <v>8888</v>
      </c>
      <c r="AG362" s="129">
        <f ca="1">IF($AE352,I362,AG358)</f>
        <v>8887.5</v>
      </c>
      <c r="AI362" s="128" t="s">
        <v>507</v>
      </c>
      <c r="AJ362" s="128">
        <f ca="1">IF($AI352,L362,AJ358)</f>
        <v>-5.3620000000000001</v>
      </c>
      <c r="AK362" s="129">
        <f ca="1">IF($AI352,M362,AK358)</f>
        <v>-1.3199999999999998</v>
      </c>
      <c r="AW362" s="128">
        <f t="shared" si="55"/>
        <v>1083</v>
      </c>
      <c r="AX362" s="128">
        <f t="shared" ca="1" si="51"/>
        <v>-16.562000000000005</v>
      </c>
      <c r="AY362" s="129">
        <f t="shared" ca="1" si="52"/>
        <v>1.4960570012328709</v>
      </c>
      <c r="BB362" s="128">
        <f t="shared" ca="1" si="53"/>
        <v>-16.562000000000005</v>
      </c>
      <c r="BC362" s="129">
        <f t="shared" ca="1" si="54"/>
        <v>-1.4960570012328709</v>
      </c>
      <c r="BD362" s="157"/>
    </row>
    <row r="363" spans="2:56">
      <c r="B363" s="156"/>
      <c r="C363" s="128" t="s">
        <v>455</v>
      </c>
      <c r="D363" s="128">
        <f ca="1">IF(C352&gt;=3,D359,D361)</f>
        <v>-5.3620000000000001</v>
      </c>
      <c r="E363" s="139">
        <f ca="1">E362</f>
        <v>0.25999999999999979</v>
      </c>
      <c r="F363" s="157"/>
      <c r="G363" s="2" t="s">
        <v>455</v>
      </c>
      <c r="H363" s="128">
        <f ca="1">IF(G352&gt;=3,H355,H361)</f>
        <v>8888</v>
      </c>
      <c r="I363" s="139">
        <f ca="1">IF(G352&gt;=3,I362,I361)</f>
        <v>8887.5</v>
      </c>
      <c r="K363" s="128" t="s">
        <v>455</v>
      </c>
      <c r="L363" s="128">
        <f ca="1">IF(K352&gt;=3,IF(X347,IF(K352=3,L354+P346/4,L354+P346),L354+P346),L357)</f>
        <v>-5.3620000000000001</v>
      </c>
      <c r="M363" s="139">
        <f ca="1">IF(K352&gt;=3,M362,M361)</f>
        <v>-1.3199999999999998</v>
      </c>
      <c r="AA363" s="143" t="s">
        <v>455</v>
      </c>
      <c r="AB363" s="128">
        <f ca="1">IF($AA352,D363,AB358)</f>
        <v>-5.3620000000000001</v>
      </c>
      <c r="AC363" s="129">
        <f ca="1">IF($AA352,E363,AC358)</f>
        <v>0.25999999999999979</v>
      </c>
      <c r="AD363" s="157"/>
      <c r="AE363" s="2" t="s">
        <v>455</v>
      </c>
      <c r="AF363" s="128">
        <f ca="1">IF($AE352,H363,AF358)</f>
        <v>8888</v>
      </c>
      <c r="AG363" s="129">
        <f ca="1">IF($AE352,I363,AG358)</f>
        <v>8887.5</v>
      </c>
      <c r="AI363" s="128" t="s">
        <v>455</v>
      </c>
      <c r="AJ363" s="128">
        <f ca="1">IF($AI352,L363,AJ358)</f>
        <v>-5.3620000000000001</v>
      </c>
      <c r="AK363" s="129">
        <f ca="1">IF($AI352,M363,AK358)</f>
        <v>-1.3199999999999998</v>
      </c>
      <c r="AL363" s="156"/>
      <c r="AW363" s="128">
        <f t="shared" si="55"/>
        <v>1084</v>
      </c>
      <c r="AX363" s="128">
        <f t="shared" ca="1" si="51"/>
        <v>-16.562000000000005</v>
      </c>
      <c r="AY363" s="129">
        <f t="shared" ca="1" si="52"/>
        <v>1.4960570012328709</v>
      </c>
      <c r="BB363" s="128">
        <f t="shared" ca="1" si="53"/>
        <v>-16.562000000000005</v>
      </c>
      <c r="BC363" s="129">
        <f t="shared" ca="1" si="54"/>
        <v>-1.4960570012328709</v>
      </c>
      <c r="BD363" s="157"/>
    </row>
    <row r="364" spans="2:56">
      <c r="B364" s="156"/>
      <c r="C364" s="128" t="s">
        <v>311</v>
      </c>
      <c r="D364" s="128">
        <f ca="1">IF(C352&gt;=3,D359,D361)</f>
        <v>-5.3620000000000001</v>
      </c>
      <c r="E364" s="139">
        <f ca="1">IF(C352&gt;=3,E363-P345,E361)</f>
        <v>0.25999999999999979</v>
      </c>
      <c r="F364" s="157"/>
      <c r="G364" s="2" t="s">
        <v>311</v>
      </c>
      <c r="H364" s="128">
        <f ca="1">IF(G352&gt;=3,H355,H361)</f>
        <v>8888</v>
      </c>
      <c r="I364" s="139">
        <f ca="1">IF(G352&gt;=3,I363-P345,I361)</f>
        <v>8887.5</v>
      </c>
      <c r="K364" s="128" t="s">
        <v>311</v>
      </c>
      <c r="L364" s="128">
        <f ca="1">L363</f>
        <v>-5.3620000000000001</v>
      </c>
      <c r="M364" s="139">
        <f ca="1">IF(K352&gt;=3,M363-P345,M361)</f>
        <v>-1.3199999999999998</v>
      </c>
      <c r="AA364" s="143" t="s">
        <v>311</v>
      </c>
      <c r="AB364" s="128">
        <f ca="1">IF($AA352,D364,AB358)</f>
        <v>-5.3620000000000001</v>
      </c>
      <c r="AC364" s="129">
        <f ca="1">IF($AA352,E364,AC358)</f>
        <v>0.25999999999999979</v>
      </c>
      <c r="AD364" s="157"/>
      <c r="AE364" s="2" t="s">
        <v>311</v>
      </c>
      <c r="AF364" s="128">
        <f ca="1">IF($AE352,H364,AF358)</f>
        <v>8888</v>
      </c>
      <c r="AG364" s="129">
        <f ca="1">IF($AE352,I364,AG358)</f>
        <v>8887.5</v>
      </c>
      <c r="AI364" s="128" t="s">
        <v>311</v>
      </c>
      <c r="AJ364" s="128">
        <f ca="1">IF($AI352,L364,AJ358)</f>
        <v>-5.3620000000000001</v>
      </c>
      <c r="AK364" s="129">
        <f ca="1">IF($AI352,M364,AK358)</f>
        <v>-1.3199999999999998</v>
      </c>
      <c r="AL364" s="156"/>
      <c r="AW364" s="128">
        <f t="shared" si="55"/>
        <v>1085</v>
      </c>
      <c r="AX364" s="128">
        <f t="shared" ca="1" si="51"/>
        <v>-16.562000000000005</v>
      </c>
      <c r="AY364" s="129">
        <f t="shared" ca="1" si="52"/>
        <v>1.4960570012328709</v>
      </c>
      <c r="BB364" s="128">
        <f t="shared" ca="1" si="53"/>
        <v>-16.562000000000005</v>
      </c>
      <c r="BC364" s="129">
        <f t="shared" ca="1" si="54"/>
        <v>-1.4960570012328709</v>
      </c>
      <c r="BD364" s="157"/>
    </row>
    <row r="365" spans="2:56">
      <c r="B365" s="156"/>
      <c r="C365" s="188" t="s">
        <v>35</v>
      </c>
      <c r="D365" s="188">
        <f ca="1">IF(C352&gt;=3,D354,D361)</f>
        <v>-5.3620000000000001</v>
      </c>
      <c r="E365" s="189">
        <f ca="1">E364</f>
        <v>0.25999999999999979</v>
      </c>
      <c r="F365" s="157"/>
      <c r="G365" s="2" t="s">
        <v>35</v>
      </c>
      <c r="H365" s="188">
        <f ca="1">IF(G352&gt;=3,H354,H361)</f>
        <v>8888</v>
      </c>
      <c r="I365" s="189">
        <f ca="1">IF(G352&gt;=3,I364,I361)</f>
        <v>8887.5</v>
      </c>
      <c r="K365" s="188" t="s">
        <v>35</v>
      </c>
      <c r="L365" s="188">
        <f ca="1">IF(K352&gt;=3,L354,L361)</f>
        <v>-5.3620000000000001</v>
      </c>
      <c r="M365" s="189">
        <f ca="1">IF(K352&gt;=3,M364,M361)</f>
        <v>-1.3199999999999998</v>
      </c>
      <c r="AA365" s="143" t="s">
        <v>35</v>
      </c>
      <c r="AB365" s="128">
        <f ca="1">IF($AA352,D365,AB358)</f>
        <v>-5.3620000000000001</v>
      </c>
      <c r="AC365" s="129">
        <f ca="1">IF($AA352,E365,AC358)</f>
        <v>0.25999999999999979</v>
      </c>
      <c r="AD365" s="157"/>
      <c r="AE365" s="2" t="s">
        <v>35</v>
      </c>
      <c r="AF365" s="188">
        <f ca="1">IF($AE352,H365,AF358)</f>
        <v>8888</v>
      </c>
      <c r="AG365" s="196">
        <f ca="1">IF($AE352,I365,AG358)</f>
        <v>8887.5</v>
      </c>
      <c r="AI365" s="128" t="s">
        <v>35</v>
      </c>
      <c r="AJ365" s="128">
        <f ca="1">IF($AI352,L365,AJ358)</f>
        <v>-5.3620000000000001</v>
      </c>
      <c r="AK365" s="129">
        <f ca="1">IF($AI352,M365,AK358)</f>
        <v>-1.3199999999999998</v>
      </c>
      <c r="AL365" s="156"/>
      <c r="AW365" s="128">
        <f t="shared" si="55"/>
        <v>1117</v>
      </c>
      <c r="AX365" s="128">
        <f t="shared" ca="1" si="51"/>
        <v>-16.562000000000005</v>
      </c>
      <c r="AY365" s="129">
        <f t="shared" ca="1" si="52"/>
        <v>1.4960570012328709</v>
      </c>
      <c r="BB365" s="128">
        <f t="shared" ca="1" si="53"/>
        <v>-16.562000000000005</v>
      </c>
      <c r="BC365" s="129">
        <f t="shared" ca="1" si="54"/>
        <v>-1.4960570012328709</v>
      </c>
      <c r="BD365" s="157"/>
    </row>
    <row r="366" spans="2:56" ht="15" thickBot="1">
      <c r="B366" s="156"/>
      <c r="C366" s="130" t="s">
        <v>396</v>
      </c>
      <c r="D366" s="130">
        <f ca="1">D354</f>
        <v>-5.3620000000000001</v>
      </c>
      <c r="E366" s="140">
        <f ca="1">E354</f>
        <v>1.3199999999999998</v>
      </c>
      <c r="F366" s="157"/>
      <c r="G366" s="192" t="s">
        <v>312</v>
      </c>
      <c r="H366" s="128">
        <f ca="1">IF(G352&gt;=4,H354,H365)</f>
        <v>8888</v>
      </c>
      <c r="I366" s="139">
        <f ca="1">IF(G352&gt;=4,I365-P347,I365)</f>
        <v>8887.5</v>
      </c>
      <c r="K366" s="130" t="s">
        <v>396</v>
      </c>
      <c r="L366" s="130">
        <f ca="1">L354</f>
        <v>-5.3620000000000001</v>
      </c>
      <c r="M366" s="140">
        <f ca="1">M354</f>
        <v>-0.25999999999999979</v>
      </c>
      <c r="AA366" s="144" t="s">
        <v>396</v>
      </c>
      <c r="AB366" s="130">
        <f ca="1">IF($AA352,D366,AB358)</f>
        <v>-5.3620000000000001</v>
      </c>
      <c r="AC366" s="132">
        <f ca="1">IF($AA352,E366,AC358)</f>
        <v>1.3199999999999998</v>
      </c>
      <c r="AD366" s="157"/>
      <c r="AE366" s="192" t="s">
        <v>312</v>
      </c>
      <c r="AF366" s="128">
        <f ca="1">IF($AE352,H366,AF358)</f>
        <v>8888</v>
      </c>
      <c r="AG366" s="129">
        <f ca="1">IF($AE352,I366,AG358)</f>
        <v>8887.5</v>
      </c>
      <c r="AI366" s="130" t="s">
        <v>396</v>
      </c>
      <c r="AJ366" s="130">
        <f ca="1">IF($AI352,L366,AJ358)</f>
        <v>-5.3620000000000001</v>
      </c>
      <c r="AK366" s="132">
        <f ca="1">IF($AI352,M366,AK358)</f>
        <v>-0.25999999999999979</v>
      </c>
      <c r="AW366" s="128">
        <f t="shared" si="55"/>
        <v>1118</v>
      </c>
      <c r="AX366" s="128">
        <f t="shared" ca="1" si="51"/>
        <v>-16.562000000000005</v>
      </c>
      <c r="AY366" s="129">
        <f t="shared" ca="1" si="52"/>
        <v>1.4960570012328709</v>
      </c>
      <c r="BB366" s="128">
        <f t="shared" ca="1" si="53"/>
        <v>-16.562000000000005</v>
      </c>
      <c r="BC366" s="129">
        <f t="shared" ca="1" si="54"/>
        <v>-1.4960570012328709</v>
      </c>
      <c r="BD366" s="157"/>
    </row>
    <row r="367" spans="2:56">
      <c r="B367" s="156"/>
      <c r="F367" s="157"/>
      <c r="G367" s="2" t="s">
        <v>313</v>
      </c>
      <c r="H367" s="128">
        <f ca="1">IF(G352&gt;=4,H355,H365)</f>
        <v>8888</v>
      </c>
      <c r="I367" s="139">
        <f ca="1">IF(G352&gt;=4,I366,I365)</f>
        <v>8887.5</v>
      </c>
      <c r="AD367" s="157"/>
      <c r="AE367" s="2" t="s">
        <v>313</v>
      </c>
      <c r="AF367" s="128">
        <f ca="1">IF($AE352,H367,AF358)</f>
        <v>8888</v>
      </c>
      <c r="AG367" s="129">
        <f ca="1">IF($AE352,I367,AG358)</f>
        <v>8887.5</v>
      </c>
      <c r="AW367" s="128">
        <f t="shared" si="55"/>
        <v>1119</v>
      </c>
      <c r="AX367" s="128">
        <f t="shared" ca="1" si="51"/>
        <v>-16.562000000000005</v>
      </c>
      <c r="AY367" s="129">
        <f t="shared" ca="1" si="52"/>
        <v>1.4960570012328709</v>
      </c>
      <c r="BB367" s="128">
        <f t="shared" ca="1" si="53"/>
        <v>-16.562000000000005</v>
      </c>
      <c r="BC367" s="129">
        <f t="shared" ca="1" si="54"/>
        <v>-1.4960570012328709</v>
      </c>
      <c r="BD367" s="157"/>
    </row>
    <row r="368" spans="2:56">
      <c r="B368" s="156"/>
      <c r="F368" s="157"/>
      <c r="G368" s="2" t="s">
        <v>7</v>
      </c>
      <c r="H368" s="128">
        <f ca="1">IF(G352&gt;=4,H355,H365)</f>
        <v>8888</v>
      </c>
      <c r="I368" s="139">
        <f ca="1">IF(G352&gt;=4,I367-P345,I365)</f>
        <v>8887.5</v>
      </c>
      <c r="AD368" s="157"/>
      <c r="AE368" s="2" t="s">
        <v>7</v>
      </c>
      <c r="AF368" s="128">
        <f ca="1">IF($AE352,H368,AF358)</f>
        <v>8888</v>
      </c>
      <c r="AG368" s="129">
        <f ca="1">IF($AE352,I368,AG358)</f>
        <v>8887.5</v>
      </c>
      <c r="AW368" s="128">
        <f t="shared" si="55"/>
        <v>1120</v>
      </c>
      <c r="AX368" s="128">
        <f t="shared" ca="1" si="51"/>
        <v>-16.562000000000005</v>
      </c>
      <c r="AY368" s="129">
        <f t="shared" ca="1" si="52"/>
        <v>1.4960570012328709</v>
      </c>
      <c r="BB368" s="128">
        <f t="shared" ca="1" si="53"/>
        <v>-16.562000000000005</v>
      </c>
      <c r="BC368" s="129">
        <f t="shared" ca="1" si="54"/>
        <v>-1.4960570012328709</v>
      </c>
      <c r="BD368" s="157"/>
    </row>
    <row r="369" spans="2:56">
      <c r="B369" s="156"/>
      <c r="F369" s="157"/>
      <c r="G369" s="115" t="s">
        <v>8</v>
      </c>
      <c r="H369" s="188">
        <f ca="1">IF(G352&gt;=4,H354,H365)</f>
        <v>8888</v>
      </c>
      <c r="I369" s="189">
        <f ca="1">IF(G352&gt;=4,I368,I365)</f>
        <v>8887.5</v>
      </c>
      <c r="AD369" s="157"/>
      <c r="AE369" s="115" t="s">
        <v>8</v>
      </c>
      <c r="AF369" s="188">
        <f ca="1">IF($AE352,H369,AF358)</f>
        <v>8888</v>
      </c>
      <c r="AG369" s="196">
        <f ca="1">IF($AE352,I369,AG358)</f>
        <v>8887.5</v>
      </c>
      <c r="AW369" s="128">
        <f t="shared" si="55"/>
        <v>1121</v>
      </c>
      <c r="AX369" s="128">
        <f t="shared" ca="1" si="51"/>
        <v>-16.562000000000005</v>
      </c>
      <c r="AY369" s="129">
        <f t="shared" ca="1" si="52"/>
        <v>1.4960570012328709</v>
      </c>
      <c r="BB369" s="128">
        <f t="shared" ca="1" si="53"/>
        <v>-16.562000000000005</v>
      </c>
      <c r="BC369" s="129">
        <f t="shared" ca="1" si="54"/>
        <v>-1.4960570012328709</v>
      </c>
      <c r="BD369" s="157"/>
    </row>
    <row r="370" spans="2:56">
      <c r="B370" s="156"/>
      <c r="F370" s="157"/>
      <c r="G370" s="2" t="s">
        <v>9</v>
      </c>
      <c r="H370" s="128">
        <f ca="1">IF(G352&gt;=5,H354,H369)</f>
        <v>8888</v>
      </c>
      <c r="I370" s="139">
        <f ca="1">IF(G352&gt;=5,I369-P347,I369)</f>
        <v>8887.5</v>
      </c>
      <c r="AD370" s="157"/>
      <c r="AE370" s="2" t="s">
        <v>9</v>
      </c>
      <c r="AF370" s="128">
        <f ca="1">IF($AE352,H370,AF358)</f>
        <v>8888</v>
      </c>
      <c r="AG370" s="129">
        <f ca="1">IF($AE352,I370,AG358)</f>
        <v>8887.5</v>
      </c>
      <c r="AW370" s="128">
        <f t="shared" si="55"/>
        <v>1153</v>
      </c>
      <c r="AX370" s="128">
        <f t="shared" ca="1" si="51"/>
        <v>-16.562000000000005</v>
      </c>
      <c r="AY370" s="129">
        <f t="shared" ca="1" si="52"/>
        <v>1.4960570012328709</v>
      </c>
      <c r="BB370" s="128">
        <f t="shared" ca="1" si="53"/>
        <v>-16.562000000000005</v>
      </c>
      <c r="BC370" s="129">
        <f t="shared" ca="1" si="54"/>
        <v>-1.4960570012328709</v>
      </c>
      <c r="BD370" s="157"/>
    </row>
    <row r="371" spans="2:56">
      <c r="B371" s="156"/>
      <c r="F371" s="157"/>
      <c r="G371" s="2" t="s">
        <v>196</v>
      </c>
      <c r="H371" s="128">
        <f ca="1">IF(G352&gt;=5,H355,H369)</f>
        <v>8888</v>
      </c>
      <c r="I371" s="139">
        <f ca="1">IF(G352&gt;=5,I370,I369)</f>
        <v>8887.5</v>
      </c>
      <c r="AD371" s="157"/>
      <c r="AE371" s="2" t="s">
        <v>196</v>
      </c>
      <c r="AF371" s="128">
        <f ca="1">IF($AE352,H371,AF358)</f>
        <v>8888</v>
      </c>
      <c r="AG371" s="129">
        <f ca="1">IF($AE352,I371,AG358)</f>
        <v>8887.5</v>
      </c>
      <c r="AW371" s="128">
        <f t="shared" si="55"/>
        <v>1154</v>
      </c>
      <c r="AX371" s="128">
        <f t="shared" ca="1" si="51"/>
        <v>-16.562000000000005</v>
      </c>
      <c r="AY371" s="129">
        <f t="shared" ca="1" si="52"/>
        <v>1.4960570012328709</v>
      </c>
      <c r="BB371" s="128">
        <f t="shared" ca="1" si="53"/>
        <v>-16.562000000000005</v>
      </c>
      <c r="BC371" s="129">
        <f t="shared" ca="1" si="54"/>
        <v>-1.4960570012328709</v>
      </c>
      <c r="BD371" s="157"/>
    </row>
    <row r="372" spans="2:56">
      <c r="B372" s="156"/>
      <c r="F372" s="157"/>
      <c r="G372" s="2" t="s">
        <v>10</v>
      </c>
      <c r="H372" s="128">
        <f ca="1">IF(G352&gt;=5,H355,H369)</f>
        <v>8888</v>
      </c>
      <c r="I372" s="139">
        <f ca="1">IF(G352&gt;=5,I371-P345,I369)</f>
        <v>8887.5</v>
      </c>
      <c r="AD372" s="157"/>
      <c r="AE372" s="2" t="s">
        <v>10</v>
      </c>
      <c r="AF372" s="128">
        <f ca="1">IF($AE352,H372,AF358)</f>
        <v>8888</v>
      </c>
      <c r="AG372" s="129">
        <f ca="1">IF($AE352,I372,AG358)</f>
        <v>8887.5</v>
      </c>
      <c r="AW372" s="128">
        <f t="shared" si="55"/>
        <v>1155</v>
      </c>
      <c r="AX372" s="128">
        <f t="shared" ca="1" si="51"/>
        <v>-16.562000000000005</v>
      </c>
      <c r="AY372" s="129">
        <f t="shared" ca="1" si="52"/>
        <v>1.4960570012328709</v>
      </c>
      <c r="BB372" s="128">
        <f t="shared" ca="1" si="53"/>
        <v>-16.562000000000005</v>
      </c>
      <c r="BC372" s="129">
        <f t="shared" ca="1" si="54"/>
        <v>-1.4960570012328709</v>
      </c>
      <c r="BD372" s="157"/>
    </row>
    <row r="373" spans="2:56">
      <c r="B373" s="156"/>
      <c r="F373" s="157"/>
      <c r="G373" s="2" t="s">
        <v>161</v>
      </c>
      <c r="H373" s="188">
        <f ca="1">IF(G352&gt;=5,H354,H369)</f>
        <v>8888</v>
      </c>
      <c r="I373" s="189">
        <f ca="1">IF(G352&gt;=5,I372,I369)</f>
        <v>8887.5</v>
      </c>
      <c r="AD373" s="157"/>
      <c r="AE373" s="2" t="s">
        <v>161</v>
      </c>
      <c r="AF373" s="188">
        <f ca="1">IF($AE352,H373,AF358)</f>
        <v>8888</v>
      </c>
      <c r="AG373" s="196">
        <f ca="1">IF($AE352,I373,AG358)</f>
        <v>8887.5</v>
      </c>
      <c r="AW373" s="128">
        <f t="shared" si="55"/>
        <v>1156</v>
      </c>
      <c r="AX373" s="128">
        <f t="shared" ca="1" si="51"/>
        <v>-16.562000000000005</v>
      </c>
      <c r="AY373" s="129">
        <f t="shared" ca="1" si="52"/>
        <v>1.4960570012328709</v>
      </c>
      <c r="BB373" s="128">
        <f t="shared" ca="1" si="53"/>
        <v>-16.562000000000005</v>
      </c>
      <c r="BC373" s="129">
        <f t="shared" ca="1" si="54"/>
        <v>-1.4960570012328709</v>
      </c>
      <c r="BD373" s="157"/>
    </row>
    <row r="374" spans="2:56">
      <c r="B374" s="156"/>
      <c r="F374" s="157"/>
      <c r="G374" s="192" t="s">
        <v>11</v>
      </c>
      <c r="H374" s="128">
        <f ca="1">IF(G352&gt;=6,H354,H373)</f>
        <v>8888</v>
      </c>
      <c r="I374" s="139">
        <f ca="1">IF(G352&gt;=6,I373-P347,I373)</f>
        <v>8887.5</v>
      </c>
      <c r="AD374" s="157"/>
      <c r="AE374" s="192" t="s">
        <v>11</v>
      </c>
      <c r="AF374" s="128">
        <f ca="1">IF($AE352,H374,AF358)</f>
        <v>8888</v>
      </c>
      <c r="AG374" s="129">
        <f ca="1">IF($AE352,I374,AG358)</f>
        <v>8887.5</v>
      </c>
      <c r="AW374" s="128">
        <f t="shared" si="55"/>
        <v>1157</v>
      </c>
      <c r="AX374" s="128">
        <f t="shared" ca="1" si="51"/>
        <v>-16.562000000000005</v>
      </c>
      <c r="AY374" s="129">
        <f t="shared" ca="1" si="52"/>
        <v>1.4960570012328709</v>
      </c>
      <c r="BB374" s="128">
        <f t="shared" ca="1" si="53"/>
        <v>-16.562000000000005</v>
      </c>
      <c r="BC374" s="129">
        <f t="shared" ca="1" si="54"/>
        <v>-1.4960570012328709</v>
      </c>
      <c r="BD374" s="157"/>
    </row>
    <row r="375" spans="2:56">
      <c r="B375" s="156"/>
      <c r="F375" s="157"/>
      <c r="G375" s="2" t="s">
        <v>12</v>
      </c>
      <c r="H375" s="128">
        <f ca="1">IF(G352&gt;=6,H355,H373)</f>
        <v>8888</v>
      </c>
      <c r="I375" s="139">
        <f ca="1">IF(G352&gt;=6,I374,I373)</f>
        <v>8887.5</v>
      </c>
      <c r="AD375" s="157"/>
      <c r="AE375" s="2" t="s">
        <v>12</v>
      </c>
      <c r="AF375" s="128">
        <f ca="1">IF($AE352,H375,AF358)</f>
        <v>8888</v>
      </c>
      <c r="AG375" s="129">
        <f ca="1">IF($AE352,I375,AG358)</f>
        <v>8887.5</v>
      </c>
      <c r="AW375" s="128">
        <f t="shared" si="55"/>
        <v>1189</v>
      </c>
      <c r="AX375" s="128">
        <f t="shared" ca="1" si="51"/>
        <v>-16.562000000000005</v>
      </c>
      <c r="AY375" s="129">
        <f t="shared" ca="1" si="52"/>
        <v>1.4960570012328709</v>
      </c>
      <c r="BB375" s="128">
        <f t="shared" ca="1" si="53"/>
        <v>-16.562000000000005</v>
      </c>
      <c r="BC375" s="129">
        <f t="shared" ca="1" si="54"/>
        <v>-1.4960570012328709</v>
      </c>
      <c r="BD375" s="157"/>
    </row>
    <row r="376" spans="2:56">
      <c r="B376" s="156"/>
      <c r="F376" s="157"/>
      <c r="G376" s="2" t="s">
        <v>13</v>
      </c>
      <c r="H376" s="128">
        <f ca="1">IF(G352&gt;=6,H355,H373)</f>
        <v>8888</v>
      </c>
      <c r="I376" s="139">
        <f ca="1">IF(G352&gt;=6,I375-P345,I373)</f>
        <v>8887.5</v>
      </c>
      <c r="AD376" s="157"/>
      <c r="AE376" s="2" t="s">
        <v>13</v>
      </c>
      <c r="AF376" s="128">
        <f ca="1">IF($AE352,H376,AF358)</f>
        <v>8888</v>
      </c>
      <c r="AG376" s="129">
        <f ca="1">IF($AE352,I376,AG358)</f>
        <v>8887.5</v>
      </c>
      <c r="AW376" s="128">
        <f t="shared" si="55"/>
        <v>1190</v>
      </c>
      <c r="AX376" s="128">
        <f t="shared" ca="1" si="51"/>
        <v>-16.712000000000003</v>
      </c>
      <c r="AY376" s="129">
        <f t="shared" ca="1" si="52"/>
        <v>1.4960570012328709</v>
      </c>
      <c r="BB376" s="128">
        <f t="shared" ca="1" si="53"/>
        <v>-16.712000000000003</v>
      </c>
      <c r="BC376" s="129">
        <f t="shared" ca="1" si="54"/>
        <v>-1.4960570012328709</v>
      </c>
      <c r="BD376" s="157"/>
    </row>
    <row r="377" spans="2:56">
      <c r="B377" s="156"/>
      <c r="F377" s="157"/>
      <c r="G377" s="115" t="s">
        <v>14</v>
      </c>
      <c r="H377" s="188">
        <f ca="1">IF(G352&gt;=6,H354,H373)</f>
        <v>8888</v>
      </c>
      <c r="I377" s="189">
        <f ca="1">IF(G352&gt;=6,I376,I373)</f>
        <v>8887.5</v>
      </c>
      <c r="AD377" s="157"/>
      <c r="AE377" s="115" t="s">
        <v>14</v>
      </c>
      <c r="AF377" s="188">
        <f ca="1">IF($AE352,H377,AF358)</f>
        <v>8888</v>
      </c>
      <c r="AG377" s="196">
        <f ca="1">IF($AE352,I377,AG358)</f>
        <v>8887.5</v>
      </c>
      <c r="AW377" s="128">
        <f t="shared" si="55"/>
        <v>1191</v>
      </c>
      <c r="AX377" s="128">
        <f t="shared" ca="1" si="51"/>
        <v>-16.712000000000003</v>
      </c>
      <c r="AY377" s="129">
        <f t="shared" ca="1" si="52"/>
        <v>1.6053795662883501</v>
      </c>
      <c r="BB377" s="128">
        <f t="shared" ca="1" si="53"/>
        <v>-16.712000000000003</v>
      </c>
      <c r="BC377" s="129">
        <f t="shared" ca="1" si="54"/>
        <v>-1.6053795662883501</v>
      </c>
      <c r="BD377" s="157"/>
    </row>
    <row r="378" spans="2:56" ht="15" thickBot="1">
      <c r="B378" s="156"/>
      <c r="G378" s="130" t="s">
        <v>396</v>
      </c>
      <c r="H378" s="130">
        <f ca="1">H354</f>
        <v>8888</v>
      </c>
      <c r="I378" s="140">
        <f ca="1">I354</f>
        <v>8888</v>
      </c>
      <c r="AE378" s="130" t="s">
        <v>396</v>
      </c>
      <c r="AF378" s="130">
        <f ca="1">IF($AE352,H378,AF358)</f>
        <v>8888</v>
      </c>
      <c r="AG378" s="132">
        <f ca="1">IF($AE352,I378,AG358)</f>
        <v>8888</v>
      </c>
      <c r="AW378" s="128">
        <f t="shared" si="55"/>
        <v>1192</v>
      </c>
      <c r="AX378" s="128">
        <f t="shared" ca="1" si="51"/>
        <v>-17.474000000000004</v>
      </c>
      <c r="AY378" s="129">
        <f t="shared" ca="1" si="52"/>
        <v>1.6053795662883501</v>
      </c>
      <c r="BB378" s="128">
        <f t="shared" ca="1" si="53"/>
        <v>-17.474000000000004</v>
      </c>
      <c r="BC378" s="129">
        <f t="shared" ca="1" si="54"/>
        <v>-1.6053795662883501</v>
      </c>
      <c r="BD378" s="157"/>
    </row>
    <row r="379" spans="2:56">
      <c r="B379" s="156"/>
      <c r="AW379" s="128">
        <f t="shared" si="55"/>
        <v>1193</v>
      </c>
      <c r="AX379" s="128">
        <f t="shared" ca="1" si="51"/>
        <v>-17.474000000000004</v>
      </c>
      <c r="AY379" s="129">
        <f t="shared" ca="1" si="52"/>
        <v>1.4960570012328709</v>
      </c>
      <c r="BB379" s="128">
        <f t="shared" ca="1" si="53"/>
        <v>-17.474000000000004</v>
      </c>
      <c r="BC379" s="129">
        <f t="shared" ca="1" si="54"/>
        <v>-1.4960570012328709</v>
      </c>
      <c r="BD379" s="157"/>
    </row>
    <row r="380" spans="2:56">
      <c r="B380" s="156"/>
      <c r="AW380" s="128">
        <f t="shared" si="55"/>
        <v>1225</v>
      </c>
      <c r="AX380" s="128">
        <f t="shared" ca="1" si="51"/>
        <v>-18.624000000000006</v>
      </c>
      <c r="AY380" s="129">
        <f t="shared" ca="1" si="52"/>
        <v>1.4960570012328709</v>
      </c>
      <c r="BB380" s="128">
        <f t="shared" ca="1" si="53"/>
        <v>-18.624000000000006</v>
      </c>
      <c r="BC380" s="129">
        <f t="shared" ca="1" si="54"/>
        <v>-1.4960570012328709</v>
      </c>
      <c r="BD380" s="157"/>
    </row>
    <row r="381" spans="2:56">
      <c r="B381" s="156"/>
      <c r="C381" s="200" t="s">
        <v>336</v>
      </c>
      <c r="D381">
        <f>D345+1</f>
        <v>6</v>
      </c>
      <c r="G381" s="200" t="s">
        <v>638</v>
      </c>
      <c r="H381">
        <f ca="1">LOOKUP(D384,$C$191:$C$196,$D$191:$D$196)</f>
        <v>0</v>
      </c>
      <c r="K381" s="200" t="s">
        <v>644</v>
      </c>
      <c r="L381">
        <f ca="1">L345-H386</f>
        <v>-6.1619999999999999</v>
      </c>
      <c r="O381" s="200" t="s">
        <v>404</v>
      </c>
      <c r="P381">
        <f ca="1">IF(D383=1,SEAT_w_cushion_FC,IF(D383=2,SEAT_w_cushion_BC,IF(D383=3,SEAT_w_cushion_YC,0)))</f>
        <v>0.5</v>
      </c>
      <c r="S381" s="200" t="s">
        <v>647</v>
      </c>
      <c r="T381">
        <f ca="1">LOOKUP(D384,$C$191:$C$196,$E$191:$E$196)</f>
        <v>0</v>
      </c>
      <c r="W381" t="s">
        <v>130</v>
      </c>
      <c r="X381" t="str">
        <f ca="1">OFFSET(Fuselage!$B$275,D381,5)</f>
        <v>None</v>
      </c>
      <c r="AN381" s="200" t="s">
        <v>135</v>
      </c>
      <c r="AO381">
        <f ca="1">MAX(0,H386-MAX(T381,T383,T385,P382)-X382)</f>
        <v>0.37000000000000005</v>
      </c>
      <c r="AW381" s="128">
        <f t="shared" si="55"/>
        <v>1226</v>
      </c>
      <c r="AX381" s="128">
        <f t="shared" ca="1" si="51"/>
        <v>-18.624000000000006</v>
      </c>
      <c r="AY381" s="129">
        <f t="shared" ca="1" si="52"/>
        <v>1.4960570012328709</v>
      </c>
      <c r="BB381" s="128">
        <f t="shared" ca="1" si="53"/>
        <v>-18.624000000000006</v>
      </c>
      <c r="BC381" s="129">
        <f t="shared" ca="1" si="54"/>
        <v>-1.4960570012328709</v>
      </c>
      <c r="BD381" s="157"/>
    </row>
    <row r="382" spans="2:56">
      <c r="B382" s="156"/>
      <c r="C382" s="200" t="s">
        <v>200</v>
      </c>
      <c r="D382">
        <f ca="1">OFFSET(Fuselage!$B$275,D381,0)</f>
        <v>5</v>
      </c>
      <c r="G382" s="200" t="s">
        <v>639</v>
      </c>
      <c r="H382">
        <f ca="1">LOOKUP(D385,$C$191:$C$196,$D$191:$D$196)</f>
        <v>0</v>
      </c>
      <c r="O382" s="200" t="s">
        <v>535</v>
      </c>
      <c r="P382">
        <f ca="1">IF(D383=1,SEAT_length_FC,IF(D383=2,SEAT_length_BC,IF(D383=3,SEAT_length_YC,0)))</f>
        <v>0.43</v>
      </c>
      <c r="S382" s="200" t="s">
        <v>648</v>
      </c>
      <c r="T382">
        <f ca="1">LOOKUP(D384,$C$191:$C$196,$F$191:$F$196)</f>
        <v>0</v>
      </c>
      <c r="W382" t="s">
        <v>131</v>
      </c>
      <c r="X382">
        <f ca="1">LOOKUP(X381,$I$191:$I$198,$J$191:$J$198)</f>
        <v>0</v>
      </c>
      <c r="AW382" s="128">
        <f t="shared" si="55"/>
        <v>1227</v>
      </c>
      <c r="AX382" s="128">
        <f t="shared" ca="1" si="51"/>
        <v>-18.624000000000006</v>
      </c>
      <c r="AY382" s="129">
        <f t="shared" ca="1" si="52"/>
        <v>1.4960570012328709</v>
      </c>
      <c r="BB382" s="128">
        <f t="shared" ca="1" si="53"/>
        <v>-18.624000000000006</v>
      </c>
      <c r="BC382" s="129">
        <f t="shared" ca="1" si="54"/>
        <v>-1.4960570012328709</v>
      </c>
      <c r="BD382" s="157"/>
    </row>
    <row r="383" spans="2:56">
      <c r="B383" s="156"/>
      <c r="C383" s="200" t="s">
        <v>337</v>
      </c>
      <c r="D383">
        <f ca="1">OFFSET(Fuselage!$B$275,D381,4)</f>
        <v>3</v>
      </c>
      <c r="G383" s="200" t="s">
        <v>309</v>
      </c>
      <c r="H383">
        <f ca="1">LOOKUP(D386,$C$191:$C$196,$D$191:$D$196)</f>
        <v>0</v>
      </c>
      <c r="K383" s="200" t="s">
        <v>645</v>
      </c>
      <c r="L383">
        <f ca="1">IF(D383=1,FUSELAGE_nseats_left_FC,IF(D383=2,FUSELAGE_nseats_left_BC,IF(D383=3,FUSELAGE_nseats_left_YC,0)))</f>
        <v>2</v>
      </c>
      <c r="O383" s="200" t="s">
        <v>405</v>
      </c>
      <c r="P383">
        <f ca="1">IF(D383=1,SEAT_w_armrest_FC,IF(D383=2,SEAT_w_armrest_BC,IF(D383=3,SEAT_w_armrest_YC,0)))</f>
        <v>0.06</v>
      </c>
      <c r="S383" s="200" t="s">
        <v>652</v>
      </c>
      <c r="T383">
        <f ca="1">LOOKUP(D385,$C$191:$C$196,$E$191:$E$196)</f>
        <v>0</v>
      </c>
      <c r="W383" s="200" t="s">
        <v>393</v>
      </c>
      <c r="X383" t="b">
        <f ca="1">IF(OFFSET(Fuselage!$B$275,D381,6)="YES",TRUE(),FALSE())</f>
        <v>0</v>
      </c>
      <c r="AW383" s="128">
        <f t="shared" si="55"/>
        <v>1228</v>
      </c>
      <c r="AX383" s="128">
        <f t="shared" ca="1" si="51"/>
        <v>-18.624000000000006</v>
      </c>
      <c r="AY383" s="129">
        <f t="shared" ca="1" si="52"/>
        <v>1.4960570012328709</v>
      </c>
      <c r="BB383" s="128">
        <f t="shared" ca="1" si="53"/>
        <v>-18.624000000000006</v>
      </c>
      <c r="BC383" s="129">
        <f t="shared" ca="1" si="54"/>
        <v>-1.4960570012328709</v>
      </c>
      <c r="BD383" s="157"/>
    </row>
    <row r="384" spans="2:56">
      <c r="B384" s="156"/>
      <c r="C384" s="200" t="s">
        <v>640</v>
      </c>
      <c r="D384" t="str">
        <f ca="1">OFFSET(Fuselage!$B$275,D381,1)</f>
        <v>None</v>
      </c>
      <c r="G384" s="200" t="s">
        <v>132</v>
      </c>
      <c r="H384">
        <f ca="1">IF(D383=1,SEAT_pitch_FC,IF(D383=2,SEAT_pitch_BC,IF(D383=3,SEAT_pitch_YC,0)))</f>
        <v>0.8</v>
      </c>
      <c r="K384" s="200" t="s">
        <v>646</v>
      </c>
      <c r="L384">
        <f ca="1">IF(D383=1,FUSELAGE_nseats_middle_FC,IF(D383=2,FUSELAGE_nseats_middle_BC,IF(D383=3,FUSELAGE_nseats_middle_YC,0)))</f>
        <v>0</v>
      </c>
      <c r="S384" s="200" t="s">
        <v>653</v>
      </c>
      <c r="T384">
        <f ca="1">LOOKUP(D385,$C$191:$C$196,$F$191:$F$196)</f>
        <v>0</v>
      </c>
      <c r="AW384" s="128">
        <f t="shared" si="55"/>
        <v>1229</v>
      </c>
      <c r="AX384" s="128">
        <f t="shared" ca="1" si="51"/>
        <v>-18.624000000000006</v>
      </c>
      <c r="AY384" s="129">
        <f t="shared" ca="1" si="52"/>
        <v>1.4960570012328709</v>
      </c>
      <c r="BB384" s="128">
        <f t="shared" ca="1" si="53"/>
        <v>-18.624000000000006</v>
      </c>
      <c r="BC384" s="129">
        <f t="shared" ca="1" si="54"/>
        <v>-1.4960570012328709</v>
      </c>
      <c r="BD384" s="157"/>
    </row>
    <row r="385" spans="2:56">
      <c r="B385" s="156"/>
      <c r="C385" s="200" t="s">
        <v>642</v>
      </c>
      <c r="D385" t="str">
        <f ca="1">OFFSET(Fuselage!$B$275,D381,2)</f>
        <v>None</v>
      </c>
      <c r="G385" s="200" t="s">
        <v>129</v>
      </c>
      <c r="H385">
        <f ca="1">IF(OR(X381="Type A",X381="Type B"),MAX(H381:H384)+42*0.0254,IF(X381="Type C",MAX(H381:H384)+X382,IF(X381&lt;&gt;"None",24*0.0254,0)))</f>
        <v>0</v>
      </c>
      <c r="K385" s="200" t="s">
        <v>655</v>
      </c>
      <c r="L385">
        <f ca="1">IF(D383=1,FUSELAGE_nseats_right_FC,IF(D383=2,FUSELAGE_nseats_right_BC,IF(D383=3,FUSELAGE_nseats_right_YC,0)))</f>
        <v>2</v>
      </c>
      <c r="O385" s="200" t="s">
        <v>407</v>
      </c>
      <c r="P385">
        <f ca="1">($C$13-(L383+L384+L385)*(P381+P383)+(FUSELAGE_n_aisles-1)*P383)/FUSELAGE_n_aisles</f>
        <v>0.51999999999999957</v>
      </c>
      <c r="S385" s="200" t="s">
        <v>651</v>
      </c>
      <c r="T385">
        <f ca="1">LOOKUP(D386,$C$191:$C$196,$E$191:$E$196)</f>
        <v>0</v>
      </c>
      <c r="AW385" s="128">
        <f t="shared" si="55"/>
        <v>1261</v>
      </c>
      <c r="AX385" s="128">
        <f t="shared" ca="1" si="51"/>
        <v>-18.624000000000006</v>
      </c>
      <c r="AY385" s="129">
        <f t="shared" ca="1" si="52"/>
        <v>1.4960570012328709</v>
      </c>
      <c r="BB385" s="128">
        <f t="shared" ca="1" si="53"/>
        <v>-18.624000000000006</v>
      </c>
      <c r="BC385" s="129">
        <f t="shared" ca="1" si="54"/>
        <v>-1.4960570012328709</v>
      </c>
      <c r="BD385" s="157"/>
    </row>
    <row r="386" spans="2:56">
      <c r="B386" s="156"/>
      <c r="C386" s="200" t="s">
        <v>641</v>
      </c>
      <c r="D386" t="str">
        <f ca="1">OFFSET(Fuselage!$B$275,D381,3)</f>
        <v>None</v>
      </c>
      <c r="G386" s="200" t="s">
        <v>643</v>
      </c>
      <c r="H386">
        <f ca="1">MAX(H381:H385)</f>
        <v>0.8</v>
      </c>
      <c r="S386" s="200" t="s">
        <v>654</v>
      </c>
      <c r="T386">
        <f ca="1">LOOKUP(D386,$C$191:$C$196,$F$191:$F$196)</f>
        <v>0</v>
      </c>
      <c r="AW386" s="128">
        <f t="shared" si="55"/>
        <v>1262</v>
      </c>
      <c r="AX386" s="128">
        <f t="shared" ca="1" si="51"/>
        <v>-18.624000000000006</v>
      </c>
      <c r="AY386" s="129">
        <f t="shared" ca="1" si="52"/>
        <v>1.4960570012328709</v>
      </c>
      <c r="BB386" s="128">
        <f t="shared" ca="1" si="53"/>
        <v>-18.624000000000006</v>
      </c>
      <c r="BC386" s="129">
        <f t="shared" ca="1" si="54"/>
        <v>-1.4960570012328709</v>
      </c>
      <c r="BD386" s="157"/>
    </row>
    <row r="387" spans="2:56" ht="15" thickBot="1">
      <c r="B387" s="156"/>
      <c r="AW387" s="128">
        <f t="shared" si="55"/>
        <v>1263</v>
      </c>
      <c r="AX387" s="128">
        <f t="shared" ca="1" si="51"/>
        <v>-18.624000000000006</v>
      </c>
      <c r="AY387" s="129">
        <f t="shared" ca="1" si="52"/>
        <v>1.4960570012328709</v>
      </c>
      <c r="BB387" s="128">
        <f t="shared" ca="1" si="53"/>
        <v>-18.624000000000006</v>
      </c>
      <c r="BC387" s="129">
        <f t="shared" ca="1" si="54"/>
        <v>-1.4960570012328709</v>
      </c>
      <c r="BD387" s="157"/>
    </row>
    <row r="388" spans="2:56" ht="15" thickBot="1">
      <c r="B388" s="156"/>
      <c r="C388" s="141">
        <f ca="1">L385</f>
        <v>2</v>
      </c>
      <c r="D388" s="197" t="str">
        <f ca="1">IF($D383=1,"FC",IF($D383=2,"BC",IF($D383=3,"YC","Nothing")))</f>
        <v>YC</v>
      </c>
      <c r="E388" s="198"/>
      <c r="G388" s="141">
        <f ca="1">L384</f>
        <v>0</v>
      </c>
      <c r="H388" s="197" t="str">
        <f ca="1">IF($D383=1,"FC",IF($D383=2,"BC",IF($D383=3,"YC","Nothing")))</f>
        <v>YC</v>
      </c>
      <c r="I388" s="198"/>
      <c r="K388" s="141">
        <f ca="1" xml:space="preserve"> L383</f>
        <v>2</v>
      </c>
      <c r="L388" s="197" t="str">
        <f ca="1">IF($D383=1,"FC",IF($D383=2,"BC",IF($D383=3,"YC","Nothing")))</f>
        <v>YC</v>
      </c>
      <c r="M388" s="198"/>
      <c r="O388" s="141">
        <f ca="1">IF($D386&lt;&gt;"None",1,0)</f>
        <v>0</v>
      </c>
      <c r="P388" s="326" t="s">
        <v>380</v>
      </c>
      <c r="Q388" s="327"/>
      <c r="S388" s="141">
        <f ca="1">IF($D385&lt;&gt;"None",1,0)</f>
        <v>0</v>
      </c>
      <c r="T388" s="326" t="s">
        <v>381</v>
      </c>
      <c r="U388" s="327"/>
      <c r="W388" s="141">
        <f ca="1">IF($D384&lt;&gt;"None",1,0)</f>
        <v>0</v>
      </c>
      <c r="X388" s="326" t="s">
        <v>382</v>
      </c>
      <c r="Y388" s="327"/>
      <c r="AA388" s="141">
        <f ca="1">IF($D386="None",1,0)</f>
        <v>1</v>
      </c>
      <c r="AB388" s="326" t="str">
        <f ca="1">IF(AA388,D388,$D386)</f>
        <v>YC</v>
      </c>
      <c r="AC388" s="327"/>
      <c r="AE388" s="141">
        <f ca="1">IF($D385="None",1,0)</f>
        <v>1</v>
      </c>
      <c r="AF388" s="326" t="str">
        <f ca="1">IF(AE388,H388,$D385)</f>
        <v>YC</v>
      </c>
      <c r="AG388" s="327"/>
      <c r="AI388" s="141">
        <f ca="1">IF($D384="None",1,0)</f>
        <v>1</v>
      </c>
      <c r="AJ388" s="326" t="str">
        <f ca="1">IF(AI388,L388,$D384)</f>
        <v>YC</v>
      </c>
      <c r="AK388" s="327"/>
      <c r="AM388" s="141">
        <f ca="1">IF($X381="None",0,1)</f>
        <v>0</v>
      </c>
      <c r="AN388" s="197" t="s">
        <v>133</v>
      </c>
      <c r="AO388" s="198"/>
      <c r="AQ388" s="141">
        <f ca="1">IF($X381="None",0,1)</f>
        <v>0</v>
      </c>
      <c r="AR388" s="197" t="s">
        <v>134</v>
      </c>
      <c r="AS388" s="198"/>
      <c r="AW388" s="128">
        <f t="shared" si="55"/>
        <v>1264</v>
      </c>
      <c r="AX388" s="128">
        <f t="shared" ca="1" si="51"/>
        <v>-18.624000000000006</v>
      </c>
      <c r="AY388" s="129">
        <f t="shared" ca="1" si="52"/>
        <v>1.4960570012328709</v>
      </c>
      <c r="BB388" s="128">
        <f t="shared" ca="1" si="53"/>
        <v>-18.624000000000006</v>
      </c>
      <c r="BC388" s="129">
        <f t="shared" ca="1" si="54"/>
        <v>-1.4960570012328709</v>
      </c>
      <c r="BD388" s="157"/>
    </row>
    <row r="389" spans="2:56" ht="15" thickBot="1">
      <c r="B389" s="156"/>
      <c r="C389" s="136" t="s">
        <v>452</v>
      </c>
      <c r="D389" s="136" t="s">
        <v>384</v>
      </c>
      <c r="E389" s="138" t="s">
        <v>385</v>
      </c>
      <c r="G389" s="136" t="s">
        <v>452</v>
      </c>
      <c r="H389" s="136" t="s">
        <v>384</v>
      </c>
      <c r="I389" s="138" t="s">
        <v>385</v>
      </c>
      <c r="K389" s="193" t="s">
        <v>452</v>
      </c>
      <c r="L389" s="193" t="s">
        <v>384</v>
      </c>
      <c r="M389" s="194" t="s">
        <v>385</v>
      </c>
      <c r="O389" s="136" t="s">
        <v>452</v>
      </c>
      <c r="P389" s="136" t="s">
        <v>384</v>
      </c>
      <c r="Q389" s="138" t="s">
        <v>385</v>
      </c>
      <c r="S389" s="136" t="s">
        <v>452</v>
      </c>
      <c r="T389" s="136" t="s">
        <v>384</v>
      </c>
      <c r="U389" s="138" t="s">
        <v>385</v>
      </c>
      <c r="W389" s="136" t="s">
        <v>452</v>
      </c>
      <c r="X389" s="136" t="s">
        <v>384</v>
      </c>
      <c r="Y389" s="138" t="s">
        <v>385</v>
      </c>
      <c r="AA389" s="136" t="s">
        <v>452</v>
      </c>
      <c r="AB389" s="136" t="s">
        <v>384</v>
      </c>
      <c r="AC389" s="138" t="s">
        <v>385</v>
      </c>
      <c r="AE389" s="136" t="s">
        <v>452</v>
      </c>
      <c r="AF389" s="136" t="s">
        <v>384</v>
      </c>
      <c r="AG389" s="138" t="s">
        <v>385</v>
      </c>
      <c r="AI389" s="193" t="s">
        <v>452</v>
      </c>
      <c r="AJ389" s="193" t="s">
        <v>384</v>
      </c>
      <c r="AK389" s="194" t="s">
        <v>385</v>
      </c>
      <c r="AM389" s="193" t="s">
        <v>452</v>
      </c>
      <c r="AN389" s="193" t="s">
        <v>384</v>
      </c>
      <c r="AO389" s="194" t="s">
        <v>385</v>
      </c>
      <c r="AQ389" s="193" t="s">
        <v>452</v>
      </c>
      <c r="AR389" s="193" t="s">
        <v>384</v>
      </c>
      <c r="AS389" s="194" t="s">
        <v>385</v>
      </c>
      <c r="AW389" s="128">
        <f t="shared" si="55"/>
        <v>1265</v>
      </c>
      <c r="AX389" s="128">
        <f t="shared" ca="1" si="51"/>
        <v>-18.624000000000006</v>
      </c>
      <c r="AY389" s="129">
        <f t="shared" ca="1" si="52"/>
        <v>1.4960570012328709</v>
      </c>
      <c r="BB389" s="128">
        <f t="shared" ca="1" si="53"/>
        <v>-18.624000000000006</v>
      </c>
      <c r="BC389" s="129">
        <f t="shared" ca="1" si="54"/>
        <v>-1.4960570012328709</v>
      </c>
      <c r="BD389" s="157"/>
    </row>
    <row r="390" spans="2:56">
      <c r="B390" s="156"/>
      <c r="C390" s="128" t="s">
        <v>396</v>
      </c>
      <c r="D390" s="158">
        <f ca="1">IF(C388&gt;=1,L381,8888)</f>
        <v>-6.1619999999999999</v>
      </c>
      <c r="E390" s="160">
        <f ca="1">IF(C388&gt;=1,1/2*($C$13-P381-2*P383)+1/2*P381,8888)</f>
        <v>1.3199999999999998</v>
      </c>
      <c r="G390" s="128" t="s">
        <v>396</v>
      </c>
      <c r="H390" s="158">
        <f ca="1">IF(G388&gt;=1,L381,8888)</f>
        <v>8888</v>
      </c>
      <c r="I390" s="160">
        <f ca="1">IF(G388&gt;=1,E401-P385,8888)</f>
        <v>8888</v>
      </c>
      <c r="K390" s="128" t="s">
        <v>396</v>
      </c>
      <c r="L390" s="158">
        <f ca="1">IF(K388&gt;=1,L381,8888)</f>
        <v>-6.1619999999999999</v>
      </c>
      <c r="M390" s="160">
        <f ca="1">IF(K388&gt;=1,IF(FUSELAGE_n_aisles=1,E401-P385,I413-P385),8888)</f>
        <v>-0.25999999999999979</v>
      </c>
      <c r="O390" s="128" t="s">
        <v>396</v>
      </c>
      <c r="P390" s="158">
        <f ca="1">IF(O388,$L381,8888)</f>
        <v>8888</v>
      </c>
      <c r="Q390" s="209">
        <f ca="1">IF(O388,FUSELAGE_y_position_of_left_seat_YC-(FUSELAGE_nseats_right_YC-1)*(SEAT_w_cushion_YC+SEAT_w_armrest_YC)/2+T386/2,8888)</f>
        <v>8888</v>
      </c>
      <c r="S390" s="128" t="s">
        <v>396</v>
      </c>
      <c r="T390" s="158">
        <f ca="1">IF(S388,$L381,8888)</f>
        <v>8888</v>
      </c>
      <c r="U390" s="160">
        <f ca="1">IF(S388,T384/2,8888)</f>
        <v>8888</v>
      </c>
      <c r="W390" s="128" t="s">
        <v>396</v>
      </c>
      <c r="X390" s="158">
        <f ca="1">IF(W388,$L381,8888)</f>
        <v>8888</v>
      </c>
      <c r="Y390" s="160">
        <f ca="1">IF(W388,-FUSELAGE_y_position_of_left_seat_YC+(FUSELAGE_nseats_left_YC-1)*(SEAT_w_cushion_YC+SEAT_w_armrest_YC)/2-T382/2,8888)</f>
        <v>8888</v>
      </c>
      <c r="AA390" s="128" t="s">
        <v>396</v>
      </c>
      <c r="AB390" s="158">
        <f ca="1">IF($AA388,D390,P390)</f>
        <v>-6.1619999999999999</v>
      </c>
      <c r="AC390" s="174">
        <f ca="1">IF($AA388,E390,Q390)</f>
        <v>1.3199999999999998</v>
      </c>
      <c r="AE390" s="128" t="s">
        <v>396</v>
      </c>
      <c r="AF390" s="158">
        <f ca="1">IF($AE388,H390,T390)</f>
        <v>8888</v>
      </c>
      <c r="AG390" s="174">
        <f ca="1">IF($AE388,I390,U390)</f>
        <v>8888</v>
      </c>
      <c r="AI390" s="128" t="s">
        <v>396</v>
      </c>
      <c r="AJ390" s="158">
        <f ca="1">IF($AI388,L390,X390)</f>
        <v>-6.1619999999999999</v>
      </c>
      <c r="AK390" s="174">
        <f ca="1">IF($AI388,M390,Y390)</f>
        <v>-0.25999999999999979</v>
      </c>
      <c r="AM390" s="128" t="s">
        <v>396</v>
      </c>
      <c r="AN390" s="158">
        <f ca="1">AN359</f>
        <v>-5.3620000000000001</v>
      </c>
      <c r="AO390" s="174">
        <f ca="1">IF(AN390&gt;-Fuselage!$D$366,(FUSELAGE_a_ellipse)*SQRT(1-((AN390+Fuselage!$D$366)/(Fuselage!$K$364-FUSELAGE_t_fuselage))^2),IF(AN390&gt;$L$2505+Fuselage!$K$370,FUSELAGE_a_ellipse,(FUSELAGE_a_ellipse+FUSELAGE_t_fuselage-FUSELAGE_d_fo/4)/Fuselage!$K$368*(AN390-$L$2505-Fuselage!$K$370)+FUSELAGE_a_ellipse))</f>
        <v>1.4960570012328709</v>
      </c>
      <c r="AQ390" s="128" t="s">
        <v>396</v>
      </c>
      <c r="AR390" s="158">
        <f t="shared" ref="AR390:AR395" ca="1" si="58">AN390</f>
        <v>-5.3620000000000001</v>
      </c>
      <c r="AS390" s="174">
        <f t="shared" ref="AS390:AS395" ca="1" si="59">-AO390</f>
        <v>-1.4960570012328709</v>
      </c>
      <c r="AW390" s="128">
        <f t="shared" si="55"/>
        <v>1297</v>
      </c>
      <c r="AX390" s="128">
        <f t="shared" ca="1" si="51"/>
        <v>-18.624000000000006</v>
      </c>
      <c r="AY390" s="129">
        <f t="shared" ca="1" si="52"/>
        <v>1.4960570012328709</v>
      </c>
      <c r="BB390" s="128">
        <f t="shared" ca="1" si="53"/>
        <v>-18.624000000000006</v>
      </c>
      <c r="BC390" s="129">
        <f t="shared" ca="1" si="54"/>
        <v>-1.4960570012328709</v>
      </c>
      <c r="BD390" s="157"/>
    </row>
    <row r="391" spans="2:56">
      <c r="B391" s="156"/>
      <c r="C391" s="128" t="s">
        <v>213</v>
      </c>
      <c r="D391" s="128">
        <f ca="1">IF(X383,D390+P382/4,D390+P382)</f>
        <v>-5.7320000000000002</v>
      </c>
      <c r="E391" s="139">
        <f ca="1">E390</f>
        <v>1.3199999999999998</v>
      </c>
      <c r="G391" s="128" t="s">
        <v>213</v>
      </c>
      <c r="H391" s="128">
        <f ca="1">H390+P382</f>
        <v>8888.43</v>
      </c>
      <c r="I391" s="139">
        <f ca="1">I390</f>
        <v>8888</v>
      </c>
      <c r="K391" s="128" t="s">
        <v>213</v>
      </c>
      <c r="L391" s="128">
        <f ca="1">IF(X383,IF(K388=1,L390+P382/4,L390+P382),L390+P382)</f>
        <v>-5.7320000000000002</v>
      </c>
      <c r="M391" s="139">
        <f ca="1">M390</f>
        <v>-0.25999999999999979</v>
      </c>
      <c r="O391" s="128" t="s">
        <v>213</v>
      </c>
      <c r="P391" s="128">
        <f ca="1">P390+$T385</f>
        <v>8888</v>
      </c>
      <c r="Q391" s="139">
        <f ca="1">Q390</f>
        <v>8888</v>
      </c>
      <c r="S391" s="128" t="s">
        <v>213</v>
      </c>
      <c r="T391" s="128">
        <f ca="1">T390+$T383</f>
        <v>8888</v>
      </c>
      <c r="U391" s="139">
        <f ca="1">U390</f>
        <v>8888</v>
      </c>
      <c r="W391" s="128" t="s">
        <v>213</v>
      </c>
      <c r="X391" s="128">
        <f ca="1">X390+$T381</f>
        <v>8888</v>
      </c>
      <c r="Y391" s="139">
        <f ca="1">Y390</f>
        <v>8888</v>
      </c>
      <c r="AA391" s="143" t="s">
        <v>213</v>
      </c>
      <c r="AB391" s="128">
        <f ca="1">IF($AA388,D391,P391)</f>
        <v>-5.7320000000000002</v>
      </c>
      <c r="AC391" s="129">
        <f ca="1">IF($AA388,E391,Q391)</f>
        <v>1.3199999999999998</v>
      </c>
      <c r="AE391" s="128" t="s">
        <v>213</v>
      </c>
      <c r="AF391" s="128">
        <f ca="1">IF($AE388,H391,T391)</f>
        <v>8888.43</v>
      </c>
      <c r="AG391" s="129">
        <f ca="1">IF($AE388,I391,U391)</f>
        <v>8888</v>
      </c>
      <c r="AI391" s="128" t="s">
        <v>213</v>
      </c>
      <c r="AJ391" s="128">
        <f ca="1">IF($AI388,L391,X391)</f>
        <v>-5.7320000000000002</v>
      </c>
      <c r="AK391" s="129">
        <f ca="1">IF($AI388,M391,Y391)</f>
        <v>-0.25999999999999979</v>
      </c>
      <c r="AM391" s="128" t="s">
        <v>213</v>
      </c>
      <c r="AN391" s="128">
        <f ca="1">AN390-AO381/2</f>
        <v>-5.5469999999999997</v>
      </c>
      <c r="AO391" s="129">
        <f ca="1">IF(AN391&gt;-Fuselage!$D$366,(FUSELAGE_a_ellipse)*SQRT(1-((AN391+Fuselage!$D$366)/(Fuselage!$K$364-FUSELAGE_t_fuselage))^2),IF(AN391&gt;$L$2505+Fuselage!$K$370,FUSELAGE_a_ellipse,(FUSELAGE_a_ellipse+FUSELAGE_t_fuselage-FUSELAGE_d_fo/4)/Fuselage!$K$368*(AN391-$L$2505-Fuselage!$K$370)+FUSELAGE_a_ellipse))</f>
        <v>1.4960570012328709</v>
      </c>
      <c r="AQ391" s="128" t="s">
        <v>213</v>
      </c>
      <c r="AR391" s="128">
        <f t="shared" ca="1" si="58"/>
        <v>-5.5469999999999997</v>
      </c>
      <c r="AS391" s="129">
        <f t="shared" ca="1" si="59"/>
        <v>-1.4960570012328709</v>
      </c>
      <c r="AW391" s="128">
        <f t="shared" si="55"/>
        <v>1298</v>
      </c>
      <c r="AX391" s="128">
        <f t="shared" ca="1" si="51"/>
        <v>-18.624000000000006</v>
      </c>
      <c r="AY391" s="129">
        <f t="shared" ca="1" si="52"/>
        <v>1.4960570012328709</v>
      </c>
      <c r="BB391" s="128">
        <f t="shared" ca="1" si="53"/>
        <v>-18.624000000000006</v>
      </c>
      <c r="BC391" s="129">
        <f t="shared" ca="1" si="54"/>
        <v>-1.4960570012328709</v>
      </c>
      <c r="BD391" s="157"/>
    </row>
    <row r="392" spans="2:56">
      <c r="B392" s="156"/>
      <c r="C392" s="128" t="s">
        <v>286</v>
      </c>
      <c r="D392" s="128">
        <f ca="1">D391</f>
        <v>-5.7320000000000002</v>
      </c>
      <c r="E392" s="139">
        <f ca="1">E391-P381</f>
        <v>0.81999999999999984</v>
      </c>
      <c r="G392" s="128" t="s">
        <v>286</v>
      </c>
      <c r="H392" s="128">
        <f ca="1">H391</f>
        <v>8888.43</v>
      </c>
      <c r="I392" s="139">
        <f ca="1">I391-P381</f>
        <v>8887.5</v>
      </c>
      <c r="K392" s="128" t="s">
        <v>286</v>
      </c>
      <c r="L392" s="128">
        <f ca="1">L391</f>
        <v>-5.7320000000000002</v>
      </c>
      <c r="M392" s="139">
        <f ca="1">M391-P381</f>
        <v>-0.75999999999999979</v>
      </c>
      <c r="O392" s="128" t="s">
        <v>286</v>
      </c>
      <c r="P392" s="128">
        <f ca="1">P391</f>
        <v>8888</v>
      </c>
      <c r="Q392" s="139">
        <f ca="1">Q391-$T386</f>
        <v>8888</v>
      </c>
      <c r="S392" s="128" t="s">
        <v>286</v>
      </c>
      <c r="T392" s="128">
        <f ca="1">T391</f>
        <v>8888</v>
      </c>
      <c r="U392" s="139">
        <f ca="1">U391-$T384</f>
        <v>8888</v>
      </c>
      <c r="W392" s="128" t="s">
        <v>286</v>
      </c>
      <c r="X392" s="128">
        <f ca="1">X391</f>
        <v>8888</v>
      </c>
      <c r="Y392" s="139">
        <f ca="1">Y391+$T382</f>
        <v>8888</v>
      </c>
      <c r="AA392" s="143" t="s">
        <v>286</v>
      </c>
      <c r="AB392" s="128">
        <f ca="1">IF($AA388,D392,P392)</f>
        <v>-5.7320000000000002</v>
      </c>
      <c r="AC392" s="129">
        <f ca="1">IF($AA388,E392,Q392)</f>
        <v>0.81999999999999984</v>
      </c>
      <c r="AE392" s="128" t="s">
        <v>286</v>
      </c>
      <c r="AF392" s="128">
        <f ca="1">IF($AE388,H392,T392)</f>
        <v>8888.43</v>
      </c>
      <c r="AG392" s="129">
        <f ca="1">IF($AE388,I392,U392)</f>
        <v>8887.5</v>
      </c>
      <c r="AI392" s="128" t="s">
        <v>286</v>
      </c>
      <c r="AJ392" s="128">
        <f ca="1">IF($AI388,L392,X392)</f>
        <v>-5.7320000000000002</v>
      </c>
      <c r="AK392" s="129">
        <f ca="1">IF($AI388,M392,Y392)</f>
        <v>-0.75999999999999979</v>
      </c>
      <c r="AM392" s="128" t="s">
        <v>286</v>
      </c>
      <c r="AN392" s="128">
        <f ca="1">AN391</f>
        <v>-5.5469999999999997</v>
      </c>
      <c r="AO392" s="129">
        <f ca="1">IF(AN392&gt;-Fuselage!$D$366,IF(AM388,(FUSELAGE_a_ellipse+FUSELAGE_t_fuselage)*SQRT(1-((AN392+Fuselage!$D$366)/Fuselage!$K$364)^2),(FUSELAGE_a_ellipse)*SQRT(1-((AN392+Fuselage!$D$366)/Fuselage!$K$364)^2)),IF(AN392&gt;$L$2505+Fuselage!$K$370,(IF(AM388,FUSELAGE_a_ellipse+FUSELAGE_t_fuselage,FUSELAGE_a_ellipse)),IF(AM388,(FUSELAGE_a_ellipse+FUSELAGE_t_fuselage-FUSELAGE_d_fo/4)/Fuselage!$K$368*(AN392-$L$2505-Fuselage!$K$370)+FUSELAGE_a_ellipse+FUSELAGE_t_fuselage,(FUSELAGE_a_ellipse+FUSELAGE_t_fuselage-FUSELAGE_d_fo/4)/Fuselage!$K$368*(AN392-$L$2505-Fuselage!$K$370)+FUSELAGE_a_ellipse)))</f>
        <v>1.4960570012328709</v>
      </c>
      <c r="AQ392" s="128" t="s">
        <v>286</v>
      </c>
      <c r="AR392" s="128">
        <f t="shared" ca="1" si="58"/>
        <v>-5.5469999999999997</v>
      </c>
      <c r="AS392" s="129">
        <f t="shared" ca="1" si="59"/>
        <v>-1.4960570012328709</v>
      </c>
      <c r="AW392" s="128">
        <f t="shared" si="55"/>
        <v>1299</v>
      </c>
      <c r="AX392" s="128">
        <f t="shared" ca="1" si="51"/>
        <v>-18.624000000000006</v>
      </c>
      <c r="AY392" s="129">
        <f t="shared" ca="1" si="52"/>
        <v>1.4960570012328709</v>
      </c>
      <c r="BB392" s="128">
        <f t="shared" ca="1" si="53"/>
        <v>-18.624000000000006</v>
      </c>
      <c r="BC392" s="129">
        <f t="shared" ca="1" si="54"/>
        <v>-1.4960570012328709</v>
      </c>
      <c r="BD392" s="157"/>
    </row>
    <row r="393" spans="2:56">
      <c r="B393" s="156"/>
      <c r="C393" s="188" t="s">
        <v>522</v>
      </c>
      <c r="D393" s="188">
        <f ca="1">D390</f>
        <v>-6.1619999999999999</v>
      </c>
      <c r="E393" s="189">
        <f ca="1">E392</f>
        <v>0.81999999999999984</v>
      </c>
      <c r="F393" s="157"/>
      <c r="G393" s="2" t="s">
        <v>522</v>
      </c>
      <c r="H393" s="128">
        <f ca="1">H390</f>
        <v>8888</v>
      </c>
      <c r="I393" s="139">
        <f ca="1">I392</f>
        <v>8887.5</v>
      </c>
      <c r="K393" s="128" t="s">
        <v>522</v>
      </c>
      <c r="L393" s="128">
        <f ca="1">L390</f>
        <v>-6.1619999999999999</v>
      </c>
      <c r="M393" s="139">
        <f ca="1">M392</f>
        <v>-0.75999999999999979</v>
      </c>
      <c r="O393" s="188" t="s">
        <v>522</v>
      </c>
      <c r="P393" s="188">
        <f ca="1">P390</f>
        <v>8888</v>
      </c>
      <c r="Q393" s="189">
        <f ca="1">Q392</f>
        <v>8888</v>
      </c>
      <c r="S393" s="188" t="s">
        <v>522</v>
      </c>
      <c r="T393" s="188">
        <f ca="1">T390</f>
        <v>8888</v>
      </c>
      <c r="U393" s="189">
        <f ca="1">U392</f>
        <v>8888</v>
      </c>
      <c r="W393" s="188" t="s">
        <v>522</v>
      </c>
      <c r="X393" s="188">
        <f ca="1">X390</f>
        <v>8888</v>
      </c>
      <c r="Y393" s="189">
        <f ca="1">Y392</f>
        <v>8888</v>
      </c>
      <c r="AA393" s="195" t="s">
        <v>522</v>
      </c>
      <c r="AB393" s="128">
        <f ca="1">IF($AA388,D393,P393)</f>
        <v>-6.1619999999999999</v>
      </c>
      <c r="AC393" s="129">
        <f ca="1">IF($AA388,E393,Q393)</f>
        <v>0.81999999999999984</v>
      </c>
      <c r="AD393" s="157"/>
      <c r="AE393" s="2" t="s">
        <v>522</v>
      </c>
      <c r="AF393" s="188">
        <f ca="1">IF($AE388,H393,T393)</f>
        <v>8888</v>
      </c>
      <c r="AG393" s="196">
        <f ca="1">IF($AE388,I393,U393)</f>
        <v>8887.5</v>
      </c>
      <c r="AI393" s="128" t="s">
        <v>522</v>
      </c>
      <c r="AJ393" s="188">
        <f ca="1">IF($AI388,L393,X393)</f>
        <v>-6.1619999999999999</v>
      </c>
      <c r="AK393" s="196">
        <f ca="1">IF($AI388,M393,Y393)</f>
        <v>-0.75999999999999979</v>
      </c>
      <c r="AM393" s="128" t="s">
        <v>522</v>
      </c>
      <c r="AN393" s="128">
        <f ca="1">AN392-X382</f>
        <v>-5.5469999999999997</v>
      </c>
      <c r="AO393" s="129">
        <f ca="1">IF(AN393&gt;-Fuselage!$D$366,IF(AM388,(FUSELAGE_a_ellipse+FUSELAGE_t_fuselage)*SQRT(1-((AN393+Fuselage!$D$366)/Fuselage!$K$364)^2),(FUSELAGE_a_ellipse)*SQRT(1-((AN393+Fuselage!$D$366)/Fuselage!$K$364)^2)),IF(AN393&gt;$L$2505+Fuselage!$K$370,(IF(AM388,FUSELAGE_a_ellipse+FUSELAGE_t_fuselage,FUSELAGE_a_ellipse)),IF(AM388,(FUSELAGE_a_ellipse+FUSELAGE_t_fuselage-FUSELAGE_d_fo/4)/Fuselage!$K$368*(AN393-$L$2505-Fuselage!$K$370)+FUSELAGE_a_ellipse+FUSELAGE_t_fuselage,(FUSELAGE_a_ellipse+FUSELAGE_t_fuselage-FUSELAGE_d_fo/4)/Fuselage!$K$368*(AN393-$L$2505-Fuselage!$K$370)+FUSELAGE_a_ellipse)))</f>
        <v>1.4960570012328709</v>
      </c>
      <c r="AQ393" s="128" t="s">
        <v>522</v>
      </c>
      <c r="AR393" s="128">
        <f t="shared" ca="1" si="58"/>
        <v>-5.5469999999999997</v>
      </c>
      <c r="AS393" s="129">
        <f t="shared" ca="1" si="59"/>
        <v>-1.4960570012328709</v>
      </c>
      <c r="AW393" s="128">
        <f t="shared" si="55"/>
        <v>1300</v>
      </c>
      <c r="AX393" s="128">
        <f t="shared" ca="1" si="51"/>
        <v>-18.624000000000006</v>
      </c>
      <c r="AY393" s="129">
        <f t="shared" ca="1" si="52"/>
        <v>1.4960570012328709</v>
      </c>
      <c r="BB393" s="128">
        <f t="shared" ca="1" si="53"/>
        <v>-18.624000000000006</v>
      </c>
      <c r="BC393" s="129">
        <f t="shared" ca="1" si="54"/>
        <v>-1.4960570012328709</v>
      </c>
      <c r="BD393" s="157"/>
    </row>
    <row r="394" spans="2:56" ht="15" thickBot="1">
      <c r="B394" s="156"/>
      <c r="C394" s="128" t="s">
        <v>49</v>
      </c>
      <c r="D394" s="128">
        <f ca="1">IF(C388&gt;=2,D390,D393)</f>
        <v>-6.1619999999999999</v>
      </c>
      <c r="E394" s="139">
        <f ca="1">IF(C388&gt;=2,E393-P383,E393)</f>
        <v>0.75999999999999979</v>
      </c>
      <c r="F394" s="157"/>
      <c r="G394" s="192" t="s">
        <v>49</v>
      </c>
      <c r="H394" s="190">
        <f ca="1">IF(G388&gt;=2,H390,H393)</f>
        <v>8888</v>
      </c>
      <c r="I394" s="191">
        <f ca="1">IF(G388&gt;=2,I393-P383,I393)</f>
        <v>8887.5</v>
      </c>
      <c r="K394" s="190" t="s">
        <v>49</v>
      </c>
      <c r="L394" s="190">
        <f ca="1">IF(K388&gt;=2,L390,L393)</f>
        <v>-6.1619999999999999</v>
      </c>
      <c r="M394" s="191">
        <f ca="1">IF(K388&gt;=2,M393-P383,M393)</f>
        <v>-0.81999999999999984</v>
      </c>
      <c r="O394" s="130" t="s">
        <v>396</v>
      </c>
      <c r="P394" s="130">
        <f ca="1">P390</f>
        <v>8888</v>
      </c>
      <c r="Q394" s="140">
        <f ca="1">Q390</f>
        <v>8888</v>
      </c>
      <c r="S394" s="130" t="s">
        <v>396</v>
      </c>
      <c r="T394" s="130">
        <f ca="1">T390</f>
        <v>8888</v>
      </c>
      <c r="U394" s="140">
        <f ca="1">U390</f>
        <v>8888</v>
      </c>
      <c r="W394" s="130" t="s">
        <v>396</v>
      </c>
      <c r="X394" s="130">
        <f ca="1">X390</f>
        <v>8888</v>
      </c>
      <c r="Y394" s="140">
        <f ca="1">Y390</f>
        <v>8888</v>
      </c>
      <c r="AA394" s="143" t="s">
        <v>49</v>
      </c>
      <c r="AB394" s="128">
        <f ca="1">IF($AA388,D394,P394)</f>
        <v>-6.1619999999999999</v>
      </c>
      <c r="AC394" s="129">
        <f ca="1">IF($AA388,E394,Q394)</f>
        <v>0.75999999999999979</v>
      </c>
      <c r="AD394" s="157"/>
      <c r="AE394" s="192" t="s">
        <v>49</v>
      </c>
      <c r="AF394" s="128">
        <f ca="1">IF($AE388,H394,T394)</f>
        <v>8888</v>
      </c>
      <c r="AG394" s="129">
        <f ca="1">IF($AE388,I394,U394)</f>
        <v>8887.5</v>
      </c>
      <c r="AI394" s="190" t="s">
        <v>49</v>
      </c>
      <c r="AJ394" s="128">
        <f ca="1">IF($AI388,L394,X394)</f>
        <v>-6.1619999999999999</v>
      </c>
      <c r="AK394" s="129">
        <f ca="1">IF($AI388,M394,Y394)</f>
        <v>-0.81999999999999984</v>
      </c>
      <c r="AM394" s="128" t="s">
        <v>49</v>
      </c>
      <c r="AN394" s="128">
        <f ca="1">AN393</f>
        <v>-5.5469999999999997</v>
      </c>
      <c r="AO394" s="129">
        <f ca="1">IF(AN394&gt;-Fuselage!$D$366,(FUSELAGE_a_ellipse)*SQRT(1-((AN394+Fuselage!$D$366)/(Fuselage!$K$364-FUSELAGE_t_fuselage))^2),IF(AN394&gt;$L$2505+Fuselage!$K$370,FUSELAGE_a_ellipse,(FUSELAGE_a_ellipse+FUSELAGE_t_fuselage-FUSELAGE_d_fo/4)/Fuselage!$K$368*(AN394-$L$2505-Fuselage!$K$370)+FUSELAGE_a_ellipse))</f>
        <v>1.4960570012328709</v>
      </c>
      <c r="AQ394" s="128" t="s">
        <v>49</v>
      </c>
      <c r="AR394" s="128">
        <f t="shared" ca="1" si="58"/>
        <v>-5.5469999999999997</v>
      </c>
      <c r="AS394" s="129">
        <f t="shared" ca="1" si="59"/>
        <v>-1.4960570012328709</v>
      </c>
      <c r="AW394" s="128">
        <f t="shared" si="55"/>
        <v>1301</v>
      </c>
      <c r="AX394" s="128">
        <f t="shared" ca="1" si="51"/>
        <v>-18.624000000000006</v>
      </c>
      <c r="AY394" s="129">
        <f t="shared" ca="1" si="52"/>
        <v>1.4960570012328709</v>
      </c>
      <c r="BB394" s="128">
        <f t="shared" ca="1" si="53"/>
        <v>-18.624000000000006</v>
      </c>
      <c r="BC394" s="129">
        <f t="shared" ca="1" si="54"/>
        <v>-1.4960570012328709</v>
      </c>
      <c r="BD394" s="157"/>
    </row>
    <row r="395" spans="2:56">
      <c r="B395" s="156"/>
      <c r="C395" s="128" t="s">
        <v>453</v>
      </c>
      <c r="D395" s="128">
        <f ca="1">IF(C388&gt;=2,D390+P382,D393)</f>
        <v>-5.7320000000000002</v>
      </c>
      <c r="E395" s="139">
        <f ca="1">E394</f>
        <v>0.75999999999999979</v>
      </c>
      <c r="F395" s="157"/>
      <c r="G395" s="2" t="s">
        <v>453</v>
      </c>
      <c r="H395" s="128">
        <f ca="1">IF(G388&gt;=2,H391,H393)</f>
        <v>8888</v>
      </c>
      <c r="I395" s="139">
        <f ca="1">IF(G388&gt;=2,I394,I393)</f>
        <v>8887.5</v>
      </c>
      <c r="K395" s="128" t="s">
        <v>453</v>
      </c>
      <c r="L395" s="128">
        <f ca="1">IF(K388&gt;=2,IF(X383,IF(K388=2,L390+P382/4,L390+P382),L390+P382),L393)</f>
        <v>-5.7320000000000002</v>
      </c>
      <c r="M395" s="139">
        <f ca="1">IF(K388&gt;=2,M394,M393)</f>
        <v>-0.81999999999999984</v>
      </c>
      <c r="AA395" s="143" t="s">
        <v>453</v>
      </c>
      <c r="AB395" s="128">
        <f ca="1">IF($AA388,D395,AB394)</f>
        <v>-5.7320000000000002</v>
      </c>
      <c r="AC395" s="129">
        <f ca="1">IF($AA388,E395,AC394)</f>
        <v>0.75999999999999979</v>
      </c>
      <c r="AD395" s="157"/>
      <c r="AE395" s="2" t="s">
        <v>453</v>
      </c>
      <c r="AF395" s="128">
        <f ca="1">IF($AE388,H395,AF394)</f>
        <v>8888</v>
      </c>
      <c r="AG395" s="129">
        <f ca="1">IF($AE388,I395,AG394)</f>
        <v>8887.5</v>
      </c>
      <c r="AI395" s="128" t="s">
        <v>453</v>
      </c>
      <c r="AJ395" s="128">
        <f ca="1">IF($AI388,L395,AJ394)</f>
        <v>-5.7320000000000002</v>
      </c>
      <c r="AK395" s="129">
        <f ca="1">IF($AI388,M395,AK394)</f>
        <v>-0.81999999999999984</v>
      </c>
      <c r="AM395" s="128" t="s">
        <v>453</v>
      </c>
      <c r="AN395" s="128">
        <f ca="1">L381</f>
        <v>-6.1619999999999999</v>
      </c>
      <c r="AO395" s="129">
        <f ca="1">IF(AN395&gt;-Fuselage!$D$366,(FUSELAGE_a_ellipse)*SQRT(1-((AN395+Fuselage!$D$366)/(Fuselage!$K$364-FUSELAGE_t_fuselage))^2),IF(AN395&gt;$L$2505+Fuselage!$K$370,FUSELAGE_a_ellipse,(FUSELAGE_a_ellipse+FUSELAGE_t_fuselage-FUSELAGE_d_fo/4)/Fuselage!$K$368*(AN395-$L$2505-Fuselage!$K$370)+FUSELAGE_a_ellipse))</f>
        <v>1.4960570012328709</v>
      </c>
      <c r="AQ395" s="128" t="s">
        <v>453</v>
      </c>
      <c r="AR395" s="128">
        <f t="shared" ca="1" si="58"/>
        <v>-6.1619999999999999</v>
      </c>
      <c r="AS395" s="129">
        <f t="shared" ca="1" si="59"/>
        <v>-1.4960570012328709</v>
      </c>
      <c r="AW395" s="128">
        <f t="shared" si="55"/>
        <v>1333</v>
      </c>
      <c r="AX395" s="128">
        <f t="shared" ca="1" si="51"/>
        <v>-18.624000000000006</v>
      </c>
      <c r="AY395" s="129">
        <f t="shared" ca="1" si="52"/>
        <v>1.4960570012328709</v>
      </c>
      <c r="BB395" s="128">
        <f t="shared" ca="1" si="53"/>
        <v>-18.624000000000006</v>
      </c>
      <c r="BC395" s="129">
        <f t="shared" ca="1" si="54"/>
        <v>-1.4960570012328709</v>
      </c>
      <c r="BD395" s="157"/>
    </row>
    <row r="396" spans="2:56">
      <c r="B396" s="156"/>
      <c r="C396" s="128" t="s">
        <v>394</v>
      </c>
      <c r="D396" s="128">
        <f ca="1">IF(C388&gt;=2,D395,D393)</f>
        <v>-5.7320000000000002</v>
      </c>
      <c r="E396" s="139">
        <f ca="1">IF(C388&gt;=2,E394-P381,E393)</f>
        <v>0.25999999999999979</v>
      </c>
      <c r="F396" s="157"/>
      <c r="G396" s="2" t="s">
        <v>394</v>
      </c>
      <c r="H396" s="128">
        <f ca="1">IF(G388&gt;=2,H391,H393)</f>
        <v>8888</v>
      </c>
      <c r="I396" s="139">
        <f ca="1">IF(G388&gt;=2,I395-P381,I393)</f>
        <v>8887.5</v>
      </c>
      <c r="K396" s="128" t="s">
        <v>394</v>
      </c>
      <c r="L396" s="128">
        <f ca="1">L395</f>
        <v>-5.7320000000000002</v>
      </c>
      <c r="M396" s="139">
        <f ca="1">IF(K388&gt;=2,M395-P381,M393)</f>
        <v>-1.3199999999999998</v>
      </c>
      <c r="AA396" s="143" t="s">
        <v>394</v>
      </c>
      <c r="AB396" s="128">
        <f ca="1">IF($AA388,D396,AB394)</f>
        <v>-5.7320000000000002</v>
      </c>
      <c r="AC396" s="129">
        <f ca="1">IF($AA388,E396,AC394)</f>
        <v>0.25999999999999979</v>
      </c>
      <c r="AD396" s="157"/>
      <c r="AE396" s="2" t="s">
        <v>394</v>
      </c>
      <c r="AF396" s="128">
        <f ca="1">IF($AE388,H396,AF394)</f>
        <v>8888</v>
      </c>
      <c r="AG396" s="129">
        <f ca="1">IF($AE388,I396,AG394)</f>
        <v>8887.5</v>
      </c>
      <c r="AI396" s="128" t="s">
        <v>394</v>
      </c>
      <c r="AJ396" s="128">
        <f ca="1">IF($AI388,L396,AJ394)</f>
        <v>-5.7320000000000002</v>
      </c>
      <c r="AK396" s="129">
        <f ca="1">IF($AI388,M396,AK394)</f>
        <v>-1.3199999999999998</v>
      </c>
      <c r="AW396" s="128">
        <f t="shared" si="55"/>
        <v>1334</v>
      </c>
      <c r="AX396" s="128">
        <f t="shared" ca="1" si="51"/>
        <v>-18.624000000000006</v>
      </c>
      <c r="AY396" s="129">
        <f t="shared" ca="1" si="52"/>
        <v>1.4960570012328709</v>
      </c>
      <c r="BB396" s="128">
        <f t="shared" ca="1" si="53"/>
        <v>-18.624000000000006</v>
      </c>
      <c r="BC396" s="129">
        <f t="shared" ca="1" si="54"/>
        <v>-1.4960570012328709</v>
      </c>
      <c r="BD396" s="157"/>
    </row>
    <row r="397" spans="2:56">
      <c r="B397" s="156"/>
      <c r="C397" s="188" t="s">
        <v>454</v>
      </c>
      <c r="D397" s="188">
        <f ca="1">IF(C388&gt;=2,D390,D393)</f>
        <v>-6.1619999999999999</v>
      </c>
      <c r="E397" s="189">
        <f ca="1">E396</f>
        <v>0.25999999999999979</v>
      </c>
      <c r="F397" s="157"/>
      <c r="G397" s="115" t="s">
        <v>454</v>
      </c>
      <c r="H397" s="188">
        <f ca="1">IF(G388&gt;=2,H390,H393)</f>
        <v>8888</v>
      </c>
      <c r="I397" s="189">
        <f ca="1">IF(G388&gt;=2,I396,I393)</f>
        <v>8887.5</v>
      </c>
      <c r="K397" s="188" t="s">
        <v>454</v>
      </c>
      <c r="L397" s="188">
        <f ca="1">IF(K388&gt;=2,L390,L393)</f>
        <v>-6.1619999999999999</v>
      </c>
      <c r="M397" s="189">
        <f ca="1">IF(K388&gt;=2,M396,M393)</f>
        <v>-1.3199999999999998</v>
      </c>
      <c r="AA397" s="195" t="s">
        <v>454</v>
      </c>
      <c r="AB397" s="128">
        <f ca="1">IF($AA388,D397,AB394)</f>
        <v>-6.1619999999999999</v>
      </c>
      <c r="AC397" s="129">
        <f ca="1">IF($AA388,E397,AC394)</f>
        <v>0.25999999999999979</v>
      </c>
      <c r="AD397" s="157"/>
      <c r="AE397" s="115" t="s">
        <v>454</v>
      </c>
      <c r="AF397" s="188">
        <f ca="1">IF($AE388,H397,AF394)</f>
        <v>8888</v>
      </c>
      <c r="AG397" s="196">
        <f ca="1">IF($AE388,I397,AG394)</f>
        <v>8887.5</v>
      </c>
      <c r="AI397" s="188" t="s">
        <v>454</v>
      </c>
      <c r="AJ397" s="188">
        <f ca="1">IF($AI388,L397,AJ394)</f>
        <v>-6.1619999999999999</v>
      </c>
      <c r="AK397" s="196">
        <f ca="1">IF($AI388,M397,AK394)</f>
        <v>-1.3199999999999998</v>
      </c>
      <c r="AW397" s="128">
        <f t="shared" si="55"/>
        <v>1335</v>
      </c>
      <c r="AX397" s="128">
        <f t="shared" ca="1" si="51"/>
        <v>-18.624000000000006</v>
      </c>
      <c r="AY397" s="129">
        <f t="shared" ca="1" si="52"/>
        <v>1.4960570012328709</v>
      </c>
      <c r="BB397" s="128">
        <f t="shared" ca="1" si="53"/>
        <v>-18.624000000000006</v>
      </c>
      <c r="BC397" s="129">
        <f t="shared" ca="1" si="54"/>
        <v>-1.4960570012328709</v>
      </c>
      <c r="BD397" s="157"/>
    </row>
    <row r="398" spans="2:56">
      <c r="B398" s="156"/>
      <c r="C398" s="128" t="s">
        <v>507</v>
      </c>
      <c r="D398" s="128">
        <f ca="1">IF(C388&gt;=3,D390,D397)</f>
        <v>-6.1619999999999999</v>
      </c>
      <c r="E398" s="139">
        <f ca="1">IF(C388&gt;=3,E397-P383,E397)</f>
        <v>0.25999999999999979</v>
      </c>
      <c r="F398" s="157"/>
      <c r="G398" s="2" t="s">
        <v>507</v>
      </c>
      <c r="H398" s="128">
        <f ca="1">IF(G388&gt;=3,H390,H397)</f>
        <v>8888</v>
      </c>
      <c r="I398" s="139">
        <f ca="1">IF(G388&gt;=3,I397-P383,I397)</f>
        <v>8887.5</v>
      </c>
      <c r="K398" s="128" t="s">
        <v>507</v>
      </c>
      <c r="L398" s="128">
        <f ca="1">IF(K388&gt;=3,L390,L397)</f>
        <v>-6.1619999999999999</v>
      </c>
      <c r="M398" s="139">
        <f ca="1">IF(K388&gt;=3,M397-P383,M397)</f>
        <v>-1.3199999999999998</v>
      </c>
      <c r="AA398" s="143" t="s">
        <v>507</v>
      </c>
      <c r="AB398" s="128">
        <f ca="1">IF($AA388,D398,AB394)</f>
        <v>-6.1619999999999999</v>
      </c>
      <c r="AC398" s="129">
        <f ca="1">IF($AA388,E398,AC394)</f>
        <v>0.25999999999999979</v>
      </c>
      <c r="AD398" s="157"/>
      <c r="AE398" s="2" t="s">
        <v>507</v>
      </c>
      <c r="AF398" s="128">
        <f ca="1">IF($AE388,H398,AF394)</f>
        <v>8888</v>
      </c>
      <c r="AG398" s="129">
        <f ca="1">IF($AE388,I398,AG394)</f>
        <v>8887.5</v>
      </c>
      <c r="AI398" s="128" t="s">
        <v>507</v>
      </c>
      <c r="AJ398" s="128">
        <f ca="1">IF($AI388,L398,AJ394)</f>
        <v>-6.1619999999999999</v>
      </c>
      <c r="AK398" s="129">
        <f ca="1">IF($AI388,M398,AK394)</f>
        <v>-1.3199999999999998</v>
      </c>
      <c r="AW398" s="128">
        <f t="shared" si="55"/>
        <v>1336</v>
      </c>
      <c r="AX398" s="128">
        <f t="shared" ca="1" si="51"/>
        <v>-18.624000000000006</v>
      </c>
      <c r="AY398" s="129">
        <f t="shared" ca="1" si="52"/>
        <v>1.4960570012328709</v>
      </c>
      <c r="BB398" s="128">
        <f t="shared" ca="1" si="53"/>
        <v>-18.624000000000006</v>
      </c>
      <c r="BC398" s="129">
        <f t="shared" ca="1" si="54"/>
        <v>-1.4960570012328709</v>
      </c>
      <c r="BD398" s="157"/>
    </row>
    <row r="399" spans="2:56">
      <c r="B399" s="156"/>
      <c r="C399" s="128" t="s">
        <v>455</v>
      </c>
      <c r="D399" s="128">
        <f ca="1">IF(C388&gt;=3,D395,D397)</f>
        <v>-6.1619999999999999</v>
      </c>
      <c r="E399" s="139">
        <f ca="1">E398</f>
        <v>0.25999999999999979</v>
      </c>
      <c r="F399" s="157"/>
      <c r="G399" s="2" t="s">
        <v>455</v>
      </c>
      <c r="H399" s="128">
        <f ca="1">IF(G388&gt;=3,H391,H397)</f>
        <v>8888</v>
      </c>
      <c r="I399" s="139">
        <f ca="1">IF(G388&gt;=3,I398,I397)</f>
        <v>8887.5</v>
      </c>
      <c r="K399" s="128" t="s">
        <v>455</v>
      </c>
      <c r="L399" s="128">
        <f ca="1">IF(K388&gt;=3,IF(X383,IF(K388=3,L390+P382/4,L390+P382),L390+P382),L393)</f>
        <v>-6.1619999999999999</v>
      </c>
      <c r="M399" s="139">
        <f ca="1">IF(K388&gt;=3,M398,M397)</f>
        <v>-1.3199999999999998</v>
      </c>
      <c r="AA399" s="143" t="s">
        <v>455</v>
      </c>
      <c r="AB399" s="128">
        <f ca="1">IF($AA388,D399,AB394)</f>
        <v>-6.1619999999999999</v>
      </c>
      <c r="AC399" s="129">
        <f ca="1">IF($AA388,E399,AC394)</f>
        <v>0.25999999999999979</v>
      </c>
      <c r="AD399" s="157"/>
      <c r="AE399" s="2" t="s">
        <v>455</v>
      </c>
      <c r="AF399" s="128">
        <f ca="1">IF($AE388,H399,AF394)</f>
        <v>8888</v>
      </c>
      <c r="AG399" s="129">
        <f ca="1">IF($AE388,I399,AG394)</f>
        <v>8887.5</v>
      </c>
      <c r="AI399" s="128" t="s">
        <v>455</v>
      </c>
      <c r="AJ399" s="128">
        <f ca="1">IF($AI388,L399,AJ394)</f>
        <v>-6.1619999999999999</v>
      </c>
      <c r="AK399" s="129">
        <f ca="1">IF($AI388,M399,AK394)</f>
        <v>-1.3199999999999998</v>
      </c>
      <c r="AL399" s="156"/>
      <c r="AW399" s="128">
        <f t="shared" si="55"/>
        <v>1337</v>
      </c>
      <c r="AX399" s="128">
        <f t="shared" ca="1" si="51"/>
        <v>-18.624000000000006</v>
      </c>
      <c r="AY399" s="129">
        <f t="shared" ca="1" si="52"/>
        <v>1.4960570012328709</v>
      </c>
      <c r="BB399" s="128">
        <f t="shared" ca="1" si="53"/>
        <v>-18.624000000000006</v>
      </c>
      <c r="BC399" s="129">
        <f t="shared" ca="1" si="54"/>
        <v>-1.4960570012328709</v>
      </c>
      <c r="BD399" s="157"/>
    </row>
    <row r="400" spans="2:56">
      <c r="B400" s="156"/>
      <c r="C400" s="128" t="s">
        <v>311</v>
      </c>
      <c r="D400" s="128">
        <f ca="1">IF(C388&gt;=3,D395,D397)</f>
        <v>-6.1619999999999999</v>
      </c>
      <c r="E400" s="139">
        <f ca="1">IF(C388&gt;=3,E399-P381,E397)</f>
        <v>0.25999999999999979</v>
      </c>
      <c r="F400" s="157"/>
      <c r="G400" s="2" t="s">
        <v>311</v>
      </c>
      <c r="H400" s="128">
        <f ca="1">IF(G388&gt;=3,H391,H397)</f>
        <v>8888</v>
      </c>
      <c r="I400" s="139">
        <f ca="1">IF(G388&gt;=3,I399-P381,I397)</f>
        <v>8887.5</v>
      </c>
      <c r="K400" s="128" t="s">
        <v>311</v>
      </c>
      <c r="L400" s="128">
        <f ca="1">L399</f>
        <v>-6.1619999999999999</v>
      </c>
      <c r="M400" s="139">
        <f ca="1">IF(K388&gt;=3,M399-P381,M397)</f>
        <v>-1.3199999999999998</v>
      </c>
      <c r="AA400" s="143" t="s">
        <v>311</v>
      </c>
      <c r="AB400" s="128">
        <f ca="1">IF($AA388,D400,AB394)</f>
        <v>-6.1619999999999999</v>
      </c>
      <c r="AC400" s="129">
        <f ca="1">IF($AA388,E400,AC394)</f>
        <v>0.25999999999999979</v>
      </c>
      <c r="AD400" s="157"/>
      <c r="AE400" s="2" t="s">
        <v>311</v>
      </c>
      <c r="AF400" s="128">
        <f ca="1">IF($AE388,H400,AF394)</f>
        <v>8888</v>
      </c>
      <c r="AG400" s="129">
        <f ca="1">IF($AE388,I400,AG394)</f>
        <v>8887.5</v>
      </c>
      <c r="AI400" s="128" t="s">
        <v>311</v>
      </c>
      <c r="AJ400" s="128">
        <f ca="1">IF($AI388,L400,AJ394)</f>
        <v>-6.1619999999999999</v>
      </c>
      <c r="AK400" s="129">
        <f ca="1">IF($AI388,M400,AK394)</f>
        <v>-1.3199999999999998</v>
      </c>
      <c r="AL400" s="156"/>
      <c r="AW400" s="128">
        <f t="shared" si="55"/>
        <v>1369</v>
      </c>
      <c r="AX400" s="128">
        <f t="shared" ca="1" si="51"/>
        <v>-18.624000000000006</v>
      </c>
      <c r="AY400" s="129">
        <f t="shared" ca="1" si="52"/>
        <v>1.4960570012328709</v>
      </c>
      <c r="BB400" s="128">
        <f t="shared" ca="1" si="53"/>
        <v>-18.624000000000006</v>
      </c>
      <c r="BC400" s="129">
        <f t="shared" ca="1" si="54"/>
        <v>-1.4960570012328709</v>
      </c>
      <c r="BD400" s="157"/>
    </row>
    <row r="401" spans="2:56">
      <c r="B401" s="156"/>
      <c r="C401" s="188" t="s">
        <v>35</v>
      </c>
      <c r="D401" s="188">
        <f ca="1">IF(C388&gt;=3,D390,D397)</f>
        <v>-6.1619999999999999</v>
      </c>
      <c r="E401" s="189">
        <f ca="1">E400</f>
        <v>0.25999999999999979</v>
      </c>
      <c r="F401" s="157"/>
      <c r="G401" s="2" t="s">
        <v>35</v>
      </c>
      <c r="H401" s="188">
        <f ca="1">IF(G388&gt;=3,H390,H397)</f>
        <v>8888</v>
      </c>
      <c r="I401" s="189">
        <f ca="1">IF(G388&gt;=3,I400,I397)</f>
        <v>8887.5</v>
      </c>
      <c r="K401" s="188" t="s">
        <v>35</v>
      </c>
      <c r="L401" s="188">
        <f ca="1">IF(K388&gt;=3,L390,L397)</f>
        <v>-6.1619999999999999</v>
      </c>
      <c r="M401" s="189">
        <f ca="1">IF(K388&gt;=3,M400,M397)</f>
        <v>-1.3199999999999998</v>
      </c>
      <c r="AA401" s="143" t="s">
        <v>35</v>
      </c>
      <c r="AB401" s="128">
        <f ca="1">IF($AA388,D401,AB394)</f>
        <v>-6.1619999999999999</v>
      </c>
      <c r="AC401" s="129">
        <f ca="1">IF($AA388,E401,AC394)</f>
        <v>0.25999999999999979</v>
      </c>
      <c r="AD401" s="157"/>
      <c r="AE401" s="2" t="s">
        <v>35</v>
      </c>
      <c r="AF401" s="188">
        <f ca="1">IF($AE388,H401,AF394)</f>
        <v>8888</v>
      </c>
      <c r="AG401" s="196">
        <f ca="1">IF($AE388,I401,AG394)</f>
        <v>8887.5</v>
      </c>
      <c r="AI401" s="128" t="s">
        <v>35</v>
      </c>
      <c r="AJ401" s="128">
        <f ca="1">IF($AI388,L401,AJ394)</f>
        <v>-6.1619999999999999</v>
      </c>
      <c r="AK401" s="129">
        <f ca="1">IF($AI388,M401,AK394)</f>
        <v>-1.3199999999999998</v>
      </c>
      <c r="AL401" s="156"/>
      <c r="AW401" s="128">
        <f t="shared" si="55"/>
        <v>1370</v>
      </c>
      <c r="AX401" s="128">
        <f t="shared" ca="1" si="51"/>
        <v>-18.624000000000006</v>
      </c>
      <c r="AY401" s="129">
        <f t="shared" ca="1" si="52"/>
        <v>1.4960570012328709</v>
      </c>
      <c r="BB401" s="128">
        <f t="shared" ca="1" si="53"/>
        <v>-18.624000000000006</v>
      </c>
      <c r="BC401" s="129">
        <f t="shared" ca="1" si="54"/>
        <v>-1.4960570012328709</v>
      </c>
      <c r="BD401" s="157"/>
    </row>
    <row r="402" spans="2:56" ht="15" thickBot="1">
      <c r="B402" s="156"/>
      <c r="C402" s="130" t="s">
        <v>396</v>
      </c>
      <c r="D402" s="130">
        <f ca="1">D390</f>
        <v>-6.1619999999999999</v>
      </c>
      <c r="E402" s="140">
        <f ca="1">E390</f>
        <v>1.3199999999999998</v>
      </c>
      <c r="F402" s="157"/>
      <c r="G402" s="192" t="s">
        <v>312</v>
      </c>
      <c r="H402" s="128">
        <f ca="1">IF(G388&gt;=4,H390,H401)</f>
        <v>8888</v>
      </c>
      <c r="I402" s="139">
        <f ca="1">IF(G388&gt;=4,I401-P383,I401)</f>
        <v>8887.5</v>
      </c>
      <c r="K402" s="130" t="s">
        <v>396</v>
      </c>
      <c r="L402" s="130">
        <f ca="1">L390</f>
        <v>-6.1619999999999999</v>
      </c>
      <c r="M402" s="140">
        <f ca="1">M390</f>
        <v>-0.25999999999999979</v>
      </c>
      <c r="AA402" s="144" t="s">
        <v>396</v>
      </c>
      <c r="AB402" s="130">
        <f ca="1">IF($AA388,D402,AB394)</f>
        <v>-6.1619999999999999</v>
      </c>
      <c r="AC402" s="132">
        <f ca="1">IF($AA388,E402,AC394)</f>
        <v>1.3199999999999998</v>
      </c>
      <c r="AD402" s="157"/>
      <c r="AE402" s="192" t="s">
        <v>312</v>
      </c>
      <c r="AF402" s="128">
        <f ca="1">IF($AE388,H402,AF394)</f>
        <v>8888</v>
      </c>
      <c r="AG402" s="129">
        <f ca="1">IF($AE388,I402,AG394)</f>
        <v>8887.5</v>
      </c>
      <c r="AI402" s="130" t="s">
        <v>396</v>
      </c>
      <c r="AJ402" s="130">
        <f ca="1">IF($AI388,L402,AJ394)</f>
        <v>-6.1619999999999999</v>
      </c>
      <c r="AK402" s="132">
        <f ca="1">IF($AI388,M402,AK394)</f>
        <v>-0.25999999999999979</v>
      </c>
      <c r="AW402" s="128">
        <f t="shared" si="55"/>
        <v>1371</v>
      </c>
      <c r="AX402" s="128">
        <f t="shared" ref="AX402:AX465" ca="1" si="60">OFFSET(AN$209,$AW402,0)</f>
        <v>-18.624000000000006</v>
      </c>
      <c r="AY402" s="129">
        <f t="shared" ref="AY402:AY465" ca="1" si="61">OFFSET(AO$209,$AW402,0)</f>
        <v>1.4960570012328709</v>
      </c>
      <c r="BB402" s="128">
        <f t="shared" ref="BB402:BB465" ca="1" si="62">AX402</f>
        <v>-18.624000000000006</v>
      </c>
      <c r="BC402" s="129">
        <f t="shared" ref="BC402:BC465" ca="1" si="63">-AY402</f>
        <v>-1.4960570012328709</v>
      </c>
      <c r="BD402" s="157"/>
    </row>
    <row r="403" spans="2:56">
      <c r="B403" s="156"/>
      <c r="F403" s="157"/>
      <c r="G403" s="2" t="s">
        <v>313</v>
      </c>
      <c r="H403" s="128">
        <f ca="1">IF(G388&gt;=4,H391,H401)</f>
        <v>8888</v>
      </c>
      <c r="I403" s="139">
        <f ca="1">IF(G388&gt;=4,I402,I401)</f>
        <v>8887.5</v>
      </c>
      <c r="AD403" s="157"/>
      <c r="AE403" s="2" t="s">
        <v>313</v>
      </c>
      <c r="AF403" s="128">
        <f ca="1">IF($AE388,H403,AF394)</f>
        <v>8888</v>
      </c>
      <c r="AG403" s="129">
        <f ca="1">IF($AE388,I403,AG394)</f>
        <v>8887.5</v>
      </c>
      <c r="AW403" s="128">
        <f t="shared" si="55"/>
        <v>1372</v>
      </c>
      <c r="AX403" s="128">
        <f t="shared" ca="1" si="60"/>
        <v>-18.624000000000006</v>
      </c>
      <c r="AY403" s="129">
        <f t="shared" ca="1" si="61"/>
        <v>1.4960570012328709</v>
      </c>
      <c r="BB403" s="128">
        <f t="shared" ca="1" si="62"/>
        <v>-18.624000000000006</v>
      </c>
      <c r="BC403" s="129">
        <f t="shared" ca="1" si="63"/>
        <v>-1.4960570012328709</v>
      </c>
      <c r="BD403" s="157"/>
    </row>
    <row r="404" spans="2:56">
      <c r="B404" s="156"/>
      <c r="F404" s="157"/>
      <c r="G404" s="2" t="s">
        <v>7</v>
      </c>
      <c r="H404" s="128">
        <f ca="1">IF(G388&gt;=4,H391,H401)</f>
        <v>8888</v>
      </c>
      <c r="I404" s="139">
        <f ca="1">IF(G388&gt;=4,I403-P381,I401)</f>
        <v>8887.5</v>
      </c>
      <c r="AD404" s="157"/>
      <c r="AE404" s="2" t="s">
        <v>7</v>
      </c>
      <c r="AF404" s="128">
        <f ca="1">IF($AE388,H404,AF394)</f>
        <v>8888</v>
      </c>
      <c r="AG404" s="129">
        <f ca="1">IF($AE388,I404,AG394)</f>
        <v>8887.5</v>
      </c>
      <c r="AW404" s="128">
        <f t="shared" si="55"/>
        <v>1373</v>
      </c>
      <c r="AX404" s="128">
        <f t="shared" ca="1" si="60"/>
        <v>-18.624000000000006</v>
      </c>
      <c r="AY404" s="129">
        <f t="shared" ca="1" si="61"/>
        <v>1.4960570012328709</v>
      </c>
      <c r="BB404" s="128">
        <f t="shared" ca="1" si="62"/>
        <v>-18.624000000000006</v>
      </c>
      <c r="BC404" s="129">
        <f t="shared" ca="1" si="63"/>
        <v>-1.4960570012328709</v>
      </c>
      <c r="BD404" s="157"/>
    </row>
    <row r="405" spans="2:56">
      <c r="B405" s="156"/>
      <c r="F405" s="157"/>
      <c r="G405" s="115" t="s">
        <v>8</v>
      </c>
      <c r="H405" s="188">
        <f ca="1">IF(G388&gt;=4,H390,H401)</f>
        <v>8888</v>
      </c>
      <c r="I405" s="189">
        <f ca="1">IF(G388&gt;=4,I404,I401)</f>
        <v>8887.5</v>
      </c>
      <c r="AD405" s="157"/>
      <c r="AE405" s="115" t="s">
        <v>8</v>
      </c>
      <c r="AF405" s="188">
        <f ca="1">IF($AE388,H405,AF394)</f>
        <v>8888</v>
      </c>
      <c r="AG405" s="196">
        <f ca="1">IF($AE388,I405,AG394)</f>
        <v>8887.5</v>
      </c>
      <c r="AW405" s="128">
        <f t="shared" si="55"/>
        <v>1405</v>
      </c>
      <c r="AX405" s="128">
        <f t="shared" ca="1" si="60"/>
        <v>-18.624000000000006</v>
      </c>
      <c r="AY405" s="129">
        <f t="shared" ca="1" si="61"/>
        <v>1.4960570012328709</v>
      </c>
      <c r="BB405" s="128">
        <f t="shared" ca="1" si="62"/>
        <v>-18.624000000000006</v>
      </c>
      <c r="BC405" s="129">
        <f t="shared" ca="1" si="63"/>
        <v>-1.4960570012328709</v>
      </c>
      <c r="BD405" s="157"/>
    </row>
    <row r="406" spans="2:56">
      <c r="B406" s="156"/>
      <c r="F406" s="157"/>
      <c r="G406" s="2" t="s">
        <v>9</v>
      </c>
      <c r="H406" s="128">
        <f ca="1">IF(G388&gt;=5,H390,H405)</f>
        <v>8888</v>
      </c>
      <c r="I406" s="139">
        <f ca="1">IF(G388&gt;=5,I405-P383,I405)</f>
        <v>8887.5</v>
      </c>
      <c r="AD406" s="157"/>
      <c r="AE406" s="2" t="s">
        <v>9</v>
      </c>
      <c r="AF406" s="128">
        <f ca="1">IF($AE388,H406,AF394)</f>
        <v>8888</v>
      </c>
      <c r="AG406" s="129">
        <f ca="1">IF($AE388,I406,AG394)</f>
        <v>8887.5</v>
      </c>
      <c r="AW406" s="128">
        <f t="shared" si="55"/>
        <v>1406</v>
      </c>
      <c r="AX406" s="128">
        <f t="shared" ca="1" si="60"/>
        <v>-18.624000000000006</v>
      </c>
      <c r="AY406" s="129">
        <f t="shared" ca="1" si="61"/>
        <v>1.4960570012328709</v>
      </c>
      <c r="BB406" s="128">
        <f t="shared" ca="1" si="62"/>
        <v>-18.624000000000006</v>
      </c>
      <c r="BC406" s="129">
        <f t="shared" ca="1" si="63"/>
        <v>-1.4960570012328709</v>
      </c>
      <c r="BD406" s="157"/>
    </row>
    <row r="407" spans="2:56">
      <c r="B407" s="156"/>
      <c r="F407" s="157"/>
      <c r="G407" s="2" t="s">
        <v>196</v>
      </c>
      <c r="H407" s="128">
        <f ca="1">IF(G388&gt;=5,H391,H405)</f>
        <v>8888</v>
      </c>
      <c r="I407" s="139">
        <f ca="1">IF(G388&gt;=5,I406,I405)</f>
        <v>8887.5</v>
      </c>
      <c r="AD407" s="157"/>
      <c r="AE407" s="2" t="s">
        <v>196</v>
      </c>
      <c r="AF407" s="128">
        <f ca="1">IF($AE388,H407,AF394)</f>
        <v>8888</v>
      </c>
      <c r="AG407" s="129">
        <f ca="1">IF($AE388,I407,AG394)</f>
        <v>8887.5</v>
      </c>
      <c r="AW407" s="128">
        <f t="shared" si="55"/>
        <v>1407</v>
      </c>
      <c r="AX407" s="128">
        <f t="shared" ca="1" si="60"/>
        <v>-18.624000000000006</v>
      </c>
      <c r="AY407" s="129">
        <f t="shared" ca="1" si="61"/>
        <v>1.4960570012328709</v>
      </c>
      <c r="BB407" s="128">
        <f t="shared" ca="1" si="62"/>
        <v>-18.624000000000006</v>
      </c>
      <c r="BC407" s="129">
        <f t="shared" ca="1" si="63"/>
        <v>-1.4960570012328709</v>
      </c>
      <c r="BD407" s="157"/>
    </row>
    <row r="408" spans="2:56">
      <c r="B408" s="156"/>
      <c r="F408" s="157"/>
      <c r="G408" s="2" t="s">
        <v>10</v>
      </c>
      <c r="H408" s="128">
        <f ca="1">IF(G388&gt;=5,H391,H405)</f>
        <v>8888</v>
      </c>
      <c r="I408" s="139">
        <f ca="1">IF(G388&gt;=5,I407-P381,I405)</f>
        <v>8887.5</v>
      </c>
      <c r="AD408" s="157"/>
      <c r="AE408" s="2" t="s">
        <v>10</v>
      </c>
      <c r="AF408" s="128">
        <f ca="1">IF($AE388,H408,AF394)</f>
        <v>8888</v>
      </c>
      <c r="AG408" s="129">
        <f ca="1">IF($AE388,I408,AG394)</f>
        <v>8887.5</v>
      </c>
      <c r="AW408" s="128">
        <f t="shared" ref="AW408:AW471" si="64">AW403+36</f>
        <v>1408</v>
      </c>
      <c r="AX408" s="128">
        <f t="shared" ca="1" si="60"/>
        <v>-18.624000000000006</v>
      </c>
      <c r="AY408" s="129">
        <f t="shared" ca="1" si="61"/>
        <v>1.4960570012328709</v>
      </c>
      <c r="BB408" s="128">
        <f t="shared" ca="1" si="62"/>
        <v>-18.624000000000006</v>
      </c>
      <c r="BC408" s="129">
        <f t="shared" ca="1" si="63"/>
        <v>-1.4960570012328709</v>
      </c>
      <c r="BD408" s="157"/>
    </row>
    <row r="409" spans="2:56">
      <c r="B409" s="156"/>
      <c r="F409" s="157"/>
      <c r="G409" s="2" t="s">
        <v>161</v>
      </c>
      <c r="H409" s="188">
        <f ca="1">IF(G388&gt;=5,H390,H405)</f>
        <v>8888</v>
      </c>
      <c r="I409" s="189">
        <f ca="1">IF(G388&gt;=5,I408,I405)</f>
        <v>8887.5</v>
      </c>
      <c r="AD409" s="157"/>
      <c r="AE409" s="2" t="s">
        <v>161</v>
      </c>
      <c r="AF409" s="188">
        <f ca="1">IF($AE388,H409,AF394)</f>
        <v>8888</v>
      </c>
      <c r="AG409" s="196">
        <f ca="1">IF($AE388,I409,AG394)</f>
        <v>8887.5</v>
      </c>
      <c r="AW409" s="128">
        <f t="shared" si="64"/>
        <v>1409</v>
      </c>
      <c r="AX409" s="128">
        <f t="shared" ca="1" si="60"/>
        <v>-18.624000000000006</v>
      </c>
      <c r="AY409" s="129">
        <f t="shared" ca="1" si="61"/>
        <v>1.4960570012328709</v>
      </c>
      <c r="BB409" s="128">
        <f t="shared" ca="1" si="62"/>
        <v>-18.624000000000006</v>
      </c>
      <c r="BC409" s="129">
        <f t="shared" ca="1" si="63"/>
        <v>-1.4960570012328709</v>
      </c>
      <c r="BD409" s="157"/>
    </row>
    <row r="410" spans="2:56">
      <c r="B410" s="156"/>
      <c r="F410" s="157"/>
      <c r="G410" s="192" t="s">
        <v>11</v>
      </c>
      <c r="H410" s="128">
        <f ca="1">IF(G388&gt;=6,H390,H409)</f>
        <v>8888</v>
      </c>
      <c r="I410" s="139">
        <f ca="1">IF(G388&gt;=6,I409-P383,I409)</f>
        <v>8887.5</v>
      </c>
      <c r="AD410" s="157"/>
      <c r="AE410" s="192" t="s">
        <v>11</v>
      </c>
      <c r="AF410" s="128">
        <f ca="1">IF($AE388,H410,AF394)</f>
        <v>8888</v>
      </c>
      <c r="AG410" s="129">
        <f ca="1">IF($AE388,I410,AG394)</f>
        <v>8887.5</v>
      </c>
      <c r="AW410" s="128">
        <f t="shared" si="64"/>
        <v>1441</v>
      </c>
      <c r="AX410" s="128">
        <f t="shared" ca="1" si="60"/>
        <v>-18.624000000000006</v>
      </c>
      <c r="AY410" s="129">
        <f t="shared" ca="1" si="61"/>
        <v>1.4960570012328709</v>
      </c>
      <c r="BB410" s="128">
        <f t="shared" ca="1" si="62"/>
        <v>-18.624000000000006</v>
      </c>
      <c r="BC410" s="129">
        <f t="shared" ca="1" si="63"/>
        <v>-1.4960570012328709</v>
      </c>
      <c r="BD410" s="157"/>
    </row>
    <row r="411" spans="2:56">
      <c r="B411" s="156"/>
      <c r="F411" s="157"/>
      <c r="G411" s="2" t="s">
        <v>12</v>
      </c>
      <c r="H411" s="128">
        <f ca="1">IF(G388&gt;=6,H391,H409)</f>
        <v>8888</v>
      </c>
      <c r="I411" s="139">
        <f ca="1">IF(G388&gt;=6,I410,I409)</f>
        <v>8887.5</v>
      </c>
      <c r="AD411" s="157"/>
      <c r="AE411" s="2" t="s">
        <v>12</v>
      </c>
      <c r="AF411" s="128">
        <f ca="1">IF($AE388,H411,AF394)</f>
        <v>8888</v>
      </c>
      <c r="AG411" s="129">
        <f ca="1">IF($AE388,I411,AG394)</f>
        <v>8887.5</v>
      </c>
      <c r="AW411" s="128">
        <f t="shared" si="64"/>
        <v>1442</v>
      </c>
      <c r="AX411" s="128">
        <f t="shared" ca="1" si="60"/>
        <v>-18.624000000000006</v>
      </c>
      <c r="AY411" s="129">
        <f t="shared" ca="1" si="61"/>
        <v>1.4960570012328709</v>
      </c>
      <c r="BB411" s="128">
        <f t="shared" ca="1" si="62"/>
        <v>-18.624000000000006</v>
      </c>
      <c r="BC411" s="129">
        <f t="shared" ca="1" si="63"/>
        <v>-1.4960570012328709</v>
      </c>
      <c r="BD411" s="157"/>
    </row>
    <row r="412" spans="2:56">
      <c r="B412" s="156"/>
      <c r="F412" s="157"/>
      <c r="G412" s="2" t="s">
        <v>13</v>
      </c>
      <c r="H412" s="128">
        <f ca="1">IF(G388&gt;=6,H391,H409)</f>
        <v>8888</v>
      </c>
      <c r="I412" s="139">
        <f ca="1">IF(G388&gt;=6,I411-P381,I409)</f>
        <v>8887.5</v>
      </c>
      <c r="AD412" s="157"/>
      <c r="AE412" s="2" t="s">
        <v>13</v>
      </c>
      <c r="AF412" s="128">
        <f ca="1">IF($AE388,H412,AF394)</f>
        <v>8888</v>
      </c>
      <c r="AG412" s="129">
        <f ca="1">IF($AE388,I412,AG394)</f>
        <v>8887.5</v>
      </c>
      <c r="AW412" s="128">
        <f t="shared" si="64"/>
        <v>1443</v>
      </c>
      <c r="AX412" s="128">
        <f t="shared" ca="1" si="60"/>
        <v>-18.624000000000006</v>
      </c>
      <c r="AY412" s="129">
        <f t="shared" ca="1" si="61"/>
        <v>1.4960570012328709</v>
      </c>
      <c r="BB412" s="128">
        <f t="shared" ca="1" si="62"/>
        <v>-18.624000000000006</v>
      </c>
      <c r="BC412" s="129">
        <f t="shared" ca="1" si="63"/>
        <v>-1.4960570012328709</v>
      </c>
      <c r="BD412" s="157"/>
    </row>
    <row r="413" spans="2:56">
      <c r="B413" s="156"/>
      <c r="F413" s="157"/>
      <c r="G413" s="115" t="s">
        <v>14</v>
      </c>
      <c r="H413" s="188">
        <f ca="1">IF(G388&gt;=6,H390,H409)</f>
        <v>8888</v>
      </c>
      <c r="I413" s="189">
        <f ca="1">IF(G388&gt;=6,I412,I409)</f>
        <v>8887.5</v>
      </c>
      <c r="AD413" s="157"/>
      <c r="AE413" s="115" t="s">
        <v>14</v>
      </c>
      <c r="AF413" s="188">
        <f ca="1">IF($AE388,H413,AF394)</f>
        <v>8888</v>
      </c>
      <c r="AG413" s="196">
        <f ca="1">IF($AE388,I413,AG394)</f>
        <v>8887.5</v>
      </c>
      <c r="AW413" s="128">
        <f t="shared" si="64"/>
        <v>1444</v>
      </c>
      <c r="AX413" s="128">
        <f t="shared" ca="1" si="60"/>
        <v>-18.624000000000006</v>
      </c>
      <c r="AY413" s="129">
        <f t="shared" ca="1" si="61"/>
        <v>1.4960570012328709</v>
      </c>
      <c r="BB413" s="128">
        <f t="shared" ca="1" si="62"/>
        <v>-18.624000000000006</v>
      </c>
      <c r="BC413" s="129">
        <f t="shared" ca="1" si="63"/>
        <v>-1.4960570012328709</v>
      </c>
      <c r="BD413" s="157"/>
    </row>
    <row r="414" spans="2:56" ht="15" thickBot="1">
      <c r="B414" s="156"/>
      <c r="G414" s="130" t="s">
        <v>396</v>
      </c>
      <c r="H414" s="130">
        <f ca="1">H390</f>
        <v>8888</v>
      </c>
      <c r="I414" s="140">
        <f ca="1">I390</f>
        <v>8888</v>
      </c>
      <c r="AE414" s="130" t="s">
        <v>396</v>
      </c>
      <c r="AF414" s="130">
        <f ca="1">IF($AE388,H414,AF394)</f>
        <v>8888</v>
      </c>
      <c r="AG414" s="132">
        <f ca="1">IF($AE388,I414,AG394)</f>
        <v>8888</v>
      </c>
      <c r="AW414" s="128">
        <f t="shared" si="64"/>
        <v>1445</v>
      </c>
      <c r="AX414" s="128">
        <f t="shared" ca="1" si="60"/>
        <v>-18.624000000000006</v>
      </c>
      <c r="AY414" s="129">
        <f t="shared" ca="1" si="61"/>
        <v>1.4960570012328709</v>
      </c>
      <c r="BB414" s="128">
        <f t="shared" ca="1" si="62"/>
        <v>-18.624000000000006</v>
      </c>
      <c r="BC414" s="129">
        <f t="shared" ca="1" si="63"/>
        <v>-1.4960570012328709</v>
      </c>
      <c r="BD414" s="157"/>
    </row>
    <row r="415" spans="2:56">
      <c r="B415" s="156"/>
      <c r="AW415" s="128">
        <f t="shared" si="64"/>
        <v>1477</v>
      </c>
      <c r="AX415" s="128">
        <f t="shared" ca="1" si="60"/>
        <v>-18.624000000000006</v>
      </c>
      <c r="AY415" s="129">
        <f t="shared" ca="1" si="61"/>
        <v>1.4960570012328709</v>
      </c>
      <c r="BB415" s="128">
        <f t="shared" ca="1" si="62"/>
        <v>-18.624000000000006</v>
      </c>
      <c r="BC415" s="129">
        <f t="shared" ca="1" si="63"/>
        <v>-1.4960570012328709</v>
      </c>
      <c r="BD415" s="157"/>
    </row>
    <row r="416" spans="2:56">
      <c r="B416" s="156"/>
      <c r="AW416" s="128">
        <f t="shared" si="64"/>
        <v>1478</v>
      </c>
      <c r="AX416" s="128">
        <f t="shared" ca="1" si="60"/>
        <v>-18.624000000000006</v>
      </c>
      <c r="AY416" s="129">
        <f t="shared" ca="1" si="61"/>
        <v>1.4960570012328709</v>
      </c>
      <c r="BB416" s="128">
        <f t="shared" ca="1" si="62"/>
        <v>-18.624000000000006</v>
      </c>
      <c r="BC416" s="129">
        <f t="shared" ca="1" si="63"/>
        <v>-1.4960570012328709</v>
      </c>
      <c r="BD416" s="157"/>
    </row>
    <row r="417" spans="2:56">
      <c r="B417" s="156"/>
      <c r="C417" s="200" t="s">
        <v>336</v>
      </c>
      <c r="D417">
        <f>D381+1</f>
        <v>7</v>
      </c>
      <c r="G417" s="200" t="s">
        <v>638</v>
      </c>
      <c r="H417">
        <f ca="1">LOOKUP(D420,$C$191:$C$196,$D$191:$D$196)</f>
        <v>0</v>
      </c>
      <c r="K417" s="200" t="s">
        <v>644</v>
      </c>
      <c r="L417">
        <f ca="1">L381-H422</f>
        <v>-6.9619999999999997</v>
      </c>
      <c r="O417" s="200" t="s">
        <v>404</v>
      </c>
      <c r="P417">
        <f ca="1">IF(D419=1,SEAT_w_cushion_FC,IF(D419=2,SEAT_w_cushion_BC,IF(D419=3,SEAT_w_cushion_YC,0)))</f>
        <v>0.5</v>
      </c>
      <c r="S417" s="200" t="s">
        <v>647</v>
      </c>
      <c r="T417">
        <f ca="1">LOOKUP(D420,$C$191:$C$196,$E$191:$E$196)</f>
        <v>0</v>
      </c>
      <c r="W417" t="s">
        <v>130</v>
      </c>
      <c r="X417" t="str">
        <f ca="1">OFFSET(Fuselage!$B$275,D417,5)</f>
        <v>None</v>
      </c>
      <c r="AN417" s="200" t="s">
        <v>135</v>
      </c>
      <c r="AO417">
        <f ca="1">MAX(0,H422-MAX(T417,T419,T421,P418)-X418)</f>
        <v>0.37000000000000005</v>
      </c>
      <c r="AW417" s="128">
        <f t="shared" si="64"/>
        <v>1479</v>
      </c>
      <c r="AX417" s="128">
        <f t="shared" ca="1" si="60"/>
        <v>-18.624000000000006</v>
      </c>
      <c r="AY417" s="129">
        <f t="shared" ca="1" si="61"/>
        <v>1.4960570012328709</v>
      </c>
      <c r="BB417" s="128">
        <f t="shared" ca="1" si="62"/>
        <v>-18.624000000000006</v>
      </c>
      <c r="BC417" s="129">
        <f t="shared" ca="1" si="63"/>
        <v>-1.4960570012328709</v>
      </c>
      <c r="BD417" s="157"/>
    </row>
    <row r="418" spans="2:56">
      <c r="B418" s="156"/>
      <c r="C418" s="200" t="s">
        <v>200</v>
      </c>
      <c r="D418">
        <f ca="1">OFFSET(Fuselage!$B$275,D417,0)</f>
        <v>6</v>
      </c>
      <c r="G418" s="200" t="s">
        <v>639</v>
      </c>
      <c r="H418">
        <f ca="1">LOOKUP(D421,$C$191:$C$196,$D$191:$D$196)</f>
        <v>0</v>
      </c>
      <c r="O418" s="200" t="s">
        <v>535</v>
      </c>
      <c r="P418">
        <f ca="1">IF(D419=1,SEAT_length_FC,IF(D419=2,SEAT_length_BC,IF(D419=3,SEAT_length_YC,0)))</f>
        <v>0.43</v>
      </c>
      <c r="S418" s="200" t="s">
        <v>648</v>
      </c>
      <c r="T418">
        <f ca="1">LOOKUP(D420,$C$191:$C$196,$F$191:$F$196)</f>
        <v>0</v>
      </c>
      <c r="W418" t="s">
        <v>131</v>
      </c>
      <c r="X418">
        <f ca="1">LOOKUP(X417,$I$191:$I$198,$J$191:$J$198)</f>
        <v>0</v>
      </c>
      <c r="AW418" s="128">
        <f t="shared" si="64"/>
        <v>1480</v>
      </c>
      <c r="AX418" s="128">
        <f t="shared" ca="1" si="60"/>
        <v>-18.624000000000006</v>
      </c>
      <c r="AY418" s="129">
        <f t="shared" ca="1" si="61"/>
        <v>1.4960570012328709</v>
      </c>
      <c r="BB418" s="128">
        <f t="shared" ca="1" si="62"/>
        <v>-18.624000000000006</v>
      </c>
      <c r="BC418" s="129">
        <f t="shared" ca="1" si="63"/>
        <v>-1.4960570012328709</v>
      </c>
      <c r="BD418" s="157"/>
    </row>
    <row r="419" spans="2:56">
      <c r="B419" s="156"/>
      <c r="C419" s="200" t="s">
        <v>337</v>
      </c>
      <c r="D419">
        <f ca="1">OFFSET(Fuselage!$B$275,D417,4)</f>
        <v>3</v>
      </c>
      <c r="G419" s="200" t="s">
        <v>309</v>
      </c>
      <c r="H419">
        <f ca="1">LOOKUP(D422,$C$191:$C$196,$D$191:$D$196)</f>
        <v>0</v>
      </c>
      <c r="K419" s="200" t="s">
        <v>645</v>
      </c>
      <c r="L419">
        <f ca="1">IF(D419=1,FUSELAGE_nseats_left_FC,IF(D419=2,FUSELAGE_nseats_left_BC,IF(D419=3,FUSELAGE_nseats_left_YC,0)))</f>
        <v>2</v>
      </c>
      <c r="O419" s="200" t="s">
        <v>405</v>
      </c>
      <c r="P419">
        <f ca="1">IF(D419=1,SEAT_w_armrest_FC,IF(D419=2,SEAT_w_armrest_BC,IF(D419=3,SEAT_w_armrest_YC,0)))</f>
        <v>0.06</v>
      </c>
      <c r="S419" s="200" t="s">
        <v>652</v>
      </c>
      <c r="T419">
        <f ca="1">LOOKUP(D421,$C$191:$C$196,$E$191:$E$196)</f>
        <v>0</v>
      </c>
      <c r="W419" s="200" t="s">
        <v>393</v>
      </c>
      <c r="X419" t="b">
        <f ca="1">IF(OFFSET(Fuselage!$B$275,D417,6)="YES",TRUE(),FALSE())</f>
        <v>0</v>
      </c>
      <c r="AW419" s="128">
        <f t="shared" si="64"/>
        <v>1481</v>
      </c>
      <c r="AX419" s="128">
        <f t="shared" ca="1" si="60"/>
        <v>-18.624000000000006</v>
      </c>
      <c r="AY419" s="129">
        <f t="shared" ca="1" si="61"/>
        <v>1.4960570012328709</v>
      </c>
      <c r="BB419" s="128">
        <f t="shared" ca="1" si="62"/>
        <v>-18.624000000000006</v>
      </c>
      <c r="BC419" s="129">
        <f t="shared" ca="1" si="63"/>
        <v>-1.4960570012328709</v>
      </c>
      <c r="BD419" s="157"/>
    </row>
    <row r="420" spans="2:56">
      <c r="B420" s="156"/>
      <c r="C420" s="200" t="s">
        <v>640</v>
      </c>
      <c r="D420" t="str">
        <f ca="1">OFFSET(Fuselage!$B$275,D417,1)</f>
        <v>None</v>
      </c>
      <c r="G420" s="200" t="s">
        <v>132</v>
      </c>
      <c r="H420">
        <f ca="1">IF(D419=1,SEAT_pitch_FC,IF(D419=2,SEAT_pitch_BC,IF(D419=3,SEAT_pitch_YC,0)))</f>
        <v>0.8</v>
      </c>
      <c r="K420" s="200" t="s">
        <v>646</v>
      </c>
      <c r="L420">
        <f ca="1">IF(D419=1,FUSELAGE_nseats_middle_FC,IF(D419=2,FUSELAGE_nseats_middle_BC,IF(D419=3,FUSELAGE_nseats_middle_YC,0)))</f>
        <v>0</v>
      </c>
      <c r="S420" s="200" t="s">
        <v>653</v>
      </c>
      <c r="T420">
        <f ca="1">LOOKUP(D421,$C$191:$C$196,$F$191:$F$196)</f>
        <v>0</v>
      </c>
      <c r="AW420" s="128">
        <f t="shared" si="64"/>
        <v>1513</v>
      </c>
      <c r="AX420" s="128">
        <f t="shared" ca="1" si="60"/>
        <v>-18.624000000000006</v>
      </c>
      <c r="AY420" s="129">
        <f t="shared" ca="1" si="61"/>
        <v>1.4960570012328709</v>
      </c>
      <c r="BB420" s="128">
        <f t="shared" ca="1" si="62"/>
        <v>-18.624000000000006</v>
      </c>
      <c r="BC420" s="129">
        <f t="shared" ca="1" si="63"/>
        <v>-1.4960570012328709</v>
      </c>
      <c r="BD420" s="157"/>
    </row>
    <row r="421" spans="2:56">
      <c r="B421" s="156"/>
      <c r="C421" s="200" t="s">
        <v>642</v>
      </c>
      <c r="D421" t="str">
        <f ca="1">OFFSET(Fuselage!$B$275,D417,2)</f>
        <v>None</v>
      </c>
      <c r="G421" s="200" t="s">
        <v>129</v>
      </c>
      <c r="H421">
        <f ca="1">IF(OR(X417="Type A",X417="Type B"),MAX(H417:H420)+42*0.0254,IF(X417="Type C",MAX(H417:H420)+X418,IF(X417&lt;&gt;"None",24*0.0254,0)))</f>
        <v>0</v>
      </c>
      <c r="K421" s="200" t="s">
        <v>655</v>
      </c>
      <c r="L421">
        <f ca="1">IF(D419=1,FUSELAGE_nseats_right_FC,IF(D419=2,FUSELAGE_nseats_right_BC,IF(D419=3,FUSELAGE_nseats_right_YC,0)))</f>
        <v>2</v>
      </c>
      <c r="O421" s="200" t="s">
        <v>407</v>
      </c>
      <c r="P421">
        <f ca="1">($C$13-(L419+L420+L421)*(P417+P419)+(FUSELAGE_n_aisles-1)*P419)/FUSELAGE_n_aisles</f>
        <v>0.51999999999999957</v>
      </c>
      <c r="S421" s="200" t="s">
        <v>651</v>
      </c>
      <c r="T421">
        <f ca="1">LOOKUP(D422,$C$191:$C$196,$E$191:$E$196)</f>
        <v>0</v>
      </c>
      <c r="AW421" s="128">
        <f t="shared" si="64"/>
        <v>1514</v>
      </c>
      <c r="AX421" s="128">
        <f t="shared" ca="1" si="60"/>
        <v>-18.624000000000006</v>
      </c>
      <c r="AY421" s="129">
        <f t="shared" ca="1" si="61"/>
        <v>1.4960570012328709</v>
      </c>
      <c r="BB421" s="128">
        <f t="shared" ca="1" si="62"/>
        <v>-18.624000000000006</v>
      </c>
      <c r="BC421" s="129">
        <f t="shared" ca="1" si="63"/>
        <v>-1.4960570012328709</v>
      </c>
      <c r="BD421" s="157"/>
    </row>
    <row r="422" spans="2:56">
      <c r="B422" s="156"/>
      <c r="C422" s="200" t="s">
        <v>641</v>
      </c>
      <c r="D422" t="str">
        <f ca="1">OFFSET(Fuselage!$B$275,D417,3)</f>
        <v>None</v>
      </c>
      <c r="G422" s="200" t="s">
        <v>643</v>
      </c>
      <c r="H422">
        <f ca="1">MAX(H417:H421)</f>
        <v>0.8</v>
      </c>
      <c r="S422" s="200" t="s">
        <v>654</v>
      </c>
      <c r="T422">
        <f ca="1">LOOKUP(D422,$C$191:$C$196,$F$191:$F$196)</f>
        <v>0</v>
      </c>
      <c r="AW422" s="128">
        <f t="shared" si="64"/>
        <v>1515</v>
      </c>
      <c r="AX422" s="128">
        <f t="shared" ca="1" si="60"/>
        <v>-18.624000000000006</v>
      </c>
      <c r="AY422" s="129">
        <f t="shared" ca="1" si="61"/>
        <v>1.4960570012328709</v>
      </c>
      <c r="BB422" s="128">
        <f t="shared" ca="1" si="62"/>
        <v>-18.624000000000006</v>
      </c>
      <c r="BC422" s="129">
        <f t="shared" ca="1" si="63"/>
        <v>-1.4960570012328709</v>
      </c>
      <c r="BD422" s="157"/>
    </row>
    <row r="423" spans="2:56" ht="15" thickBot="1">
      <c r="B423" s="156"/>
      <c r="AW423" s="128">
        <f t="shared" si="64"/>
        <v>1516</v>
      </c>
      <c r="AX423" s="128">
        <f t="shared" ca="1" si="60"/>
        <v>-18.624000000000006</v>
      </c>
      <c r="AY423" s="129">
        <f t="shared" ca="1" si="61"/>
        <v>1.4960570012328709</v>
      </c>
      <c r="BB423" s="128">
        <f t="shared" ca="1" si="62"/>
        <v>-18.624000000000006</v>
      </c>
      <c r="BC423" s="129">
        <f t="shared" ca="1" si="63"/>
        <v>-1.4960570012328709</v>
      </c>
      <c r="BD423" s="157"/>
    </row>
    <row r="424" spans="2:56" ht="15" thickBot="1">
      <c r="B424" s="156"/>
      <c r="C424" s="141">
        <f ca="1">L421</f>
        <v>2</v>
      </c>
      <c r="D424" s="197" t="str">
        <f ca="1">IF($D419=1,"FC",IF($D419=2,"BC",IF($D419=3,"YC","Nothing")))</f>
        <v>YC</v>
      </c>
      <c r="E424" s="198"/>
      <c r="G424" s="141">
        <f ca="1">L420</f>
        <v>0</v>
      </c>
      <c r="H424" s="197" t="str">
        <f ca="1">IF($D419=1,"FC",IF($D419=2,"BC",IF($D419=3,"YC","Nothing")))</f>
        <v>YC</v>
      </c>
      <c r="I424" s="198"/>
      <c r="K424" s="141">
        <f ca="1" xml:space="preserve"> L419</f>
        <v>2</v>
      </c>
      <c r="L424" s="197" t="str">
        <f ca="1">IF($D419=1,"FC",IF($D419=2,"BC",IF($D419=3,"YC","Nothing")))</f>
        <v>YC</v>
      </c>
      <c r="M424" s="198"/>
      <c r="O424" s="141">
        <f ca="1">IF($D422&lt;&gt;"None",1,0)</f>
        <v>0</v>
      </c>
      <c r="P424" s="326" t="s">
        <v>380</v>
      </c>
      <c r="Q424" s="327"/>
      <c r="S424" s="141">
        <f ca="1">IF($D421&lt;&gt;"None",1,0)</f>
        <v>0</v>
      </c>
      <c r="T424" s="326" t="s">
        <v>381</v>
      </c>
      <c r="U424" s="327"/>
      <c r="W424" s="141">
        <f ca="1">IF($D420&lt;&gt;"None",1,0)</f>
        <v>0</v>
      </c>
      <c r="X424" s="326" t="s">
        <v>382</v>
      </c>
      <c r="Y424" s="327"/>
      <c r="AA424" s="141">
        <f ca="1">IF($D422="None",1,0)</f>
        <v>1</v>
      </c>
      <c r="AB424" s="326" t="str">
        <f ca="1">IF(AA424,D424,$D422)</f>
        <v>YC</v>
      </c>
      <c r="AC424" s="327"/>
      <c r="AE424" s="141">
        <f ca="1">IF($D421="None",1,0)</f>
        <v>1</v>
      </c>
      <c r="AF424" s="326" t="str">
        <f ca="1">IF(AE424,H424,$D421)</f>
        <v>YC</v>
      </c>
      <c r="AG424" s="327"/>
      <c r="AI424" s="141">
        <f ca="1">IF($D420="None",1,0)</f>
        <v>1</v>
      </c>
      <c r="AJ424" s="326" t="str">
        <f ca="1">IF(AI424,L424,$D420)</f>
        <v>YC</v>
      </c>
      <c r="AK424" s="327"/>
      <c r="AM424" s="141">
        <f ca="1">IF($X417="None",0,1)</f>
        <v>0</v>
      </c>
      <c r="AN424" s="197" t="s">
        <v>133</v>
      </c>
      <c r="AO424" s="198"/>
      <c r="AQ424" s="141">
        <f ca="1">IF($X417="None",0,1)</f>
        <v>0</v>
      </c>
      <c r="AR424" s="197" t="s">
        <v>134</v>
      </c>
      <c r="AS424" s="198"/>
      <c r="AW424" s="128">
        <f t="shared" si="64"/>
        <v>1517</v>
      </c>
      <c r="AX424" s="128">
        <f t="shared" ca="1" si="60"/>
        <v>-18.624000000000006</v>
      </c>
      <c r="AY424" s="129">
        <f t="shared" ca="1" si="61"/>
        <v>1.4960570012328709</v>
      </c>
      <c r="BB424" s="128">
        <f t="shared" ca="1" si="62"/>
        <v>-18.624000000000006</v>
      </c>
      <c r="BC424" s="129">
        <f t="shared" ca="1" si="63"/>
        <v>-1.4960570012328709</v>
      </c>
      <c r="BD424" s="157"/>
    </row>
    <row r="425" spans="2:56" ht="15" thickBot="1">
      <c r="B425" s="156"/>
      <c r="C425" s="136" t="s">
        <v>452</v>
      </c>
      <c r="D425" s="136" t="s">
        <v>384</v>
      </c>
      <c r="E425" s="138" t="s">
        <v>385</v>
      </c>
      <c r="G425" s="136" t="s">
        <v>452</v>
      </c>
      <c r="H425" s="136" t="s">
        <v>384</v>
      </c>
      <c r="I425" s="138" t="s">
        <v>385</v>
      </c>
      <c r="K425" s="193" t="s">
        <v>452</v>
      </c>
      <c r="L425" s="193" t="s">
        <v>384</v>
      </c>
      <c r="M425" s="194" t="s">
        <v>385</v>
      </c>
      <c r="O425" s="136" t="s">
        <v>452</v>
      </c>
      <c r="P425" s="136" t="s">
        <v>384</v>
      </c>
      <c r="Q425" s="138" t="s">
        <v>385</v>
      </c>
      <c r="S425" s="136" t="s">
        <v>452</v>
      </c>
      <c r="T425" s="136" t="s">
        <v>384</v>
      </c>
      <c r="U425" s="138" t="s">
        <v>385</v>
      </c>
      <c r="W425" s="136" t="s">
        <v>452</v>
      </c>
      <c r="X425" s="136" t="s">
        <v>384</v>
      </c>
      <c r="Y425" s="138" t="s">
        <v>385</v>
      </c>
      <c r="AA425" s="136" t="s">
        <v>452</v>
      </c>
      <c r="AB425" s="136" t="s">
        <v>384</v>
      </c>
      <c r="AC425" s="138" t="s">
        <v>385</v>
      </c>
      <c r="AE425" s="136" t="s">
        <v>452</v>
      </c>
      <c r="AF425" s="136" t="s">
        <v>384</v>
      </c>
      <c r="AG425" s="138" t="s">
        <v>385</v>
      </c>
      <c r="AI425" s="193" t="s">
        <v>452</v>
      </c>
      <c r="AJ425" s="193" t="s">
        <v>384</v>
      </c>
      <c r="AK425" s="194" t="s">
        <v>385</v>
      </c>
      <c r="AM425" s="193" t="s">
        <v>452</v>
      </c>
      <c r="AN425" s="193" t="s">
        <v>384</v>
      </c>
      <c r="AO425" s="194" t="s">
        <v>385</v>
      </c>
      <c r="AQ425" s="193" t="s">
        <v>452</v>
      </c>
      <c r="AR425" s="193" t="s">
        <v>384</v>
      </c>
      <c r="AS425" s="194" t="s">
        <v>385</v>
      </c>
      <c r="AW425" s="128">
        <f t="shared" si="64"/>
        <v>1549</v>
      </c>
      <c r="AX425" s="128">
        <f t="shared" ca="1" si="60"/>
        <v>-18.624000000000006</v>
      </c>
      <c r="AY425" s="129">
        <f t="shared" ca="1" si="61"/>
        <v>1.4960570012328709</v>
      </c>
      <c r="BB425" s="128">
        <f t="shared" ca="1" si="62"/>
        <v>-18.624000000000006</v>
      </c>
      <c r="BC425" s="129">
        <f t="shared" ca="1" si="63"/>
        <v>-1.4960570012328709</v>
      </c>
      <c r="BD425" s="157"/>
    </row>
    <row r="426" spans="2:56">
      <c r="B426" s="156"/>
      <c r="C426" s="128" t="s">
        <v>396</v>
      </c>
      <c r="D426" s="158">
        <f ca="1">IF(C424&gt;=1,L417,8888)</f>
        <v>-6.9619999999999997</v>
      </c>
      <c r="E426" s="160">
        <f ca="1">IF(C424&gt;=1,1/2*($C$13-P417-2*P419)+1/2*P417,8888)</f>
        <v>1.3199999999999998</v>
      </c>
      <c r="G426" s="128" t="s">
        <v>396</v>
      </c>
      <c r="H426" s="158">
        <f ca="1">IF(G424&gt;=1,L417,8888)</f>
        <v>8888</v>
      </c>
      <c r="I426" s="160">
        <f ca="1">IF(G424&gt;=1,E437-P421,8888)</f>
        <v>8888</v>
      </c>
      <c r="K426" s="128" t="s">
        <v>396</v>
      </c>
      <c r="L426" s="158">
        <f ca="1">IF(K424&gt;=1,L417,8888)</f>
        <v>-6.9619999999999997</v>
      </c>
      <c r="M426" s="160">
        <f ca="1">IF(K424&gt;=1,IF(FUSELAGE_n_aisles=1,E437-P421,I449-P421),8888)</f>
        <v>-0.25999999999999979</v>
      </c>
      <c r="O426" s="128" t="s">
        <v>396</v>
      </c>
      <c r="P426" s="158">
        <f ca="1">IF(O424,$L417,8888)</f>
        <v>8888</v>
      </c>
      <c r="Q426" s="209">
        <f ca="1">IF(O424,FUSELAGE_y_position_of_left_seat_YC-(FUSELAGE_nseats_right_YC-1)*(SEAT_w_cushion_YC+SEAT_w_armrest_YC)/2+T422/2,8888)</f>
        <v>8888</v>
      </c>
      <c r="S426" s="128" t="s">
        <v>396</v>
      </c>
      <c r="T426" s="158">
        <f ca="1">IF(S424,$L417,8888)</f>
        <v>8888</v>
      </c>
      <c r="U426" s="160">
        <f ca="1">IF(S424,T420/2,8888)</f>
        <v>8888</v>
      </c>
      <c r="W426" s="128" t="s">
        <v>396</v>
      </c>
      <c r="X426" s="158">
        <f ca="1">IF(W424,$L417,8888)</f>
        <v>8888</v>
      </c>
      <c r="Y426" s="160">
        <f ca="1">IF(W424,-FUSELAGE_y_position_of_left_seat_YC+(FUSELAGE_nseats_left_YC-1)*(SEAT_w_cushion_YC+SEAT_w_armrest_YC)/2-T418/2,8888)</f>
        <v>8888</v>
      </c>
      <c r="AA426" s="128" t="s">
        <v>396</v>
      </c>
      <c r="AB426" s="158">
        <f ca="1">IF($AA424,D426,P426)</f>
        <v>-6.9619999999999997</v>
      </c>
      <c r="AC426" s="174">
        <f ca="1">IF($AA424,E426,Q426)</f>
        <v>1.3199999999999998</v>
      </c>
      <c r="AE426" s="128" t="s">
        <v>396</v>
      </c>
      <c r="AF426" s="158">
        <f ca="1">IF($AE424,H426,T426)</f>
        <v>8888</v>
      </c>
      <c r="AG426" s="174">
        <f ca="1">IF($AE424,I426,U426)</f>
        <v>8888</v>
      </c>
      <c r="AI426" s="128" t="s">
        <v>396</v>
      </c>
      <c r="AJ426" s="158">
        <f ca="1">IF($AI424,L426,X426)</f>
        <v>-6.9619999999999997</v>
      </c>
      <c r="AK426" s="174">
        <f ca="1">IF($AI424,M426,Y426)</f>
        <v>-0.25999999999999979</v>
      </c>
      <c r="AM426" s="128" t="s">
        <v>396</v>
      </c>
      <c r="AN426" s="158">
        <f ca="1">AN395</f>
        <v>-6.1619999999999999</v>
      </c>
      <c r="AO426" s="174">
        <f ca="1">IF(AN426&gt;-Fuselage!$D$366,(FUSELAGE_a_ellipse)*SQRT(1-((AN426+Fuselage!$D$366)/(Fuselage!$K$364-FUSELAGE_t_fuselage))^2),IF(AN426&gt;$L$2505+Fuselage!$K$370,FUSELAGE_a_ellipse,(FUSELAGE_a_ellipse+FUSELAGE_t_fuselage-FUSELAGE_d_fo/4)/Fuselage!$K$368*(AN426-$L$2505-Fuselage!$K$370)+FUSELAGE_a_ellipse))</f>
        <v>1.4960570012328709</v>
      </c>
      <c r="AQ426" s="128" t="s">
        <v>396</v>
      </c>
      <c r="AR426" s="158">
        <f t="shared" ref="AR426:AR431" ca="1" si="65">AN426</f>
        <v>-6.1619999999999999</v>
      </c>
      <c r="AS426" s="174">
        <f t="shared" ref="AS426:AS431" ca="1" si="66">-AO426</f>
        <v>-1.4960570012328709</v>
      </c>
      <c r="AW426" s="128">
        <f t="shared" si="64"/>
        <v>1550</v>
      </c>
      <c r="AX426" s="128">
        <f t="shared" ca="1" si="60"/>
        <v>-18.624000000000006</v>
      </c>
      <c r="AY426" s="129">
        <f t="shared" ca="1" si="61"/>
        <v>1.4960570012328709</v>
      </c>
      <c r="BB426" s="128">
        <f t="shared" ca="1" si="62"/>
        <v>-18.624000000000006</v>
      </c>
      <c r="BC426" s="129">
        <f t="shared" ca="1" si="63"/>
        <v>-1.4960570012328709</v>
      </c>
      <c r="BD426" s="157"/>
    </row>
    <row r="427" spans="2:56">
      <c r="B427" s="156"/>
      <c r="C427" s="128" t="s">
        <v>213</v>
      </c>
      <c r="D427" s="128">
        <f ca="1">IF(X419,D426+P418/4,D426+P418)</f>
        <v>-6.532</v>
      </c>
      <c r="E427" s="139">
        <f ca="1">E426</f>
        <v>1.3199999999999998</v>
      </c>
      <c r="G427" s="128" t="s">
        <v>213</v>
      </c>
      <c r="H427" s="128">
        <f ca="1">H426+P418</f>
        <v>8888.43</v>
      </c>
      <c r="I427" s="139">
        <f ca="1">I426</f>
        <v>8888</v>
      </c>
      <c r="K427" s="128" t="s">
        <v>213</v>
      </c>
      <c r="L427" s="128">
        <f ca="1">IF(X419,IF(K424=1,L426+P418/4,L426+P418),L426+P418)</f>
        <v>-6.532</v>
      </c>
      <c r="M427" s="139">
        <f ca="1">M426</f>
        <v>-0.25999999999999979</v>
      </c>
      <c r="O427" s="128" t="s">
        <v>213</v>
      </c>
      <c r="P427" s="128">
        <f ca="1">P426+$T421</f>
        <v>8888</v>
      </c>
      <c r="Q427" s="139">
        <f ca="1">Q426</f>
        <v>8888</v>
      </c>
      <c r="S427" s="128" t="s">
        <v>213</v>
      </c>
      <c r="T427" s="128">
        <f ca="1">T426+$T419</f>
        <v>8888</v>
      </c>
      <c r="U427" s="139">
        <f ca="1">U426</f>
        <v>8888</v>
      </c>
      <c r="W427" s="128" t="s">
        <v>213</v>
      </c>
      <c r="X427" s="128">
        <f ca="1">X426+$T417</f>
        <v>8888</v>
      </c>
      <c r="Y427" s="139">
        <f ca="1">Y426</f>
        <v>8888</v>
      </c>
      <c r="AA427" s="143" t="s">
        <v>213</v>
      </c>
      <c r="AB427" s="128">
        <f ca="1">IF($AA424,D427,P427)</f>
        <v>-6.532</v>
      </c>
      <c r="AC427" s="129">
        <f ca="1">IF($AA424,E427,Q427)</f>
        <v>1.3199999999999998</v>
      </c>
      <c r="AE427" s="128" t="s">
        <v>213</v>
      </c>
      <c r="AF427" s="128">
        <f ca="1">IF($AE424,H427,T427)</f>
        <v>8888.43</v>
      </c>
      <c r="AG427" s="129">
        <f ca="1">IF($AE424,I427,U427)</f>
        <v>8888</v>
      </c>
      <c r="AI427" s="128" t="s">
        <v>213</v>
      </c>
      <c r="AJ427" s="128">
        <f ca="1">IF($AI424,L427,X427)</f>
        <v>-6.532</v>
      </c>
      <c r="AK427" s="129">
        <f ca="1">IF($AI424,M427,Y427)</f>
        <v>-0.25999999999999979</v>
      </c>
      <c r="AM427" s="128" t="s">
        <v>213</v>
      </c>
      <c r="AN427" s="128">
        <f ca="1">AN426-AO417/2</f>
        <v>-6.3469999999999995</v>
      </c>
      <c r="AO427" s="129">
        <f ca="1">IF(AN427&gt;-Fuselage!$D$366,(FUSELAGE_a_ellipse)*SQRT(1-((AN427+Fuselage!$D$366)/(Fuselage!$K$364-FUSELAGE_t_fuselage))^2),IF(AN427&gt;$L$2505+Fuselage!$K$370,FUSELAGE_a_ellipse,(FUSELAGE_a_ellipse+FUSELAGE_t_fuselage-FUSELAGE_d_fo/4)/Fuselage!$K$368*(AN427-$L$2505-Fuselage!$K$370)+FUSELAGE_a_ellipse))</f>
        <v>1.4960570012328709</v>
      </c>
      <c r="AQ427" s="128" t="s">
        <v>213</v>
      </c>
      <c r="AR427" s="128">
        <f t="shared" ca="1" si="65"/>
        <v>-6.3469999999999995</v>
      </c>
      <c r="AS427" s="129">
        <f t="shared" ca="1" si="66"/>
        <v>-1.4960570012328709</v>
      </c>
      <c r="AW427" s="128">
        <f t="shared" si="64"/>
        <v>1551</v>
      </c>
      <c r="AX427" s="128">
        <f t="shared" ca="1" si="60"/>
        <v>-18.624000000000006</v>
      </c>
      <c r="AY427" s="129">
        <f t="shared" ca="1" si="61"/>
        <v>1.4960570012328709</v>
      </c>
      <c r="BB427" s="128">
        <f t="shared" ca="1" si="62"/>
        <v>-18.624000000000006</v>
      </c>
      <c r="BC427" s="129">
        <f t="shared" ca="1" si="63"/>
        <v>-1.4960570012328709</v>
      </c>
      <c r="BD427" s="157"/>
    </row>
    <row r="428" spans="2:56">
      <c r="B428" s="156"/>
      <c r="C428" s="128" t="s">
        <v>286</v>
      </c>
      <c r="D428" s="128">
        <f ca="1">D427</f>
        <v>-6.532</v>
      </c>
      <c r="E428" s="139">
        <f ca="1">E427-P417</f>
        <v>0.81999999999999984</v>
      </c>
      <c r="G428" s="128" t="s">
        <v>286</v>
      </c>
      <c r="H428" s="128">
        <f ca="1">H427</f>
        <v>8888.43</v>
      </c>
      <c r="I428" s="139">
        <f ca="1">I427-P417</f>
        <v>8887.5</v>
      </c>
      <c r="K428" s="128" t="s">
        <v>286</v>
      </c>
      <c r="L428" s="128">
        <f ca="1">L427</f>
        <v>-6.532</v>
      </c>
      <c r="M428" s="139">
        <f ca="1">M427-P417</f>
        <v>-0.75999999999999979</v>
      </c>
      <c r="O428" s="128" t="s">
        <v>286</v>
      </c>
      <c r="P428" s="128">
        <f ca="1">P427</f>
        <v>8888</v>
      </c>
      <c r="Q428" s="139">
        <f ca="1">Q427-$T422</f>
        <v>8888</v>
      </c>
      <c r="S428" s="128" t="s">
        <v>286</v>
      </c>
      <c r="T428" s="128">
        <f ca="1">T427</f>
        <v>8888</v>
      </c>
      <c r="U428" s="139">
        <f ca="1">U427-$T420</f>
        <v>8888</v>
      </c>
      <c r="W428" s="128" t="s">
        <v>286</v>
      </c>
      <c r="X428" s="128">
        <f ca="1">X427</f>
        <v>8888</v>
      </c>
      <c r="Y428" s="139">
        <f ca="1">Y427+$T418</f>
        <v>8888</v>
      </c>
      <c r="AA428" s="143" t="s">
        <v>286</v>
      </c>
      <c r="AB428" s="128">
        <f ca="1">IF($AA424,D428,P428)</f>
        <v>-6.532</v>
      </c>
      <c r="AC428" s="129">
        <f ca="1">IF($AA424,E428,Q428)</f>
        <v>0.81999999999999984</v>
      </c>
      <c r="AE428" s="128" t="s">
        <v>286</v>
      </c>
      <c r="AF428" s="128">
        <f ca="1">IF($AE424,H428,T428)</f>
        <v>8888.43</v>
      </c>
      <c r="AG428" s="129">
        <f ca="1">IF($AE424,I428,U428)</f>
        <v>8887.5</v>
      </c>
      <c r="AI428" s="128" t="s">
        <v>286</v>
      </c>
      <c r="AJ428" s="128">
        <f ca="1">IF($AI424,L428,X428)</f>
        <v>-6.532</v>
      </c>
      <c r="AK428" s="129">
        <f ca="1">IF($AI424,M428,Y428)</f>
        <v>-0.75999999999999979</v>
      </c>
      <c r="AM428" s="128" t="s">
        <v>286</v>
      </c>
      <c r="AN428" s="128">
        <f ca="1">AN427</f>
        <v>-6.3469999999999995</v>
      </c>
      <c r="AO428" s="129">
        <f ca="1">IF(AN428&gt;-Fuselage!$D$366,IF(AM424,(FUSELAGE_a_ellipse+FUSELAGE_t_fuselage)*SQRT(1-((AN428+Fuselage!$D$366)/Fuselage!$K$364)^2),(FUSELAGE_a_ellipse)*SQRT(1-((AN428+Fuselage!$D$366)/Fuselage!$K$364)^2)),IF(AN428&gt;$L$2505+Fuselage!$K$370,(IF(AM424,FUSELAGE_a_ellipse+FUSELAGE_t_fuselage,FUSELAGE_a_ellipse)),IF(AM424,(FUSELAGE_a_ellipse+FUSELAGE_t_fuselage-FUSELAGE_d_fo/4)/Fuselage!$K$368*(AN428-$L$2505-Fuselage!$K$370)+FUSELAGE_a_ellipse+FUSELAGE_t_fuselage,(FUSELAGE_a_ellipse+FUSELAGE_t_fuselage-FUSELAGE_d_fo/4)/Fuselage!$K$368*(AN428-$L$2505-Fuselage!$K$370)+FUSELAGE_a_ellipse)))</f>
        <v>1.4960570012328709</v>
      </c>
      <c r="AQ428" s="128" t="s">
        <v>286</v>
      </c>
      <c r="AR428" s="128">
        <f t="shared" ca="1" si="65"/>
        <v>-6.3469999999999995</v>
      </c>
      <c r="AS428" s="129">
        <f t="shared" ca="1" si="66"/>
        <v>-1.4960570012328709</v>
      </c>
      <c r="AW428" s="128">
        <f t="shared" si="64"/>
        <v>1552</v>
      </c>
      <c r="AX428" s="128">
        <f t="shared" ca="1" si="60"/>
        <v>-18.624000000000006</v>
      </c>
      <c r="AY428" s="129">
        <f t="shared" ca="1" si="61"/>
        <v>1.4960570012328709</v>
      </c>
      <c r="BB428" s="128">
        <f t="shared" ca="1" si="62"/>
        <v>-18.624000000000006</v>
      </c>
      <c r="BC428" s="129">
        <f t="shared" ca="1" si="63"/>
        <v>-1.4960570012328709</v>
      </c>
      <c r="BD428" s="157"/>
    </row>
    <row r="429" spans="2:56">
      <c r="B429" s="156"/>
      <c r="C429" s="188" t="s">
        <v>522</v>
      </c>
      <c r="D429" s="188">
        <f ca="1">D426</f>
        <v>-6.9619999999999997</v>
      </c>
      <c r="E429" s="189">
        <f ca="1">E428</f>
        <v>0.81999999999999984</v>
      </c>
      <c r="F429" s="157"/>
      <c r="G429" s="2" t="s">
        <v>522</v>
      </c>
      <c r="H429" s="128">
        <f ca="1">H426</f>
        <v>8888</v>
      </c>
      <c r="I429" s="139">
        <f ca="1">I428</f>
        <v>8887.5</v>
      </c>
      <c r="K429" s="128" t="s">
        <v>522</v>
      </c>
      <c r="L429" s="128">
        <f ca="1">L426</f>
        <v>-6.9619999999999997</v>
      </c>
      <c r="M429" s="139">
        <f ca="1">M428</f>
        <v>-0.75999999999999979</v>
      </c>
      <c r="O429" s="188" t="s">
        <v>522</v>
      </c>
      <c r="P429" s="188">
        <f ca="1">P426</f>
        <v>8888</v>
      </c>
      <c r="Q429" s="189">
        <f ca="1">Q428</f>
        <v>8888</v>
      </c>
      <c r="S429" s="188" t="s">
        <v>522</v>
      </c>
      <c r="T429" s="188">
        <f ca="1">T426</f>
        <v>8888</v>
      </c>
      <c r="U429" s="189">
        <f ca="1">U428</f>
        <v>8888</v>
      </c>
      <c r="W429" s="188" t="s">
        <v>522</v>
      </c>
      <c r="X429" s="188">
        <f ca="1">X426</f>
        <v>8888</v>
      </c>
      <c r="Y429" s="189">
        <f ca="1">Y428</f>
        <v>8888</v>
      </c>
      <c r="AA429" s="195" t="s">
        <v>522</v>
      </c>
      <c r="AB429" s="128">
        <f ca="1">IF($AA424,D429,P429)</f>
        <v>-6.9619999999999997</v>
      </c>
      <c r="AC429" s="129">
        <f ca="1">IF($AA424,E429,Q429)</f>
        <v>0.81999999999999984</v>
      </c>
      <c r="AD429" s="157"/>
      <c r="AE429" s="2" t="s">
        <v>522</v>
      </c>
      <c r="AF429" s="188">
        <f ca="1">IF($AE424,H429,T429)</f>
        <v>8888</v>
      </c>
      <c r="AG429" s="196">
        <f ca="1">IF($AE424,I429,U429)</f>
        <v>8887.5</v>
      </c>
      <c r="AI429" s="128" t="s">
        <v>522</v>
      </c>
      <c r="AJ429" s="188">
        <f ca="1">IF($AI424,L429,X429)</f>
        <v>-6.9619999999999997</v>
      </c>
      <c r="AK429" s="196">
        <f ca="1">IF($AI424,M429,Y429)</f>
        <v>-0.75999999999999979</v>
      </c>
      <c r="AM429" s="128" t="s">
        <v>522</v>
      </c>
      <c r="AN429" s="128">
        <f ca="1">AN428-X418</f>
        <v>-6.3469999999999995</v>
      </c>
      <c r="AO429" s="129">
        <f ca="1">IF(AN429&gt;-Fuselage!$D$366,IF(AM424,(FUSELAGE_a_ellipse+FUSELAGE_t_fuselage)*SQRT(1-((AN429+Fuselage!$D$366)/Fuselage!$K$364)^2),(FUSELAGE_a_ellipse)*SQRT(1-((AN429+Fuselage!$D$366)/Fuselage!$K$364)^2)),IF(AN429&gt;$L$2505+Fuselage!$K$370,(IF(AM424,FUSELAGE_a_ellipse+FUSELAGE_t_fuselage,FUSELAGE_a_ellipse)),IF(AM424,(FUSELAGE_a_ellipse+FUSELAGE_t_fuselage-FUSELAGE_d_fo/4)/Fuselage!$K$368*(AN429-$L$2505-Fuselage!$K$370)+FUSELAGE_a_ellipse+FUSELAGE_t_fuselage,(FUSELAGE_a_ellipse+FUSELAGE_t_fuselage-FUSELAGE_d_fo/4)/Fuselage!$K$368*(AN429-$L$2505-Fuselage!$K$370)+FUSELAGE_a_ellipse)))</f>
        <v>1.4960570012328709</v>
      </c>
      <c r="AQ429" s="128" t="s">
        <v>522</v>
      </c>
      <c r="AR429" s="128">
        <f t="shared" ca="1" si="65"/>
        <v>-6.3469999999999995</v>
      </c>
      <c r="AS429" s="129">
        <f t="shared" ca="1" si="66"/>
        <v>-1.4960570012328709</v>
      </c>
      <c r="AW429" s="128">
        <f t="shared" si="64"/>
        <v>1553</v>
      </c>
      <c r="AX429" s="128">
        <f t="shared" ca="1" si="60"/>
        <v>-18.624000000000006</v>
      </c>
      <c r="AY429" s="129">
        <f t="shared" ca="1" si="61"/>
        <v>1.4960570012328709</v>
      </c>
      <c r="BB429" s="128">
        <f t="shared" ca="1" si="62"/>
        <v>-18.624000000000006</v>
      </c>
      <c r="BC429" s="129">
        <f t="shared" ca="1" si="63"/>
        <v>-1.4960570012328709</v>
      </c>
      <c r="BD429" s="157"/>
    </row>
    <row r="430" spans="2:56" ht="15" thickBot="1">
      <c r="B430" s="156"/>
      <c r="C430" s="128" t="s">
        <v>49</v>
      </c>
      <c r="D430" s="128">
        <f ca="1">IF(C424&gt;=2,D426,D429)</f>
        <v>-6.9619999999999997</v>
      </c>
      <c r="E430" s="139">
        <f ca="1">IF(C424&gt;=2,E429-P419,E429)</f>
        <v>0.75999999999999979</v>
      </c>
      <c r="F430" s="157"/>
      <c r="G430" s="192" t="s">
        <v>49</v>
      </c>
      <c r="H430" s="190">
        <f ca="1">IF(G424&gt;=2,H426,H429)</f>
        <v>8888</v>
      </c>
      <c r="I430" s="191">
        <f ca="1">IF(G424&gt;=2,I429-P419,I429)</f>
        <v>8887.5</v>
      </c>
      <c r="K430" s="190" t="s">
        <v>49</v>
      </c>
      <c r="L430" s="190">
        <f ca="1">IF(K424&gt;=2,L426,L429)</f>
        <v>-6.9619999999999997</v>
      </c>
      <c r="M430" s="191">
        <f ca="1">IF(K424&gt;=2,M429-P419,M429)</f>
        <v>-0.81999999999999984</v>
      </c>
      <c r="O430" s="130" t="s">
        <v>396</v>
      </c>
      <c r="P430" s="130">
        <f ca="1">P426</f>
        <v>8888</v>
      </c>
      <c r="Q430" s="140">
        <f ca="1">Q426</f>
        <v>8888</v>
      </c>
      <c r="S430" s="130" t="s">
        <v>396</v>
      </c>
      <c r="T430" s="130">
        <f ca="1">T426</f>
        <v>8888</v>
      </c>
      <c r="U430" s="140">
        <f ca="1">U426</f>
        <v>8888</v>
      </c>
      <c r="W430" s="130" t="s">
        <v>396</v>
      </c>
      <c r="X430" s="130">
        <f ca="1">X426</f>
        <v>8888</v>
      </c>
      <c r="Y430" s="140">
        <f ca="1">Y426</f>
        <v>8888</v>
      </c>
      <c r="AA430" s="143" t="s">
        <v>49</v>
      </c>
      <c r="AB430" s="128">
        <f ca="1">IF($AA424,D430,P430)</f>
        <v>-6.9619999999999997</v>
      </c>
      <c r="AC430" s="129">
        <f ca="1">IF($AA424,E430,Q430)</f>
        <v>0.75999999999999979</v>
      </c>
      <c r="AD430" s="157"/>
      <c r="AE430" s="192" t="s">
        <v>49</v>
      </c>
      <c r="AF430" s="128">
        <f ca="1">IF($AE424,H430,T430)</f>
        <v>8888</v>
      </c>
      <c r="AG430" s="129">
        <f ca="1">IF($AE424,I430,U430)</f>
        <v>8887.5</v>
      </c>
      <c r="AI430" s="190" t="s">
        <v>49</v>
      </c>
      <c r="AJ430" s="128">
        <f ca="1">IF($AI424,L430,X430)</f>
        <v>-6.9619999999999997</v>
      </c>
      <c r="AK430" s="129">
        <f ca="1">IF($AI424,M430,Y430)</f>
        <v>-0.81999999999999984</v>
      </c>
      <c r="AM430" s="128" t="s">
        <v>49</v>
      </c>
      <c r="AN430" s="128">
        <f ca="1">AN429</f>
        <v>-6.3469999999999995</v>
      </c>
      <c r="AO430" s="129">
        <f ca="1">IF(AN430&gt;-Fuselage!$D$366,(FUSELAGE_a_ellipse)*SQRT(1-((AN430+Fuselage!$D$366)/(Fuselage!$K$364-FUSELAGE_t_fuselage))^2),IF(AN430&gt;$L$2505+Fuselage!$K$370,FUSELAGE_a_ellipse,(FUSELAGE_a_ellipse+FUSELAGE_t_fuselage-FUSELAGE_d_fo/4)/Fuselage!$K$368*(AN430-$L$2505-Fuselage!$K$370)+FUSELAGE_a_ellipse))</f>
        <v>1.4960570012328709</v>
      </c>
      <c r="AQ430" s="128" t="s">
        <v>49</v>
      </c>
      <c r="AR430" s="128">
        <f t="shared" ca="1" si="65"/>
        <v>-6.3469999999999995</v>
      </c>
      <c r="AS430" s="129">
        <f t="shared" ca="1" si="66"/>
        <v>-1.4960570012328709</v>
      </c>
      <c r="AW430" s="128">
        <f t="shared" si="64"/>
        <v>1585</v>
      </c>
      <c r="AX430" s="128">
        <f t="shared" ca="1" si="60"/>
        <v>-18.624000000000006</v>
      </c>
      <c r="AY430" s="129">
        <f t="shared" ca="1" si="61"/>
        <v>1.4960570012328709</v>
      </c>
      <c r="BB430" s="128">
        <f t="shared" ca="1" si="62"/>
        <v>-18.624000000000006</v>
      </c>
      <c r="BC430" s="129">
        <f t="shared" ca="1" si="63"/>
        <v>-1.4960570012328709</v>
      </c>
      <c r="BD430" s="157"/>
    </row>
    <row r="431" spans="2:56">
      <c r="B431" s="156"/>
      <c r="C431" s="128" t="s">
        <v>453</v>
      </c>
      <c r="D431" s="128">
        <f ca="1">IF(C424&gt;=2,D426+P418,D429)</f>
        <v>-6.532</v>
      </c>
      <c r="E431" s="139">
        <f ca="1">E430</f>
        <v>0.75999999999999979</v>
      </c>
      <c r="F431" s="157"/>
      <c r="G431" s="2" t="s">
        <v>453</v>
      </c>
      <c r="H431" s="128">
        <f ca="1">IF(G424&gt;=2,H427,H429)</f>
        <v>8888</v>
      </c>
      <c r="I431" s="139">
        <f ca="1">IF(G424&gt;=2,I430,I429)</f>
        <v>8887.5</v>
      </c>
      <c r="K431" s="128" t="s">
        <v>453</v>
      </c>
      <c r="L431" s="128">
        <f ca="1">IF(K424&gt;=2,IF(X419,IF(K424=2,L426+P418/4,L426+P418),L426+P418),L429)</f>
        <v>-6.532</v>
      </c>
      <c r="M431" s="139">
        <f ca="1">IF(K424&gt;=2,M430,M429)</f>
        <v>-0.81999999999999984</v>
      </c>
      <c r="AA431" s="143" t="s">
        <v>453</v>
      </c>
      <c r="AB431" s="128">
        <f ca="1">IF($AA424,D431,AB430)</f>
        <v>-6.532</v>
      </c>
      <c r="AC431" s="129">
        <f ca="1">IF($AA424,E431,AC430)</f>
        <v>0.75999999999999979</v>
      </c>
      <c r="AD431" s="157"/>
      <c r="AE431" s="2" t="s">
        <v>453</v>
      </c>
      <c r="AF431" s="128">
        <f ca="1">IF($AE424,H431,AF430)</f>
        <v>8888</v>
      </c>
      <c r="AG431" s="129">
        <f ca="1">IF($AE424,I431,AG430)</f>
        <v>8887.5</v>
      </c>
      <c r="AI431" s="128" t="s">
        <v>453</v>
      </c>
      <c r="AJ431" s="128">
        <f ca="1">IF($AI424,L431,AJ430)</f>
        <v>-6.532</v>
      </c>
      <c r="AK431" s="129">
        <f ca="1">IF($AI424,M431,AK430)</f>
        <v>-0.81999999999999984</v>
      </c>
      <c r="AM431" s="128" t="s">
        <v>453</v>
      </c>
      <c r="AN431" s="128">
        <f ca="1">L417</f>
        <v>-6.9619999999999997</v>
      </c>
      <c r="AO431" s="129">
        <f ca="1">IF(AN431&gt;-Fuselage!$D$366,(FUSELAGE_a_ellipse)*SQRT(1-((AN431+Fuselage!$D$366)/(Fuselage!$K$364-FUSELAGE_t_fuselage))^2),IF(AN431&gt;$L$2505+Fuselage!$K$370,FUSELAGE_a_ellipse,(FUSELAGE_a_ellipse+FUSELAGE_t_fuselage-FUSELAGE_d_fo/4)/Fuselage!$K$368*(AN431-$L$2505-Fuselage!$K$370)+FUSELAGE_a_ellipse))</f>
        <v>1.4960570012328709</v>
      </c>
      <c r="AQ431" s="128" t="s">
        <v>453</v>
      </c>
      <c r="AR431" s="128">
        <f t="shared" ca="1" si="65"/>
        <v>-6.9619999999999997</v>
      </c>
      <c r="AS431" s="129">
        <f t="shared" ca="1" si="66"/>
        <v>-1.4960570012328709</v>
      </c>
      <c r="AW431" s="128">
        <f t="shared" si="64"/>
        <v>1586</v>
      </c>
      <c r="AX431" s="128">
        <f t="shared" ca="1" si="60"/>
        <v>-18.624000000000006</v>
      </c>
      <c r="AY431" s="129">
        <f t="shared" ca="1" si="61"/>
        <v>1.4960570012328709</v>
      </c>
      <c r="BB431" s="128">
        <f t="shared" ca="1" si="62"/>
        <v>-18.624000000000006</v>
      </c>
      <c r="BC431" s="129">
        <f t="shared" ca="1" si="63"/>
        <v>-1.4960570012328709</v>
      </c>
      <c r="BD431" s="157"/>
    </row>
    <row r="432" spans="2:56">
      <c r="B432" s="156"/>
      <c r="C432" s="128" t="s">
        <v>394</v>
      </c>
      <c r="D432" s="128">
        <f ca="1">IF(C424&gt;=2,D431,D429)</f>
        <v>-6.532</v>
      </c>
      <c r="E432" s="139">
        <f ca="1">IF(C424&gt;=2,E430-P417,E429)</f>
        <v>0.25999999999999979</v>
      </c>
      <c r="F432" s="157"/>
      <c r="G432" s="2" t="s">
        <v>394</v>
      </c>
      <c r="H432" s="128">
        <f ca="1">IF(G424&gt;=2,H427,H429)</f>
        <v>8888</v>
      </c>
      <c r="I432" s="139">
        <f ca="1">IF(G424&gt;=2,I431-P417,I429)</f>
        <v>8887.5</v>
      </c>
      <c r="K432" s="128" t="s">
        <v>394</v>
      </c>
      <c r="L432" s="128">
        <f ca="1">L431</f>
        <v>-6.532</v>
      </c>
      <c r="M432" s="139">
        <f ca="1">IF(K424&gt;=2,M431-P417,M429)</f>
        <v>-1.3199999999999998</v>
      </c>
      <c r="AA432" s="143" t="s">
        <v>394</v>
      </c>
      <c r="AB432" s="128">
        <f ca="1">IF($AA424,D432,AB430)</f>
        <v>-6.532</v>
      </c>
      <c r="AC432" s="129">
        <f ca="1">IF($AA424,E432,AC430)</f>
        <v>0.25999999999999979</v>
      </c>
      <c r="AD432" s="157"/>
      <c r="AE432" s="2" t="s">
        <v>394</v>
      </c>
      <c r="AF432" s="128">
        <f ca="1">IF($AE424,H432,AF430)</f>
        <v>8888</v>
      </c>
      <c r="AG432" s="129">
        <f ca="1">IF($AE424,I432,AG430)</f>
        <v>8887.5</v>
      </c>
      <c r="AI432" s="128" t="s">
        <v>394</v>
      </c>
      <c r="AJ432" s="128">
        <f ca="1">IF($AI424,L432,AJ430)</f>
        <v>-6.532</v>
      </c>
      <c r="AK432" s="129">
        <f ca="1">IF($AI424,M432,AK430)</f>
        <v>-1.3199999999999998</v>
      </c>
      <c r="AW432" s="128">
        <f t="shared" si="64"/>
        <v>1587</v>
      </c>
      <c r="AX432" s="128">
        <f t="shared" ca="1" si="60"/>
        <v>-18.624000000000006</v>
      </c>
      <c r="AY432" s="129">
        <f t="shared" ca="1" si="61"/>
        <v>1.4960570012328709</v>
      </c>
      <c r="BB432" s="128">
        <f t="shared" ca="1" si="62"/>
        <v>-18.624000000000006</v>
      </c>
      <c r="BC432" s="129">
        <f t="shared" ca="1" si="63"/>
        <v>-1.4960570012328709</v>
      </c>
      <c r="BD432" s="157"/>
    </row>
    <row r="433" spans="2:56">
      <c r="B433" s="156"/>
      <c r="C433" s="188" t="s">
        <v>454</v>
      </c>
      <c r="D433" s="188">
        <f ca="1">IF(C424&gt;=2,D426,D429)</f>
        <v>-6.9619999999999997</v>
      </c>
      <c r="E433" s="189">
        <f ca="1">E432</f>
        <v>0.25999999999999979</v>
      </c>
      <c r="F433" s="157"/>
      <c r="G433" s="115" t="s">
        <v>454</v>
      </c>
      <c r="H433" s="188">
        <f ca="1">IF(G424&gt;=2,H426,H429)</f>
        <v>8888</v>
      </c>
      <c r="I433" s="189">
        <f ca="1">IF(G424&gt;=2,I432,I429)</f>
        <v>8887.5</v>
      </c>
      <c r="K433" s="188" t="s">
        <v>454</v>
      </c>
      <c r="L433" s="188">
        <f ca="1">IF(K424&gt;=2,L426,L429)</f>
        <v>-6.9619999999999997</v>
      </c>
      <c r="M433" s="189">
        <f ca="1">IF(K424&gt;=2,M432,M429)</f>
        <v>-1.3199999999999998</v>
      </c>
      <c r="AA433" s="195" t="s">
        <v>454</v>
      </c>
      <c r="AB433" s="128">
        <f ca="1">IF($AA424,D433,AB430)</f>
        <v>-6.9619999999999997</v>
      </c>
      <c r="AC433" s="129">
        <f ca="1">IF($AA424,E433,AC430)</f>
        <v>0.25999999999999979</v>
      </c>
      <c r="AD433" s="157"/>
      <c r="AE433" s="115" t="s">
        <v>454</v>
      </c>
      <c r="AF433" s="188">
        <f ca="1">IF($AE424,H433,AF430)</f>
        <v>8888</v>
      </c>
      <c r="AG433" s="196">
        <f ca="1">IF($AE424,I433,AG430)</f>
        <v>8887.5</v>
      </c>
      <c r="AI433" s="188" t="s">
        <v>454</v>
      </c>
      <c r="AJ433" s="188">
        <f ca="1">IF($AI424,L433,AJ430)</f>
        <v>-6.9619999999999997</v>
      </c>
      <c r="AK433" s="196">
        <f ca="1">IF($AI424,M433,AK430)</f>
        <v>-1.3199999999999998</v>
      </c>
      <c r="AW433" s="128">
        <f t="shared" si="64"/>
        <v>1588</v>
      </c>
      <c r="AX433" s="128">
        <f t="shared" ca="1" si="60"/>
        <v>-18.624000000000006</v>
      </c>
      <c r="AY433" s="129">
        <f t="shared" ca="1" si="61"/>
        <v>1.4960570012328709</v>
      </c>
      <c r="BB433" s="128">
        <f t="shared" ca="1" si="62"/>
        <v>-18.624000000000006</v>
      </c>
      <c r="BC433" s="129">
        <f t="shared" ca="1" si="63"/>
        <v>-1.4960570012328709</v>
      </c>
      <c r="BD433" s="157"/>
    </row>
    <row r="434" spans="2:56">
      <c r="B434" s="156"/>
      <c r="C434" s="128" t="s">
        <v>507</v>
      </c>
      <c r="D434" s="128">
        <f ca="1">IF(C424&gt;=3,D426,D433)</f>
        <v>-6.9619999999999997</v>
      </c>
      <c r="E434" s="139">
        <f ca="1">IF(C424&gt;=3,E433-P419,E433)</f>
        <v>0.25999999999999979</v>
      </c>
      <c r="F434" s="157"/>
      <c r="G434" s="2" t="s">
        <v>507</v>
      </c>
      <c r="H434" s="128">
        <f ca="1">IF(G424&gt;=3,H426,H433)</f>
        <v>8888</v>
      </c>
      <c r="I434" s="139">
        <f ca="1">IF(G424&gt;=3,I433-P419,I433)</f>
        <v>8887.5</v>
      </c>
      <c r="K434" s="128" t="s">
        <v>507</v>
      </c>
      <c r="L434" s="128">
        <f ca="1">IF(K424&gt;=3,L426,L433)</f>
        <v>-6.9619999999999997</v>
      </c>
      <c r="M434" s="139">
        <f ca="1">IF(K424&gt;=3,M433-P419,M433)</f>
        <v>-1.3199999999999998</v>
      </c>
      <c r="AA434" s="143" t="s">
        <v>507</v>
      </c>
      <c r="AB434" s="128">
        <f ca="1">IF($AA424,D434,AB430)</f>
        <v>-6.9619999999999997</v>
      </c>
      <c r="AC434" s="129">
        <f ca="1">IF($AA424,E434,AC430)</f>
        <v>0.25999999999999979</v>
      </c>
      <c r="AD434" s="157"/>
      <c r="AE434" s="2" t="s">
        <v>507</v>
      </c>
      <c r="AF434" s="128">
        <f ca="1">IF($AE424,H434,AF430)</f>
        <v>8888</v>
      </c>
      <c r="AG434" s="129">
        <f ca="1">IF($AE424,I434,AG430)</f>
        <v>8887.5</v>
      </c>
      <c r="AI434" s="128" t="s">
        <v>507</v>
      </c>
      <c r="AJ434" s="128">
        <f ca="1">IF($AI424,L434,AJ430)</f>
        <v>-6.9619999999999997</v>
      </c>
      <c r="AK434" s="129">
        <f ca="1">IF($AI424,M434,AK430)</f>
        <v>-1.3199999999999998</v>
      </c>
      <c r="AW434" s="128">
        <f t="shared" si="64"/>
        <v>1589</v>
      </c>
      <c r="AX434" s="128">
        <f t="shared" ca="1" si="60"/>
        <v>-18.624000000000006</v>
      </c>
      <c r="AY434" s="129">
        <f t="shared" ca="1" si="61"/>
        <v>1.4960570012328709</v>
      </c>
      <c r="BB434" s="128">
        <f t="shared" ca="1" si="62"/>
        <v>-18.624000000000006</v>
      </c>
      <c r="BC434" s="129">
        <f t="shared" ca="1" si="63"/>
        <v>-1.4960570012328709</v>
      </c>
      <c r="BD434" s="157"/>
    </row>
    <row r="435" spans="2:56">
      <c r="B435" s="156"/>
      <c r="C435" s="128" t="s">
        <v>455</v>
      </c>
      <c r="D435" s="128">
        <f ca="1">IF(C424&gt;=3,D431,D433)</f>
        <v>-6.9619999999999997</v>
      </c>
      <c r="E435" s="139">
        <f ca="1">E434</f>
        <v>0.25999999999999979</v>
      </c>
      <c r="F435" s="157"/>
      <c r="G435" s="2" t="s">
        <v>455</v>
      </c>
      <c r="H435" s="128">
        <f ca="1">IF(G424&gt;=3,H427,H433)</f>
        <v>8888</v>
      </c>
      <c r="I435" s="139">
        <f ca="1">IF(G424&gt;=3,I434,I433)</f>
        <v>8887.5</v>
      </c>
      <c r="K435" s="128" t="s">
        <v>455</v>
      </c>
      <c r="L435" s="128">
        <f ca="1">IF(K424&gt;=3,IF(X419,IF(K424=3,L426+P418/4,L426+P418),L426+P418),L429)</f>
        <v>-6.9619999999999997</v>
      </c>
      <c r="M435" s="139">
        <f ca="1">IF(K424&gt;=3,M434,M433)</f>
        <v>-1.3199999999999998</v>
      </c>
      <c r="AA435" s="143" t="s">
        <v>455</v>
      </c>
      <c r="AB435" s="128">
        <f ca="1">IF($AA424,D435,AB430)</f>
        <v>-6.9619999999999997</v>
      </c>
      <c r="AC435" s="129">
        <f ca="1">IF($AA424,E435,AC430)</f>
        <v>0.25999999999999979</v>
      </c>
      <c r="AD435" s="157"/>
      <c r="AE435" s="2" t="s">
        <v>455</v>
      </c>
      <c r="AF435" s="128">
        <f ca="1">IF($AE424,H435,AF430)</f>
        <v>8888</v>
      </c>
      <c r="AG435" s="129">
        <f ca="1">IF($AE424,I435,AG430)</f>
        <v>8887.5</v>
      </c>
      <c r="AI435" s="128" t="s">
        <v>455</v>
      </c>
      <c r="AJ435" s="128">
        <f ca="1">IF($AI424,L435,AJ430)</f>
        <v>-6.9619999999999997</v>
      </c>
      <c r="AK435" s="129">
        <f ca="1">IF($AI424,M435,AK430)</f>
        <v>-1.3199999999999998</v>
      </c>
      <c r="AL435" s="156"/>
      <c r="AW435" s="128">
        <f t="shared" si="64"/>
        <v>1621</v>
      </c>
      <c r="AX435" s="128">
        <f t="shared" ca="1" si="60"/>
        <v>-18.624000000000006</v>
      </c>
      <c r="AY435" s="129">
        <f t="shared" ca="1" si="61"/>
        <v>1.4960570012328709</v>
      </c>
      <c r="BB435" s="128">
        <f t="shared" ca="1" si="62"/>
        <v>-18.624000000000006</v>
      </c>
      <c r="BC435" s="129">
        <f t="shared" ca="1" si="63"/>
        <v>-1.4960570012328709</v>
      </c>
      <c r="BD435" s="157"/>
    </row>
    <row r="436" spans="2:56">
      <c r="B436" s="156"/>
      <c r="C436" s="128" t="s">
        <v>311</v>
      </c>
      <c r="D436" s="128">
        <f ca="1">IF(C424&gt;=3,D431,D433)</f>
        <v>-6.9619999999999997</v>
      </c>
      <c r="E436" s="139">
        <f ca="1">IF(C424&gt;=3,E435-P417,E433)</f>
        <v>0.25999999999999979</v>
      </c>
      <c r="F436" s="157"/>
      <c r="G436" s="2" t="s">
        <v>311</v>
      </c>
      <c r="H436" s="128">
        <f ca="1">IF(G424&gt;=3,H427,H433)</f>
        <v>8888</v>
      </c>
      <c r="I436" s="139">
        <f ca="1">IF(G424&gt;=3,I435-P417,I433)</f>
        <v>8887.5</v>
      </c>
      <c r="K436" s="128" t="s">
        <v>311</v>
      </c>
      <c r="L436" s="128">
        <f ca="1">L435</f>
        <v>-6.9619999999999997</v>
      </c>
      <c r="M436" s="139">
        <f ca="1">IF(K424&gt;=3,M435-P417,M433)</f>
        <v>-1.3199999999999998</v>
      </c>
      <c r="AA436" s="143" t="s">
        <v>311</v>
      </c>
      <c r="AB436" s="128">
        <f ca="1">IF($AA424,D436,AB430)</f>
        <v>-6.9619999999999997</v>
      </c>
      <c r="AC436" s="129">
        <f ca="1">IF($AA424,E436,AC430)</f>
        <v>0.25999999999999979</v>
      </c>
      <c r="AD436" s="157"/>
      <c r="AE436" s="2" t="s">
        <v>311</v>
      </c>
      <c r="AF436" s="128">
        <f ca="1">IF($AE424,H436,AF430)</f>
        <v>8888</v>
      </c>
      <c r="AG436" s="129">
        <f ca="1">IF($AE424,I436,AG430)</f>
        <v>8887.5</v>
      </c>
      <c r="AI436" s="128" t="s">
        <v>311</v>
      </c>
      <c r="AJ436" s="128">
        <f ca="1">IF($AI424,L436,AJ430)</f>
        <v>-6.9619999999999997</v>
      </c>
      <c r="AK436" s="129">
        <f ca="1">IF($AI424,M436,AK430)</f>
        <v>-1.3199999999999998</v>
      </c>
      <c r="AL436" s="156"/>
      <c r="AW436" s="128">
        <f t="shared" si="64"/>
        <v>1622</v>
      </c>
      <c r="AX436" s="128">
        <f t="shared" ca="1" si="60"/>
        <v>-18.624000000000006</v>
      </c>
      <c r="AY436" s="129">
        <f t="shared" ca="1" si="61"/>
        <v>1.4960570012328709</v>
      </c>
      <c r="BB436" s="128">
        <f t="shared" ca="1" si="62"/>
        <v>-18.624000000000006</v>
      </c>
      <c r="BC436" s="129">
        <f t="shared" ca="1" si="63"/>
        <v>-1.4960570012328709</v>
      </c>
      <c r="BD436" s="157"/>
    </row>
    <row r="437" spans="2:56">
      <c r="B437" s="156"/>
      <c r="C437" s="188" t="s">
        <v>35</v>
      </c>
      <c r="D437" s="188">
        <f ca="1">IF(C424&gt;=3,D426,D433)</f>
        <v>-6.9619999999999997</v>
      </c>
      <c r="E437" s="189">
        <f ca="1">E436</f>
        <v>0.25999999999999979</v>
      </c>
      <c r="F437" s="157"/>
      <c r="G437" s="2" t="s">
        <v>35</v>
      </c>
      <c r="H437" s="188">
        <f ca="1">IF(G424&gt;=3,H426,H433)</f>
        <v>8888</v>
      </c>
      <c r="I437" s="189">
        <f ca="1">IF(G424&gt;=3,I436,I433)</f>
        <v>8887.5</v>
      </c>
      <c r="K437" s="188" t="s">
        <v>35</v>
      </c>
      <c r="L437" s="188">
        <f ca="1">IF(K424&gt;=3,L426,L433)</f>
        <v>-6.9619999999999997</v>
      </c>
      <c r="M437" s="189">
        <f ca="1">IF(K424&gt;=3,M436,M433)</f>
        <v>-1.3199999999999998</v>
      </c>
      <c r="AA437" s="143" t="s">
        <v>35</v>
      </c>
      <c r="AB437" s="128">
        <f ca="1">IF($AA424,D437,AB430)</f>
        <v>-6.9619999999999997</v>
      </c>
      <c r="AC437" s="129">
        <f ca="1">IF($AA424,E437,AC430)</f>
        <v>0.25999999999999979</v>
      </c>
      <c r="AD437" s="157"/>
      <c r="AE437" s="2" t="s">
        <v>35</v>
      </c>
      <c r="AF437" s="188">
        <f ca="1">IF($AE424,H437,AF430)</f>
        <v>8888</v>
      </c>
      <c r="AG437" s="196">
        <f ca="1">IF($AE424,I437,AG430)</f>
        <v>8887.5</v>
      </c>
      <c r="AI437" s="128" t="s">
        <v>35</v>
      </c>
      <c r="AJ437" s="128">
        <f ca="1">IF($AI424,L437,AJ430)</f>
        <v>-6.9619999999999997</v>
      </c>
      <c r="AK437" s="129">
        <f ca="1">IF($AI424,M437,AK430)</f>
        <v>-1.3199999999999998</v>
      </c>
      <c r="AL437" s="156"/>
      <c r="AW437" s="128">
        <f t="shared" si="64"/>
        <v>1623</v>
      </c>
      <c r="AX437" s="128">
        <f t="shared" ca="1" si="60"/>
        <v>-18.624000000000006</v>
      </c>
      <c r="AY437" s="129">
        <f t="shared" ca="1" si="61"/>
        <v>1.4960570012328709</v>
      </c>
      <c r="BB437" s="128">
        <f t="shared" ca="1" si="62"/>
        <v>-18.624000000000006</v>
      </c>
      <c r="BC437" s="129">
        <f t="shared" ca="1" si="63"/>
        <v>-1.4960570012328709</v>
      </c>
      <c r="BD437" s="157"/>
    </row>
    <row r="438" spans="2:56" ht="15" thickBot="1">
      <c r="B438" s="156"/>
      <c r="C438" s="130" t="s">
        <v>396</v>
      </c>
      <c r="D438" s="130">
        <f ca="1">D426</f>
        <v>-6.9619999999999997</v>
      </c>
      <c r="E438" s="140">
        <f ca="1">E426</f>
        <v>1.3199999999999998</v>
      </c>
      <c r="F438" s="157"/>
      <c r="G438" s="192" t="s">
        <v>312</v>
      </c>
      <c r="H438" s="128">
        <f ca="1">IF(G424&gt;=4,H426,H437)</f>
        <v>8888</v>
      </c>
      <c r="I438" s="139">
        <f ca="1">IF(G424&gt;=4,I437-P419,I437)</f>
        <v>8887.5</v>
      </c>
      <c r="K438" s="130" t="s">
        <v>396</v>
      </c>
      <c r="L438" s="130">
        <f ca="1">L426</f>
        <v>-6.9619999999999997</v>
      </c>
      <c r="M438" s="140">
        <f ca="1">M426</f>
        <v>-0.25999999999999979</v>
      </c>
      <c r="AA438" s="144" t="s">
        <v>396</v>
      </c>
      <c r="AB438" s="130">
        <f ca="1">IF($AA424,D438,AB430)</f>
        <v>-6.9619999999999997</v>
      </c>
      <c r="AC438" s="132">
        <f ca="1">IF($AA424,E438,AC430)</f>
        <v>1.3199999999999998</v>
      </c>
      <c r="AD438" s="157"/>
      <c r="AE438" s="192" t="s">
        <v>312</v>
      </c>
      <c r="AF438" s="128">
        <f ca="1">IF($AE424,H438,AF430)</f>
        <v>8888</v>
      </c>
      <c r="AG438" s="129">
        <f ca="1">IF($AE424,I438,AG430)</f>
        <v>8887.5</v>
      </c>
      <c r="AI438" s="130" t="s">
        <v>396</v>
      </c>
      <c r="AJ438" s="130">
        <f ca="1">IF($AI424,L438,AJ430)</f>
        <v>-6.9619999999999997</v>
      </c>
      <c r="AK438" s="132">
        <f ca="1">IF($AI424,M438,AK430)</f>
        <v>-0.25999999999999979</v>
      </c>
      <c r="AW438" s="128">
        <f t="shared" si="64"/>
        <v>1624</v>
      </c>
      <c r="AX438" s="128">
        <f t="shared" ca="1" si="60"/>
        <v>-18.624000000000006</v>
      </c>
      <c r="AY438" s="129">
        <f t="shared" ca="1" si="61"/>
        <v>1.4960570012328709</v>
      </c>
      <c r="BB438" s="128">
        <f t="shared" ca="1" si="62"/>
        <v>-18.624000000000006</v>
      </c>
      <c r="BC438" s="129">
        <f t="shared" ca="1" si="63"/>
        <v>-1.4960570012328709</v>
      </c>
      <c r="BD438" s="157"/>
    </row>
    <row r="439" spans="2:56">
      <c r="B439" s="156"/>
      <c r="F439" s="157"/>
      <c r="G439" s="2" t="s">
        <v>313</v>
      </c>
      <c r="H439" s="128">
        <f ca="1">IF(G424&gt;=4,H427,H437)</f>
        <v>8888</v>
      </c>
      <c r="I439" s="139">
        <f ca="1">IF(G424&gt;=4,I438,I437)</f>
        <v>8887.5</v>
      </c>
      <c r="AD439" s="157"/>
      <c r="AE439" s="2" t="s">
        <v>313</v>
      </c>
      <c r="AF439" s="128">
        <f ca="1">IF($AE424,H439,AF430)</f>
        <v>8888</v>
      </c>
      <c r="AG439" s="129">
        <f ca="1">IF($AE424,I439,AG430)</f>
        <v>8887.5</v>
      </c>
      <c r="AW439" s="128">
        <f t="shared" si="64"/>
        <v>1625</v>
      </c>
      <c r="AX439" s="128">
        <f t="shared" ca="1" si="60"/>
        <v>-18.624000000000006</v>
      </c>
      <c r="AY439" s="129">
        <f t="shared" ca="1" si="61"/>
        <v>1.4960570012328709</v>
      </c>
      <c r="BB439" s="128">
        <f t="shared" ca="1" si="62"/>
        <v>-18.624000000000006</v>
      </c>
      <c r="BC439" s="129">
        <f t="shared" ca="1" si="63"/>
        <v>-1.4960570012328709</v>
      </c>
      <c r="BD439" s="157"/>
    </row>
    <row r="440" spans="2:56">
      <c r="B440" s="156"/>
      <c r="F440" s="157"/>
      <c r="G440" s="2" t="s">
        <v>7</v>
      </c>
      <c r="H440" s="128">
        <f ca="1">IF(G424&gt;=4,H427,H437)</f>
        <v>8888</v>
      </c>
      <c r="I440" s="139">
        <f ca="1">IF(G424&gt;=4,I439-P417,I437)</f>
        <v>8887.5</v>
      </c>
      <c r="AD440" s="157"/>
      <c r="AE440" s="2" t="s">
        <v>7</v>
      </c>
      <c r="AF440" s="128">
        <f ca="1">IF($AE424,H440,AF430)</f>
        <v>8888</v>
      </c>
      <c r="AG440" s="129">
        <f ca="1">IF($AE424,I440,AG430)</f>
        <v>8887.5</v>
      </c>
      <c r="AW440" s="128">
        <f t="shared" si="64"/>
        <v>1657</v>
      </c>
      <c r="AX440" s="128">
        <f t="shared" ca="1" si="60"/>
        <v>-18.624000000000006</v>
      </c>
      <c r="AY440" s="129">
        <f t="shared" ca="1" si="61"/>
        <v>1.4960570012328709</v>
      </c>
      <c r="BB440" s="128">
        <f t="shared" ca="1" si="62"/>
        <v>-18.624000000000006</v>
      </c>
      <c r="BC440" s="129">
        <f t="shared" ca="1" si="63"/>
        <v>-1.4960570012328709</v>
      </c>
      <c r="BD440" s="157"/>
    </row>
    <row r="441" spans="2:56">
      <c r="B441" s="156"/>
      <c r="F441" s="157"/>
      <c r="G441" s="115" t="s">
        <v>8</v>
      </c>
      <c r="H441" s="188">
        <f ca="1">IF(G424&gt;=4,H426,H437)</f>
        <v>8888</v>
      </c>
      <c r="I441" s="189">
        <f ca="1">IF(G424&gt;=4,I440,I437)</f>
        <v>8887.5</v>
      </c>
      <c r="AD441" s="157"/>
      <c r="AE441" s="115" t="s">
        <v>8</v>
      </c>
      <c r="AF441" s="188">
        <f ca="1">IF($AE424,H441,AF430)</f>
        <v>8888</v>
      </c>
      <c r="AG441" s="196">
        <f ca="1">IF($AE424,I441,AG430)</f>
        <v>8887.5</v>
      </c>
      <c r="AW441" s="128">
        <f t="shared" si="64"/>
        <v>1658</v>
      </c>
      <c r="AX441" s="128">
        <f t="shared" ca="1" si="60"/>
        <v>-18.624000000000006</v>
      </c>
      <c r="AY441" s="129">
        <f t="shared" ca="1" si="61"/>
        <v>1.4960570012328709</v>
      </c>
      <c r="BB441" s="128">
        <f t="shared" ca="1" si="62"/>
        <v>-18.624000000000006</v>
      </c>
      <c r="BC441" s="129">
        <f t="shared" ca="1" si="63"/>
        <v>-1.4960570012328709</v>
      </c>
      <c r="BD441" s="157"/>
    </row>
    <row r="442" spans="2:56">
      <c r="B442" s="156"/>
      <c r="F442" s="157"/>
      <c r="G442" s="2" t="s">
        <v>9</v>
      </c>
      <c r="H442" s="128">
        <f ca="1">IF(G424&gt;=5,H426,H441)</f>
        <v>8888</v>
      </c>
      <c r="I442" s="139">
        <f ca="1">IF(G424&gt;=5,I441-P419,I441)</f>
        <v>8887.5</v>
      </c>
      <c r="AD442" s="157"/>
      <c r="AE442" s="2" t="s">
        <v>9</v>
      </c>
      <c r="AF442" s="128">
        <f ca="1">IF($AE424,H442,AF430)</f>
        <v>8888</v>
      </c>
      <c r="AG442" s="129">
        <f ca="1">IF($AE424,I442,AG430)</f>
        <v>8887.5</v>
      </c>
      <c r="AW442" s="128">
        <f t="shared" si="64"/>
        <v>1659</v>
      </c>
      <c r="AX442" s="128">
        <f t="shared" ca="1" si="60"/>
        <v>-18.624000000000006</v>
      </c>
      <c r="AY442" s="129">
        <f t="shared" ca="1" si="61"/>
        <v>1.4960570012328709</v>
      </c>
      <c r="BB442" s="128">
        <f t="shared" ca="1" si="62"/>
        <v>-18.624000000000006</v>
      </c>
      <c r="BC442" s="129">
        <f t="shared" ca="1" si="63"/>
        <v>-1.4960570012328709</v>
      </c>
      <c r="BD442" s="157"/>
    </row>
    <row r="443" spans="2:56">
      <c r="B443" s="156"/>
      <c r="F443" s="157"/>
      <c r="G443" s="2" t="s">
        <v>196</v>
      </c>
      <c r="H443" s="128">
        <f ca="1">IF(G424&gt;=5,H427,H441)</f>
        <v>8888</v>
      </c>
      <c r="I443" s="139">
        <f ca="1">IF(G424&gt;=5,I442,I441)</f>
        <v>8887.5</v>
      </c>
      <c r="AD443" s="157"/>
      <c r="AE443" s="2" t="s">
        <v>196</v>
      </c>
      <c r="AF443" s="128">
        <f ca="1">IF($AE424,H443,AF430)</f>
        <v>8888</v>
      </c>
      <c r="AG443" s="129">
        <f ca="1">IF($AE424,I443,AG430)</f>
        <v>8887.5</v>
      </c>
      <c r="AW443" s="128">
        <f t="shared" si="64"/>
        <v>1660</v>
      </c>
      <c r="AX443" s="128">
        <f t="shared" ca="1" si="60"/>
        <v>-18.624000000000006</v>
      </c>
      <c r="AY443" s="129">
        <f t="shared" ca="1" si="61"/>
        <v>1.4960570012328709</v>
      </c>
      <c r="BB443" s="128">
        <f t="shared" ca="1" si="62"/>
        <v>-18.624000000000006</v>
      </c>
      <c r="BC443" s="129">
        <f t="shared" ca="1" si="63"/>
        <v>-1.4960570012328709</v>
      </c>
      <c r="BD443" s="157"/>
    </row>
    <row r="444" spans="2:56">
      <c r="B444" s="156"/>
      <c r="F444" s="157"/>
      <c r="G444" s="2" t="s">
        <v>10</v>
      </c>
      <c r="H444" s="128">
        <f ca="1">IF(G424&gt;=5,H427,H441)</f>
        <v>8888</v>
      </c>
      <c r="I444" s="139">
        <f ca="1">IF(G424&gt;=5,I443-P417,I441)</f>
        <v>8887.5</v>
      </c>
      <c r="AD444" s="157"/>
      <c r="AE444" s="2" t="s">
        <v>10</v>
      </c>
      <c r="AF444" s="128">
        <f ca="1">IF($AE424,H444,AF430)</f>
        <v>8888</v>
      </c>
      <c r="AG444" s="129">
        <f ca="1">IF($AE424,I444,AG430)</f>
        <v>8887.5</v>
      </c>
      <c r="AW444" s="128">
        <f t="shared" si="64"/>
        <v>1661</v>
      </c>
      <c r="AX444" s="128">
        <f t="shared" ca="1" si="60"/>
        <v>-18.624000000000006</v>
      </c>
      <c r="AY444" s="129">
        <f t="shared" ca="1" si="61"/>
        <v>1.4960570012328709</v>
      </c>
      <c r="BB444" s="128">
        <f t="shared" ca="1" si="62"/>
        <v>-18.624000000000006</v>
      </c>
      <c r="BC444" s="129">
        <f t="shared" ca="1" si="63"/>
        <v>-1.4960570012328709</v>
      </c>
      <c r="BD444" s="157"/>
    </row>
    <row r="445" spans="2:56">
      <c r="B445" s="156"/>
      <c r="F445" s="157"/>
      <c r="G445" s="2" t="s">
        <v>161</v>
      </c>
      <c r="H445" s="188">
        <f ca="1">IF(G424&gt;=5,H426,H441)</f>
        <v>8888</v>
      </c>
      <c r="I445" s="189">
        <f ca="1">IF(G424&gt;=5,I444,I441)</f>
        <v>8887.5</v>
      </c>
      <c r="AD445" s="157"/>
      <c r="AE445" s="2" t="s">
        <v>161</v>
      </c>
      <c r="AF445" s="188">
        <f ca="1">IF($AE424,H445,AF430)</f>
        <v>8888</v>
      </c>
      <c r="AG445" s="196">
        <f ca="1">IF($AE424,I445,AG430)</f>
        <v>8887.5</v>
      </c>
      <c r="AW445" s="128">
        <f t="shared" si="64"/>
        <v>1693</v>
      </c>
      <c r="AX445" s="128">
        <f t="shared" ca="1" si="60"/>
        <v>-18.624000000000006</v>
      </c>
      <c r="AY445" s="129">
        <f t="shared" ca="1" si="61"/>
        <v>1.4960570012328709</v>
      </c>
      <c r="BB445" s="128">
        <f t="shared" ca="1" si="62"/>
        <v>-18.624000000000006</v>
      </c>
      <c r="BC445" s="129">
        <f t="shared" ca="1" si="63"/>
        <v>-1.4960570012328709</v>
      </c>
      <c r="BD445" s="157"/>
    </row>
    <row r="446" spans="2:56">
      <c r="B446" s="156"/>
      <c r="F446" s="157"/>
      <c r="G446" s="192" t="s">
        <v>11</v>
      </c>
      <c r="H446" s="128">
        <f ca="1">IF(G424&gt;=6,H426,H445)</f>
        <v>8888</v>
      </c>
      <c r="I446" s="139">
        <f ca="1">IF(G424&gt;=6,I445-P419,I445)</f>
        <v>8887.5</v>
      </c>
      <c r="AD446" s="157"/>
      <c r="AE446" s="192" t="s">
        <v>11</v>
      </c>
      <c r="AF446" s="128">
        <f ca="1">IF($AE424,H446,AF430)</f>
        <v>8888</v>
      </c>
      <c r="AG446" s="129">
        <f ca="1">IF($AE424,I446,AG430)</f>
        <v>8887.5</v>
      </c>
      <c r="AW446" s="128">
        <f t="shared" si="64"/>
        <v>1694</v>
      </c>
      <c r="AX446" s="128">
        <f t="shared" ca="1" si="60"/>
        <v>-18.624000000000006</v>
      </c>
      <c r="AY446" s="129">
        <f t="shared" ca="1" si="61"/>
        <v>1.4960570012328709</v>
      </c>
      <c r="BB446" s="128">
        <f t="shared" ca="1" si="62"/>
        <v>-18.624000000000006</v>
      </c>
      <c r="BC446" s="129">
        <f t="shared" ca="1" si="63"/>
        <v>-1.4960570012328709</v>
      </c>
      <c r="BD446" s="157"/>
    </row>
    <row r="447" spans="2:56">
      <c r="B447" s="156"/>
      <c r="F447" s="157"/>
      <c r="G447" s="2" t="s">
        <v>12</v>
      </c>
      <c r="H447" s="128">
        <f ca="1">IF(G424&gt;=6,H427,H445)</f>
        <v>8888</v>
      </c>
      <c r="I447" s="139">
        <f ca="1">IF(G424&gt;=6,I446,I445)</f>
        <v>8887.5</v>
      </c>
      <c r="AD447" s="157"/>
      <c r="AE447" s="2" t="s">
        <v>12</v>
      </c>
      <c r="AF447" s="128">
        <f ca="1">IF($AE424,H447,AF430)</f>
        <v>8888</v>
      </c>
      <c r="AG447" s="129">
        <f ca="1">IF($AE424,I447,AG430)</f>
        <v>8887.5</v>
      </c>
      <c r="AW447" s="128">
        <f t="shared" si="64"/>
        <v>1695</v>
      </c>
      <c r="AX447" s="128">
        <f t="shared" ca="1" si="60"/>
        <v>-18.624000000000006</v>
      </c>
      <c r="AY447" s="129">
        <f t="shared" ca="1" si="61"/>
        <v>1.4960570012328709</v>
      </c>
      <c r="BB447" s="128">
        <f t="shared" ca="1" si="62"/>
        <v>-18.624000000000006</v>
      </c>
      <c r="BC447" s="129">
        <f t="shared" ca="1" si="63"/>
        <v>-1.4960570012328709</v>
      </c>
      <c r="BD447" s="157"/>
    </row>
    <row r="448" spans="2:56">
      <c r="B448" s="156"/>
      <c r="F448" s="157"/>
      <c r="G448" s="2" t="s">
        <v>13</v>
      </c>
      <c r="H448" s="128">
        <f ca="1">IF(G424&gt;=6,H427,H445)</f>
        <v>8888</v>
      </c>
      <c r="I448" s="139">
        <f ca="1">IF(G424&gt;=6,I447-P417,I445)</f>
        <v>8887.5</v>
      </c>
      <c r="AD448" s="157"/>
      <c r="AE448" s="2" t="s">
        <v>13</v>
      </c>
      <c r="AF448" s="128">
        <f ca="1">IF($AE424,H448,AF430)</f>
        <v>8888</v>
      </c>
      <c r="AG448" s="129">
        <f ca="1">IF($AE424,I448,AG430)</f>
        <v>8887.5</v>
      </c>
      <c r="AW448" s="128">
        <f t="shared" si="64"/>
        <v>1696</v>
      </c>
      <c r="AX448" s="128">
        <f t="shared" ca="1" si="60"/>
        <v>-18.624000000000006</v>
      </c>
      <c r="AY448" s="129">
        <f t="shared" ca="1" si="61"/>
        <v>1.4960570012328709</v>
      </c>
      <c r="BB448" s="128">
        <f t="shared" ca="1" si="62"/>
        <v>-18.624000000000006</v>
      </c>
      <c r="BC448" s="129">
        <f t="shared" ca="1" si="63"/>
        <v>-1.4960570012328709</v>
      </c>
      <c r="BD448" s="157"/>
    </row>
    <row r="449" spans="2:56">
      <c r="B449" s="156"/>
      <c r="F449" s="157"/>
      <c r="G449" s="115" t="s">
        <v>14</v>
      </c>
      <c r="H449" s="188">
        <f ca="1">IF(G424&gt;=6,H426,H445)</f>
        <v>8888</v>
      </c>
      <c r="I449" s="189">
        <f ca="1">IF(G424&gt;=6,I448,I445)</f>
        <v>8887.5</v>
      </c>
      <c r="AD449" s="157"/>
      <c r="AE449" s="115" t="s">
        <v>14</v>
      </c>
      <c r="AF449" s="188">
        <f ca="1">IF($AE424,H449,AF430)</f>
        <v>8888</v>
      </c>
      <c r="AG449" s="196">
        <f ca="1">IF($AE424,I449,AG430)</f>
        <v>8887.5</v>
      </c>
      <c r="AW449" s="128">
        <f t="shared" si="64"/>
        <v>1697</v>
      </c>
      <c r="AX449" s="128">
        <f t="shared" ca="1" si="60"/>
        <v>-18.624000000000006</v>
      </c>
      <c r="AY449" s="129">
        <f t="shared" ca="1" si="61"/>
        <v>1.4960570012328709</v>
      </c>
      <c r="BB449" s="128">
        <f t="shared" ca="1" si="62"/>
        <v>-18.624000000000006</v>
      </c>
      <c r="BC449" s="129">
        <f t="shared" ca="1" si="63"/>
        <v>-1.4960570012328709</v>
      </c>
      <c r="BD449" s="157"/>
    </row>
    <row r="450" spans="2:56" ht="15" thickBot="1">
      <c r="B450" s="156"/>
      <c r="G450" s="130" t="s">
        <v>396</v>
      </c>
      <c r="H450" s="130">
        <f ca="1">H426</f>
        <v>8888</v>
      </c>
      <c r="I450" s="140">
        <f ca="1">I426</f>
        <v>8888</v>
      </c>
      <c r="AE450" s="130" t="s">
        <v>396</v>
      </c>
      <c r="AF450" s="130">
        <f ca="1">IF($AE424,H450,AF430)</f>
        <v>8888</v>
      </c>
      <c r="AG450" s="132">
        <f ca="1">IF($AE424,I450,AG430)</f>
        <v>8888</v>
      </c>
      <c r="AW450" s="128">
        <f t="shared" si="64"/>
        <v>1729</v>
      </c>
      <c r="AX450" s="128">
        <f t="shared" ca="1" si="60"/>
        <v>-18.624000000000006</v>
      </c>
      <c r="AY450" s="129">
        <f t="shared" ca="1" si="61"/>
        <v>1.4960570012328709</v>
      </c>
      <c r="BB450" s="128">
        <f t="shared" ca="1" si="62"/>
        <v>-18.624000000000006</v>
      </c>
      <c r="BC450" s="129">
        <f t="shared" ca="1" si="63"/>
        <v>-1.4960570012328709</v>
      </c>
      <c r="BD450" s="157"/>
    </row>
    <row r="451" spans="2:56">
      <c r="B451" s="156"/>
      <c r="AW451" s="128">
        <f t="shared" si="64"/>
        <v>1730</v>
      </c>
      <c r="AX451" s="128">
        <f t="shared" ca="1" si="60"/>
        <v>-18.624000000000006</v>
      </c>
      <c r="AY451" s="129">
        <f t="shared" ca="1" si="61"/>
        <v>1.4960570012328709</v>
      </c>
      <c r="BB451" s="128">
        <f t="shared" ca="1" si="62"/>
        <v>-18.624000000000006</v>
      </c>
      <c r="BC451" s="129">
        <f t="shared" ca="1" si="63"/>
        <v>-1.4960570012328709</v>
      </c>
      <c r="BD451" s="157"/>
    </row>
    <row r="452" spans="2:56">
      <c r="B452" s="156"/>
      <c r="AW452" s="128">
        <f t="shared" si="64"/>
        <v>1731</v>
      </c>
      <c r="AX452" s="128">
        <f t="shared" ca="1" si="60"/>
        <v>-18.624000000000006</v>
      </c>
      <c r="AY452" s="129">
        <f t="shared" ca="1" si="61"/>
        <v>1.4960570012328709</v>
      </c>
      <c r="BB452" s="128">
        <f t="shared" ca="1" si="62"/>
        <v>-18.624000000000006</v>
      </c>
      <c r="BC452" s="129">
        <f t="shared" ca="1" si="63"/>
        <v>-1.4960570012328709</v>
      </c>
      <c r="BD452" s="157"/>
    </row>
    <row r="453" spans="2:56">
      <c r="B453" s="156"/>
      <c r="C453" s="200" t="s">
        <v>336</v>
      </c>
      <c r="D453">
        <f>D417+1</f>
        <v>8</v>
      </c>
      <c r="G453" s="200" t="s">
        <v>638</v>
      </c>
      <c r="H453">
        <f ca="1">LOOKUP(D456,$C$191:$C$196,$D$191:$D$196)</f>
        <v>0</v>
      </c>
      <c r="K453" s="200" t="s">
        <v>644</v>
      </c>
      <c r="L453">
        <f ca="1">L417-H458</f>
        <v>-7.7619999999999996</v>
      </c>
      <c r="O453" s="200" t="s">
        <v>404</v>
      </c>
      <c r="P453">
        <f ca="1">IF(D455=1,SEAT_w_cushion_FC,IF(D455=2,SEAT_w_cushion_BC,IF(D455=3,SEAT_w_cushion_YC,0)))</f>
        <v>0.5</v>
      </c>
      <c r="S453" s="200" t="s">
        <v>647</v>
      </c>
      <c r="T453">
        <f ca="1">LOOKUP(D456,$C$191:$C$196,$E$191:$E$196)</f>
        <v>0</v>
      </c>
      <c r="W453" t="s">
        <v>130</v>
      </c>
      <c r="X453" t="str">
        <f ca="1">OFFSET(Fuselage!$B$275,D453,5)</f>
        <v>None</v>
      </c>
      <c r="AN453" s="200" t="s">
        <v>135</v>
      </c>
      <c r="AO453">
        <f ca="1">MAX(0,H458-MAX(T453,T455,T457,P454)-X454)</f>
        <v>0.37000000000000005</v>
      </c>
      <c r="AW453" s="128">
        <f t="shared" si="64"/>
        <v>1732</v>
      </c>
      <c r="AX453" s="128">
        <f t="shared" ca="1" si="60"/>
        <v>-18.624000000000006</v>
      </c>
      <c r="AY453" s="129">
        <f t="shared" ca="1" si="61"/>
        <v>1.4960570012328709</v>
      </c>
      <c r="BB453" s="128">
        <f t="shared" ca="1" si="62"/>
        <v>-18.624000000000006</v>
      </c>
      <c r="BC453" s="129">
        <f t="shared" ca="1" si="63"/>
        <v>-1.4960570012328709</v>
      </c>
      <c r="BD453" s="157"/>
    </row>
    <row r="454" spans="2:56">
      <c r="B454" s="156"/>
      <c r="C454" s="200" t="s">
        <v>200</v>
      </c>
      <c r="D454">
        <f ca="1">OFFSET(Fuselage!$B$275,D453,0)</f>
        <v>7</v>
      </c>
      <c r="G454" s="200" t="s">
        <v>639</v>
      </c>
      <c r="H454">
        <f ca="1">LOOKUP(D457,$C$191:$C$196,$D$191:$D$196)</f>
        <v>0</v>
      </c>
      <c r="O454" s="200" t="s">
        <v>535</v>
      </c>
      <c r="P454">
        <f ca="1">IF(D455=1,SEAT_length_FC,IF(D455=2,SEAT_length_BC,IF(D455=3,SEAT_length_YC,0)))</f>
        <v>0.43</v>
      </c>
      <c r="S454" s="200" t="s">
        <v>648</v>
      </c>
      <c r="T454">
        <f ca="1">LOOKUP(D456,$C$191:$C$196,$F$191:$F$196)</f>
        <v>0</v>
      </c>
      <c r="W454" t="s">
        <v>131</v>
      </c>
      <c r="X454">
        <f ca="1">LOOKUP(X453,$I$191:$I$198,$J$191:$J$198)</f>
        <v>0</v>
      </c>
      <c r="AW454" s="128">
        <f t="shared" si="64"/>
        <v>1733</v>
      </c>
      <c r="AX454" s="128">
        <f t="shared" ca="1" si="60"/>
        <v>-18.624000000000006</v>
      </c>
      <c r="AY454" s="129">
        <f t="shared" ca="1" si="61"/>
        <v>1.4960570012328709</v>
      </c>
      <c r="BB454" s="128">
        <f t="shared" ca="1" si="62"/>
        <v>-18.624000000000006</v>
      </c>
      <c r="BC454" s="129">
        <f t="shared" ca="1" si="63"/>
        <v>-1.4960570012328709</v>
      </c>
      <c r="BD454" s="157"/>
    </row>
    <row r="455" spans="2:56">
      <c r="B455" s="156"/>
      <c r="C455" s="200" t="s">
        <v>337</v>
      </c>
      <c r="D455">
        <f ca="1">OFFSET(Fuselage!$B$275,D453,4)</f>
        <v>3</v>
      </c>
      <c r="G455" s="200" t="s">
        <v>309</v>
      </c>
      <c r="H455">
        <f ca="1">LOOKUP(D458,$C$191:$C$196,$D$191:$D$196)</f>
        <v>0</v>
      </c>
      <c r="K455" s="200" t="s">
        <v>645</v>
      </c>
      <c r="L455">
        <f ca="1">IF(D455=1,FUSELAGE_nseats_left_FC,IF(D455=2,FUSELAGE_nseats_left_BC,IF(D455=3,FUSELAGE_nseats_left_YC,0)))</f>
        <v>2</v>
      </c>
      <c r="O455" s="200" t="s">
        <v>405</v>
      </c>
      <c r="P455">
        <f ca="1">IF(D455=1,SEAT_w_armrest_FC,IF(D455=2,SEAT_w_armrest_BC,IF(D455=3,SEAT_w_armrest_YC,0)))</f>
        <v>0.06</v>
      </c>
      <c r="S455" s="200" t="s">
        <v>652</v>
      </c>
      <c r="T455">
        <f ca="1">LOOKUP(D457,$C$191:$C$196,$E$191:$E$196)</f>
        <v>0</v>
      </c>
      <c r="W455" s="200" t="s">
        <v>393</v>
      </c>
      <c r="X455" t="b">
        <f ca="1">IF(OFFSET(Fuselage!$B$275,D453,6)="YES",TRUE(),FALSE())</f>
        <v>0</v>
      </c>
      <c r="AW455" s="128">
        <f t="shared" si="64"/>
        <v>1765</v>
      </c>
      <c r="AX455" s="128">
        <f t="shared" ca="1" si="60"/>
        <v>-18.624000000000006</v>
      </c>
      <c r="AY455" s="129">
        <f t="shared" ca="1" si="61"/>
        <v>1.4960570012328709</v>
      </c>
      <c r="BB455" s="128">
        <f t="shared" ca="1" si="62"/>
        <v>-18.624000000000006</v>
      </c>
      <c r="BC455" s="129">
        <f t="shared" ca="1" si="63"/>
        <v>-1.4960570012328709</v>
      </c>
      <c r="BD455" s="157"/>
    </row>
    <row r="456" spans="2:56">
      <c r="B456" s="156"/>
      <c r="C456" s="200" t="s">
        <v>640</v>
      </c>
      <c r="D456" t="str">
        <f ca="1">OFFSET(Fuselage!$B$275,D453,1)</f>
        <v>None</v>
      </c>
      <c r="G456" s="200" t="s">
        <v>132</v>
      </c>
      <c r="H456">
        <f ca="1">IF(D455=1,SEAT_pitch_FC,IF(D455=2,SEAT_pitch_BC,IF(D455=3,SEAT_pitch_YC,0)))</f>
        <v>0.8</v>
      </c>
      <c r="K456" s="200" t="s">
        <v>646</v>
      </c>
      <c r="L456">
        <f ca="1">IF(D455=1,FUSELAGE_nseats_middle_FC,IF(D455=2,FUSELAGE_nseats_middle_BC,IF(D455=3,FUSELAGE_nseats_middle_YC,0)))</f>
        <v>0</v>
      </c>
      <c r="S456" s="200" t="s">
        <v>653</v>
      </c>
      <c r="T456">
        <f ca="1">LOOKUP(D457,$C$191:$C$196,$F$191:$F$196)</f>
        <v>0</v>
      </c>
      <c r="AW456" s="128">
        <f t="shared" si="64"/>
        <v>1766</v>
      </c>
      <c r="AX456" s="128">
        <f t="shared" ca="1" si="60"/>
        <v>-18.624000000000006</v>
      </c>
      <c r="AY456" s="129">
        <f t="shared" ca="1" si="61"/>
        <v>1.4960570012328709</v>
      </c>
      <c r="BB456" s="128">
        <f t="shared" ca="1" si="62"/>
        <v>-18.624000000000006</v>
      </c>
      <c r="BC456" s="129">
        <f t="shared" ca="1" si="63"/>
        <v>-1.4960570012328709</v>
      </c>
      <c r="BD456" s="157"/>
    </row>
    <row r="457" spans="2:56">
      <c r="B457" s="156"/>
      <c r="C457" s="200" t="s">
        <v>642</v>
      </c>
      <c r="D457" t="str">
        <f ca="1">OFFSET(Fuselage!$B$275,D453,2)</f>
        <v>None</v>
      </c>
      <c r="G457" s="200" t="s">
        <v>129</v>
      </c>
      <c r="H457">
        <f ca="1">IF(OR(X453="Type A",X453="Type B"),MAX(H453:H456)+42*0.0254,IF(X453="Type C",MAX(H453:H456)+X454,IF(X453&lt;&gt;"None",24*0.0254,0)))</f>
        <v>0</v>
      </c>
      <c r="K457" s="200" t="s">
        <v>655</v>
      </c>
      <c r="L457">
        <f ca="1">IF(D455=1,FUSELAGE_nseats_right_FC,IF(D455=2,FUSELAGE_nseats_right_BC,IF(D455=3,FUSELAGE_nseats_right_YC,0)))</f>
        <v>2</v>
      </c>
      <c r="O457" s="200" t="s">
        <v>407</v>
      </c>
      <c r="P457">
        <f ca="1">($C$13-(L455+L456+L457)*(P453+P455)+(FUSELAGE_n_aisles-1)*P455)/FUSELAGE_n_aisles</f>
        <v>0.51999999999999957</v>
      </c>
      <c r="S457" s="200" t="s">
        <v>651</v>
      </c>
      <c r="T457">
        <f ca="1">LOOKUP(D458,$C$191:$C$196,$E$191:$E$196)</f>
        <v>0</v>
      </c>
      <c r="AW457" s="128">
        <f t="shared" si="64"/>
        <v>1767</v>
      </c>
      <c r="AX457" s="128">
        <f t="shared" ca="1" si="60"/>
        <v>-18.624000000000006</v>
      </c>
      <c r="AY457" s="129">
        <f t="shared" ca="1" si="61"/>
        <v>1.4960570012328709</v>
      </c>
      <c r="BB457" s="128">
        <f t="shared" ca="1" si="62"/>
        <v>-18.624000000000006</v>
      </c>
      <c r="BC457" s="129">
        <f t="shared" ca="1" si="63"/>
        <v>-1.4960570012328709</v>
      </c>
      <c r="BD457" s="157"/>
    </row>
    <row r="458" spans="2:56">
      <c r="B458" s="156"/>
      <c r="C458" s="200" t="s">
        <v>641</v>
      </c>
      <c r="D458" t="str">
        <f ca="1">OFFSET(Fuselage!$B$275,D453,3)</f>
        <v>None</v>
      </c>
      <c r="G458" s="200" t="s">
        <v>643</v>
      </c>
      <c r="H458">
        <f ca="1">MAX(H453:H457)</f>
        <v>0.8</v>
      </c>
      <c r="S458" s="200" t="s">
        <v>654</v>
      </c>
      <c r="T458">
        <f ca="1">LOOKUP(D458,$C$191:$C$196,$F$191:$F$196)</f>
        <v>0</v>
      </c>
      <c r="AW458" s="128">
        <f t="shared" si="64"/>
        <v>1768</v>
      </c>
      <c r="AX458" s="128">
        <f t="shared" ca="1" si="60"/>
        <v>-18.624000000000006</v>
      </c>
      <c r="AY458" s="129">
        <f t="shared" ca="1" si="61"/>
        <v>1.4960570012328709</v>
      </c>
      <c r="BB458" s="128">
        <f t="shared" ca="1" si="62"/>
        <v>-18.624000000000006</v>
      </c>
      <c r="BC458" s="129">
        <f t="shared" ca="1" si="63"/>
        <v>-1.4960570012328709</v>
      </c>
      <c r="BD458" s="157"/>
    </row>
    <row r="459" spans="2:56" ht="15" thickBot="1">
      <c r="B459" s="156"/>
      <c r="AW459" s="128">
        <f t="shared" si="64"/>
        <v>1769</v>
      </c>
      <c r="AX459" s="128">
        <f t="shared" ca="1" si="60"/>
        <v>-18.624000000000006</v>
      </c>
      <c r="AY459" s="129">
        <f t="shared" ca="1" si="61"/>
        <v>1.4960570012328709</v>
      </c>
      <c r="BB459" s="128">
        <f t="shared" ca="1" si="62"/>
        <v>-18.624000000000006</v>
      </c>
      <c r="BC459" s="129">
        <f t="shared" ca="1" si="63"/>
        <v>-1.4960570012328709</v>
      </c>
      <c r="BD459" s="157"/>
    </row>
    <row r="460" spans="2:56" ht="15" thickBot="1">
      <c r="B460" s="156"/>
      <c r="C460" s="141">
        <f ca="1">L457</f>
        <v>2</v>
      </c>
      <c r="D460" s="197" t="str">
        <f ca="1">IF($D455=1,"FC",IF($D455=2,"BC",IF($D455=3,"YC","Nothing")))</f>
        <v>YC</v>
      </c>
      <c r="E460" s="198"/>
      <c r="G460" s="141">
        <f ca="1">L456</f>
        <v>0</v>
      </c>
      <c r="H460" s="197" t="str">
        <f ca="1">IF($D455=1,"FC",IF($D455=2,"BC",IF($D455=3,"YC","Nothing")))</f>
        <v>YC</v>
      </c>
      <c r="I460" s="198"/>
      <c r="K460" s="141">
        <f ca="1" xml:space="preserve"> L455</f>
        <v>2</v>
      </c>
      <c r="L460" s="197" t="str">
        <f ca="1">IF($D455=1,"FC",IF($D455=2,"BC",IF($D455=3,"YC","Nothing")))</f>
        <v>YC</v>
      </c>
      <c r="M460" s="198"/>
      <c r="O460" s="141">
        <f ca="1">IF($D458&lt;&gt;"None",1,0)</f>
        <v>0</v>
      </c>
      <c r="P460" s="326" t="s">
        <v>380</v>
      </c>
      <c r="Q460" s="327"/>
      <c r="S460" s="141">
        <f ca="1">IF($D457&lt;&gt;"None",1,0)</f>
        <v>0</v>
      </c>
      <c r="T460" s="326" t="s">
        <v>381</v>
      </c>
      <c r="U460" s="327"/>
      <c r="W460" s="141">
        <f ca="1">IF($D456&lt;&gt;"None",1,0)</f>
        <v>0</v>
      </c>
      <c r="X460" s="326" t="s">
        <v>382</v>
      </c>
      <c r="Y460" s="327"/>
      <c r="AA460" s="141">
        <f ca="1">IF($D458="None",1,0)</f>
        <v>1</v>
      </c>
      <c r="AB460" s="326" t="str">
        <f ca="1">IF(AA460,D460,$D458)</f>
        <v>YC</v>
      </c>
      <c r="AC460" s="327"/>
      <c r="AE460" s="141">
        <f ca="1">IF($D457="None",1,0)</f>
        <v>1</v>
      </c>
      <c r="AF460" s="326" t="str">
        <f ca="1">IF(AE460,H460,$D457)</f>
        <v>YC</v>
      </c>
      <c r="AG460" s="327"/>
      <c r="AI460" s="141">
        <f ca="1">IF($D456="None",1,0)</f>
        <v>1</v>
      </c>
      <c r="AJ460" s="326" t="str">
        <f ca="1">IF(AI460,L460,$D456)</f>
        <v>YC</v>
      </c>
      <c r="AK460" s="327"/>
      <c r="AM460" s="141">
        <f ca="1">IF($X453="None",0,1)</f>
        <v>0</v>
      </c>
      <c r="AN460" s="197" t="s">
        <v>133</v>
      </c>
      <c r="AO460" s="198"/>
      <c r="AQ460" s="141">
        <f ca="1">IF($X453="None",0,1)</f>
        <v>0</v>
      </c>
      <c r="AR460" s="197" t="s">
        <v>134</v>
      </c>
      <c r="AS460" s="198"/>
      <c r="AW460" s="128">
        <f t="shared" si="64"/>
        <v>1801</v>
      </c>
      <c r="AX460" s="128">
        <f t="shared" ca="1" si="60"/>
        <v>-18.624000000000006</v>
      </c>
      <c r="AY460" s="129">
        <f t="shared" ca="1" si="61"/>
        <v>1.4960570012328709</v>
      </c>
      <c r="BB460" s="128">
        <f t="shared" ca="1" si="62"/>
        <v>-18.624000000000006</v>
      </c>
      <c r="BC460" s="129">
        <f t="shared" ca="1" si="63"/>
        <v>-1.4960570012328709</v>
      </c>
      <c r="BD460" s="157"/>
    </row>
    <row r="461" spans="2:56" ht="15" thickBot="1">
      <c r="B461" s="156"/>
      <c r="C461" s="136" t="s">
        <v>452</v>
      </c>
      <c r="D461" s="136" t="s">
        <v>384</v>
      </c>
      <c r="E461" s="138" t="s">
        <v>385</v>
      </c>
      <c r="G461" s="136" t="s">
        <v>452</v>
      </c>
      <c r="H461" s="136" t="s">
        <v>384</v>
      </c>
      <c r="I461" s="138" t="s">
        <v>385</v>
      </c>
      <c r="K461" s="193" t="s">
        <v>452</v>
      </c>
      <c r="L461" s="193" t="s">
        <v>384</v>
      </c>
      <c r="M461" s="194" t="s">
        <v>385</v>
      </c>
      <c r="O461" s="136" t="s">
        <v>452</v>
      </c>
      <c r="P461" s="136" t="s">
        <v>384</v>
      </c>
      <c r="Q461" s="138" t="s">
        <v>385</v>
      </c>
      <c r="S461" s="136" t="s">
        <v>452</v>
      </c>
      <c r="T461" s="136" t="s">
        <v>384</v>
      </c>
      <c r="U461" s="138" t="s">
        <v>385</v>
      </c>
      <c r="W461" s="136" t="s">
        <v>452</v>
      </c>
      <c r="X461" s="136" t="s">
        <v>384</v>
      </c>
      <c r="Y461" s="138" t="s">
        <v>385</v>
      </c>
      <c r="AA461" s="136" t="s">
        <v>452</v>
      </c>
      <c r="AB461" s="136" t="s">
        <v>384</v>
      </c>
      <c r="AC461" s="138" t="s">
        <v>385</v>
      </c>
      <c r="AE461" s="136" t="s">
        <v>452</v>
      </c>
      <c r="AF461" s="136" t="s">
        <v>384</v>
      </c>
      <c r="AG461" s="138" t="s">
        <v>385</v>
      </c>
      <c r="AI461" s="193" t="s">
        <v>452</v>
      </c>
      <c r="AJ461" s="193" t="s">
        <v>384</v>
      </c>
      <c r="AK461" s="194" t="s">
        <v>385</v>
      </c>
      <c r="AM461" s="193" t="s">
        <v>452</v>
      </c>
      <c r="AN461" s="193" t="s">
        <v>384</v>
      </c>
      <c r="AO461" s="194" t="s">
        <v>385</v>
      </c>
      <c r="AQ461" s="193" t="s">
        <v>452</v>
      </c>
      <c r="AR461" s="193" t="s">
        <v>384</v>
      </c>
      <c r="AS461" s="194" t="s">
        <v>385</v>
      </c>
      <c r="AW461" s="128">
        <f t="shared" si="64"/>
        <v>1802</v>
      </c>
      <c r="AX461" s="128">
        <f t="shared" ca="1" si="60"/>
        <v>-18.624000000000006</v>
      </c>
      <c r="AY461" s="129">
        <f t="shared" ca="1" si="61"/>
        <v>1.4960570012328709</v>
      </c>
      <c r="BB461" s="128">
        <f t="shared" ca="1" si="62"/>
        <v>-18.624000000000006</v>
      </c>
      <c r="BC461" s="129">
        <f t="shared" ca="1" si="63"/>
        <v>-1.4960570012328709</v>
      </c>
      <c r="BD461" s="157"/>
    </row>
    <row r="462" spans="2:56">
      <c r="B462" s="156"/>
      <c r="C462" s="128" t="s">
        <v>396</v>
      </c>
      <c r="D462" s="158">
        <f ca="1">IF(C460&gt;=1,L453,8888)</f>
        <v>-7.7619999999999996</v>
      </c>
      <c r="E462" s="160">
        <f ca="1">IF(C460&gt;=1,1/2*($C$13-P453-2*P455)+1/2*P453,8888)</f>
        <v>1.3199999999999998</v>
      </c>
      <c r="G462" s="128" t="s">
        <v>396</v>
      </c>
      <c r="H462" s="158">
        <f ca="1">IF(G460&gt;=1,L453,8888)</f>
        <v>8888</v>
      </c>
      <c r="I462" s="160">
        <f ca="1">IF(G460&gt;=1,E473-P457,8888)</f>
        <v>8888</v>
      </c>
      <c r="K462" s="128" t="s">
        <v>396</v>
      </c>
      <c r="L462" s="158">
        <f ca="1">IF(K460&gt;=1,L453,8888)</f>
        <v>-7.7619999999999996</v>
      </c>
      <c r="M462" s="160">
        <f ca="1">IF(K460&gt;=1,IF(FUSELAGE_n_aisles=1,E473-P457,I485-P457),8888)</f>
        <v>-0.25999999999999979</v>
      </c>
      <c r="O462" s="128" t="s">
        <v>396</v>
      </c>
      <c r="P462" s="158">
        <f ca="1">IF(O460,$L453,8888)</f>
        <v>8888</v>
      </c>
      <c r="Q462" s="209">
        <f ca="1">IF(O460,FUSELAGE_y_position_of_left_seat_YC-(FUSELAGE_nseats_right_YC-1)*(SEAT_w_cushion_YC+SEAT_w_armrest_YC)/2+T458/2,8888)</f>
        <v>8888</v>
      </c>
      <c r="S462" s="128" t="s">
        <v>396</v>
      </c>
      <c r="T462" s="158">
        <f ca="1">IF(S460,$L453,8888)</f>
        <v>8888</v>
      </c>
      <c r="U462" s="160">
        <f ca="1">IF(S460,T456/2,8888)</f>
        <v>8888</v>
      </c>
      <c r="W462" s="128" t="s">
        <v>396</v>
      </c>
      <c r="X462" s="158">
        <f ca="1">IF(W460,$L453,8888)</f>
        <v>8888</v>
      </c>
      <c r="Y462" s="160">
        <f ca="1">IF(W460,-FUSELAGE_y_position_of_left_seat_YC+(FUSELAGE_nseats_left_YC-1)*(SEAT_w_cushion_YC+SEAT_w_armrest_YC)/2-T454/2,8888)</f>
        <v>8888</v>
      </c>
      <c r="AA462" s="128" t="s">
        <v>396</v>
      </c>
      <c r="AB462" s="158">
        <f ca="1">IF($AA460,D462,P462)</f>
        <v>-7.7619999999999996</v>
      </c>
      <c r="AC462" s="174">
        <f ca="1">IF($AA460,E462,Q462)</f>
        <v>1.3199999999999998</v>
      </c>
      <c r="AE462" s="128" t="s">
        <v>396</v>
      </c>
      <c r="AF462" s="158">
        <f ca="1">IF($AE460,H462,T462)</f>
        <v>8888</v>
      </c>
      <c r="AG462" s="174">
        <f ca="1">IF($AE460,I462,U462)</f>
        <v>8888</v>
      </c>
      <c r="AI462" s="128" t="s">
        <v>396</v>
      </c>
      <c r="AJ462" s="158">
        <f ca="1">IF($AI460,L462,X462)</f>
        <v>-7.7619999999999996</v>
      </c>
      <c r="AK462" s="174">
        <f ca="1">IF($AI460,M462,Y462)</f>
        <v>-0.25999999999999979</v>
      </c>
      <c r="AM462" s="128" t="s">
        <v>396</v>
      </c>
      <c r="AN462" s="158">
        <f ca="1">AN431</f>
        <v>-6.9619999999999997</v>
      </c>
      <c r="AO462" s="174">
        <f ca="1">IF(AN462&gt;-Fuselage!$D$366,(FUSELAGE_a_ellipse)*SQRT(1-((AN462+Fuselage!$D$366)/(Fuselage!$K$364-FUSELAGE_t_fuselage))^2),IF(AN462&gt;$L$2505+Fuselage!$K$370,FUSELAGE_a_ellipse,(FUSELAGE_a_ellipse+FUSELAGE_t_fuselage-FUSELAGE_d_fo/4)/Fuselage!$K$368*(AN462-$L$2505-Fuselage!$K$370)+FUSELAGE_a_ellipse))</f>
        <v>1.4960570012328709</v>
      </c>
      <c r="AQ462" s="128" t="s">
        <v>396</v>
      </c>
      <c r="AR462" s="158">
        <f t="shared" ref="AR462:AR467" ca="1" si="67">AN462</f>
        <v>-6.9619999999999997</v>
      </c>
      <c r="AS462" s="174">
        <f t="shared" ref="AS462:AS467" ca="1" si="68">-AO462</f>
        <v>-1.4960570012328709</v>
      </c>
      <c r="AW462" s="128">
        <f t="shared" si="64"/>
        <v>1803</v>
      </c>
      <c r="AX462" s="128">
        <f t="shared" ca="1" si="60"/>
        <v>-18.624000000000006</v>
      </c>
      <c r="AY462" s="129">
        <f t="shared" ca="1" si="61"/>
        <v>1.4960570012328709</v>
      </c>
      <c r="BB462" s="128">
        <f t="shared" ca="1" si="62"/>
        <v>-18.624000000000006</v>
      </c>
      <c r="BC462" s="129">
        <f t="shared" ca="1" si="63"/>
        <v>-1.4960570012328709</v>
      </c>
      <c r="BD462" s="157"/>
    </row>
    <row r="463" spans="2:56">
      <c r="B463" s="156"/>
      <c r="C463" s="128" t="s">
        <v>213</v>
      </c>
      <c r="D463" s="128">
        <f ca="1">IF(X455,D462+P454/4,D462+P454)</f>
        <v>-7.3319999999999999</v>
      </c>
      <c r="E463" s="139">
        <f ca="1">E462</f>
        <v>1.3199999999999998</v>
      </c>
      <c r="G463" s="128" t="s">
        <v>213</v>
      </c>
      <c r="H463" s="128">
        <f ca="1">H462+P454</f>
        <v>8888.43</v>
      </c>
      <c r="I463" s="139">
        <f ca="1">I462</f>
        <v>8888</v>
      </c>
      <c r="K463" s="128" t="s">
        <v>213</v>
      </c>
      <c r="L463" s="128">
        <f ca="1">IF(X455,IF(K460=1,L462+P454/4,L462+P454),L462+P454)</f>
        <v>-7.3319999999999999</v>
      </c>
      <c r="M463" s="139">
        <f ca="1">M462</f>
        <v>-0.25999999999999979</v>
      </c>
      <c r="O463" s="128" t="s">
        <v>213</v>
      </c>
      <c r="P463" s="128">
        <f ca="1">P462+$T457</f>
        <v>8888</v>
      </c>
      <c r="Q463" s="139">
        <f ca="1">Q462</f>
        <v>8888</v>
      </c>
      <c r="S463" s="128" t="s">
        <v>213</v>
      </c>
      <c r="T463" s="128">
        <f ca="1">T462+$T455</f>
        <v>8888</v>
      </c>
      <c r="U463" s="139">
        <f ca="1">U462</f>
        <v>8888</v>
      </c>
      <c r="W463" s="128" t="s">
        <v>213</v>
      </c>
      <c r="X463" s="128">
        <f ca="1">X462+$T453</f>
        <v>8888</v>
      </c>
      <c r="Y463" s="139">
        <f ca="1">Y462</f>
        <v>8888</v>
      </c>
      <c r="AA463" s="143" t="s">
        <v>213</v>
      </c>
      <c r="AB463" s="128">
        <f ca="1">IF($AA460,D463,P463)</f>
        <v>-7.3319999999999999</v>
      </c>
      <c r="AC463" s="129">
        <f ca="1">IF($AA460,E463,Q463)</f>
        <v>1.3199999999999998</v>
      </c>
      <c r="AE463" s="128" t="s">
        <v>213</v>
      </c>
      <c r="AF463" s="128">
        <f ca="1">IF($AE460,H463,T463)</f>
        <v>8888.43</v>
      </c>
      <c r="AG463" s="129">
        <f ca="1">IF($AE460,I463,U463)</f>
        <v>8888</v>
      </c>
      <c r="AI463" s="128" t="s">
        <v>213</v>
      </c>
      <c r="AJ463" s="128">
        <f ca="1">IF($AI460,L463,X463)</f>
        <v>-7.3319999999999999</v>
      </c>
      <c r="AK463" s="129">
        <f ca="1">IF($AI460,M463,Y463)</f>
        <v>-0.25999999999999979</v>
      </c>
      <c r="AM463" s="128" t="s">
        <v>213</v>
      </c>
      <c r="AN463" s="128">
        <f ca="1">AN462-AO453/2</f>
        <v>-7.1469999999999994</v>
      </c>
      <c r="AO463" s="129">
        <f ca="1">IF(AN463&gt;-Fuselage!$D$366,(FUSELAGE_a_ellipse)*SQRT(1-((AN463+Fuselage!$D$366)/(Fuselage!$K$364-FUSELAGE_t_fuselage))^2),IF(AN463&gt;$L$2505+Fuselage!$K$370,FUSELAGE_a_ellipse,(FUSELAGE_a_ellipse+FUSELAGE_t_fuselage-FUSELAGE_d_fo/4)/Fuselage!$K$368*(AN463-$L$2505-Fuselage!$K$370)+FUSELAGE_a_ellipse))</f>
        <v>1.4960570012328709</v>
      </c>
      <c r="AQ463" s="128" t="s">
        <v>213</v>
      </c>
      <c r="AR463" s="128">
        <f t="shared" ca="1" si="67"/>
        <v>-7.1469999999999994</v>
      </c>
      <c r="AS463" s="129">
        <f t="shared" ca="1" si="68"/>
        <v>-1.4960570012328709</v>
      </c>
      <c r="AW463" s="128">
        <f t="shared" si="64"/>
        <v>1804</v>
      </c>
      <c r="AX463" s="128">
        <f t="shared" ca="1" si="60"/>
        <v>-18.624000000000006</v>
      </c>
      <c r="AY463" s="129">
        <f t="shared" ca="1" si="61"/>
        <v>1.4960570012328709</v>
      </c>
      <c r="BB463" s="128">
        <f t="shared" ca="1" si="62"/>
        <v>-18.624000000000006</v>
      </c>
      <c r="BC463" s="129">
        <f t="shared" ca="1" si="63"/>
        <v>-1.4960570012328709</v>
      </c>
      <c r="BD463" s="157"/>
    </row>
    <row r="464" spans="2:56">
      <c r="B464" s="156"/>
      <c r="C464" s="128" t="s">
        <v>286</v>
      </c>
      <c r="D464" s="128">
        <f ca="1">D463</f>
        <v>-7.3319999999999999</v>
      </c>
      <c r="E464" s="139">
        <f ca="1">E463-P453</f>
        <v>0.81999999999999984</v>
      </c>
      <c r="G464" s="128" t="s">
        <v>286</v>
      </c>
      <c r="H464" s="128">
        <f ca="1">H463</f>
        <v>8888.43</v>
      </c>
      <c r="I464" s="139">
        <f ca="1">I463-P453</f>
        <v>8887.5</v>
      </c>
      <c r="K464" s="128" t="s">
        <v>286</v>
      </c>
      <c r="L464" s="128">
        <f ca="1">L463</f>
        <v>-7.3319999999999999</v>
      </c>
      <c r="M464" s="139">
        <f ca="1">M463-P453</f>
        <v>-0.75999999999999979</v>
      </c>
      <c r="O464" s="128" t="s">
        <v>286</v>
      </c>
      <c r="P464" s="128">
        <f ca="1">P463</f>
        <v>8888</v>
      </c>
      <c r="Q464" s="139">
        <f ca="1">Q463-$T458</f>
        <v>8888</v>
      </c>
      <c r="S464" s="128" t="s">
        <v>286</v>
      </c>
      <c r="T464" s="128">
        <f ca="1">T463</f>
        <v>8888</v>
      </c>
      <c r="U464" s="139">
        <f ca="1">U463-$T456</f>
        <v>8888</v>
      </c>
      <c r="W464" s="128" t="s">
        <v>286</v>
      </c>
      <c r="X464" s="128">
        <f ca="1">X463</f>
        <v>8888</v>
      </c>
      <c r="Y464" s="139">
        <f ca="1">Y463+$T454</f>
        <v>8888</v>
      </c>
      <c r="AA464" s="143" t="s">
        <v>286</v>
      </c>
      <c r="AB464" s="128">
        <f ca="1">IF($AA460,D464,P464)</f>
        <v>-7.3319999999999999</v>
      </c>
      <c r="AC464" s="129">
        <f ca="1">IF($AA460,E464,Q464)</f>
        <v>0.81999999999999984</v>
      </c>
      <c r="AE464" s="128" t="s">
        <v>286</v>
      </c>
      <c r="AF464" s="128">
        <f ca="1">IF($AE460,H464,T464)</f>
        <v>8888.43</v>
      </c>
      <c r="AG464" s="129">
        <f ca="1">IF($AE460,I464,U464)</f>
        <v>8887.5</v>
      </c>
      <c r="AI464" s="128" t="s">
        <v>286</v>
      </c>
      <c r="AJ464" s="128">
        <f ca="1">IF($AI460,L464,X464)</f>
        <v>-7.3319999999999999</v>
      </c>
      <c r="AK464" s="129">
        <f ca="1">IF($AI460,M464,Y464)</f>
        <v>-0.75999999999999979</v>
      </c>
      <c r="AM464" s="128" t="s">
        <v>286</v>
      </c>
      <c r="AN464" s="128">
        <f ca="1">AN463</f>
        <v>-7.1469999999999994</v>
      </c>
      <c r="AO464" s="129">
        <f ca="1">IF(AN464&gt;-Fuselage!$D$366,IF(AM460,(FUSELAGE_a_ellipse+FUSELAGE_t_fuselage)*SQRT(1-((AN464+Fuselage!$D$366)/Fuselage!$K$364)^2),(FUSELAGE_a_ellipse)*SQRT(1-((AN464+Fuselage!$D$366)/Fuselage!$K$364)^2)),IF(AN464&gt;$L$2505+Fuselage!$K$370,(IF(AM460,FUSELAGE_a_ellipse+FUSELAGE_t_fuselage,FUSELAGE_a_ellipse)),IF(AM460,(FUSELAGE_a_ellipse+FUSELAGE_t_fuselage-FUSELAGE_d_fo/4)/Fuselage!$K$368*(AN464-$L$2505-Fuselage!$K$370)+FUSELAGE_a_ellipse+FUSELAGE_t_fuselage,(FUSELAGE_a_ellipse+FUSELAGE_t_fuselage-FUSELAGE_d_fo/4)/Fuselage!$K$368*(AN464-$L$2505-Fuselage!$K$370)+FUSELAGE_a_ellipse)))</f>
        <v>1.4960570012328709</v>
      </c>
      <c r="AQ464" s="128" t="s">
        <v>286</v>
      </c>
      <c r="AR464" s="128">
        <f t="shared" ca="1" si="67"/>
        <v>-7.1469999999999994</v>
      </c>
      <c r="AS464" s="129">
        <f t="shared" ca="1" si="68"/>
        <v>-1.4960570012328709</v>
      </c>
      <c r="AW464" s="128">
        <f t="shared" si="64"/>
        <v>1805</v>
      </c>
      <c r="AX464" s="128">
        <f t="shared" ca="1" si="60"/>
        <v>-18.624000000000006</v>
      </c>
      <c r="AY464" s="129">
        <f t="shared" ca="1" si="61"/>
        <v>1.4960570012328709</v>
      </c>
      <c r="BB464" s="128">
        <f t="shared" ca="1" si="62"/>
        <v>-18.624000000000006</v>
      </c>
      <c r="BC464" s="129">
        <f t="shared" ca="1" si="63"/>
        <v>-1.4960570012328709</v>
      </c>
      <c r="BD464" s="157"/>
    </row>
    <row r="465" spans="2:56">
      <c r="B465" s="156"/>
      <c r="C465" s="188" t="s">
        <v>522</v>
      </c>
      <c r="D465" s="188">
        <f ca="1">D462</f>
        <v>-7.7619999999999996</v>
      </c>
      <c r="E465" s="189">
        <f ca="1">E464</f>
        <v>0.81999999999999984</v>
      </c>
      <c r="F465" s="157"/>
      <c r="G465" s="2" t="s">
        <v>522</v>
      </c>
      <c r="H465" s="128">
        <f ca="1">H462</f>
        <v>8888</v>
      </c>
      <c r="I465" s="139">
        <f ca="1">I464</f>
        <v>8887.5</v>
      </c>
      <c r="K465" s="128" t="s">
        <v>522</v>
      </c>
      <c r="L465" s="128">
        <f ca="1">L462</f>
        <v>-7.7619999999999996</v>
      </c>
      <c r="M465" s="139">
        <f ca="1">M464</f>
        <v>-0.75999999999999979</v>
      </c>
      <c r="O465" s="188" t="s">
        <v>522</v>
      </c>
      <c r="P465" s="188">
        <f ca="1">P462</f>
        <v>8888</v>
      </c>
      <c r="Q465" s="189">
        <f ca="1">Q464</f>
        <v>8888</v>
      </c>
      <c r="S465" s="188" t="s">
        <v>522</v>
      </c>
      <c r="T465" s="188">
        <f ca="1">T462</f>
        <v>8888</v>
      </c>
      <c r="U465" s="189">
        <f ca="1">U464</f>
        <v>8888</v>
      </c>
      <c r="W465" s="188" t="s">
        <v>522</v>
      </c>
      <c r="X465" s="188">
        <f ca="1">X462</f>
        <v>8888</v>
      </c>
      <c r="Y465" s="189">
        <f ca="1">Y464</f>
        <v>8888</v>
      </c>
      <c r="AA465" s="195" t="s">
        <v>522</v>
      </c>
      <c r="AB465" s="128">
        <f ca="1">IF($AA460,D465,P465)</f>
        <v>-7.7619999999999996</v>
      </c>
      <c r="AC465" s="129">
        <f ca="1">IF($AA460,E465,Q465)</f>
        <v>0.81999999999999984</v>
      </c>
      <c r="AD465" s="157"/>
      <c r="AE465" s="2" t="s">
        <v>522</v>
      </c>
      <c r="AF465" s="188">
        <f ca="1">IF($AE460,H465,T465)</f>
        <v>8888</v>
      </c>
      <c r="AG465" s="196">
        <f ca="1">IF($AE460,I465,U465)</f>
        <v>8887.5</v>
      </c>
      <c r="AI465" s="128" t="s">
        <v>522</v>
      </c>
      <c r="AJ465" s="188">
        <f ca="1">IF($AI460,L465,X465)</f>
        <v>-7.7619999999999996</v>
      </c>
      <c r="AK465" s="196">
        <f ca="1">IF($AI460,M465,Y465)</f>
        <v>-0.75999999999999979</v>
      </c>
      <c r="AM465" s="128" t="s">
        <v>522</v>
      </c>
      <c r="AN465" s="128">
        <f ca="1">AN464-X454</f>
        <v>-7.1469999999999994</v>
      </c>
      <c r="AO465" s="129">
        <f ca="1">IF(AN465&gt;-Fuselage!$D$366,IF(AM460,(FUSELAGE_a_ellipse+FUSELAGE_t_fuselage)*SQRT(1-((AN465+Fuselage!$D$366)/Fuselage!$K$364)^2),(FUSELAGE_a_ellipse)*SQRT(1-((AN465+Fuselage!$D$366)/Fuselage!$K$364)^2)),IF(AN465&gt;$L$2505+Fuselage!$K$370,(IF(AM460,FUSELAGE_a_ellipse+FUSELAGE_t_fuselage,FUSELAGE_a_ellipse)),IF(AM460,(FUSELAGE_a_ellipse+FUSELAGE_t_fuselage-FUSELAGE_d_fo/4)/Fuselage!$K$368*(AN465-$L$2505-Fuselage!$K$370)+FUSELAGE_a_ellipse+FUSELAGE_t_fuselage,(FUSELAGE_a_ellipse+FUSELAGE_t_fuselage-FUSELAGE_d_fo/4)/Fuselage!$K$368*(AN465-$L$2505-Fuselage!$K$370)+FUSELAGE_a_ellipse)))</f>
        <v>1.4960570012328709</v>
      </c>
      <c r="AQ465" s="128" t="s">
        <v>522</v>
      </c>
      <c r="AR465" s="128">
        <f t="shared" ca="1" si="67"/>
        <v>-7.1469999999999994</v>
      </c>
      <c r="AS465" s="129">
        <f t="shared" ca="1" si="68"/>
        <v>-1.4960570012328709</v>
      </c>
      <c r="AW465" s="128">
        <f t="shared" si="64"/>
        <v>1837</v>
      </c>
      <c r="AX465" s="128">
        <f t="shared" ca="1" si="60"/>
        <v>-18.624000000000006</v>
      </c>
      <c r="AY465" s="129">
        <f t="shared" ca="1" si="61"/>
        <v>1.4960570012328709</v>
      </c>
      <c r="BB465" s="128">
        <f t="shared" ca="1" si="62"/>
        <v>-18.624000000000006</v>
      </c>
      <c r="BC465" s="129">
        <f t="shared" ca="1" si="63"/>
        <v>-1.4960570012328709</v>
      </c>
      <c r="BD465" s="157"/>
    </row>
    <row r="466" spans="2:56" ht="15" thickBot="1">
      <c r="B466" s="156"/>
      <c r="C466" s="128" t="s">
        <v>49</v>
      </c>
      <c r="D466" s="128">
        <f ca="1">IF(C460&gt;=2,D462,D465)</f>
        <v>-7.7619999999999996</v>
      </c>
      <c r="E466" s="139">
        <f ca="1">IF(C460&gt;=2,E465-P455,E465)</f>
        <v>0.75999999999999979</v>
      </c>
      <c r="F466" s="157"/>
      <c r="G466" s="192" t="s">
        <v>49</v>
      </c>
      <c r="H466" s="190">
        <f ca="1">IF(G460&gt;=2,H462,H465)</f>
        <v>8888</v>
      </c>
      <c r="I466" s="191">
        <f ca="1">IF(G460&gt;=2,I465-P455,I465)</f>
        <v>8887.5</v>
      </c>
      <c r="K466" s="190" t="s">
        <v>49</v>
      </c>
      <c r="L466" s="190">
        <f ca="1">IF(K460&gt;=2,L462,L465)</f>
        <v>-7.7619999999999996</v>
      </c>
      <c r="M466" s="191">
        <f ca="1">IF(K460&gt;=2,M465-P455,M465)</f>
        <v>-0.81999999999999984</v>
      </c>
      <c r="O466" s="130" t="s">
        <v>396</v>
      </c>
      <c r="P466" s="130">
        <f ca="1">P462</f>
        <v>8888</v>
      </c>
      <c r="Q466" s="140">
        <f ca="1">Q462</f>
        <v>8888</v>
      </c>
      <c r="S466" s="130" t="s">
        <v>396</v>
      </c>
      <c r="T466" s="130">
        <f ca="1">T462</f>
        <v>8888</v>
      </c>
      <c r="U466" s="140">
        <f ca="1">U462</f>
        <v>8888</v>
      </c>
      <c r="W466" s="130" t="s">
        <v>396</v>
      </c>
      <c r="X466" s="130">
        <f ca="1">X462</f>
        <v>8888</v>
      </c>
      <c r="Y466" s="140">
        <f ca="1">Y462</f>
        <v>8888</v>
      </c>
      <c r="AA466" s="143" t="s">
        <v>49</v>
      </c>
      <c r="AB466" s="128">
        <f ca="1">IF($AA460,D466,P466)</f>
        <v>-7.7619999999999996</v>
      </c>
      <c r="AC466" s="129">
        <f ca="1">IF($AA460,E466,Q466)</f>
        <v>0.75999999999999979</v>
      </c>
      <c r="AD466" s="157"/>
      <c r="AE466" s="192" t="s">
        <v>49</v>
      </c>
      <c r="AF466" s="128">
        <f ca="1">IF($AE460,H466,T466)</f>
        <v>8888</v>
      </c>
      <c r="AG466" s="129">
        <f ca="1">IF($AE460,I466,U466)</f>
        <v>8887.5</v>
      </c>
      <c r="AI466" s="190" t="s">
        <v>49</v>
      </c>
      <c r="AJ466" s="128">
        <f ca="1">IF($AI460,L466,X466)</f>
        <v>-7.7619999999999996</v>
      </c>
      <c r="AK466" s="129">
        <f ca="1">IF($AI460,M466,Y466)</f>
        <v>-0.81999999999999984</v>
      </c>
      <c r="AM466" s="128" t="s">
        <v>49</v>
      </c>
      <c r="AN466" s="128">
        <f ca="1">AN465</f>
        <v>-7.1469999999999994</v>
      </c>
      <c r="AO466" s="129">
        <f ca="1">IF(AN466&gt;-Fuselage!$D$366,(FUSELAGE_a_ellipse)*SQRT(1-((AN466+Fuselage!$D$366)/(Fuselage!$K$364-FUSELAGE_t_fuselage))^2),IF(AN466&gt;$L$2505+Fuselage!$K$370,FUSELAGE_a_ellipse,(FUSELAGE_a_ellipse+FUSELAGE_t_fuselage-FUSELAGE_d_fo/4)/Fuselage!$K$368*(AN466-$L$2505-Fuselage!$K$370)+FUSELAGE_a_ellipse))</f>
        <v>1.4960570012328709</v>
      </c>
      <c r="AQ466" s="128" t="s">
        <v>49</v>
      </c>
      <c r="AR466" s="128">
        <f t="shared" ca="1" si="67"/>
        <v>-7.1469999999999994</v>
      </c>
      <c r="AS466" s="129">
        <f t="shared" ca="1" si="68"/>
        <v>-1.4960570012328709</v>
      </c>
      <c r="AW466" s="128">
        <f t="shared" si="64"/>
        <v>1838</v>
      </c>
      <c r="AX466" s="128">
        <f t="shared" ref="AX466:AX509" ca="1" si="69">OFFSET(AN$209,$AW466,0)</f>
        <v>-18.624000000000006</v>
      </c>
      <c r="AY466" s="129">
        <f t="shared" ref="AY466:AY509" ca="1" si="70">OFFSET(AO$209,$AW466,0)</f>
        <v>1.4960570012328709</v>
      </c>
      <c r="BB466" s="128">
        <f t="shared" ref="BB466:BB509" ca="1" si="71">AX466</f>
        <v>-18.624000000000006</v>
      </c>
      <c r="BC466" s="129">
        <f t="shared" ref="BC466:BC509" ca="1" si="72">-AY466</f>
        <v>-1.4960570012328709</v>
      </c>
      <c r="BD466" s="157"/>
    </row>
    <row r="467" spans="2:56">
      <c r="B467" s="156"/>
      <c r="C467" s="128" t="s">
        <v>453</v>
      </c>
      <c r="D467" s="128">
        <f ca="1">IF(C460&gt;=2,D462+P454,D465)</f>
        <v>-7.3319999999999999</v>
      </c>
      <c r="E467" s="139">
        <f ca="1">E466</f>
        <v>0.75999999999999979</v>
      </c>
      <c r="F467" s="157"/>
      <c r="G467" s="2" t="s">
        <v>453</v>
      </c>
      <c r="H467" s="128">
        <f ca="1">IF(G460&gt;=2,H463,H465)</f>
        <v>8888</v>
      </c>
      <c r="I467" s="139">
        <f ca="1">IF(G460&gt;=2,I466,I465)</f>
        <v>8887.5</v>
      </c>
      <c r="K467" s="128" t="s">
        <v>453</v>
      </c>
      <c r="L467" s="128">
        <f ca="1">IF(K460&gt;=2,IF(X455,IF(K460=2,L462+P454/4,L462+P454),L462+P454),L465)</f>
        <v>-7.3319999999999999</v>
      </c>
      <c r="M467" s="139">
        <f ca="1">IF(K460&gt;=2,M466,M465)</f>
        <v>-0.81999999999999984</v>
      </c>
      <c r="AA467" s="143" t="s">
        <v>453</v>
      </c>
      <c r="AB467" s="128">
        <f ca="1">IF($AA460,D467,AB466)</f>
        <v>-7.3319999999999999</v>
      </c>
      <c r="AC467" s="129">
        <f ca="1">IF($AA460,E467,AC466)</f>
        <v>0.75999999999999979</v>
      </c>
      <c r="AD467" s="157"/>
      <c r="AE467" s="2" t="s">
        <v>453</v>
      </c>
      <c r="AF467" s="128">
        <f ca="1">IF($AE460,H467,AF466)</f>
        <v>8888</v>
      </c>
      <c r="AG467" s="129">
        <f ca="1">IF($AE460,I467,AG466)</f>
        <v>8887.5</v>
      </c>
      <c r="AI467" s="128" t="s">
        <v>453</v>
      </c>
      <c r="AJ467" s="128">
        <f ca="1">IF($AI460,L467,AJ466)</f>
        <v>-7.3319999999999999</v>
      </c>
      <c r="AK467" s="129">
        <f ca="1">IF($AI460,M467,AK466)</f>
        <v>-0.81999999999999984</v>
      </c>
      <c r="AM467" s="128" t="s">
        <v>453</v>
      </c>
      <c r="AN467" s="128">
        <f ca="1">L453</f>
        <v>-7.7619999999999996</v>
      </c>
      <c r="AO467" s="129">
        <f ca="1">IF(AN467&gt;-Fuselage!$D$366,(FUSELAGE_a_ellipse)*SQRT(1-((AN467+Fuselage!$D$366)/(Fuselage!$K$364-FUSELAGE_t_fuselage))^2),IF(AN467&gt;$L$2505+Fuselage!$K$370,FUSELAGE_a_ellipse,(FUSELAGE_a_ellipse+FUSELAGE_t_fuselage-FUSELAGE_d_fo/4)/Fuselage!$K$368*(AN467-$L$2505-Fuselage!$K$370)+FUSELAGE_a_ellipse))</f>
        <v>1.4960570012328709</v>
      </c>
      <c r="AQ467" s="128" t="s">
        <v>453</v>
      </c>
      <c r="AR467" s="128">
        <f t="shared" ca="1" si="67"/>
        <v>-7.7619999999999996</v>
      </c>
      <c r="AS467" s="129">
        <f t="shared" ca="1" si="68"/>
        <v>-1.4960570012328709</v>
      </c>
      <c r="AW467" s="128">
        <f t="shared" si="64"/>
        <v>1839</v>
      </c>
      <c r="AX467" s="128">
        <f t="shared" ca="1" si="69"/>
        <v>-18.624000000000006</v>
      </c>
      <c r="AY467" s="129">
        <f t="shared" ca="1" si="70"/>
        <v>1.4960570012328709</v>
      </c>
      <c r="BB467" s="128">
        <f t="shared" ca="1" si="71"/>
        <v>-18.624000000000006</v>
      </c>
      <c r="BC467" s="129">
        <f t="shared" ca="1" si="72"/>
        <v>-1.4960570012328709</v>
      </c>
      <c r="BD467" s="157"/>
    </row>
    <row r="468" spans="2:56">
      <c r="B468" s="156"/>
      <c r="C468" s="128" t="s">
        <v>394</v>
      </c>
      <c r="D468" s="128">
        <f ca="1">IF(C460&gt;=2,D467,D465)</f>
        <v>-7.3319999999999999</v>
      </c>
      <c r="E468" s="139">
        <f ca="1">IF(C460&gt;=2,E466-P453,E465)</f>
        <v>0.25999999999999979</v>
      </c>
      <c r="F468" s="157"/>
      <c r="G468" s="2" t="s">
        <v>394</v>
      </c>
      <c r="H468" s="128">
        <f ca="1">IF(G460&gt;=2,H463,H465)</f>
        <v>8888</v>
      </c>
      <c r="I468" s="139">
        <f ca="1">IF(G460&gt;=2,I467-P453,I465)</f>
        <v>8887.5</v>
      </c>
      <c r="K468" s="128" t="s">
        <v>394</v>
      </c>
      <c r="L468" s="128">
        <f ca="1">L467</f>
        <v>-7.3319999999999999</v>
      </c>
      <c r="M468" s="139">
        <f ca="1">IF(K460&gt;=2,M467-P453,M465)</f>
        <v>-1.3199999999999998</v>
      </c>
      <c r="AA468" s="143" t="s">
        <v>394</v>
      </c>
      <c r="AB468" s="128">
        <f ca="1">IF($AA460,D468,AB466)</f>
        <v>-7.3319999999999999</v>
      </c>
      <c r="AC468" s="129">
        <f ca="1">IF($AA460,E468,AC466)</f>
        <v>0.25999999999999979</v>
      </c>
      <c r="AD468" s="157"/>
      <c r="AE468" s="2" t="s">
        <v>394</v>
      </c>
      <c r="AF468" s="128">
        <f ca="1">IF($AE460,H468,AF466)</f>
        <v>8888</v>
      </c>
      <c r="AG468" s="129">
        <f ca="1">IF($AE460,I468,AG466)</f>
        <v>8887.5</v>
      </c>
      <c r="AI468" s="128" t="s">
        <v>394</v>
      </c>
      <c r="AJ468" s="128">
        <f ca="1">IF($AI460,L468,AJ466)</f>
        <v>-7.3319999999999999</v>
      </c>
      <c r="AK468" s="129">
        <f ca="1">IF($AI460,M468,AK466)</f>
        <v>-1.3199999999999998</v>
      </c>
      <c r="AW468" s="128">
        <f t="shared" si="64"/>
        <v>1840</v>
      </c>
      <c r="AX468" s="128">
        <f t="shared" ca="1" si="69"/>
        <v>-18.624000000000006</v>
      </c>
      <c r="AY468" s="129">
        <f t="shared" ca="1" si="70"/>
        <v>1.4960570012328709</v>
      </c>
      <c r="BB468" s="128">
        <f t="shared" ca="1" si="71"/>
        <v>-18.624000000000006</v>
      </c>
      <c r="BC468" s="129">
        <f t="shared" ca="1" si="72"/>
        <v>-1.4960570012328709</v>
      </c>
      <c r="BD468" s="157"/>
    </row>
    <row r="469" spans="2:56">
      <c r="B469" s="156"/>
      <c r="C469" s="188" t="s">
        <v>454</v>
      </c>
      <c r="D469" s="188">
        <f ca="1">IF(C460&gt;=2,D462,D465)</f>
        <v>-7.7619999999999996</v>
      </c>
      <c r="E469" s="189">
        <f ca="1">E468</f>
        <v>0.25999999999999979</v>
      </c>
      <c r="F469" s="157"/>
      <c r="G469" s="115" t="s">
        <v>454</v>
      </c>
      <c r="H469" s="188">
        <f ca="1">IF(G460&gt;=2,H462,H465)</f>
        <v>8888</v>
      </c>
      <c r="I469" s="189">
        <f ca="1">IF(G460&gt;=2,I468,I465)</f>
        <v>8887.5</v>
      </c>
      <c r="K469" s="188" t="s">
        <v>454</v>
      </c>
      <c r="L469" s="188">
        <f ca="1">IF(K460&gt;=2,L462,L465)</f>
        <v>-7.7619999999999996</v>
      </c>
      <c r="M469" s="189">
        <f ca="1">IF(K460&gt;=2,M468,M465)</f>
        <v>-1.3199999999999998</v>
      </c>
      <c r="AA469" s="195" t="s">
        <v>454</v>
      </c>
      <c r="AB469" s="128">
        <f ca="1">IF($AA460,D469,AB466)</f>
        <v>-7.7619999999999996</v>
      </c>
      <c r="AC469" s="129">
        <f ca="1">IF($AA460,E469,AC466)</f>
        <v>0.25999999999999979</v>
      </c>
      <c r="AD469" s="157"/>
      <c r="AE469" s="115" t="s">
        <v>454</v>
      </c>
      <c r="AF469" s="188">
        <f ca="1">IF($AE460,H469,AF466)</f>
        <v>8888</v>
      </c>
      <c r="AG469" s="196">
        <f ca="1">IF($AE460,I469,AG466)</f>
        <v>8887.5</v>
      </c>
      <c r="AI469" s="188" t="s">
        <v>454</v>
      </c>
      <c r="AJ469" s="188">
        <f ca="1">IF($AI460,L469,AJ466)</f>
        <v>-7.7619999999999996</v>
      </c>
      <c r="AK469" s="196">
        <f ca="1">IF($AI460,M469,AK466)</f>
        <v>-1.3199999999999998</v>
      </c>
      <c r="AW469" s="128">
        <f t="shared" si="64"/>
        <v>1841</v>
      </c>
      <c r="AX469" s="128">
        <f t="shared" ca="1" si="69"/>
        <v>-18.624000000000006</v>
      </c>
      <c r="AY469" s="129">
        <f t="shared" ca="1" si="70"/>
        <v>1.4960570012328709</v>
      </c>
      <c r="BB469" s="128">
        <f t="shared" ca="1" si="71"/>
        <v>-18.624000000000006</v>
      </c>
      <c r="BC469" s="129">
        <f t="shared" ca="1" si="72"/>
        <v>-1.4960570012328709</v>
      </c>
      <c r="BD469" s="157"/>
    </row>
    <row r="470" spans="2:56">
      <c r="B470" s="156"/>
      <c r="C470" s="128" t="s">
        <v>507</v>
      </c>
      <c r="D470" s="128">
        <f ca="1">IF(C460&gt;=3,D462,D469)</f>
        <v>-7.7619999999999996</v>
      </c>
      <c r="E470" s="139">
        <f ca="1">IF(C460&gt;=3,E469-P455,E469)</f>
        <v>0.25999999999999979</v>
      </c>
      <c r="F470" s="157"/>
      <c r="G470" s="2" t="s">
        <v>507</v>
      </c>
      <c r="H470" s="128">
        <f ca="1">IF(G460&gt;=3,H462,H469)</f>
        <v>8888</v>
      </c>
      <c r="I470" s="139">
        <f ca="1">IF(G460&gt;=3,I469-P455,I469)</f>
        <v>8887.5</v>
      </c>
      <c r="K470" s="128" t="s">
        <v>507</v>
      </c>
      <c r="L470" s="128">
        <f ca="1">IF(K460&gt;=3,L462,L469)</f>
        <v>-7.7619999999999996</v>
      </c>
      <c r="M470" s="139">
        <f ca="1">IF(K460&gt;=3,M469-P455,M469)</f>
        <v>-1.3199999999999998</v>
      </c>
      <c r="AA470" s="143" t="s">
        <v>507</v>
      </c>
      <c r="AB470" s="128">
        <f ca="1">IF($AA460,D470,AB466)</f>
        <v>-7.7619999999999996</v>
      </c>
      <c r="AC470" s="129">
        <f ca="1">IF($AA460,E470,AC466)</f>
        <v>0.25999999999999979</v>
      </c>
      <c r="AD470" s="157"/>
      <c r="AE470" s="2" t="s">
        <v>507</v>
      </c>
      <c r="AF470" s="128">
        <f ca="1">IF($AE460,H470,AF466)</f>
        <v>8888</v>
      </c>
      <c r="AG470" s="129">
        <f ca="1">IF($AE460,I470,AG466)</f>
        <v>8887.5</v>
      </c>
      <c r="AI470" s="128" t="s">
        <v>507</v>
      </c>
      <c r="AJ470" s="128">
        <f ca="1">IF($AI460,L470,AJ466)</f>
        <v>-7.7619999999999996</v>
      </c>
      <c r="AK470" s="129">
        <f ca="1">IF($AI460,M470,AK466)</f>
        <v>-1.3199999999999998</v>
      </c>
      <c r="AW470" s="128">
        <f t="shared" si="64"/>
        <v>1873</v>
      </c>
      <c r="AX470" s="128">
        <f t="shared" ca="1" si="69"/>
        <v>-18.624000000000006</v>
      </c>
      <c r="AY470" s="129">
        <f t="shared" ca="1" si="70"/>
        <v>1.4960570012328709</v>
      </c>
      <c r="BB470" s="128">
        <f t="shared" ca="1" si="71"/>
        <v>-18.624000000000006</v>
      </c>
      <c r="BC470" s="129">
        <f t="shared" ca="1" si="72"/>
        <v>-1.4960570012328709</v>
      </c>
      <c r="BD470" s="157"/>
    </row>
    <row r="471" spans="2:56">
      <c r="B471" s="156"/>
      <c r="C471" s="128" t="s">
        <v>455</v>
      </c>
      <c r="D471" s="128">
        <f ca="1">IF(C460&gt;=3,D467,D469)</f>
        <v>-7.7619999999999996</v>
      </c>
      <c r="E471" s="139">
        <f ca="1">E470</f>
        <v>0.25999999999999979</v>
      </c>
      <c r="F471" s="157"/>
      <c r="G471" s="2" t="s">
        <v>455</v>
      </c>
      <c r="H471" s="128">
        <f ca="1">IF(G460&gt;=3,H463,H469)</f>
        <v>8888</v>
      </c>
      <c r="I471" s="139">
        <f ca="1">IF(G460&gt;=3,I470,I469)</f>
        <v>8887.5</v>
      </c>
      <c r="K471" s="128" t="s">
        <v>455</v>
      </c>
      <c r="L471" s="128">
        <f ca="1">IF(K460&gt;=3,IF(X455,IF(K460=3,L462+P454/4,L462+P454),L462+P454),L465)</f>
        <v>-7.7619999999999996</v>
      </c>
      <c r="M471" s="139">
        <f ca="1">IF(K460&gt;=3,M470,M469)</f>
        <v>-1.3199999999999998</v>
      </c>
      <c r="AA471" s="143" t="s">
        <v>455</v>
      </c>
      <c r="AB471" s="128">
        <f ca="1">IF($AA460,D471,AB466)</f>
        <v>-7.7619999999999996</v>
      </c>
      <c r="AC471" s="129">
        <f ca="1">IF($AA460,E471,AC466)</f>
        <v>0.25999999999999979</v>
      </c>
      <c r="AD471" s="157"/>
      <c r="AE471" s="2" t="s">
        <v>455</v>
      </c>
      <c r="AF471" s="128">
        <f ca="1">IF($AE460,H471,AF466)</f>
        <v>8888</v>
      </c>
      <c r="AG471" s="129">
        <f ca="1">IF($AE460,I471,AG466)</f>
        <v>8887.5</v>
      </c>
      <c r="AI471" s="128" t="s">
        <v>455</v>
      </c>
      <c r="AJ471" s="128">
        <f ca="1">IF($AI460,L471,AJ466)</f>
        <v>-7.7619999999999996</v>
      </c>
      <c r="AK471" s="129">
        <f ca="1">IF($AI460,M471,AK466)</f>
        <v>-1.3199999999999998</v>
      </c>
      <c r="AL471" s="156"/>
      <c r="AW471" s="128">
        <f t="shared" si="64"/>
        <v>1874</v>
      </c>
      <c r="AX471" s="128">
        <f t="shared" ca="1" si="69"/>
        <v>-18.624000000000006</v>
      </c>
      <c r="AY471" s="129">
        <f t="shared" ca="1" si="70"/>
        <v>1.4960570012328709</v>
      </c>
      <c r="BB471" s="128">
        <f t="shared" ca="1" si="71"/>
        <v>-18.624000000000006</v>
      </c>
      <c r="BC471" s="129">
        <f t="shared" ca="1" si="72"/>
        <v>-1.4960570012328709</v>
      </c>
      <c r="BD471" s="157"/>
    </row>
    <row r="472" spans="2:56">
      <c r="B472" s="156"/>
      <c r="C472" s="128" t="s">
        <v>311</v>
      </c>
      <c r="D472" s="128">
        <f ca="1">IF(C460&gt;=3,D467,D469)</f>
        <v>-7.7619999999999996</v>
      </c>
      <c r="E472" s="139">
        <f ca="1">IF(C460&gt;=3,E471-P453,E469)</f>
        <v>0.25999999999999979</v>
      </c>
      <c r="F472" s="157"/>
      <c r="G472" s="2" t="s">
        <v>311</v>
      </c>
      <c r="H472" s="128">
        <f ca="1">IF(G460&gt;=3,H463,H469)</f>
        <v>8888</v>
      </c>
      <c r="I472" s="139">
        <f ca="1">IF(G460&gt;=3,I471-P453,I469)</f>
        <v>8887.5</v>
      </c>
      <c r="K472" s="128" t="s">
        <v>311</v>
      </c>
      <c r="L472" s="128">
        <f ca="1">L471</f>
        <v>-7.7619999999999996</v>
      </c>
      <c r="M472" s="139">
        <f ca="1">IF(K460&gt;=3,M471-P453,M469)</f>
        <v>-1.3199999999999998</v>
      </c>
      <c r="AA472" s="143" t="s">
        <v>311</v>
      </c>
      <c r="AB472" s="128">
        <f ca="1">IF($AA460,D472,AB466)</f>
        <v>-7.7619999999999996</v>
      </c>
      <c r="AC472" s="129">
        <f ca="1">IF($AA460,E472,AC466)</f>
        <v>0.25999999999999979</v>
      </c>
      <c r="AD472" s="157"/>
      <c r="AE472" s="2" t="s">
        <v>311</v>
      </c>
      <c r="AF472" s="128">
        <f ca="1">IF($AE460,H472,AF466)</f>
        <v>8888</v>
      </c>
      <c r="AG472" s="129">
        <f ca="1">IF($AE460,I472,AG466)</f>
        <v>8887.5</v>
      </c>
      <c r="AI472" s="128" t="s">
        <v>311</v>
      </c>
      <c r="AJ472" s="128">
        <f ca="1">IF($AI460,L472,AJ466)</f>
        <v>-7.7619999999999996</v>
      </c>
      <c r="AK472" s="129">
        <f ca="1">IF($AI460,M472,AK466)</f>
        <v>-1.3199999999999998</v>
      </c>
      <c r="AL472" s="156"/>
      <c r="AW472" s="128">
        <f t="shared" ref="AW472:AW534" si="73">AW467+36</f>
        <v>1875</v>
      </c>
      <c r="AX472" s="128">
        <f t="shared" ca="1" si="69"/>
        <v>-18.624000000000006</v>
      </c>
      <c r="AY472" s="129">
        <f t="shared" ca="1" si="70"/>
        <v>1.4960570012328709</v>
      </c>
      <c r="BB472" s="128">
        <f t="shared" ca="1" si="71"/>
        <v>-18.624000000000006</v>
      </c>
      <c r="BC472" s="129">
        <f t="shared" ca="1" si="72"/>
        <v>-1.4960570012328709</v>
      </c>
      <c r="BD472" s="157"/>
    </row>
    <row r="473" spans="2:56">
      <c r="B473" s="156"/>
      <c r="C473" s="188" t="s">
        <v>35</v>
      </c>
      <c r="D473" s="188">
        <f ca="1">IF(C460&gt;=3,D462,D469)</f>
        <v>-7.7619999999999996</v>
      </c>
      <c r="E473" s="189">
        <f ca="1">E472</f>
        <v>0.25999999999999979</v>
      </c>
      <c r="F473" s="157"/>
      <c r="G473" s="2" t="s">
        <v>35</v>
      </c>
      <c r="H473" s="188">
        <f ca="1">IF(G460&gt;=3,H462,H469)</f>
        <v>8888</v>
      </c>
      <c r="I473" s="189">
        <f ca="1">IF(G460&gt;=3,I472,I469)</f>
        <v>8887.5</v>
      </c>
      <c r="K473" s="188" t="s">
        <v>35</v>
      </c>
      <c r="L473" s="188">
        <f ca="1">IF(K460&gt;=3,L462,L469)</f>
        <v>-7.7619999999999996</v>
      </c>
      <c r="M473" s="189">
        <f ca="1">IF(K460&gt;=3,M472,M469)</f>
        <v>-1.3199999999999998</v>
      </c>
      <c r="AA473" s="143" t="s">
        <v>35</v>
      </c>
      <c r="AB473" s="128">
        <f ca="1">IF($AA460,D473,AB466)</f>
        <v>-7.7619999999999996</v>
      </c>
      <c r="AC473" s="129">
        <f ca="1">IF($AA460,E473,AC466)</f>
        <v>0.25999999999999979</v>
      </c>
      <c r="AD473" s="157"/>
      <c r="AE473" s="2" t="s">
        <v>35</v>
      </c>
      <c r="AF473" s="188">
        <f ca="1">IF($AE460,H473,AF466)</f>
        <v>8888</v>
      </c>
      <c r="AG473" s="196">
        <f ca="1">IF($AE460,I473,AG466)</f>
        <v>8887.5</v>
      </c>
      <c r="AI473" s="128" t="s">
        <v>35</v>
      </c>
      <c r="AJ473" s="128">
        <f ca="1">IF($AI460,L473,AJ466)</f>
        <v>-7.7619999999999996</v>
      </c>
      <c r="AK473" s="129">
        <f ca="1">IF($AI460,M473,AK466)</f>
        <v>-1.3199999999999998</v>
      </c>
      <c r="AL473" s="156"/>
      <c r="AW473" s="128">
        <f t="shared" si="73"/>
        <v>1876</v>
      </c>
      <c r="AX473" s="128">
        <f t="shared" ca="1" si="69"/>
        <v>-18.624000000000006</v>
      </c>
      <c r="AY473" s="129">
        <f t="shared" ca="1" si="70"/>
        <v>1.4960570012328709</v>
      </c>
      <c r="BB473" s="128">
        <f t="shared" ca="1" si="71"/>
        <v>-18.624000000000006</v>
      </c>
      <c r="BC473" s="129">
        <f t="shared" ca="1" si="72"/>
        <v>-1.4960570012328709</v>
      </c>
      <c r="BD473" s="157"/>
    </row>
    <row r="474" spans="2:56" ht="15" thickBot="1">
      <c r="B474" s="156"/>
      <c r="C474" s="130" t="s">
        <v>396</v>
      </c>
      <c r="D474" s="130">
        <f ca="1">D462</f>
        <v>-7.7619999999999996</v>
      </c>
      <c r="E474" s="140">
        <f ca="1">E462</f>
        <v>1.3199999999999998</v>
      </c>
      <c r="F474" s="157"/>
      <c r="G474" s="192" t="s">
        <v>312</v>
      </c>
      <c r="H474" s="128">
        <f ca="1">IF(G460&gt;=4,H462,H473)</f>
        <v>8888</v>
      </c>
      <c r="I474" s="139">
        <f ca="1">IF(G460&gt;=4,I473-P455,I473)</f>
        <v>8887.5</v>
      </c>
      <c r="K474" s="130" t="s">
        <v>396</v>
      </c>
      <c r="L474" s="130">
        <f ca="1">L462</f>
        <v>-7.7619999999999996</v>
      </c>
      <c r="M474" s="140">
        <f ca="1">M462</f>
        <v>-0.25999999999999979</v>
      </c>
      <c r="AA474" s="144" t="s">
        <v>396</v>
      </c>
      <c r="AB474" s="130">
        <f ca="1">IF($AA460,D474,AB466)</f>
        <v>-7.7619999999999996</v>
      </c>
      <c r="AC474" s="132">
        <f ca="1">IF($AA460,E474,AC466)</f>
        <v>1.3199999999999998</v>
      </c>
      <c r="AD474" s="157"/>
      <c r="AE474" s="192" t="s">
        <v>312</v>
      </c>
      <c r="AF474" s="128">
        <f ca="1">IF($AE460,H474,AF466)</f>
        <v>8888</v>
      </c>
      <c r="AG474" s="129">
        <f ca="1">IF($AE460,I474,AG466)</f>
        <v>8887.5</v>
      </c>
      <c r="AI474" s="130" t="s">
        <v>396</v>
      </c>
      <c r="AJ474" s="130">
        <f ca="1">IF($AI460,L474,AJ466)</f>
        <v>-7.7619999999999996</v>
      </c>
      <c r="AK474" s="132">
        <f ca="1">IF($AI460,M474,AK466)</f>
        <v>-0.25999999999999979</v>
      </c>
      <c r="AW474" s="128">
        <f t="shared" si="73"/>
        <v>1877</v>
      </c>
      <c r="AX474" s="128">
        <f t="shared" ca="1" si="69"/>
        <v>-18.624000000000006</v>
      </c>
      <c r="AY474" s="129">
        <f t="shared" ca="1" si="70"/>
        <v>1.4960570012328709</v>
      </c>
      <c r="BB474" s="128">
        <f t="shared" ca="1" si="71"/>
        <v>-18.624000000000006</v>
      </c>
      <c r="BC474" s="129">
        <f t="shared" ca="1" si="72"/>
        <v>-1.4960570012328709</v>
      </c>
      <c r="BD474" s="157"/>
    </row>
    <row r="475" spans="2:56">
      <c r="B475" s="156"/>
      <c r="F475" s="157"/>
      <c r="G475" s="2" t="s">
        <v>313</v>
      </c>
      <c r="H475" s="128">
        <f ca="1">IF(G460&gt;=4,H463,H473)</f>
        <v>8888</v>
      </c>
      <c r="I475" s="139">
        <f ca="1">IF(G460&gt;=4,I474,I473)</f>
        <v>8887.5</v>
      </c>
      <c r="AD475" s="157"/>
      <c r="AE475" s="2" t="s">
        <v>313</v>
      </c>
      <c r="AF475" s="128">
        <f ca="1">IF($AE460,H475,AF466)</f>
        <v>8888</v>
      </c>
      <c r="AG475" s="129">
        <f ca="1">IF($AE460,I475,AG466)</f>
        <v>8887.5</v>
      </c>
      <c r="AW475" s="128">
        <f t="shared" si="73"/>
        <v>1909</v>
      </c>
      <c r="AX475" s="128">
        <f t="shared" ca="1" si="69"/>
        <v>-18.624000000000006</v>
      </c>
      <c r="AY475" s="129">
        <f t="shared" ca="1" si="70"/>
        <v>1.4960570012328709</v>
      </c>
      <c r="BB475" s="128">
        <f t="shared" ca="1" si="71"/>
        <v>-18.624000000000006</v>
      </c>
      <c r="BC475" s="129">
        <f t="shared" ca="1" si="72"/>
        <v>-1.4960570012328709</v>
      </c>
      <c r="BD475" s="157"/>
    </row>
    <row r="476" spans="2:56">
      <c r="B476" s="156"/>
      <c r="F476" s="157"/>
      <c r="G476" s="2" t="s">
        <v>7</v>
      </c>
      <c r="H476" s="128">
        <f ca="1">IF(G460&gt;=4,H463,H473)</f>
        <v>8888</v>
      </c>
      <c r="I476" s="139">
        <f ca="1">IF(G460&gt;=4,I475-P453,I473)</f>
        <v>8887.5</v>
      </c>
      <c r="AD476" s="157"/>
      <c r="AE476" s="2" t="s">
        <v>7</v>
      </c>
      <c r="AF476" s="128">
        <f ca="1">IF($AE460,H476,AF466)</f>
        <v>8888</v>
      </c>
      <c r="AG476" s="129">
        <f ca="1">IF($AE460,I476,AG466)</f>
        <v>8887.5</v>
      </c>
      <c r="AW476" s="128">
        <f t="shared" si="73"/>
        <v>1910</v>
      </c>
      <c r="AX476" s="128">
        <f t="shared" ca="1" si="69"/>
        <v>-18.624000000000006</v>
      </c>
      <c r="AY476" s="129">
        <f t="shared" ca="1" si="70"/>
        <v>1.4960570012328709</v>
      </c>
      <c r="BB476" s="128">
        <f t="shared" ca="1" si="71"/>
        <v>-18.624000000000006</v>
      </c>
      <c r="BC476" s="129">
        <f t="shared" ca="1" si="72"/>
        <v>-1.4960570012328709</v>
      </c>
      <c r="BD476" s="157"/>
    </row>
    <row r="477" spans="2:56">
      <c r="B477" s="156"/>
      <c r="F477" s="157"/>
      <c r="G477" s="115" t="s">
        <v>8</v>
      </c>
      <c r="H477" s="188">
        <f ca="1">IF(G460&gt;=4,H462,H473)</f>
        <v>8888</v>
      </c>
      <c r="I477" s="189">
        <f ca="1">IF(G460&gt;=4,I476,I473)</f>
        <v>8887.5</v>
      </c>
      <c r="AD477" s="157"/>
      <c r="AE477" s="115" t="s">
        <v>8</v>
      </c>
      <c r="AF477" s="188">
        <f ca="1">IF($AE460,H477,AF466)</f>
        <v>8888</v>
      </c>
      <c r="AG477" s="196">
        <f ca="1">IF($AE460,I477,AG466)</f>
        <v>8887.5</v>
      </c>
      <c r="AW477" s="128">
        <f t="shared" si="73"/>
        <v>1911</v>
      </c>
      <c r="AX477" s="128">
        <f t="shared" ca="1" si="69"/>
        <v>-18.624000000000006</v>
      </c>
      <c r="AY477" s="129">
        <f t="shared" ca="1" si="70"/>
        <v>1.4960570012328709</v>
      </c>
      <c r="BB477" s="128">
        <f t="shared" ca="1" si="71"/>
        <v>-18.624000000000006</v>
      </c>
      <c r="BC477" s="129">
        <f t="shared" ca="1" si="72"/>
        <v>-1.4960570012328709</v>
      </c>
      <c r="BD477" s="157"/>
    </row>
    <row r="478" spans="2:56">
      <c r="B478" s="156"/>
      <c r="F478" s="157"/>
      <c r="G478" s="2" t="s">
        <v>9</v>
      </c>
      <c r="H478" s="128">
        <f ca="1">IF(G460&gt;=5,H462,H477)</f>
        <v>8888</v>
      </c>
      <c r="I478" s="139">
        <f ca="1">IF(G460&gt;=5,I477-P455,I477)</f>
        <v>8887.5</v>
      </c>
      <c r="AD478" s="157"/>
      <c r="AE478" s="2" t="s">
        <v>9</v>
      </c>
      <c r="AF478" s="128">
        <f ca="1">IF($AE460,H478,AF466)</f>
        <v>8888</v>
      </c>
      <c r="AG478" s="129">
        <f ca="1">IF($AE460,I478,AG466)</f>
        <v>8887.5</v>
      </c>
      <c r="AW478" s="128">
        <f t="shared" si="73"/>
        <v>1912</v>
      </c>
      <c r="AX478" s="128">
        <f t="shared" ca="1" si="69"/>
        <v>-18.624000000000006</v>
      </c>
      <c r="AY478" s="129">
        <f t="shared" ca="1" si="70"/>
        <v>1.4960570012328709</v>
      </c>
      <c r="BB478" s="128">
        <f t="shared" ca="1" si="71"/>
        <v>-18.624000000000006</v>
      </c>
      <c r="BC478" s="129">
        <f t="shared" ca="1" si="72"/>
        <v>-1.4960570012328709</v>
      </c>
      <c r="BD478" s="157"/>
    </row>
    <row r="479" spans="2:56">
      <c r="B479" s="156"/>
      <c r="F479" s="157"/>
      <c r="G479" s="2" t="s">
        <v>196</v>
      </c>
      <c r="H479" s="128">
        <f ca="1">IF(G460&gt;=5,H463,H477)</f>
        <v>8888</v>
      </c>
      <c r="I479" s="139">
        <f ca="1">IF(G460&gt;=5,I478,I477)</f>
        <v>8887.5</v>
      </c>
      <c r="AD479" s="157"/>
      <c r="AE479" s="2" t="s">
        <v>196</v>
      </c>
      <c r="AF479" s="128">
        <f ca="1">IF($AE460,H479,AF466)</f>
        <v>8888</v>
      </c>
      <c r="AG479" s="129">
        <f ca="1">IF($AE460,I479,AG466)</f>
        <v>8887.5</v>
      </c>
      <c r="AW479" s="128">
        <f t="shared" si="73"/>
        <v>1913</v>
      </c>
      <c r="AX479" s="128">
        <f t="shared" ca="1" si="69"/>
        <v>-18.624000000000006</v>
      </c>
      <c r="AY479" s="129">
        <f t="shared" ca="1" si="70"/>
        <v>1.4960570012328709</v>
      </c>
      <c r="BB479" s="128">
        <f t="shared" ca="1" si="71"/>
        <v>-18.624000000000006</v>
      </c>
      <c r="BC479" s="129">
        <f t="shared" ca="1" si="72"/>
        <v>-1.4960570012328709</v>
      </c>
      <c r="BD479" s="157"/>
    </row>
    <row r="480" spans="2:56">
      <c r="B480" s="156"/>
      <c r="F480" s="157"/>
      <c r="G480" s="2" t="s">
        <v>10</v>
      </c>
      <c r="H480" s="128">
        <f ca="1">IF(G460&gt;=5,H463,H477)</f>
        <v>8888</v>
      </c>
      <c r="I480" s="139">
        <f ca="1">IF(G460&gt;=5,I479-P453,I477)</f>
        <v>8887.5</v>
      </c>
      <c r="AD480" s="157"/>
      <c r="AE480" s="2" t="s">
        <v>10</v>
      </c>
      <c r="AF480" s="128">
        <f ca="1">IF($AE460,H480,AF466)</f>
        <v>8888</v>
      </c>
      <c r="AG480" s="129">
        <f ca="1">IF($AE460,I480,AG466)</f>
        <v>8887.5</v>
      </c>
      <c r="AW480" s="128">
        <f t="shared" si="73"/>
        <v>1945</v>
      </c>
      <c r="AX480" s="128">
        <f t="shared" ca="1" si="69"/>
        <v>-18.624000000000006</v>
      </c>
      <c r="AY480" s="129">
        <f t="shared" ca="1" si="70"/>
        <v>1.4960570012328709</v>
      </c>
      <c r="BB480" s="128">
        <f t="shared" ca="1" si="71"/>
        <v>-18.624000000000006</v>
      </c>
      <c r="BC480" s="129">
        <f t="shared" ca="1" si="72"/>
        <v>-1.4960570012328709</v>
      </c>
      <c r="BD480" s="157"/>
    </row>
    <row r="481" spans="2:56">
      <c r="B481" s="156"/>
      <c r="F481" s="157"/>
      <c r="G481" s="2" t="s">
        <v>161</v>
      </c>
      <c r="H481" s="188">
        <f ca="1">IF(G460&gt;=5,H462,H477)</f>
        <v>8888</v>
      </c>
      <c r="I481" s="189">
        <f ca="1">IF(G460&gt;=5,I480,I477)</f>
        <v>8887.5</v>
      </c>
      <c r="AD481" s="157"/>
      <c r="AE481" s="2" t="s">
        <v>161</v>
      </c>
      <c r="AF481" s="188">
        <f ca="1">IF($AE460,H481,AF466)</f>
        <v>8888</v>
      </c>
      <c r="AG481" s="196">
        <f ca="1">IF($AE460,I481,AG466)</f>
        <v>8887.5</v>
      </c>
      <c r="AW481" s="128">
        <f t="shared" si="73"/>
        <v>1946</v>
      </c>
      <c r="AX481" s="128">
        <f t="shared" ca="1" si="69"/>
        <v>-18.624000000000006</v>
      </c>
      <c r="AY481" s="129">
        <f t="shared" ca="1" si="70"/>
        <v>1.4960570012328709</v>
      </c>
      <c r="BB481" s="128">
        <f t="shared" ca="1" si="71"/>
        <v>-18.624000000000006</v>
      </c>
      <c r="BC481" s="129">
        <f t="shared" ca="1" si="72"/>
        <v>-1.4960570012328709</v>
      </c>
      <c r="BD481" s="157"/>
    </row>
    <row r="482" spans="2:56">
      <c r="B482" s="156"/>
      <c r="F482" s="157"/>
      <c r="G482" s="192" t="s">
        <v>11</v>
      </c>
      <c r="H482" s="128">
        <f ca="1">IF(G460&gt;=6,H462,H481)</f>
        <v>8888</v>
      </c>
      <c r="I482" s="139">
        <f ca="1">IF(G460&gt;=6,I481-P455,I481)</f>
        <v>8887.5</v>
      </c>
      <c r="AD482" s="157"/>
      <c r="AE482" s="192" t="s">
        <v>11</v>
      </c>
      <c r="AF482" s="128">
        <f ca="1">IF($AE460,H482,AF466)</f>
        <v>8888</v>
      </c>
      <c r="AG482" s="129">
        <f ca="1">IF($AE460,I482,AG466)</f>
        <v>8887.5</v>
      </c>
      <c r="AW482" s="128">
        <f t="shared" si="73"/>
        <v>1947</v>
      </c>
      <c r="AX482" s="128">
        <f t="shared" ca="1" si="69"/>
        <v>-18.624000000000006</v>
      </c>
      <c r="AY482" s="129">
        <f t="shared" ca="1" si="70"/>
        <v>1.4960570012328709</v>
      </c>
      <c r="BB482" s="128">
        <f t="shared" ca="1" si="71"/>
        <v>-18.624000000000006</v>
      </c>
      <c r="BC482" s="129">
        <f t="shared" ca="1" si="72"/>
        <v>-1.4960570012328709</v>
      </c>
      <c r="BD482" s="157"/>
    </row>
    <row r="483" spans="2:56">
      <c r="B483" s="156"/>
      <c r="F483" s="157"/>
      <c r="G483" s="2" t="s">
        <v>12</v>
      </c>
      <c r="H483" s="128">
        <f ca="1">IF(G460&gt;=6,H463,H481)</f>
        <v>8888</v>
      </c>
      <c r="I483" s="139">
        <f ca="1">IF(G460&gt;=6,I482,I481)</f>
        <v>8887.5</v>
      </c>
      <c r="AD483" s="157"/>
      <c r="AE483" s="2" t="s">
        <v>12</v>
      </c>
      <c r="AF483" s="128">
        <f ca="1">IF($AE460,H483,AF466)</f>
        <v>8888</v>
      </c>
      <c r="AG483" s="129">
        <f ca="1">IF($AE460,I483,AG466)</f>
        <v>8887.5</v>
      </c>
      <c r="AW483" s="128">
        <f t="shared" si="73"/>
        <v>1948</v>
      </c>
      <c r="AX483" s="128">
        <f t="shared" ca="1" si="69"/>
        <v>-18.624000000000006</v>
      </c>
      <c r="AY483" s="129">
        <f t="shared" ca="1" si="70"/>
        <v>1.4960570012328709</v>
      </c>
      <c r="BB483" s="128">
        <f t="shared" ca="1" si="71"/>
        <v>-18.624000000000006</v>
      </c>
      <c r="BC483" s="129">
        <f t="shared" ca="1" si="72"/>
        <v>-1.4960570012328709</v>
      </c>
      <c r="BD483" s="157"/>
    </row>
    <row r="484" spans="2:56">
      <c r="B484" s="156"/>
      <c r="F484" s="157"/>
      <c r="G484" s="2" t="s">
        <v>13</v>
      </c>
      <c r="H484" s="128">
        <f ca="1">IF(G460&gt;=6,H463,H481)</f>
        <v>8888</v>
      </c>
      <c r="I484" s="139">
        <f ca="1">IF(G460&gt;=6,I483-P453,I481)</f>
        <v>8887.5</v>
      </c>
      <c r="AD484" s="157"/>
      <c r="AE484" s="2" t="s">
        <v>13</v>
      </c>
      <c r="AF484" s="128">
        <f ca="1">IF($AE460,H484,AF466)</f>
        <v>8888</v>
      </c>
      <c r="AG484" s="129">
        <f ca="1">IF($AE460,I484,AG466)</f>
        <v>8887.5</v>
      </c>
      <c r="AW484" s="128">
        <f t="shared" si="73"/>
        <v>1949</v>
      </c>
      <c r="AX484" s="128">
        <f t="shared" ca="1" si="69"/>
        <v>-18.624000000000006</v>
      </c>
      <c r="AY484" s="129">
        <f t="shared" ca="1" si="70"/>
        <v>1.4960570012328709</v>
      </c>
      <c r="BB484" s="128">
        <f t="shared" ca="1" si="71"/>
        <v>-18.624000000000006</v>
      </c>
      <c r="BC484" s="129">
        <f t="shared" ca="1" si="72"/>
        <v>-1.4960570012328709</v>
      </c>
      <c r="BD484" s="157"/>
    </row>
    <row r="485" spans="2:56">
      <c r="B485" s="156"/>
      <c r="F485" s="157"/>
      <c r="G485" s="115" t="s">
        <v>14</v>
      </c>
      <c r="H485" s="188">
        <f ca="1">IF(G460&gt;=6,H462,H481)</f>
        <v>8888</v>
      </c>
      <c r="I485" s="189">
        <f ca="1">IF(G460&gt;=6,I484,I481)</f>
        <v>8887.5</v>
      </c>
      <c r="AD485" s="157"/>
      <c r="AE485" s="115" t="s">
        <v>14</v>
      </c>
      <c r="AF485" s="188">
        <f ca="1">IF($AE460,H485,AF466)</f>
        <v>8888</v>
      </c>
      <c r="AG485" s="196">
        <f ca="1">IF($AE460,I485,AG466)</f>
        <v>8887.5</v>
      </c>
      <c r="AW485" s="128">
        <f t="shared" si="73"/>
        <v>1981</v>
      </c>
      <c r="AX485" s="128">
        <f t="shared" ca="1" si="69"/>
        <v>-18.624000000000006</v>
      </c>
      <c r="AY485" s="129">
        <f t="shared" ca="1" si="70"/>
        <v>1.4960570012328709</v>
      </c>
      <c r="BB485" s="128">
        <f t="shared" ca="1" si="71"/>
        <v>-18.624000000000006</v>
      </c>
      <c r="BC485" s="129">
        <f t="shared" ca="1" si="72"/>
        <v>-1.4960570012328709</v>
      </c>
      <c r="BD485" s="157"/>
    </row>
    <row r="486" spans="2:56" ht="15" thickBot="1">
      <c r="B486" s="156"/>
      <c r="G486" s="130" t="s">
        <v>396</v>
      </c>
      <c r="H486" s="130">
        <f ca="1">H462</f>
        <v>8888</v>
      </c>
      <c r="I486" s="140">
        <f ca="1">I462</f>
        <v>8888</v>
      </c>
      <c r="AE486" s="130" t="s">
        <v>396</v>
      </c>
      <c r="AF486" s="130">
        <f ca="1">IF($AE460,H486,AF466)</f>
        <v>8888</v>
      </c>
      <c r="AG486" s="132">
        <f ca="1">IF($AE460,I486,AG466)</f>
        <v>8888</v>
      </c>
      <c r="AW486" s="128">
        <f t="shared" si="73"/>
        <v>1982</v>
      </c>
      <c r="AX486" s="128">
        <f t="shared" ca="1" si="69"/>
        <v>-18.624000000000006</v>
      </c>
      <c r="AY486" s="129">
        <f t="shared" ca="1" si="70"/>
        <v>1.4960570012328709</v>
      </c>
      <c r="BB486" s="128">
        <f t="shared" ca="1" si="71"/>
        <v>-18.624000000000006</v>
      </c>
      <c r="BC486" s="129">
        <f t="shared" ca="1" si="72"/>
        <v>-1.4960570012328709</v>
      </c>
      <c r="BD486" s="157"/>
    </row>
    <row r="487" spans="2:56">
      <c r="B487" s="156"/>
      <c r="AW487" s="128">
        <f t="shared" si="73"/>
        <v>1983</v>
      </c>
      <c r="AX487" s="128">
        <f t="shared" ca="1" si="69"/>
        <v>-18.624000000000006</v>
      </c>
      <c r="AY487" s="129">
        <f t="shared" ca="1" si="70"/>
        <v>1.4960570012328709</v>
      </c>
      <c r="BB487" s="128">
        <f t="shared" ca="1" si="71"/>
        <v>-18.624000000000006</v>
      </c>
      <c r="BC487" s="129">
        <f t="shared" ca="1" si="72"/>
        <v>-1.4960570012328709</v>
      </c>
      <c r="BD487" s="157"/>
    </row>
    <row r="488" spans="2:56">
      <c r="B488" s="156"/>
      <c r="AW488" s="128">
        <f t="shared" si="73"/>
        <v>1984</v>
      </c>
      <c r="AX488" s="128">
        <f t="shared" ca="1" si="69"/>
        <v>-18.624000000000006</v>
      </c>
      <c r="AY488" s="129">
        <f t="shared" ca="1" si="70"/>
        <v>1.4960570012328709</v>
      </c>
      <c r="BB488" s="128">
        <f t="shared" ca="1" si="71"/>
        <v>-18.624000000000006</v>
      </c>
      <c r="BC488" s="129">
        <f t="shared" ca="1" si="72"/>
        <v>-1.4960570012328709</v>
      </c>
      <c r="BD488" s="157"/>
    </row>
    <row r="489" spans="2:56">
      <c r="B489" s="156"/>
      <c r="C489" s="200" t="s">
        <v>336</v>
      </c>
      <c r="D489">
        <f>D453+1</f>
        <v>9</v>
      </c>
      <c r="G489" s="200" t="s">
        <v>638</v>
      </c>
      <c r="H489">
        <f ca="1">LOOKUP(D492,$C$191:$C$196,$D$191:$D$196)</f>
        <v>0</v>
      </c>
      <c r="K489" s="200" t="s">
        <v>644</v>
      </c>
      <c r="L489">
        <f ca="1">L453-H494</f>
        <v>-8.5619999999999994</v>
      </c>
      <c r="O489" s="200" t="s">
        <v>404</v>
      </c>
      <c r="P489">
        <f ca="1">IF(D491=1,SEAT_w_cushion_FC,IF(D491=2,SEAT_w_cushion_BC,IF(D491=3,SEAT_w_cushion_YC,0)))</f>
        <v>0.5</v>
      </c>
      <c r="S489" s="200" t="s">
        <v>647</v>
      </c>
      <c r="T489">
        <f ca="1">LOOKUP(D492,$C$191:$C$196,$E$191:$E$196)</f>
        <v>0</v>
      </c>
      <c r="W489" t="s">
        <v>130</v>
      </c>
      <c r="X489" t="str">
        <f ca="1">OFFSET(Fuselage!$B$275,D489,5)</f>
        <v>None</v>
      </c>
      <c r="AN489" s="200" t="s">
        <v>135</v>
      </c>
      <c r="AO489">
        <f ca="1">MAX(0,H494-MAX(T489,T491,T493,P490)-X490)</f>
        <v>0.37000000000000005</v>
      </c>
      <c r="AW489" s="128">
        <f t="shared" si="73"/>
        <v>1985</v>
      </c>
      <c r="AX489" s="128">
        <f t="shared" ca="1" si="69"/>
        <v>-18.624000000000006</v>
      </c>
      <c r="AY489" s="129">
        <f t="shared" ca="1" si="70"/>
        <v>1.4960570012328709</v>
      </c>
      <c r="BB489" s="128">
        <f t="shared" ca="1" si="71"/>
        <v>-18.624000000000006</v>
      </c>
      <c r="BC489" s="129">
        <f t="shared" ca="1" si="72"/>
        <v>-1.4960570012328709</v>
      </c>
      <c r="BD489" s="157"/>
    </row>
    <row r="490" spans="2:56">
      <c r="B490" s="156"/>
      <c r="C490" s="200" t="s">
        <v>200</v>
      </c>
      <c r="D490">
        <f ca="1">OFFSET(Fuselage!$B$275,D489,0)</f>
        <v>8</v>
      </c>
      <c r="G490" s="200" t="s">
        <v>639</v>
      </c>
      <c r="H490">
        <f ca="1">LOOKUP(D493,$C$191:$C$196,$D$191:$D$196)</f>
        <v>0</v>
      </c>
      <c r="O490" s="200" t="s">
        <v>535</v>
      </c>
      <c r="P490">
        <f ca="1">IF(D491=1,SEAT_length_FC,IF(D491=2,SEAT_length_BC,IF(D491=3,SEAT_length_YC,0)))</f>
        <v>0.43</v>
      </c>
      <c r="S490" s="200" t="s">
        <v>648</v>
      </c>
      <c r="T490">
        <f ca="1">LOOKUP(D492,$C$191:$C$196,$F$191:$F$196)</f>
        <v>0</v>
      </c>
      <c r="W490" t="s">
        <v>131</v>
      </c>
      <c r="X490">
        <f ca="1">LOOKUP(X489,$I$191:$I$198,$J$191:$J$198)</f>
        <v>0</v>
      </c>
      <c r="AW490" s="128">
        <f t="shared" si="73"/>
        <v>2017</v>
      </c>
      <c r="AX490" s="128">
        <f t="shared" ca="1" si="69"/>
        <v>-18.624000000000006</v>
      </c>
      <c r="AY490" s="129">
        <f t="shared" ca="1" si="70"/>
        <v>1.4960570012328709</v>
      </c>
      <c r="BB490" s="128">
        <f t="shared" ca="1" si="71"/>
        <v>-18.624000000000006</v>
      </c>
      <c r="BC490" s="129">
        <f t="shared" ca="1" si="72"/>
        <v>-1.4960570012328709</v>
      </c>
      <c r="BD490" s="157"/>
    </row>
    <row r="491" spans="2:56">
      <c r="B491" s="156"/>
      <c r="C491" s="200" t="s">
        <v>337</v>
      </c>
      <c r="D491">
        <f ca="1">OFFSET(Fuselage!$B$275,D489,4)</f>
        <v>3</v>
      </c>
      <c r="G491" s="200" t="s">
        <v>309</v>
      </c>
      <c r="H491">
        <f ca="1">LOOKUP(D494,$C$191:$C$196,$D$191:$D$196)</f>
        <v>0</v>
      </c>
      <c r="K491" s="200" t="s">
        <v>645</v>
      </c>
      <c r="L491">
        <f ca="1">IF(D491=1,FUSELAGE_nseats_left_FC,IF(D491=2,FUSELAGE_nseats_left_BC,IF(D491=3,FUSELAGE_nseats_left_YC,0)))</f>
        <v>2</v>
      </c>
      <c r="O491" s="200" t="s">
        <v>405</v>
      </c>
      <c r="P491">
        <f ca="1">IF(D491=1,SEAT_w_armrest_FC,IF(D491=2,SEAT_w_armrest_BC,IF(D491=3,SEAT_w_armrest_YC,0)))</f>
        <v>0.06</v>
      </c>
      <c r="S491" s="200" t="s">
        <v>652</v>
      </c>
      <c r="T491">
        <f ca="1">LOOKUP(D493,$C$191:$C$196,$E$191:$E$196)</f>
        <v>0</v>
      </c>
      <c r="W491" s="200" t="s">
        <v>393</v>
      </c>
      <c r="X491" t="b">
        <f ca="1">IF(OFFSET(Fuselage!$B$275,D489,6)="YES",TRUE(),FALSE())</f>
        <v>0</v>
      </c>
      <c r="AW491" s="128">
        <f t="shared" si="73"/>
        <v>2018</v>
      </c>
      <c r="AX491" s="128">
        <f t="shared" ca="1" si="69"/>
        <v>-18.624000000000006</v>
      </c>
      <c r="AY491" s="129">
        <f t="shared" ca="1" si="70"/>
        <v>1.4960570012328709</v>
      </c>
      <c r="BB491" s="128">
        <f t="shared" ca="1" si="71"/>
        <v>-18.624000000000006</v>
      </c>
      <c r="BC491" s="129">
        <f t="shared" ca="1" si="72"/>
        <v>-1.4960570012328709</v>
      </c>
      <c r="BD491" s="157"/>
    </row>
    <row r="492" spans="2:56">
      <c r="B492" s="156"/>
      <c r="C492" s="200" t="s">
        <v>640</v>
      </c>
      <c r="D492" t="str">
        <f ca="1">OFFSET(Fuselage!$B$275,D489,1)</f>
        <v>None</v>
      </c>
      <c r="G492" s="200" t="s">
        <v>132</v>
      </c>
      <c r="H492">
        <f ca="1">IF(D491=1,SEAT_pitch_FC,IF(D491=2,SEAT_pitch_BC,IF(D491=3,SEAT_pitch_YC,0)))</f>
        <v>0.8</v>
      </c>
      <c r="K492" s="200" t="s">
        <v>646</v>
      </c>
      <c r="L492">
        <f ca="1">IF(D491=1,FUSELAGE_nseats_middle_FC,IF(D491=2,FUSELAGE_nseats_middle_BC,IF(D491=3,FUSELAGE_nseats_middle_YC,0)))</f>
        <v>0</v>
      </c>
      <c r="S492" s="200" t="s">
        <v>653</v>
      </c>
      <c r="T492">
        <f ca="1">LOOKUP(D493,$C$191:$C$196,$F$191:$F$196)</f>
        <v>0</v>
      </c>
      <c r="AW492" s="128">
        <f t="shared" si="73"/>
        <v>2019</v>
      </c>
      <c r="AX492" s="128">
        <f t="shared" ca="1" si="69"/>
        <v>-18.624000000000006</v>
      </c>
      <c r="AY492" s="129">
        <f t="shared" ca="1" si="70"/>
        <v>1.4960570012328709</v>
      </c>
      <c r="BB492" s="128">
        <f t="shared" ca="1" si="71"/>
        <v>-18.624000000000006</v>
      </c>
      <c r="BC492" s="129">
        <f t="shared" ca="1" si="72"/>
        <v>-1.4960570012328709</v>
      </c>
      <c r="BD492" s="157"/>
    </row>
    <row r="493" spans="2:56">
      <c r="B493" s="156"/>
      <c r="C493" s="200" t="s">
        <v>642</v>
      </c>
      <c r="D493" t="str">
        <f ca="1">OFFSET(Fuselage!$B$275,D489,2)</f>
        <v>None</v>
      </c>
      <c r="G493" s="200" t="s">
        <v>129</v>
      </c>
      <c r="H493">
        <f ca="1">IF(OR(X489="Type A",X489="Type B"),MAX(H489:H492)+42*0.0254,IF(X489="Type C",MAX(H489:H492)+X490,IF(X489&lt;&gt;"None",24*0.0254,0)))</f>
        <v>0</v>
      </c>
      <c r="K493" s="200" t="s">
        <v>655</v>
      </c>
      <c r="L493">
        <f ca="1">IF(D491=1,FUSELAGE_nseats_right_FC,IF(D491=2,FUSELAGE_nseats_right_BC,IF(D491=3,FUSELAGE_nseats_right_YC,0)))</f>
        <v>2</v>
      </c>
      <c r="O493" s="200" t="s">
        <v>407</v>
      </c>
      <c r="P493">
        <f ca="1">($C$13-(L491+L492+L493)*(P489+P491)+(FUSELAGE_n_aisles-1)*P491)/FUSELAGE_n_aisles</f>
        <v>0.51999999999999957</v>
      </c>
      <c r="S493" s="200" t="s">
        <v>651</v>
      </c>
      <c r="T493">
        <f ca="1">LOOKUP(D494,$C$191:$C$196,$E$191:$E$196)</f>
        <v>0</v>
      </c>
      <c r="AW493" s="128">
        <f t="shared" si="73"/>
        <v>2020</v>
      </c>
      <c r="AX493" s="128">
        <f t="shared" ca="1" si="69"/>
        <v>-18.624000000000006</v>
      </c>
      <c r="AY493" s="129">
        <f t="shared" ca="1" si="70"/>
        <v>1.4960570012328709</v>
      </c>
      <c r="BB493" s="128">
        <f t="shared" ca="1" si="71"/>
        <v>-18.624000000000006</v>
      </c>
      <c r="BC493" s="129">
        <f t="shared" ca="1" si="72"/>
        <v>-1.4960570012328709</v>
      </c>
      <c r="BD493" s="157"/>
    </row>
    <row r="494" spans="2:56">
      <c r="B494" s="156"/>
      <c r="C494" s="200" t="s">
        <v>641</v>
      </c>
      <c r="D494" t="str">
        <f ca="1">OFFSET(Fuselage!$B$275,D489,3)</f>
        <v>None</v>
      </c>
      <c r="G494" s="200" t="s">
        <v>643</v>
      </c>
      <c r="H494">
        <f ca="1">MAX(H489:H493)</f>
        <v>0.8</v>
      </c>
      <c r="S494" s="200" t="s">
        <v>654</v>
      </c>
      <c r="T494">
        <f ca="1">LOOKUP(D494,$C$191:$C$196,$F$191:$F$196)</f>
        <v>0</v>
      </c>
      <c r="AW494" s="128">
        <f t="shared" si="73"/>
        <v>2021</v>
      </c>
      <c r="AX494" s="128">
        <f t="shared" ca="1" si="69"/>
        <v>-18.624000000000006</v>
      </c>
      <c r="AY494" s="129">
        <f t="shared" ca="1" si="70"/>
        <v>1.4960570012328709</v>
      </c>
      <c r="BB494" s="128">
        <f t="shared" ca="1" si="71"/>
        <v>-18.624000000000006</v>
      </c>
      <c r="BC494" s="129">
        <f t="shared" ca="1" si="72"/>
        <v>-1.4960570012328709</v>
      </c>
      <c r="BD494" s="157"/>
    </row>
    <row r="495" spans="2:56" ht="15" thickBot="1">
      <c r="B495" s="156"/>
      <c r="AW495" s="128">
        <f t="shared" si="73"/>
        <v>2053</v>
      </c>
      <c r="AX495" s="128">
        <f t="shared" ca="1" si="69"/>
        <v>-18.624000000000006</v>
      </c>
      <c r="AY495" s="129">
        <f t="shared" ca="1" si="70"/>
        <v>1.4960570012328709</v>
      </c>
      <c r="BB495" s="128">
        <f t="shared" ca="1" si="71"/>
        <v>-18.624000000000006</v>
      </c>
      <c r="BC495" s="129">
        <f t="shared" ca="1" si="72"/>
        <v>-1.4960570012328709</v>
      </c>
      <c r="BD495" s="157"/>
    </row>
    <row r="496" spans="2:56" ht="15" thickBot="1">
      <c r="B496" s="156"/>
      <c r="C496" s="141">
        <f ca="1">L493</f>
        <v>2</v>
      </c>
      <c r="D496" s="197" t="str">
        <f ca="1">IF($D491=1,"FC",IF($D491=2,"BC",IF($D491=3,"YC","Nothing")))</f>
        <v>YC</v>
      </c>
      <c r="E496" s="198"/>
      <c r="G496" s="141">
        <f ca="1">L492</f>
        <v>0</v>
      </c>
      <c r="H496" s="197" t="str">
        <f ca="1">IF($D491=1,"FC",IF($D491=2,"BC",IF($D491=3,"YC","Nothing")))</f>
        <v>YC</v>
      </c>
      <c r="I496" s="198"/>
      <c r="K496" s="141">
        <f ca="1" xml:space="preserve"> L491</f>
        <v>2</v>
      </c>
      <c r="L496" s="197" t="str">
        <f ca="1">IF($D491=1,"FC",IF($D491=2,"BC",IF($D491=3,"YC","Nothing")))</f>
        <v>YC</v>
      </c>
      <c r="M496" s="198"/>
      <c r="O496" s="141">
        <f ca="1">IF($D494&lt;&gt;"None",1,0)</f>
        <v>0</v>
      </c>
      <c r="P496" s="326" t="s">
        <v>380</v>
      </c>
      <c r="Q496" s="327"/>
      <c r="S496" s="141">
        <f ca="1">IF($D493&lt;&gt;"None",1,0)</f>
        <v>0</v>
      </c>
      <c r="T496" s="326" t="s">
        <v>381</v>
      </c>
      <c r="U496" s="327"/>
      <c r="W496" s="141">
        <f ca="1">IF($D492&lt;&gt;"None",1,0)</f>
        <v>0</v>
      </c>
      <c r="X496" s="326" t="s">
        <v>382</v>
      </c>
      <c r="Y496" s="327"/>
      <c r="AA496" s="141">
        <f ca="1">IF($D494="None",1,0)</f>
        <v>1</v>
      </c>
      <c r="AB496" s="326" t="str">
        <f ca="1">IF(AA496,D496,$D494)</f>
        <v>YC</v>
      </c>
      <c r="AC496" s="327"/>
      <c r="AE496" s="141">
        <f ca="1">IF($D493="None",1,0)</f>
        <v>1</v>
      </c>
      <c r="AF496" s="326" t="str">
        <f ca="1">IF(AE496,H496,$D493)</f>
        <v>YC</v>
      </c>
      <c r="AG496" s="327"/>
      <c r="AI496" s="141">
        <f ca="1">IF($D492="None",1,0)</f>
        <v>1</v>
      </c>
      <c r="AJ496" s="326" t="str">
        <f ca="1">IF(AI496,L496,$D492)</f>
        <v>YC</v>
      </c>
      <c r="AK496" s="327"/>
      <c r="AM496" s="141">
        <f ca="1">IF($X489="None",0,1)</f>
        <v>0</v>
      </c>
      <c r="AN496" s="197" t="s">
        <v>133</v>
      </c>
      <c r="AO496" s="198"/>
      <c r="AQ496" s="141">
        <f ca="1">IF($X489="None",0,1)</f>
        <v>0</v>
      </c>
      <c r="AR496" s="197" t="s">
        <v>134</v>
      </c>
      <c r="AS496" s="198"/>
      <c r="AW496" s="128">
        <f t="shared" si="73"/>
        <v>2054</v>
      </c>
      <c r="AX496" s="128">
        <f t="shared" ca="1" si="69"/>
        <v>-18.624000000000006</v>
      </c>
      <c r="AY496" s="129">
        <f t="shared" ca="1" si="70"/>
        <v>1.4960570012328709</v>
      </c>
      <c r="BB496" s="128">
        <f t="shared" ca="1" si="71"/>
        <v>-18.624000000000006</v>
      </c>
      <c r="BC496" s="129">
        <f t="shared" ca="1" si="72"/>
        <v>-1.4960570012328709</v>
      </c>
      <c r="BD496" s="157"/>
    </row>
    <row r="497" spans="2:56" ht="15" thickBot="1">
      <c r="B497" s="156"/>
      <c r="C497" s="136" t="s">
        <v>452</v>
      </c>
      <c r="D497" s="136" t="s">
        <v>384</v>
      </c>
      <c r="E497" s="138" t="s">
        <v>385</v>
      </c>
      <c r="G497" s="136" t="s">
        <v>452</v>
      </c>
      <c r="H497" s="136" t="s">
        <v>384</v>
      </c>
      <c r="I497" s="138" t="s">
        <v>385</v>
      </c>
      <c r="K497" s="193" t="s">
        <v>452</v>
      </c>
      <c r="L497" s="193" t="s">
        <v>384</v>
      </c>
      <c r="M497" s="194" t="s">
        <v>385</v>
      </c>
      <c r="O497" s="136" t="s">
        <v>452</v>
      </c>
      <c r="P497" s="136" t="s">
        <v>384</v>
      </c>
      <c r="Q497" s="138" t="s">
        <v>385</v>
      </c>
      <c r="S497" s="136" t="s">
        <v>452</v>
      </c>
      <c r="T497" s="136" t="s">
        <v>384</v>
      </c>
      <c r="U497" s="138" t="s">
        <v>385</v>
      </c>
      <c r="W497" s="136" t="s">
        <v>452</v>
      </c>
      <c r="X497" s="136" t="s">
        <v>384</v>
      </c>
      <c r="Y497" s="138" t="s">
        <v>385</v>
      </c>
      <c r="AA497" s="136" t="s">
        <v>452</v>
      </c>
      <c r="AB497" s="136" t="s">
        <v>384</v>
      </c>
      <c r="AC497" s="138" t="s">
        <v>385</v>
      </c>
      <c r="AE497" s="136" t="s">
        <v>452</v>
      </c>
      <c r="AF497" s="136" t="s">
        <v>384</v>
      </c>
      <c r="AG497" s="138" t="s">
        <v>385</v>
      </c>
      <c r="AI497" s="193" t="s">
        <v>452</v>
      </c>
      <c r="AJ497" s="193" t="s">
        <v>384</v>
      </c>
      <c r="AK497" s="194" t="s">
        <v>385</v>
      </c>
      <c r="AM497" s="193" t="s">
        <v>452</v>
      </c>
      <c r="AN497" s="193" t="s">
        <v>384</v>
      </c>
      <c r="AO497" s="194" t="s">
        <v>385</v>
      </c>
      <c r="AQ497" s="193" t="s">
        <v>452</v>
      </c>
      <c r="AR497" s="193" t="s">
        <v>384</v>
      </c>
      <c r="AS497" s="194" t="s">
        <v>385</v>
      </c>
      <c r="AW497" s="128">
        <f t="shared" si="73"/>
        <v>2055</v>
      </c>
      <c r="AX497" s="128">
        <f t="shared" ca="1" si="69"/>
        <v>-18.624000000000006</v>
      </c>
      <c r="AY497" s="129">
        <f t="shared" ca="1" si="70"/>
        <v>1.4960570012328709</v>
      </c>
      <c r="BB497" s="128">
        <f t="shared" ca="1" si="71"/>
        <v>-18.624000000000006</v>
      </c>
      <c r="BC497" s="129">
        <f t="shared" ca="1" si="72"/>
        <v>-1.4960570012328709</v>
      </c>
      <c r="BD497" s="157"/>
    </row>
    <row r="498" spans="2:56">
      <c r="B498" s="156"/>
      <c r="C498" s="128" t="s">
        <v>396</v>
      </c>
      <c r="D498" s="158">
        <f ca="1">IF(C496&gt;=1,L489,8888)</f>
        <v>-8.5619999999999994</v>
      </c>
      <c r="E498" s="160">
        <f ca="1">IF(C496&gt;=1,1/2*($C$13-P489-2*P491)+1/2*P489,8888)</f>
        <v>1.3199999999999998</v>
      </c>
      <c r="G498" s="128" t="s">
        <v>396</v>
      </c>
      <c r="H498" s="158">
        <f ca="1">IF(G496&gt;=1,L489,8888)</f>
        <v>8888</v>
      </c>
      <c r="I498" s="160">
        <f ca="1">IF(G496&gt;=1,E509-P493,8888)</f>
        <v>8888</v>
      </c>
      <c r="K498" s="128" t="s">
        <v>396</v>
      </c>
      <c r="L498" s="158">
        <f ca="1">IF(K496&gt;=1,L489,8888)</f>
        <v>-8.5619999999999994</v>
      </c>
      <c r="M498" s="160">
        <f ca="1">IF(K496&gt;=1,IF(FUSELAGE_n_aisles=1,E509-P493,I521-P493),8888)</f>
        <v>-0.25999999999999979</v>
      </c>
      <c r="O498" s="128" t="s">
        <v>396</v>
      </c>
      <c r="P498" s="158">
        <f ca="1">IF(O496,$L489,8888)</f>
        <v>8888</v>
      </c>
      <c r="Q498" s="209">
        <f ca="1">IF(O496,FUSELAGE_y_position_of_left_seat_YC-(FUSELAGE_nseats_right_YC-1)*(SEAT_w_cushion_YC+SEAT_w_armrest_YC)/2+T494/2,8888)</f>
        <v>8888</v>
      </c>
      <c r="S498" s="128" t="s">
        <v>396</v>
      </c>
      <c r="T498" s="158">
        <f ca="1">IF(S496,$L489,8888)</f>
        <v>8888</v>
      </c>
      <c r="U498" s="160">
        <f ca="1">IF(S496,T492/2,8888)</f>
        <v>8888</v>
      </c>
      <c r="W498" s="128" t="s">
        <v>396</v>
      </c>
      <c r="X498" s="158">
        <f ca="1">IF(W496,$L489,8888)</f>
        <v>8888</v>
      </c>
      <c r="Y498" s="160">
        <f ca="1">IF(W496,-FUSELAGE_y_position_of_left_seat_YC+(FUSELAGE_nseats_left_YC-1)*(SEAT_w_cushion_YC+SEAT_w_armrest_YC)/2-T490/2,8888)</f>
        <v>8888</v>
      </c>
      <c r="AA498" s="128" t="s">
        <v>396</v>
      </c>
      <c r="AB498" s="158">
        <f ca="1">IF($AA496,D498,P498)</f>
        <v>-8.5619999999999994</v>
      </c>
      <c r="AC498" s="174">
        <f ca="1">IF($AA496,E498,Q498)</f>
        <v>1.3199999999999998</v>
      </c>
      <c r="AE498" s="128" t="s">
        <v>396</v>
      </c>
      <c r="AF498" s="158">
        <f ca="1">IF($AE496,H498,T498)</f>
        <v>8888</v>
      </c>
      <c r="AG498" s="174">
        <f ca="1">IF($AE496,I498,U498)</f>
        <v>8888</v>
      </c>
      <c r="AI498" s="128" t="s">
        <v>396</v>
      </c>
      <c r="AJ498" s="158">
        <f ca="1">IF($AI496,L498,X498)</f>
        <v>-8.5619999999999994</v>
      </c>
      <c r="AK498" s="174">
        <f ca="1">IF($AI496,M498,Y498)</f>
        <v>-0.25999999999999979</v>
      </c>
      <c r="AM498" s="128" t="s">
        <v>396</v>
      </c>
      <c r="AN498" s="158">
        <f ca="1">AN467</f>
        <v>-7.7619999999999996</v>
      </c>
      <c r="AO498" s="174">
        <f ca="1">IF(AN498&gt;-Fuselage!$D$366,(FUSELAGE_a_ellipse)*SQRT(1-((AN498+Fuselage!$D$366)/(Fuselage!$K$364-FUSELAGE_t_fuselage))^2),IF(AN498&gt;$L$2505+Fuselage!$K$370,FUSELAGE_a_ellipse,(FUSELAGE_a_ellipse+FUSELAGE_t_fuselage-FUSELAGE_d_fo/4)/Fuselage!$K$368*(AN498-$L$2505-Fuselage!$K$370)+FUSELAGE_a_ellipse))</f>
        <v>1.4960570012328709</v>
      </c>
      <c r="AQ498" s="128" t="s">
        <v>396</v>
      </c>
      <c r="AR498" s="158">
        <f t="shared" ref="AR498:AR503" ca="1" si="74">AN498</f>
        <v>-7.7619999999999996</v>
      </c>
      <c r="AS498" s="174">
        <f t="shared" ref="AS498:AS503" ca="1" si="75">-AO498</f>
        <v>-1.4960570012328709</v>
      </c>
      <c r="AW498" s="128">
        <f t="shared" si="73"/>
        <v>2056</v>
      </c>
      <c r="AX498" s="128">
        <f t="shared" ca="1" si="69"/>
        <v>-18.624000000000006</v>
      </c>
      <c r="AY498" s="129">
        <f t="shared" ca="1" si="70"/>
        <v>1.4960570012328709</v>
      </c>
      <c r="BB498" s="128">
        <f t="shared" ca="1" si="71"/>
        <v>-18.624000000000006</v>
      </c>
      <c r="BC498" s="129">
        <f t="shared" ca="1" si="72"/>
        <v>-1.4960570012328709</v>
      </c>
      <c r="BD498" s="157"/>
    </row>
    <row r="499" spans="2:56">
      <c r="B499" s="156"/>
      <c r="C499" s="128" t="s">
        <v>213</v>
      </c>
      <c r="D499" s="128">
        <f ca="1">IF(X491,D498+P490/4,D498+P490)</f>
        <v>-8.1319999999999997</v>
      </c>
      <c r="E499" s="139">
        <f ca="1">E498</f>
        <v>1.3199999999999998</v>
      </c>
      <c r="G499" s="128" t="s">
        <v>213</v>
      </c>
      <c r="H499" s="128">
        <f ca="1">H498+P490</f>
        <v>8888.43</v>
      </c>
      <c r="I499" s="139">
        <f ca="1">I498</f>
        <v>8888</v>
      </c>
      <c r="K499" s="128" t="s">
        <v>213</v>
      </c>
      <c r="L499" s="128">
        <f ca="1">IF(X491,IF(K496=1,L498+P490/4,L498+P490),L498+P490)</f>
        <v>-8.1319999999999997</v>
      </c>
      <c r="M499" s="139">
        <f ca="1">M498</f>
        <v>-0.25999999999999979</v>
      </c>
      <c r="O499" s="128" t="s">
        <v>213</v>
      </c>
      <c r="P499" s="128">
        <f ca="1">P498+$T493</f>
        <v>8888</v>
      </c>
      <c r="Q499" s="139">
        <f ca="1">Q498</f>
        <v>8888</v>
      </c>
      <c r="S499" s="128" t="s">
        <v>213</v>
      </c>
      <c r="T499" s="128">
        <f ca="1">T498+$T491</f>
        <v>8888</v>
      </c>
      <c r="U499" s="139">
        <f ca="1">U498</f>
        <v>8888</v>
      </c>
      <c r="W499" s="128" t="s">
        <v>213</v>
      </c>
      <c r="X499" s="128">
        <f ca="1">X498+$T489</f>
        <v>8888</v>
      </c>
      <c r="Y499" s="139">
        <f ca="1">Y498</f>
        <v>8888</v>
      </c>
      <c r="AA499" s="143" t="s">
        <v>213</v>
      </c>
      <c r="AB499" s="128">
        <f ca="1">IF($AA496,D499,P499)</f>
        <v>-8.1319999999999997</v>
      </c>
      <c r="AC499" s="129">
        <f ca="1">IF($AA496,E499,Q499)</f>
        <v>1.3199999999999998</v>
      </c>
      <c r="AE499" s="128" t="s">
        <v>213</v>
      </c>
      <c r="AF499" s="128">
        <f ca="1">IF($AE496,H499,T499)</f>
        <v>8888.43</v>
      </c>
      <c r="AG499" s="129">
        <f ca="1">IF($AE496,I499,U499)</f>
        <v>8888</v>
      </c>
      <c r="AI499" s="128" t="s">
        <v>213</v>
      </c>
      <c r="AJ499" s="128">
        <f ca="1">IF($AI496,L499,X499)</f>
        <v>-8.1319999999999997</v>
      </c>
      <c r="AK499" s="129">
        <f ca="1">IF($AI496,M499,Y499)</f>
        <v>-0.25999999999999979</v>
      </c>
      <c r="AM499" s="128" t="s">
        <v>213</v>
      </c>
      <c r="AN499" s="128">
        <f ca="1">AN498-AO489/2</f>
        <v>-7.9469999999999992</v>
      </c>
      <c r="AO499" s="129">
        <f ca="1">IF(AN499&gt;-Fuselage!$D$366,(FUSELAGE_a_ellipse)*SQRT(1-((AN499+Fuselage!$D$366)/(Fuselage!$K$364-FUSELAGE_t_fuselage))^2),IF(AN499&gt;$L$2505+Fuselage!$K$370,FUSELAGE_a_ellipse,(FUSELAGE_a_ellipse+FUSELAGE_t_fuselage-FUSELAGE_d_fo/4)/Fuselage!$K$368*(AN499-$L$2505-Fuselage!$K$370)+FUSELAGE_a_ellipse))</f>
        <v>1.4960570012328709</v>
      </c>
      <c r="AQ499" s="128" t="s">
        <v>213</v>
      </c>
      <c r="AR499" s="128">
        <f t="shared" ca="1" si="74"/>
        <v>-7.9469999999999992</v>
      </c>
      <c r="AS499" s="129">
        <f t="shared" ca="1" si="75"/>
        <v>-1.4960570012328709</v>
      </c>
      <c r="AW499" s="128">
        <f t="shared" si="73"/>
        <v>2057</v>
      </c>
      <c r="AX499" s="128">
        <f t="shared" ca="1" si="69"/>
        <v>-18.624000000000006</v>
      </c>
      <c r="AY499" s="129">
        <f t="shared" ca="1" si="70"/>
        <v>1.4960570012328709</v>
      </c>
      <c r="BB499" s="128">
        <f t="shared" ca="1" si="71"/>
        <v>-18.624000000000006</v>
      </c>
      <c r="BC499" s="129">
        <f t="shared" ca="1" si="72"/>
        <v>-1.4960570012328709</v>
      </c>
      <c r="BD499" s="157"/>
    </row>
    <row r="500" spans="2:56">
      <c r="B500" s="156"/>
      <c r="C500" s="128" t="s">
        <v>286</v>
      </c>
      <c r="D500" s="128">
        <f ca="1">D499</f>
        <v>-8.1319999999999997</v>
      </c>
      <c r="E500" s="139">
        <f ca="1">E499-P489</f>
        <v>0.81999999999999984</v>
      </c>
      <c r="G500" s="128" t="s">
        <v>286</v>
      </c>
      <c r="H500" s="128">
        <f ca="1">H499</f>
        <v>8888.43</v>
      </c>
      <c r="I500" s="139">
        <f ca="1">I499-P489</f>
        <v>8887.5</v>
      </c>
      <c r="K500" s="128" t="s">
        <v>286</v>
      </c>
      <c r="L500" s="128">
        <f ca="1">L499</f>
        <v>-8.1319999999999997</v>
      </c>
      <c r="M500" s="139">
        <f ca="1">M499-P489</f>
        <v>-0.75999999999999979</v>
      </c>
      <c r="O500" s="128" t="s">
        <v>286</v>
      </c>
      <c r="P500" s="128">
        <f ca="1">P499</f>
        <v>8888</v>
      </c>
      <c r="Q500" s="139">
        <f ca="1">Q499-$T494</f>
        <v>8888</v>
      </c>
      <c r="S500" s="128" t="s">
        <v>286</v>
      </c>
      <c r="T500" s="128">
        <f ca="1">T499</f>
        <v>8888</v>
      </c>
      <c r="U500" s="139">
        <f ca="1">U499-$T492</f>
        <v>8888</v>
      </c>
      <c r="W500" s="128" t="s">
        <v>286</v>
      </c>
      <c r="X500" s="128">
        <f ca="1">X499</f>
        <v>8888</v>
      </c>
      <c r="Y500" s="139">
        <f ca="1">Y499+$T490</f>
        <v>8888</v>
      </c>
      <c r="AA500" s="143" t="s">
        <v>286</v>
      </c>
      <c r="AB500" s="128">
        <f ca="1">IF($AA496,D500,P500)</f>
        <v>-8.1319999999999997</v>
      </c>
      <c r="AC500" s="129">
        <f ca="1">IF($AA496,E500,Q500)</f>
        <v>0.81999999999999984</v>
      </c>
      <c r="AE500" s="128" t="s">
        <v>286</v>
      </c>
      <c r="AF500" s="128">
        <f ca="1">IF($AE496,H500,T500)</f>
        <v>8888.43</v>
      </c>
      <c r="AG500" s="129">
        <f ca="1">IF($AE496,I500,U500)</f>
        <v>8887.5</v>
      </c>
      <c r="AI500" s="128" t="s">
        <v>286</v>
      </c>
      <c r="AJ500" s="128">
        <f ca="1">IF($AI496,L500,X500)</f>
        <v>-8.1319999999999997</v>
      </c>
      <c r="AK500" s="129">
        <f ca="1">IF($AI496,M500,Y500)</f>
        <v>-0.75999999999999979</v>
      </c>
      <c r="AM500" s="128" t="s">
        <v>286</v>
      </c>
      <c r="AN500" s="128">
        <f ca="1">AN499</f>
        <v>-7.9469999999999992</v>
      </c>
      <c r="AO500" s="129">
        <f ca="1">IF(AN500&gt;-Fuselage!$D$366,IF(AM496,(FUSELAGE_a_ellipse+FUSELAGE_t_fuselage)*SQRT(1-((AN500+Fuselage!$D$366)/Fuselage!$K$364)^2),(FUSELAGE_a_ellipse)*SQRT(1-((AN500+Fuselage!$D$366)/Fuselage!$K$364)^2)),IF(AN500&gt;$L$2505+Fuselage!$K$370,(IF(AM496,FUSELAGE_a_ellipse+FUSELAGE_t_fuselage,FUSELAGE_a_ellipse)),IF(AM496,(FUSELAGE_a_ellipse+FUSELAGE_t_fuselage-FUSELAGE_d_fo/4)/Fuselage!$K$368*(AN500-$L$2505-Fuselage!$K$370)+FUSELAGE_a_ellipse+FUSELAGE_t_fuselage,(FUSELAGE_a_ellipse+FUSELAGE_t_fuselage-FUSELAGE_d_fo/4)/Fuselage!$K$368*(AN500-$L$2505-Fuselage!$K$370)+FUSELAGE_a_ellipse)))</f>
        <v>1.4960570012328709</v>
      </c>
      <c r="AQ500" s="128" t="s">
        <v>286</v>
      </c>
      <c r="AR500" s="128">
        <f t="shared" ca="1" si="74"/>
        <v>-7.9469999999999992</v>
      </c>
      <c r="AS500" s="129">
        <f t="shared" ca="1" si="75"/>
        <v>-1.4960570012328709</v>
      </c>
      <c r="AW500" s="128">
        <f t="shared" si="73"/>
        <v>2089</v>
      </c>
      <c r="AX500" s="128">
        <f t="shared" ca="1" si="69"/>
        <v>-18.624000000000006</v>
      </c>
      <c r="AY500" s="129">
        <f t="shared" ca="1" si="70"/>
        <v>1.4960570012328709</v>
      </c>
      <c r="BB500" s="128">
        <f t="shared" ca="1" si="71"/>
        <v>-18.624000000000006</v>
      </c>
      <c r="BC500" s="129">
        <f t="shared" ca="1" si="72"/>
        <v>-1.4960570012328709</v>
      </c>
      <c r="BD500" s="157"/>
    </row>
    <row r="501" spans="2:56">
      <c r="B501" s="156"/>
      <c r="C501" s="188" t="s">
        <v>522</v>
      </c>
      <c r="D501" s="188">
        <f ca="1">D498</f>
        <v>-8.5619999999999994</v>
      </c>
      <c r="E501" s="189">
        <f ca="1">E500</f>
        <v>0.81999999999999984</v>
      </c>
      <c r="F501" s="157"/>
      <c r="G501" s="2" t="s">
        <v>522</v>
      </c>
      <c r="H501" s="128">
        <f ca="1">H498</f>
        <v>8888</v>
      </c>
      <c r="I501" s="139">
        <f ca="1">I500</f>
        <v>8887.5</v>
      </c>
      <c r="K501" s="128" t="s">
        <v>522</v>
      </c>
      <c r="L501" s="128">
        <f ca="1">L498</f>
        <v>-8.5619999999999994</v>
      </c>
      <c r="M501" s="139">
        <f ca="1">M500</f>
        <v>-0.75999999999999979</v>
      </c>
      <c r="O501" s="188" t="s">
        <v>522</v>
      </c>
      <c r="P501" s="188">
        <f ca="1">P498</f>
        <v>8888</v>
      </c>
      <c r="Q501" s="189">
        <f ca="1">Q500</f>
        <v>8888</v>
      </c>
      <c r="S501" s="188" t="s">
        <v>522</v>
      </c>
      <c r="T501" s="188">
        <f ca="1">T498</f>
        <v>8888</v>
      </c>
      <c r="U501" s="189">
        <f ca="1">U500</f>
        <v>8888</v>
      </c>
      <c r="W501" s="188" t="s">
        <v>522</v>
      </c>
      <c r="X501" s="188">
        <f ca="1">X498</f>
        <v>8888</v>
      </c>
      <c r="Y501" s="189">
        <f ca="1">Y500</f>
        <v>8888</v>
      </c>
      <c r="AA501" s="195" t="s">
        <v>522</v>
      </c>
      <c r="AB501" s="128">
        <f ca="1">IF($AA496,D501,P501)</f>
        <v>-8.5619999999999994</v>
      </c>
      <c r="AC501" s="129">
        <f ca="1">IF($AA496,E501,Q501)</f>
        <v>0.81999999999999984</v>
      </c>
      <c r="AD501" s="157"/>
      <c r="AE501" s="2" t="s">
        <v>522</v>
      </c>
      <c r="AF501" s="188">
        <f ca="1">IF($AE496,H501,T501)</f>
        <v>8888</v>
      </c>
      <c r="AG501" s="196">
        <f ca="1">IF($AE496,I501,U501)</f>
        <v>8887.5</v>
      </c>
      <c r="AI501" s="128" t="s">
        <v>522</v>
      </c>
      <c r="AJ501" s="188">
        <f ca="1">IF($AI496,L501,X501)</f>
        <v>-8.5619999999999994</v>
      </c>
      <c r="AK501" s="196">
        <f ca="1">IF($AI496,M501,Y501)</f>
        <v>-0.75999999999999979</v>
      </c>
      <c r="AM501" s="128" t="s">
        <v>522</v>
      </c>
      <c r="AN501" s="128">
        <f ca="1">AN500-X490</f>
        <v>-7.9469999999999992</v>
      </c>
      <c r="AO501" s="129">
        <f ca="1">IF(AN501&gt;-Fuselage!$D$366,IF(AM496,(FUSELAGE_a_ellipse+FUSELAGE_t_fuselage)*SQRT(1-((AN501+Fuselage!$D$366)/Fuselage!$K$364)^2),(FUSELAGE_a_ellipse)*SQRT(1-((AN501+Fuselage!$D$366)/Fuselage!$K$364)^2)),IF(AN501&gt;$L$2505+Fuselage!$K$370,(IF(AM496,FUSELAGE_a_ellipse+FUSELAGE_t_fuselage,FUSELAGE_a_ellipse)),IF(AM496,(FUSELAGE_a_ellipse+FUSELAGE_t_fuselage-FUSELAGE_d_fo/4)/Fuselage!$K$368*(AN501-$L$2505-Fuselage!$K$370)+FUSELAGE_a_ellipse+FUSELAGE_t_fuselage,(FUSELAGE_a_ellipse+FUSELAGE_t_fuselage-FUSELAGE_d_fo/4)/Fuselage!$K$368*(AN501-$L$2505-Fuselage!$K$370)+FUSELAGE_a_ellipse)))</f>
        <v>1.4960570012328709</v>
      </c>
      <c r="AQ501" s="128" t="s">
        <v>522</v>
      </c>
      <c r="AR501" s="128">
        <f t="shared" ca="1" si="74"/>
        <v>-7.9469999999999992</v>
      </c>
      <c r="AS501" s="129">
        <f t="shared" ca="1" si="75"/>
        <v>-1.4960570012328709</v>
      </c>
      <c r="AW501" s="128">
        <f t="shared" si="73"/>
        <v>2090</v>
      </c>
      <c r="AX501" s="128">
        <f t="shared" ca="1" si="69"/>
        <v>-18.624000000000006</v>
      </c>
      <c r="AY501" s="129">
        <f t="shared" ca="1" si="70"/>
        <v>1.4960570012328709</v>
      </c>
      <c r="BB501" s="128">
        <f t="shared" ca="1" si="71"/>
        <v>-18.624000000000006</v>
      </c>
      <c r="BC501" s="129">
        <f t="shared" ca="1" si="72"/>
        <v>-1.4960570012328709</v>
      </c>
      <c r="BD501" s="157"/>
    </row>
    <row r="502" spans="2:56" ht="15" thickBot="1">
      <c r="B502" s="156"/>
      <c r="C502" s="128" t="s">
        <v>49</v>
      </c>
      <c r="D502" s="128">
        <f ca="1">IF(C496&gt;=2,D498,D501)</f>
        <v>-8.5619999999999994</v>
      </c>
      <c r="E502" s="139">
        <f ca="1">IF(C496&gt;=2,E501-P491,E501)</f>
        <v>0.75999999999999979</v>
      </c>
      <c r="F502" s="157"/>
      <c r="G502" s="192" t="s">
        <v>49</v>
      </c>
      <c r="H502" s="190">
        <f ca="1">IF(G496&gt;=2,H498,H501)</f>
        <v>8888</v>
      </c>
      <c r="I502" s="191">
        <f ca="1">IF(G496&gt;=2,I501-P491,I501)</f>
        <v>8887.5</v>
      </c>
      <c r="K502" s="190" t="s">
        <v>49</v>
      </c>
      <c r="L502" s="190">
        <f ca="1">IF(K496&gt;=2,L498,L501)</f>
        <v>-8.5619999999999994</v>
      </c>
      <c r="M502" s="191">
        <f ca="1">IF(K496&gt;=2,M501-P491,M501)</f>
        <v>-0.81999999999999984</v>
      </c>
      <c r="O502" s="130" t="s">
        <v>396</v>
      </c>
      <c r="P502" s="130">
        <f ca="1">P498</f>
        <v>8888</v>
      </c>
      <c r="Q502" s="140">
        <f ca="1">Q498</f>
        <v>8888</v>
      </c>
      <c r="S502" s="130" t="s">
        <v>396</v>
      </c>
      <c r="T502" s="130">
        <f ca="1">T498</f>
        <v>8888</v>
      </c>
      <c r="U502" s="140">
        <f ca="1">U498</f>
        <v>8888</v>
      </c>
      <c r="W502" s="130" t="s">
        <v>396</v>
      </c>
      <c r="X502" s="130">
        <f ca="1">X498</f>
        <v>8888</v>
      </c>
      <c r="Y502" s="140">
        <f ca="1">Y498</f>
        <v>8888</v>
      </c>
      <c r="AA502" s="143" t="s">
        <v>49</v>
      </c>
      <c r="AB502" s="128">
        <f ca="1">IF($AA496,D502,P502)</f>
        <v>-8.5619999999999994</v>
      </c>
      <c r="AC502" s="129">
        <f ca="1">IF($AA496,E502,Q502)</f>
        <v>0.75999999999999979</v>
      </c>
      <c r="AD502" s="157"/>
      <c r="AE502" s="192" t="s">
        <v>49</v>
      </c>
      <c r="AF502" s="128">
        <f ca="1">IF($AE496,H502,T502)</f>
        <v>8888</v>
      </c>
      <c r="AG502" s="129">
        <f ca="1">IF($AE496,I502,U502)</f>
        <v>8887.5</v>
      </c>
      <c r="AI502" s="190" t="s">
        <v>49</v>
      </c>
      <c r="AJ502" s="128">
        <f ca="1">IF($AI496,L502,X502)</f>
        <v>-8.5619999999999994</v>
      </c>
      <c r="AK502" s="129">
        <f ca="1">IF($AI496,M502,Y502)</f>
        <v>-0.81999999999999984</v>
      </c>
      <c r="AM502" s="128" t="s">
        <v>49</v>
      </c>
      <c r="AN502" s="128">
        <f ca="1">AN501</f>
        <v>-7.9469999999999992</v>
      </c>
      <c r="AO502" s="129">
        <f ca="1">IF(AN502&gt;-Fuselage!$D$366,(FUSELAGE_a_ellipse)*SQRT(1-((AN502+Fuselage!$D$366)/(Fuselage!$K$364-FUSELAGE_t_fuselage))^2),IF(AN502&gt;$L$2505+Fuselage!$K$370,FUSELAGE_a_ellipse,(FUSELAGE_a_ellipse+FUSELAGE_t_fuselage-FUSELAGE_d_fo/4)/Fuselage!$K$368*(AN502-$L$2505-Fuselage!$K$370)+FUSELAGE_a_ellipse))</f>
        <v>1.4960570012328709</v>
      </c>
      <c r="AQ502" s="128" t="s">
        <v>49</v>
      </c>
      <c r="AR502" s="128">
        <f t="shared" ca="1" si="74"/>
        <v>-7.9469999999999992</v>
      </c>
      <c r="AS502" s="129">
        <f t="shared" ca="1" si="75"/>
        <v>-1.4960570012328709</v>
      </c>
      <c r="AW502" s="128">
        <f t="shared" si="73"/>
        <v>2091</v>
      </c>
      <c r="AX502" s="128">
        <f t="shared" ca="1" si="69"/>
        <v>-18.624000000000006</v>
      </c>
      <c r="AY502" s="129">
        <f t="shared" ca="1" si="70"/>
        <v>1.4960570012328709</v>
      </c>
      <c r="BB502" s="128">
        <f t="shared" ca="1" si="71"/>
        <v>-18.624000000000006</v>
      </c>
      <c r="BC502" s="129">
        <f t="shared" ca="1" si="72"/>
        <v>-1.4960570012328709</v>
      </c>
      <c r="BD502" s="157"/>
    </row>
    <row r="503" spans="2:56">
      <c r="B503" s="156"/>
      <c r="C503" s="128" t="s">
        <v>453</v>
      </c>
      <c r="D503" s="128">
        <f ca="1">IF(C496&gt;=2,D498+P490,D501)</f>
        <v>-8.1319999999999997</v>
      </c>
      <c r="E503" s="139">
        <f ca="1">E502</f>
        <v>0.75999999999999979</v>
      </c>
      <c r="F503" s="157"/>
      <c r="G503" s="2" t="s">
        <v>453</v>
      </c>
      <c r="H503" s="128">
        <f ca="1">IF(G496&gt;=2,H499,H501)</f>
        <v>8888</v>
      </c>
      <c r="I503" s="139">
        <f ca="1">IF(G496&gt;=2,I502,I501)</f>
        <v>8887.5</v>
      </c>
      <c r="K503" s="128" t="s">
        <v>453</v>
      </c>
      <c r="L503" s="128">
        <f ca="1">IF(K496&gt;=2,IF(X491,IF(K496=2,L498+P490/4,L498+P490),L498+P490),L501)</f>
        <v>-8.1319999999999997</v>
      </c>
      <c r="M503" s="139">
        <f ca="1">IF(K496&gt;=2,M502,M501)</f>
        <v>-0.81999999999999984</v>
      </c>
      <c r="AA503" s="143" t="s">
        <v>453</v>
      </c>
      <c r="AB503" s="128">
        <f ca="1">IF($AA496,D503,AB502)</f>
        <v>-8.1319999999999997</v>
      </c>
      <c r="AC503" s="129">
        <f ca="1">IF($AA496,E503,AC502)</f>
        <v>0.75999999999999979</v>
      </c>
      <c r="AD503" s="157"/>
      <c r="AE503" s="2" t="s">
        <v>453</v>
      </c>
      <c r="AF503" s="128">
        <f ca="1">IF($AE496,H503,AF502)</f>
        <v>8888</v>
      </c>
      <c r="AG503" s="129">
        <f ca="1">IF($AE496,I503,AG502)</f>
        <v>8887.5</v>
      </c>
      <c r="AI503" s="128" t="s">
        <v>453</v>
      </c>
      <c r="AJ503" s="128">
        <f ca="1">IF($AI496,L503,AJ502)</f>
        <v>-8.1319999999999997</v>
      </c>
      <c r="AK503" s="129">
        <f ca="1">IF($AI496,M503,AK502)</f>
        <v>-0.81999999999999984</v>
      </c>
      <c r="AM503" s="128" t="s">
        <v>453</v>
      </c>
      <c r="AN503" s="128">
        <f ca="1">L489</f>
        <v>-8.5619999999999994</v>
      </c>
      <c r="AO503" s="129">
        <f ca="1">IF(AN503&gt;-Fuselage!$D$366,(FUSELAGE_a_ellipse)*SQRT(1-((AN503+Fuselage!$D$366)/(Fuselage!$K$364-FUSELAGE_t_fuselage))^2),IF(AN503&gt;$L$2505+Fuselage!$K$370,FUSELAGE_a_ellipse,(FUSELAGE_a_ellipse+FUSELAGE_t_fuselage-FUSELAGE_d_fo/4)/Fuselage!$K$368*(AN503-$L$2505-Fuselage!$K$370)+FUSELAGE_a_ellipse))</f>
        <v>1.4960570012328709</v>
      </c>
      <c r="AQ503" s="128" t="s">
        <v>453</v>
      </c>
      <c r="AR503" s="128">
        <f t="shared" ca="1" si="74"/>
        <v>-8.5619999999999994</v>
      </c>
      <c r="AS503" s="129">
        <f t="shared" ca="1" si="75"/>
        <v>-1.4960570012328709</v>
      </c>
      <c r="AW503" s="128">
        <f t="shared" si="73"/>
        <v>2092</v>
      </c>
      <c r="AX503" s="128">
        <f t="shared" ca="1" si="69"/>
        <v>-18.624000000000006</v>
      </c>
      <c r="AY503" s="129">
        <f t="shared" ca="1" si="70"/>
        <v>1.4960570012328709</v>
      </c>
      <c r="BB503" s="128">
        <f t="shared" ca="1" si="71"/>
        <v>-18.624000000000006</v>
      </c>
      <c r="BC503" s="129">
        <f t="shared" ca="1" si="72"/>
        <v>-1.4960570012328709</v>
      </c>
      <c r="BD503" s="157"/>
    </row>
    <row r="504" spans="2:56">
      <c r="B504" s="156"/>
      <c r="C504" s="128" t="s">
        <v>394</v>
      </c>
      <c r="D504" s="128">
        <f ca="1">IF(C496&gt;=2,D503,D501)</f>
        <v>-8.1319999999999997</v>
      </c>
      <c r="E504" s="139">
        <f ca="1">IF(C496&gt;=2,E502-P489,E501)</f>
        <v>0.25999999999999979</v>
      </c>
      <c r="F504" s="157"/>
      <c r="G504" s="2" t="s">
        <v>394</v>
      </c>
      <c r="H504" s="128">
        <f ca="1">IF(G496&gt;=2,H499,H501)</f>
        <v>8888</v>
      </c>
      <c r="I504" s="139">
        <f ca="1">IF(G496&gt;=2,I503-P489,I501)</f>
        <v>8887.5</v>
      </c>
      <c r="K504" s="128" t="s">
        <v>394</v>
      </c>
      <c r="L504" s="128">
        <f ca="1">L503</f>
        <v>-8.1319999999999997</v>
      </c>
      <c r="M504" s="139">
        <f ca="1">IF(K496&gt;=2,M503-P489,M501)</f>
        <v>-1.3199999999999998</v>
      </c>
      <c r="AA504" s="143" t="s">
        <v>394</v>
      </c>
      <c r="AB504" s="128">
        <f ca="1">IF($AA496,D504,AB502)</f>
        <v>-8.1319999999999997</v>
      </c>
      <c r="AC504" s="129">
        <f ca="1">IF($AA496,E504,AC502)</f>
        <v>0.25999999999999979</v>
      </c>
      <c r="AD504" s="157"/>
      <c r="AE504" s="2" t="s">
        <v>394</v>
      </c>
      <c r="AF504" s="128">
        <f ca="1">IF($AE496,H504,AF502)</f>
        <v>8888</v>
      </c>
      <c r="AG504" s="129">
        <f ca="1">IF($AE496,I504,AG502)</f>
        <v>8887.5</v>
      </c>
      <c r="AI504" s="128" t="s">
        <v>394</v>
      </c>
      <c r="AJ504" s="128">
        <f ca="1">IF($AI496,L504,AJ502)</f>
        <v>-8.1319999999999997</v>
      </c>
      <c r="AK504" s="129">
        <f ca="1">IF($AI496,M504,AK502)</f>
        <v>-1.3199999999999998</v>
      </c>
      <c r="AW504" s="128">
        <f t="shared" si="73"/>
        <v>2093</v>
      </c>
      <c r="AX504" s="128">
        <f t="shared" ca="1" si="69"/>
        <v>-18.624000000000006</v>
      </c>
      <c r="AY504" s="129">
        <f t="shared" ca="1" si="70"/>
        <v>1.4960570012328709</v>
      </c>
      <c r="BB504" s="128">
        <f t="shared" ca="1" si="71"/>
        <v>-18.624000000000006</v>
      </c>
      <c r="BC504" s="129">
        <f t="shared" ca="1" si="72"/>
        <v>-1.4960570012328709</v>
      </c>
      <c r="BD504" s="157"/>
    </row>
    <row r="505" spans="2:56">
      <c r="B505" s="156"/>
      <c r="C505" s="188" t="s">
        <v>454</v>
      </c>
      <c r="D505" s="188">
        <f ca="1">IF(C496&gt;=2,D498,D501)</f>
        <v>-8.5619999999999994</v>
      </c>
      <c r="E505" s="189">
        <f ca="1">E504</f>
        <v>0.25999999999999979</v>
      </c>
      <c r="F505" s="157"/>
      <c r="G505" s="115" t="s">
        <v>454</v>
      </c>
      <c r="H505" s="188">
        <f ca="1">IF(G496&gt;=2,H498,H501)</f>
        <v>8888</v>
      </c>
      <c r="I505" s="189">
        <f ca="1">IF(G496&gt;=2,I504,I501)</f>
        <v>8887.5</v>
      </c>
      <c r="K505" s="188" t="s">
        <v>454</v>
      </c>
      <c r="L505" s="188">
        <f ca="1">IF(K496&gt;=2,L498,L501)</f>
        <v>-8.5619999999999994</v>
      </c>
      <c r="M505" s="189">
        <f ca="1">IF(K496&gt;=2,M504,M501)</f>
        <v>-1.3199999999999998</v>
      </c>
      <c r="AA505" s="195" t="s">
        <v>454</v>
      </c>
      <c r="AB505" s="128">
        <f ca="1">IF($AA496,D505,AB502)</f>
        <v>-8.5619999999999994</v>
      </c>
      <c r="AC505" s="129">
        <f ca="1">IF($AA496,E505,AC502)</f>
        <v>0.25999999999999979</v>
      </c>
      <c r="AD505" s="157"/>
      <c r="AE505" s="115" t="s">
        <v>454</v>
      </c>
      <c r="AF505" s="188">
        <f ca="1">IF($AE496,H505,AF502)</f>
        <v>8888</v>
      </c>
      <c r="AG505" s="196">
        <f ca="1">IF($AE496,I505,AG502)</f>
        <v>8887.5</v>
      </c>
      <c r="AI505" s="188" t="s">
        <v>454</v>
      </c>
      <c r="AJ505" s="188">
        <f ca="1">IF($AI496,L505,AJ502)</f>
        <v>-8.5619999999999994</v>
      </c>
      <c r="AK505" s="196">
        <f ca="1">IF($AI496,M505,AK502)</f>
        <v>-1.3199999999999998</v>
      </c>
      <c r="AW505" s="128">
        <f t="shared" si="73"/>
        <v>2125</v>
      </c>
      <c r="AX505" s="128">
        <f t="shared" ca="1" si="69"/>
        <v>-18.624000000000006</v>
      </c>
      <c r="AY505" s="129">
        <f t="shared" ca="1" si="70"/>
        <v>1.4960570012328709</v>
      </c>
      <c r="BB505" s="128">
        <f t="shared" ca="1" si="71"/>
        <v>-18.624000000000006</v>
      </c>
      <c r="BC505" s="129">
        <f t="shared" ca="1" si="72"/>
        <v>-1.4960570012328709</v>
      </c>
      <c r="BD505" s="157"/>
    </row>
    <row r="506" spans="2:56">
      <c r="B506" s="156"/>
      <c r="C506" s="128" t="s">
        <v>507</v>
      </c>
      <c r="D506" s="128">
        <f ca="1">IF(C496&gt;=3,D498,D505)</f>
        <v>-8.5619999999999994</v>
      </c>
      <c r="E506" s="139">
        <f ca="1">IF(C496&gt;=3,E505-P491,E505)</f>
        <v>0.25999999999999979</v>
      </c>
      <c r="F506" s="157"/>
      <c r="G506" s="2" t="s">
        <v>507</v>
      </c>
      <c r="H506" s="128">
        <f ca="1">IF(G496&gt;=3,H498,H505)</f>
        <v>8888</v>
      </c>
      <c r="I506" s="139">
        <f ca="1">IF(G496&gt;=3,I505-P491,I505)</f>
        <v>8887.5</v>
      </c>
      <c r="K506" s="128" t="s">
        <v>507</v>
      </c>
      <c r="L506" s="128">
        <f ca="1">IF(K496&gt;=3,L498,L505)</f>
        <v>-8.5619999999999994</v>
      </c>
      <c r="M506" s="139">
        <f ca="1">IF(K496&gt;=3,M505-P491,M505)</f>
        <v>-1.3199999999999998</v>
      </c>
      <c r="AA506" s="143" t="s">
        <v>507</v>
      </c>
      <c r="AB506" s="128">
        <f ca="1">IF($AA496,D506,AB502)</f>
        <v>-8.5619999999999994</v>
      </c>
      <c r="AC506" s="129">
        <f ca="1">IF($AA496,E506,AC502)</f>
        <v>0.25999999999999979</v>
      </c>
      <c r="AD506" s="157"/>
      <c r="AE506" s="2" t="s">
        <v>507</v>
      </c>
      <c r="AF506" s="128">
        <f ca="1">IF($AE496,H506,AF502)</f>
        <v>8888</v>
      </c>
      <c r="AG506" s="129">
        <f ca="1">IF($AE496,I506,AG502)</f>
        <v>8887.5</v>
      </c>
      <c r="AI506" s="128" t="s">
        <v>507</v>
      </c>
      <c r="AJ506" s="128">
        <f ca="1">IF($AI496,L506,AJ502)</f>
        <v>-8.5619999999999994</v>
      </c>
      <c r="AK506" s="129">
        <f ca="1">IF($AI496,M506,AK502)</f>
        <v>-1.3199999999999998</v>
      </c>
      <c r="AW506" s="128">
        <f t="shared" si="73"/>
        <v>2126</v>
      </c>
      <c r="AX506" s="128">
        <f t="shared" ca="1" si="69"/>
        <v>-18.624000000000006</v>
      </c>
      <c r="AY506" s="129">
        <f t="shared" ca="1" si="70"/>
        <v>1.4960570012328709</v>
      </c>
      <c r="BB506" s="128">
        <f t="shared" ca="1" si="71"/>
        <v>-18.624000000000006</v>
      </c>
      <c r="BC506" s="129">
        <f t="shared" ca="1" si="72"/>
        <v>-1.4960570012328709</v>
      </c>
      <c r="BD506" s="157"/>
    </row>
    <row r="507" spans="2:56">
      <c r="B507" s="156"/>
      <c r="C507" s="128" t="s">
        <v>455</v>
      </c>
      <c r="D507" s="128">
        <f ca="1">IF(C496&gt;=3,D503,D505)</f>
        <v>-8.5619999999999994</v>
      </c>
      <c r="E507" s="139">
        <f ca="1">E506</f>
        <v>0.25999999999999979</v>
      </c>
      <c r="F507" s="157"/>
      <c r="G507" s="2" t="s">
        <v>455</v>
      </c>
      <c r="H507" s="128">
        <f ca="1">IF(G496&gt;=3,H499,H505)</f>
        <v>8888</v>
      </c>
      <c r="I507" s="139">
        <f ca="1">IF(G496&gt;=3,I506,I505)</f>
        <v>8887.5</v>
      </c>
      <c r="K507" s="128" t="s">
        <v>455</v>
      </c>
      <c r="L507" s="128">
        <f ca="1">IF(K496&gt;=3,IF(X491,IF(K496=3,L498+P490/4,L498+P490),L498+P490),L501)</f>
        <v>-8.5619999999999994</v>
      </c>
      <c r="M507" s="139">
        <f ca="1">IF(K496&gt;=3,M506,M505)</f>
        <v>-1.3199999999999998</v>
      </c>
      <c r="AA507" s="143" t="s">
        <v>455</v>
      </c>
      <c r="AB507" s="128">
        <f ca="1">IF($AA496,D507,AB502)</f>
        <v>-8.5619999999999994</v>
      </c>
      <c r="AC507" s="129">
        <f ca="1">IF($AA496,E507,AC502)</f>
        <v>0.25999999999999979</v>
      </c>
      <c r="AD507" s="157"/>
      <c r="AE507" s="2" t="s">
        <v>455</v>
      </c>
      <c r="AF507" s="128">
        <f ca="1">IF($AE496,H507,AF502)</f>
        <v>8888</v>
      </c>
      <c r="AG507" s="129">
        <f ca="1">IF($AE496,I507,AG502)</f>
        <v>8887.5</v>
      </c>
      <c r="AI507" s="128" t="s">
        <v>455</v>
      </c>
      <c r="AJ507" s="128">
        <f ca="1">IF($AI496,L507,AJ502)</f>
        <v>-8.5619999999999994</v>
      </c>
      <c r="AK507" s="129">
        <f ca="1">IF($AI496,M507,AK502)</f>
        <v>-1.3199999999999998</v>
      </c>
      <c r="AL507" s="156"/>
      <c r="AW507" s="128">
        <f t="shared" si="73"/>
        <v>2127</v>
      </c>
      <c r="AX507" s="128">
        <f t="shared" ca="1" si="69"/>
        <v>-18.624000000000006</v>
      </c>
      <c r="AY507" s="129">
        <f t="shared" ca="1" si="70"/>
        <v>1.4960570012328709</v>
      </c>
      <c r="BB507" s="128">
        <f t="shared" ca="1" si="71"/>
        <v>-18.624000000000006</v>
      </c>
      <c r="BC507" s="129">
        <f t="shared" ca="1" si="72"/>
        <v>-1.4960570012328709</v>
      </c>
      <c r="BD507" s="157"/>
    </row>
    <row r="508" spans="2:56">
      <c r="B508" s="156"/>
      <c r="C508" s="128" t="s">
        <v>311</v>
      </c>
      <c r="D508" s="128">
        <f ca="1">IF(C496&gt;=3,D503,D505)</f>
        <v>-8.5619999999999994</v>
      </c>
      <c r="E508" s="139">
        <f ca="1">IF(C496&gt;=3,E507-P489,E505)</f>
        <v>0.25999999999999979</v>
      </c>
      <c r="F508" s="157"/>
      <c r="G508" s="2" t="s">
        <v>311</v>
      </c>
      <c r="H508" s="128">
        <f ca="1">IF(G496&gt;=3,H499,H505)</f>
        <v>8888</v>
      </c>
      <c r="I508" s="139">
        <f ca="1">IF(G496&gt;=3,I507-P489,I505)</f>
        <v>8887.5</v>
      </c>
      <c r="K508" s="128" t="s">
        <v>311</v>
      </c>
      <c r="L508" s="128">
        <f ca="1">L507</f>
        <v>-8.5619999999999994</v>
      </c>
      <c r="M508" s="139">
        <f ca="1">IF(K496&gt;=3,M507-P489,M505)</f>
        <v>-1.3199999999999998</v>
      </c>
      <c r="AA508" s="143" t="s">
        <v>311</v>
      </c>
      <c r="AB508" s="128">
        <f ca="1">IF($AA496,D508,AB502)</f>
        <v>-8.5619999999999994</v>
      </c>
      <c r="AC508" s="129">
        <f ca="1">IF($AA496,E508,AC502)</f>
        <v>0.25999999999999979</v>
      </c>
      <c r="AD508" s="157"/>
      <c r="AE508" s="2" t="s">
        <v>311</v>
      </c>
      <c r="AF508" s="128">
        <f ca="1">IF($AE496,H508,AF502)</f>
        <v>8888</v>
      </c>
      <c r="AG508" s="129">
        <f ca="1">IF($AE496,I508,AG502)</f>
        <v>8887.5</v>
      </c>
      <c r="AI508" s="128" t="s">
        <v>311</v>
      </c>
      <c r="AJ508" s="128">
        <f ca="1">IF($AI496,L508,AJ502)</f>
        <v>-8.5619999999999994</v>
      </c>
      <c r="AK508" s="129">
        <f ca="1">IF($AI496,M508,AK502)</f>
        <v>-1.3199999999999998</v>
      </c>
      <c r="AL508" s="156"/>
      <c r="AW508" s="128">
        <f t="shared" si="73"/>
        <v>2128</v>
      </c>
      <c r="AX508" s="128">
        <f t="shared" ca="1" si="69"/>
        <v>-18.624000000000006</v>
      </c>
      <c r="AY508" s="129">
        <f t="shared" ca="1" si="70"/>
        <v>1.4960570012328709</v>
      </c>
      <c r="BB508" s="128">
        <f t="shared" ca="1" si="71"/>
        <v>-18.624000000000006</v>
      </c>
      <c r="BC508" s="129">
        <f t="shared" ca="1" si="72"/>
        <v>-1.4960570012328709</v>
      </c>
      <c r="BD508" s="157"/>
    </row>
    <row r="509" spans="2:56">
      <c r="B509" s="156"/>
      <c r="C509" s="188" t="s">
        <v>35</v>
      </c>
      <c r="D509" s="188">
        <f ca="1">IF(C496&gt;=3,D498,D505)</f>
        <v>-8.5619999999999994</v>
      </c>
      <c r="E509" s="189">
        <f ca="1">E508</f>
        <v>0.25999999999999979</v>
      </c>
      <c r="F509" s="157"/>
      <c r="G509" s="2" t="s">
        <v>35</v>
      </c>
      <c r="H509" s="188">
        <f ca="1">IF(G496&gt;=3,H498,H505)</f>
        <v>8888</v>
      </c>
      <c r="I509" s="189">
        <f ca="1">IF(G496&gt;=3,I508,I505)</f>
        <v>8887.5</v>
      </c>
      <c r="K509" s="188" t="s">
        <v>35</v>
      </c>
      <c r="L509" s="188">
        <f ca="1">IF(K496&gt;=3,L498,L505)</f>
        <v>-8.5619999999999994</v>
      </c>
      <c r="M509" s="189">
        <f ca="1">IF(K496&gt;=3,M508,M505)</f>
        <v>-1.3199999999999998</v>
      </c>
      <c r="AA509" s="143" t="s">
        <v>35</v>
      </c>
      <c r="AB509" s="128">
        <f ca="1">IF($AA496,D509,AB502)</f>
        <v>-8.5619999999999994</v>
      </c>
      <c r="AC509" s="129">
        <f ca="1">IF($AA496,E509,AC502)</f>
        <v>0.25999999999999979</v>
      </c>
      <c r="AD509" s="157"/>
      <c r="AE509" s="2" t="s">
        <v>35</v>
      </c>
      <c r="AF509" s="188">
        <f ca="1">IF($AE496,H509,AF502)</f>
        <v>8888</v>
      </c>
      <c r="AG509" s="196">
        <f ca="1">IF($AE496,I509,AG502)</f>
        <v>8887.5</v>
      </c>
      <c r="AI509" s="128" t="s">
        <v>35</v>
      </c>
      <c r="AJ509" s="128">
        <f ca="1">IF($AI496,L509,AJ502)</f>
        <v>-8.5619999999999994</v>
      </c>
      <c r="AK509" s="129">
        <f ca="1">IF($AI496,M509,AK502)</f>
        <v>-1.3199999999999998</v>
      </c>
      <c r="AL509" s="156"/>
      <c r="AW509" s="128">
        <f t="shared" si="73"/>
        <v>2129</v>
      </c>
      <c r="AX509" s="128">
        <f t="shared" ca="1" si="69"/>
        <v>-18.624000000000006</v>
      </c>
      <c r="AY509" s="129">
        <f t="shared" ca="1" si="70"/>
        <v>1.4960570012328709</v>
      </c>
      <c r="BB509" s="128">
        <f t="shared" ca="1" si="71"/>
        <v>-18.624000000000006</v>
      </c>
      <c r="BC509" s="129">
        <f t="shared" ca="1" si="72"/>
        <v>-1.4960570012328709</v>
      </c>
      <c r="BD509" s="157"/>
    </row>
    <row r="510" spans="2:56" ht="15" thickBot="1">
      <c r="B510" s="156"/>
      <c r="C510" s="130" t="s">
        <v>396</v>
      </c>
      <c r="D510" s="130">
        <f ca="1">D498</f>
        <v>-8.5619999999999994</v>
      </c>
      <c r="E510" s="140">
        <f ca="1">E498</f>
        <v>1.3199999999999998</v>
      </c>
      <c r="F510" s="157"/>
      <c r="G510" s="192" t="s">
        <v>312</v>
      </c>
      <c r="H510" s="128">
        <f ca="1">IF(G496&gt;=4,H498,H509)</f>
        <v>8888</v>
      </c>
      <c r="I510" s="139">
        <f ca="1">IF(G496&gt;=4,I509-P491,I509)</f>
        <v>8887.5</v>
      </c>
      <c r="K510" s="130" t="s">
        <v>396</v>
      </c>
      <c r="L510" s="130">
        <f ca="1">L498</f>
        <v>-8.5619999999999994</v>
      </c>
      <c r="M510" s="140">
        <f ca="1">M498</f>
        <v>-0.25999999999999979</v>
      </c>
      <c r="AA510" s="144" t="s">
        <v>396</v>
      </c>
      <c r="AB510" s="130">
        <f ca="1">IF($AA496,D510,AB502)</f>
        <v>-8.5619999999999994</v>
      </c>
      <c r="AC510" s="132">
        <f ca="1">IF($AA496,E510,AC502)</f>
        <v>1.3199999999999998</v>
      </c>
      <c r="AD510" s="157"/>
      <c r="AE510" s="192" t="s">
        <v>312</v>
      </c>
      <c r="AF510" s="128">
        <f ca="1">IF($AE496,H510,AF502)</f>
        <v>8888</v>
      </c>
      <c r="AG510" s="129">
        <f ca="1">IF($AE496,I510,AG502)</f>
        <v>8887.5</v>
      </c>
      <c r="AI510" s="130" t="s">
        <v>396</v>
      </c>
      <c r="AJ510" s="130">
        <f ca="1">IF($AI496,L510,AJ502)</f>
        <v>-8.5619999999999994</v>
      </c>
      <c r="AK510" s="132">
        <f ca="1">IF($AI496,M510,AK502)</f>
        <v>-0.25999999999999979</v>
      </c>
      <c r="AW510" s="128">
        <f t="shared" si="73"/>
        <v>2161</v>
      </c>
      <c r="AX510" s="128">
        <f t="shared" ref="AX510:AX526" ca="1" si="76">OFFSET(AN$209,$AW510,0)</f>
        <v>-18.624000000000006</v>
      </c>
      <c r="AY510" s="129">
        <f t="shared" ref="AY510:AY526" ca="1" si="77">OFFSET(AO$209,$AW510,0)</f>
        <v>1.4960570012328709</v>
      </c>
      <c r="BB510" s="128">
        <f t="shared" ref="BB510:BB526" ca="1" si="78">AX510</f>
        <v>-18.624000000000006</v>
      </c>
      <c r="BC510" s="129">
        <f t="shared" ref="BC510:BC526" ca="1" si="79">-AY510</f>
        <v>-1.4960570012328709</v>
      </c>
      <c r="BD510" s="157"/>
    </row>
    <row r="511" spans="2:56">
      <c r="B511" s="156"/>
      <c r="F511" s="157"/>
      <c r="G511" s="2" t="s">
        <v>313</v>
      </c>
      <c r="H511" s="128">
        <f ca="1">IF(G496&gt;=4,H499,H509)</f>
        <v>8888</v>
      </c>
      <c r="I511" s="139">
        <f ca="1">IF(G496&gt;=4,I510,I509)</f>
        <v>8887.5</v>
      </c>
      <c r="AD511" s="157"/>
      <c r="AE511" s="2" t="s">
        <v>313</v>
      </c>
      <c r="AF511" s="128">
        <f ca="1">IF($AE496,H511,AF502)</f>
        <v>8888</v>
      </c>
      <c r="AG511" s="129">
        <f ca="1">IF($AE496,I511,AG502)</f>
        <v>8887.5</v>
      </c>
      <c r="AW511" s="128">
        <f t="shared" si="73"/>
        <v>2162</v>
      </c>
      <c r="AX511" s="128">
        <f t="shared" ca="1" si="76"/>
        <v>-18.624000000000006</v>
      </c>
      <c r="AY511" s="129">
        <f t="shared" ca="1" si="77"/>
        <v>1.4960570012328709</v>
      </c>
      <c r="BB511" s="128">
        <f t="shared" ca="1" si="78"/>
        <v>-18.624000000000006</v>
      </c>
      <c r="BC511" s="129">
        <f t="shared" ca="1" si="79"/>
        <v>-1.4960570012328709</v>
      </c>
      <c r="BD511" s="157"/>
    </row>
    <row r="512" spans="2:56">
      <c r="B512" s="156"/>
      <c r="F512" s="157"/>
      <c r="G512" s="2" t="s">
        <v>7</v>
      </c>
      <c r="H512" s="128">
        <f ca="1">IF(G496&gt;=4,H499,H509)</f>
        <v>8888</v>
      </c>
      <c r="I512" s="139">
        <f ca="1">IF(G496&gt;=4,I511-P489,I509)</f>
        <v>8887.5</v>
      </c>
      <c r="AD512" s="157"/>
      <c r="AE512" s="2" t="s">
        <v>7</v>
      </c>
      <c r="AF512" s="128">
        <f ca="1">IF($AE496,H512,AF502)</f>
        <v>8888</v>
      </c>
      <c r="AG512" s="129">
        <f ca="1">IF($AE496,I512,AG502)</f>
        <v>8887.5</v>
      </c>
      <c r="AW512" s="128">
        <f t="shared" si="73"/>
        <v>2163</v>
      </c>
      <c r="AX512" s="128">
        <f t="shared" ca="1" si="76"/>
        <v>-18.624000000000006</v>
      </c>
      <c r="AY512" s="129">
        <f t="shared" ca="1" si="77"/>
        <v>1.4960570012328709</v>
      </c>
      <c r="BB512" s="128">
        <f t="shared" ca="1" si="78"/>
        <v>-18.624000000000006</v>
      </c>
      <c r="BC512" s="129">
        <f t="shared" ca="1" si="79"/>
        <v>-1.4960570012328709</v>
      </c>
      <c r="BD512" s="157"/>
    </row>
    <row r="513" spans="2:56">
      <c r="B513" s="156"/>
      <c r="F513" s="157"/>
      <c r="G513" s="115" t="s">
        <v>8</v>
      </c>
      <c r="H513" s="188">
        <f ca="1">IF(G496&gt;=4,H498,H509)</f>
        <v>8888</v>
      </c>
      <c r="I513" s="189">
        <f ca="1">IF(G496&gt;=4,I512,I509)</f>
        <v>8887.5</v>
      </c>
      <c r="AD513" s="157"/>
      <c r="AE513" s="115" t="s">
        <v>8</v>
      </c>
      <c r="AF513" s="188">
        <f ca="1">IF($AE496,H513,AF502)</f>
        <v>8888</v>
      </c>
      <c r="AG513" s="196">
        <f ca="1">IF($AE496,I513,AG502)</f>
        <v>8887.5</v>
      </c>
      <c r="AW513" s="128">
        <f t="shared" si="73"/>
        <v>2164</v>
      </c>
      <c r="AX513" s="128">
        <f t="shared" ca="1" si="76"/>
        <v>-18.624000000000006</v>
      </c>
      <c r="AY513" s="129">
        <f t="shared" ca="1" si="77"/>
        <v>1.4960570012328709</v>
      </c>
      <c r="BB513" s="128">
        <f t="shared" ca="1" si="78"/>
        <v>-18.624000000000006</v>
      </c>
      <c r="BC513" s="129">
        <f t="shared" ca="1" si="79"/>
        <v>-1.4960570012328709</v>
      </c>
      <c r="BD513" s="157"/>
    </row>
    <row r="514" spans="2:56">
      <c r="B514" s="156"/>
      <c r="F514" s="157"/>
      <c r="G514" s="2" t="s">
        <v>9</v>
      </c>
      <c r="H514" s="128">
        <f ca="1">IF(G496&gt;=5,H498,H513)</f>
        <v>8888</v>
      </c>
      <c r="I514" s="139">
        <f ca="1">IF(G496&gt;=5,I513-P491,I513)</f>
        <v>8887.5</v>
      </c>
      <c r="AD514" s="157"/>
      <c r="AE514" s="2" t="s">
        <v>9</v>
      </c>
      <c r="AF514" s="128">
        <f ca="1">IF($AE496,H514,AF502)</f>
        <v>8888</v>
      </c>
      <c r="AG514" s="129">
        <f ca="1">IF($AE496,I514,AG502)</f>
        <v>8887.5</v>
      </c>
      <c r="AW514" s="128">
        <f t="shared" si="73"/>
        <v>2165</v>
      </c>
      <c r="AX514" s="128">
        <f t="shared" ca="1" si="76"/>
        <v>-18.624000000000006</v>
      </c>
      <c r="AY514" s="129">
        <f t="shared" ca="1" si="77"/>
        <v>1.4960570012328709</v>
      </c>
      <c r="BB514" s="128">
        <f t="shared" ca="1" si="78"/>
        <v>-18.624000000000006</v>
      </c>
      <c r="BC514" s="129">
        <f t="shared" ca="1" si="79"/>
        <v>-1.4960570012328709</v>
      </c>
      <c r="BD514" s="157"/>
    </row>
    <row r="515" spans="2:56">
      <c r="B515" s="156"/>
      <c r="F515" s="157"/>
      <c r="G515" s="2" t="s">
        <v>196</v>
      </c>
      <c r="H515" s="128">
        <f ca="1">IF(G496&gt;=5,H499,H513)</f>
        <v>8888</v>
      </c>
      <c r="I515" s="139">
        <f ca="1">IF(G496&gt;=5,I514,I513)</f>
        <v>8887.5</v>
      </c>
      <c r="AD515" s="157"/>
      <c r="AE515" s="2" t="s">
        <v>196</v>
      </c>
      <c r="AF515" s="128">
        <f ca="1">IF($AE496,H515,AF502)</f>
        <v>8888</v>
      </c>
      <c r="AG515" s="129">
        <f ca="1">IF($AE496,I515,AG502)</f>
        <v>8887.5</v>
      </c>
      <c r="AW515" s="128">
        <f t="shared" si="73"/>
        <v>2197</v>
      </c>
      <c r="AX515" s="128">
        <f t="shared" ca="1" si="76"/>
        <v>-18.624000000000006</v>
      </c>
      <c r="AY515" s="129">
        <f t="shared" ca="1" si="77"/>
        <v>1.4960570012328709</v>
      </c>
      <c r="BB515" s="128">
        <f t="shared" ca="1" si="78"/>
        <v>-18.624000000000006</v>
      </c>
      <c r="BC515" s="129">
        <f t="shared" ca="1" si="79"/>
        <v>-1.4960570012328709</v>
      </c>
      <c r="BD515" s="157"/>
    </row>
    <row r="516" spans="2:56">
      <c r="B516" s="156"/>
      <c r="F516" s="157"/>
      <c r="G516" s="2" t="s">
        <v>10</v>
      </c>
      <c r="H516" s="128">
        <f ca="1">IF(G496&gt;=5,H499,H513)</f>
        <v>8888</v>
      </c>
      <c r="I516" s="139">
        <f ca="1">IF(G496&gt;=5,I515-P489,I513)</f>
        <v>8887.5</v>
      </c>
      <c r="AD516" s="157"/>
      <c r="AE516" s="2" t="s">
        <v>10</v>
      </c>
      <c r="AF516" s="128">
        <f ca="1">IF($AE496,H516,AF502)</f>
        <v>8888</v>
      </c>
      <c r="AG516" s="129">
        <f ca="1">IF($AE496,I516,AG502)</f>
        <v>8887.5</v>
      </c>
      <c r="AW516" s="128">
        <f t="shared" si="73"/>
        <v>2198</v>
      </c>
      <c r="AX516" s="128">
        <f t="shared" ca="1" si="76"/>
        <v>-18.624000000000006</v>
      </c>
      <c r="AY516" s="129">
        <f t="shared" ca="1" si="77"/>
        <v>1.4960570012328709</v>
      </c>
      <c r="BB516" s="128">
        <f t="shared" ca="1" si="78"/>
        <v>-18.624000000000006</v>
      </c>
      <c r="BC516" s="129">
        <f t="shared" ca="1" si="79"/>
        <v>-1.4960570012328709</v>
      </c>
      <c r="BD516" s="157"/>
    </row>
    <row r="517" spans="2:56">
      <c r="B517" s="156"/>
      <c r="F517" s="157"/>
      <c r="G517" s="2" t="s">
        <v>161</v>
      </c>
      <c r="H517" s="188">
        <f ca="1">IF(G496&gt;=5,H498,H513)</f>
        <v>8888</v>
      </c>
      <c r="I517" s="189">
        <f ca="1">IF(G496&gt;=5,I516,I513)</f>
        <v>8887.5</v>
      </c>
      <c r="AD517" s="157"/>
      <c r="AE517" s="2" t="s">
        <v>161</v>
      </c>
      <c r="AF517" s="188">
        <f ca="1">IF($AE496,H517,AF502)</f>
        <v>8888</v>
      </c>
      <c r="AG517" s="196">
        <f ca="1">IF($AE496,I517,AG502)</f>
        <v>8887.5</v>
      </c>
      <c r="AW517" s="128">
        <f t="shared" si="73"/>
        <v>2199</v>
      </c>
      <c r="AX517" s="128">
        <f t="shared" ca="1" si="76"/>
        <v>-18.624000000000006</v>
      </c>
      <c r="AY517" s="129">
        <f t="shared" ca="1" si="77"/>
        <v>1.4960570012328709</v>
      </c>
      <c r="BB517" s="128">
        <f t="shared" ca="1" si="78"/>
        <v>-18.624000000000006</v>
      </c>
      <c r="BC517" s="129">
        <f t="shared" ca="1" si="79"/>
        <v>-1.4960570012328709</v>
      </c>
      <c r="BD517" s="157"/>
    </row>
    <row r="518" spans="2:56">
      <c r="B518" s="156"/>
      <c r="F518" s="157"/>
      <c r="G518" s="192" t="s">
        <v>11</v>
      </c>
      <c r="H518" s="128">
        <f ca="1">IF(G496&gt;=6,H498,H517)</f>
        <v>8888</v>
      </c>
      <c r="I518" s="139">
        <f ca="1">IF(G496&gt;=6,I517-P491,I517)</f>
        <v>8887.5</v>
      </c>
      <c r="AD518" s="157"/>
      <c r="AE518" s="192" t="s">
        <v>11</v>
      </c>
      <c r="AF518" s="128">
        <f ca="1">IF($AE496,H518,AF502)</f>
        <v>8888</v>
      </c>
      <c r="AG518" s="129">
        <f ca="1">IF($AE496,I518,AG502)</f>
        <v>8887.5</v>
      </c>
      <c r="AW518" s="128">
        <f t="shared" si="73"/>
        <v>2200</v>
      </c>
      <c r="AX518" s="128">
        <f t="shared" ca="1" si="76"/>
        <v>-18.624000000000006</v>
      </c>
      <c r="AY518" s="129">
        <f t="shared" ca="1" si="77"/>
        <v>1.4960570012328709</v>
      </c>
      <c r="BB518" s="128">
        <f t="shared" ca="1" si="78"/>
        <v>-18.624000000000006</v>
      </c>
      <c r="BC518" s="129">
        <f t="shared" ca="1" si="79"/>
        <v>-1.4960570012328709</v>
      </c>
      <c r="BD518" s="157"/>
    </row>
    <row r="519" spans="2:56">
      <c r="B519" s="156"/>
      <c r="F519" s="157"/>
      <c r="G519" s="2" t="s">
        <v>12</v>
      </c>
      <c r="H519" s="128">
        <f ca="1">IF(G496&gt;=6,H499,H517)</f>
        <v>8888</v>
      </c>
      <c r="I519" s="139">
        <f ca="1">IF(G496&gt;=6,I518,I517)</f>
        <v>8887.5</v>
      </c>
      <c r="AD519" s="157"/>
      <c r="AE519" s="2" t="s">
        <v>12</v>
      </c>
      <c r="AF519" s="128">
        <f ca="1">IF($AE496,H519,AF502)</f>
        <v>8888</v>
      </c>
      <c r="AG519" s="129">
        <f ca="1">IF($AE496,I519,AG502)</f>
        <v>8887.5</v>
      </c>
      <c r="AW519" s="128">
        <f t="shared" si="73"/>
        <v>2201</v>
      </c>
      <c r="AX519" s="128">
        <f t="shared" ca="1" si="76"/>
        <v>-18.624000000000006</v>
      </c>
      <c r="AY519" s="129">
        <f t="shared" ca="1" si="77"/>
        <v>1.4960570012328709</v>
      </c>
      <c r="BB519" s="128">
        <f t="shared" ca="1" si="78"/>
        <v>-18.624000000000006</v>
      </c>
      <c r="BC519" s="129">
        <f t="shared" ca="1" si="79"/>
        <v>-1.4960570012328709</v>
      </c>
      <c r="BD519" s="157"/>
    </row>
    <row r="520" spans="2:56">
      <c r="B520" s="156"/>
      <c r="F520" s="157"/>
      <c r="G520" s="2" t="s">
        <v>13</v>
      </c>
      <c r="H520" s="128">
        <f ca="1">IF(G496&gt;=6,H499,H517)</f>
        <v>8888</v>
      </c>
      <c r="I520" s="139">
        <f ca="1">IF(G496&gt;=6,I519-P489,I517)</f>
        <v>8887.5</v>
      </c>
      <c r="AD520" s="157"/>
      <c r="AE520" s="2" t="s">
        <v>13</v>
      </c>
      <c r="AF520" s="128">
        <f ca="1">IF($AE496,H520,AF502)</f>
        <v>8888</v>
      </c>
      <c r="AG520" s="129">
        <f ca="1">IF($AE496,I520,AG502)</f>
        <v>8887.5</v>
      </c>
      <c r="AW520" s="128">
        <f t="shared" si="73"/>
        <v>2233</v>
      </c>
      <c r="AX520" s="128">
        <f t="shared" ca="1" si="76"/>
        <v>-18.624000000000006</v>
      </c>
      <c r="AY520" s="129">
        <f t="shared" ca="1" si="77"/>
        <v>1.4960570012328709</v>
      </c>
      <c r="BB520" s="128">
        <f t="shared" ca="1" si="78"/>
        <v>-18.624000000000006</v>
      </c>
      <c r="BC520" s="129">
        <f t="shared" ca="1" si="79"/>
        <v>-1.4960570012328709</v>
      </c>
      <c r="BD520" s="157"/>
    </row>
    <row r="521" spans="2:56">
      <c r="B521" s="156"/>
      <c r="F521" s="157"/>
      <c r="G521" s="115" t="s">
        <v>14</v>
      </c>
      <c r="H521" s="188">
        <f ca="1">IF(G496&gt;=6,H498,H517)</f>
        <v>8888</v>
      </c>
      <c r="I521" s="189">
        <f ca="1">IF(G496&gt;=6,I520,I517)</f>
        <v>8887.5</v>
      </c>
      <c r="AD521" s="157"/>
      <c r="AE521" s="115" t="s">
        <v>14</v>
      </c>
      <c r="AF521" s="188">
        <f ca="1">IF($AE496,H521,AF502)</f>
        <v>8888</v>
      </c>
      <c r="AG521" s="196">
        <f ca="1">IF($AE496,I521,AG502)</f>
        <v>8887.5</v>
      </c>
      <c r="AW521" s="128">
        <f t="shared" si="73"/>
        <v>2234</v>
      </c>
      <c r="AX521" s="128">
        <f t="shared" ca="1" si="76"/>
        <v>-18.624000000000006</v>
      </c>
      <c r="AY521" s="129">
        <f t="shared" ca="1" si="77"/>
        <v>1.4960570012328709</v>
      </c>
      <c r="BB521" s="128">
        <f t="shared" ca="1" si="78"/>
        <v>-18.624000000000006</v>
      </c>
      <c r="BC521" s="129">
        <f t="shared" ca="1" si="79"/>
        <v>-1.4960570012328709</v>
      </c>
      <c r="BD521" s="157"/>
    </row>
    <row r="522" spans="2:56" ht="15" thickBot="1">
      <c r="B522" s="156"/>
      <c r="G522" s="130" t="s">
        <v>396</v>
      </c>
      <c r="H522" s="130">
        <f ca="1">H498</f>
        <v>8888</v>
      </c>
      <c r="I522" s="140">
        <f ca="1">I498</f>
        <v>8888</v>
      </c>
      <c r="AE522" s="130" t="s">
        <v>396</v>
      </c>
      <c r="AF522" s="130">
        <f ca="1">IF($AE496,H522,AF502)</f>
        <v>8888</v>
      </c>
      <c r="AG522" s="132">
        <f ca="1">IF($AE496,I522,AG502)</f>
        <v>8888</v>
      </c>
      <c r="AW522" s="128">
        <f t="shared" si="73"/>
        <v>2235</v>
      </c>
      <c r="AX522" s="128">
        <f t="shared" ca="1" si="76"/>
        <v>-18.624000000000006</v>
      </c>
      <c r="AY522" s="129">
        <f t="shared" ca="1" si="77"/>
        <v>1.4960570012328709</v>
      </c>
      <c r="BB522" s="128">
        <f t="shared" ca="1" si="78"/>
        <v>-18.624000000000006</v>
      </c>
      <c r="BC522" s="129">
        <f t="shared" ca="1" si="79"/>
        <v>-1.4960570012328709</v>
      </c>
      <c r="BD522" s="157"/>
    </row>
    <row r="523" spans="2:56">
      <c r="B523" s="156"/>
      <c r="AW523" s="128">
        <f t="shared" si="73"/>
        <v>2236</v>
      </c>
      <c r="AX523" s="128">
        <f t="shared" ca="1" si="76"/>
        <v>-18.624000000000006</v>
      </c>
      <c r="AY523" s="129">
        <f t="shared" ca="1" si="77"/>
        <v>1.4960570012328709</v>
      </c>
      <c r="BB523" s="128">
        <f t="shared" ca="1" si="78"/>
        <v>-18.624000000000006</v>
      </c>
      <c r="BC523" s="129">
        <f t="shared" ca="1" si="79"/>
        <v>-1.4960570012328709</v>
      </c>
      <c r="BD523" s="157"/>
    </row>
    <row r="524" spans="2:56">
      <c r="B524" s="156"/>
      <c r="AW524" s="128">
        <f t="shared" si="73"/>
        <v>2237</v>
      </c>
      <c r="AX524" s="128">
        <f t="shared" ca="1" si="76"/>
        <v>-18.624000000000006</v>
      </c>
      <c r="AY524" s="129">
        <f t="shared" ca="1" si="77"/>
        <v>1.4960570012328709</v>
      </c>
      <c r="BB524" s="128">
        <f t="shared" ca="1" si="78"/>
        <v>-18.624000000000006</v>
      </c>
      <c r="BC524" s="129">
        <f t="shared" ca="1" si="79"/>
        <v>-1.4960570012328709</v>
      </c>
      <c r="BD524" s="157"/>
    </row>
    <row r="525" spans="2:56">
      <c r="B525" s="156"/>
      <c r="C525" s="200" t="s">
        <v>336</v>
      </c>
      <c r="D525">
        <f>D489+1</f>
        <v>10</v>
      </c>
      <c r="G525" s="200" t="s">
        <v>638</v>
      </c>
      <c r="H525">
        <f ca="1">LOOKUP(D528,$C$191:$C$196,$D$191:$D$196)</f>
        <v>0</v>
      </c>
      <c r="K525" s="200" t="s">
        <v>644</v>
      </c>
      <c r="L525">
        <f ca="1">L489-H530</f>
        <v>-9.3620000000000001</v>
      </c>
      <c r="O525" s="200" t="s">
        <v>404</v>
      </c>
      <c r="P525">
        <f ca="1">IF(D527=1,SEAT_w_cushion_FC,IF(D527=2,SEAT_w_cushion_BC,IF(D527=3,SEAT_w_cushion_YC,0)))</f>
        <v>0.5</v>
      </c>
      <c r="S525" s="200" t="s">
        <v>647</v>
      </c>
      <c r="T525">
        <f ca="1">LOOKUP(D528,$C$191:$C$196,$E$191:$E$196)</f>
        <v>0</v>
      </c>
      <c r="W525" t="s">
        <v>130</v>
      </c>
      <c r="X525" t="str">
        <f ca="1">OFFSET(Fuselage!$B$275,D525,5)</f>
        <v>None</v>
      </c>
      <c r="AN525" s="200" t="s">
        <v>135</v>
      </c>
      <c r="AO525">
        <f ca="1">MAX(0,H530-MAX(T525,T527,T529,P526)-X526)</f>
        <v>0.37000000000000005</v>
      </c>
      <c r="AW525" s="128">
        <f t="shared" si="73"/>
        <v>2269</v>
      </c>
      <c r="AX525" s="128">
        <f t="shared" ca="1" si="76"/>
        <v>-18.624000000000006</v>
      </c>
      <c r="AY525" s="129">
        <f t="shared" ca="1" si="77"/>
        <v>1.4960570012328709</v>
      </c>
      <c r="BB525" s="128">
        <f t="shared" ca="1" si="78"/>
        <v>-18.624000000000006</v>
      </c>
      <c r="BC525" s="129">
        <f t="shared" ca="1" si="79"/>
        <v>-1.4960570012328709</v>
      </c>
      <c r="BD525" s="157"/>
    </row>
    <row r="526" spans="2:56">
      <c r="B526" s="156"/>
      <c r="C526" s="200" t="s">
        <v>200</v>
      </c>
      <c r="D526">
        <f ca="1">OFFSET(Fuselage!$B$275,D525,0)</f>
        <v>9</v>
      </c>
      <c r="G526" s="200" t="s">
        <v>639</v>
      </c>
      <c r="H526">
        <f ca="1">LOOKUP(D529,$C$191:$C$196,$D$191:$D$196)</f>
        <v>0</v>
      </c>
      <c r="O526" s="200" t="s">
        <v>535</v>
      </c>
      <c r="P526">
        <f ca="1">IF(D527=1,SEAT_length_FC,IF(D527=2,SEAT_length_BC,IF(D527=3,SEAT_length_YC,0)))</f>
        <v>0.43</v>
      </c>
      <c r="S526" s="200" t="s">
        <v>648</v>
      </c>
      <c r="T526">
        <f ca="1">LOOKUP(D528,$C$191:$C$196,$F$191:$F$196)</f>
        <v>0</v>
      </c>
      <c r="W526" t="s">
        <v>131</v>
      </c>
      <c r="X526">
        <f ca="1">LOOKUP(X525,$I$191:$I$198,$J$191:$J$198)</f>
        <v>0</v>
      </c>
      <c r="AW526" s="128">
        <f t="shared" si="73"/>
        <v>2270</v>
      </c>
      <c r="AX526" s="128">
        <f t="shared" ca="1" si="76"/>
        <v>-18.624000000000006</v>
      </c>
      <c r="AY526" s="129">
        <f t="shared" ca="1" si="77"/>
        <v>1.4960570012328709</v>
      </c>
      <c r="BB526" s="128">
        <f t="shared" ca="1" si="78"/>
        <v>-18.624000000000006</v>
      </c>
      <c r="BC526" s="129">
        <f t="shared" ca="1" si="79"/>
        <v>-1.4960570012328709</v>
      </c>
      <c r="BD526" s="157"/>
    </row>
    <row r="527" spans="2:56">
      <c r="B527" s="156"/>
      <c r="C527" s="200" t="s">
        <v>337</v>
      </c>
      <c r="D527">
        <f ca="1">OFFSET(Fuselage!$B$275,D525,4)</f>
        <v>3</v>
      </c>
      <c r="G527" s="200" t="s">
        <v>309</v>
      </c>
      <c r="H527">
        <f ca="1">LOOKUP(D530,$C$191:$C$196,$D$191:$D$196)</f>
        <v>0</v>
      </c>
      <c r="K527" s="200" t="s">
        <v>645</v>
      </c>
      <c r="L527">
        <f ca="1">IF(D527=1,FUSELAGE_nseats_left_FC,IF(D527=2,FUSELAGE_nseats_left_BC,IF(D527=3,FUSELAGE_nseats_left_YC,0)))</f>
        <v>2</v>
      </c>
      <c r="O527" s="200" t="s">
        <v>405</v>
      </c>
      <c r="P527">
        <f ca="1">IF(D527=1,SEAT_w_armrest_FC,IF(D527=2,SEAT_w_armrest_BC,IF(D527=3,SEAT_w_armrest_YC,0)))</f>
        <v>0.06</v>
      </c>
      <c r="S527" s="200" t="s">
        <v>652</v>
      </c>
      <c r="T527">
        <f ca="1">LOOKUP(D529,$C$191:$C$196,$E$191:$E$196)</f>
        <v>0</v>
      </c>
      <c r="W527" s="200" t="s">
        <v>393</v>
      </c>
      <c r="X527" t="b">
        <f ca="1">IF(OFFSET(Fuselage!$B$275,D525,6)="YES",TRUE(),FALSE())</f>
        <v>0</v>
      </c>
      <c r="AW527" s="128">
        <f t="shared" si="73"/>
        <v>2271</v>
      </c>
      <c r="AX527" s="128">
        <f t="shared" ref="AX527:AX534" ca="1" si="80">OFFSET(AN$209,$AW527,0)</f>
        <v>-18.624000000000006</v>
      </c>
      <c r="AY527" s="129">
        <f t="shared" ref="AY527:AY534" ca="1" si="81">OFFSET(AO$209,$AW527,0)</f>
        <v>1.4960570012328709</v>
      </c>
      <c r="BB527" s="128">
        <f t="shared" ref="BB527:BB534" ca="1" si="82">AX527</f>
        <v>-18.624000000000006</v>
      </c>
      <c r="BC527" s="129">
        <f t="shared" ref="BC527:BC534" ca="1" si="83">-AY527</f>
        <v>-1.4960570012328709</v>
      </c>
      <c r="BD527" s="157"/>
    </row>
    <row r="528" spans="2:56">
      <c r="B528" s="156"/>
      <c r="C528" s="200" t="s">
        <v>640</v>
      </c>
      <c r="D528" t="str">
        <f ca="1">OFFSET(Fuselage!$B$275,D525,1)</f>
        <v>None</v>
      </c>
      <c r="G528" s="200" t="s">
        <v>132</v>
      </c>
      <c r="H528">
        <f ca="1">IF(D527=1,SEAT_pitch_FC,IF(D527=2,SEAT_pitch_BC,IF(D527=3,SEAT_pitch_YC,0)))</f>
        <v>0.8</v>
      </c>
      <c r="K528" s="200" t="s">
        <v>646</v>
      </c>
      <c r="L528">
        <f ca="1">IF(D527=1,FUSELAGE_nseats_middle_FC,IF(D527=2,FUSELAGE_nseats_middle_BC,IF(D527=3,FUSELAGE_nseats_middle_YC,0)))</f>
        <v>0</v>
      </c>
      <c r="S528" s="200" t="s">
        <v>653</v>
      </c>
      <c r="T528">
        <f ca="1">LOOKUP(D529,$C$191:$C$196,$F$191:$F$196)</f>
        <v>0</v>
      </c>
      <c r="AW528" s="128">
        <f t="shared" si="73"/>
        <v>2272</v>
      </c>
      <c r="AX528" s="128">
        <f t="shared" ca="1" si="80"/>
        <v>-18.624000000000006</v>
      </c>
      <c r="AY528" s="129">
        <f t="shared" ca="1" si="81"/>
        <v>1.4960570012328709</v>
      </c>
      <c r="BB528" s="128">
        <f t="shared" ca="1" si="82"/>
        <v>-18.624000000000006</v>
      </c>
      <c r="BC528" s="129">
        <f t="shared" ca="1" si="83"/>
        <v>-1.4960570012328709</v>
      </c>
      <c r="BD528" s="157"/>
    </row>
    <row r="529" spans="2:56">
      <c r="B529" s="156"/>
      <c r="C529" s="200" t="s">
        <v>642</v>
      </c>
      <c r="D529" t="str">
        <f ca="1">OFFSET(Fuselage!$B$275,D525,2)</f>
        <v>None</v>
      </c>
      <c r="G529" s="200" t="s">
        <v>129</v>
      </c>
      <c r="H529">
        <f ca="1">IF(OR(X525="Type A",X525="Type B"),MAX(H525:H528)+42*0.0254,IF(X525="Type C",MAX(H525:H528)+X526,IF(X525&lt;&gt;"None",24*0.0254,0)))</f>
        <v>0</v>
      </c>
      <c r="K529" s="200" t="s">
        <v>655</v>
      </c>
      <c r="L529">
        <f ca="1">IF(D527=1,FUSELAGE_nseats_right_FC,IF(D527=2,FUSELAGE_nseats_right_BC,IF(D527=3,FUSELAGE_nseats_right_YC,0)))</f>
        <v>2</v>
      </c>
      <c r="O529" s="200" t="s">
        <v>407</v>
      </c>
      <c r="P529">
        <f ca="1">($C$13-(L527+L528+L529)*(P525+P527)+(FUSELAGE_n_aisles-1)*P527)/FUSELAGE_n_aisles</f>
        <v>0.51999999999999957</v>
      </c>
      <c r="S529" s="200" t="s">
        <v>651</v>
      </c>
      <c r="T529">
        <f ca="1">LOOKUP(D530,$C$191:$C$196,$E$191:$E$196)</f>
        <v>0</v>
      </c>
      <c r="AW529" s="128">
        <f t="shared" si="73"/>
        <v>2273</v>
      </c>
      <c r="AX529" s="128">
        <f t="shared" ca="1" si="80"/>
        <v>-18.624000000000006</v>
      </c>
      <c r="AY529" s="129">
        <f t="shared" ca="1" si="81"/>
        <v>1.4960570012328709</v>
      </c>
      <c r="BB529" s="128">
        <f t="shared" ca="1" si="82"/>
        <v>-18.624000000000006</v>
      </c>
      <c r="BC529" s="129">
        <f t="shared" ca="1" si="83"/>
        <v>-1.4960570012328709</v>
      </c>
      <c r="BD529" s="157"/>
    </row>
    <row r="530" spans="2:56">
      <c r="B530" s="156"/>
      <c r="C530" s="200" t="s">
        <v>641</v>
      </c>
      <c r="D530" t="str">
        <f ca="1">OFFSET(Fuselage!$B$275,D525,3)</f>
        <v>None</v>
      </c>
      <c r="G530" s="200" t="s">
        <v>643</v>
      </c>
      <c r="H530">
        <f ca="1">MAX(H525:H529)</f>
        <v>0.8</v>
      </c>
      <c r="S530" s="200" t="s">
        <v>654</v>
      </c>
      <c r="T530">
        <f ca="1">LOOKUP(D530,$C$191:$C$196,$F$191:$F$196)</f>
        <v>0</v>
      </c>
      <c r="AW530" s="128">
        <f t="shared" si="73"/>
        <v>2305</v>
      </c>
      <c r="AX530" s="128">
        <f t="shared" ca="1" si="80"/>
        <v>-18.624000000000006</v>
      </c>
      <c r="AY530" s="129">
        <f t="shared" ca="1" si="81"/>
        <v>1.4960570012328709</v>
      </c>
      <c r="BB530" s="128">
        <f t="shared" ca="1" si="82"/>
        <v>-18.624000000000006</v>
      </c>
      <c r="BC530" s="129">
        <f t="shared" ca="1" si="83"/>
        <v>-1.4960570012328709</v>
      </c>
      <c r="BD530" s="157"/>
    </row>
    <row r="531" spans="2:56" ht="15" thickBot="1">
      <c r="B531" s="156"/>
      <c r="AW531" s="128">
        <f t="shared" si="73"/>
        <v>2306</v>
      </c>
      <c r="AX531" s="128">
        <f t="shared" ca="1" si="80"/>
        <v>-18.624000000000006</v>
      </c>
      <c r="AY531" s="129">
        <f t="shared" ca="1" si="81"/>
        <v>1.4960570012328709</v>
      </c>
      <c r="BB531" s="128">
        <f t="shared" ca="1" si="82"/>
        <v>-18.624000000000006</v>
      </c>
      <c r="BC531" s="129">
        <f t="shared" ca="1" si="83"/>
        <v>-1.4960570012328709</v>
      </c>
      <c r="BD531" s="157"/>
    </row>
    <row r="532" spans="2:56" ht="15" thickBot="1">
      <c r="B532" s="156"/>
      <c r="C532" s="141">
        <f ca="1">L529</f>
        <v>2</v>
      </c>
      <c r="D532" s="197" t="str">
        <f ca="1">IF($D527=1,"FC",IF($D527=2,"BC",IF($D527=3,"YC","Nothing")))</f>
        <v>YC</v>
      </c>
      <c r="E532" s="198"/>
      <c r="G532" s="141">
        <f ca="1">L528</f>
        <v>0</v>
      </c>
      <c r="H532" s="197" t="str">
        <f ca="1">IF($D527=1,"FC",IF($D527=2,"BC",IF($D527=3,"YC","Nothing")))</f>
        <v>YC</v>
      </c>
      <c r="I532" s="198"/>
      <c r="K532" s="141">
        <f ca="1" xml:space="preserve"> L527</f>
        <v>2</v>
      </c>
      <c r="L532" s="197" t="str">
        <f ca="1">IF($D527=1,"FC",IF($D527=2,"BC",IF($D527=3,"YC","Nothing")))</f>
        <v>YC</v>
      </c>
      <c r="M532" s="198"/>
      <c r="O532" s="141">
        <f ca="1">IF($D530&lt;&gt;"None",1,0)</f>
        <v>0</v>
      </c>
      <c r="P532" s="326" t="s">
        <v>380</v>
      </c>
      <c r="Q532" s="327"/>
      <c r="S532" s="141">
        <f ca="1">IF($D529&lt;&gt;"None",1,0)</f>
        <v>0</v>
      </c>
      <c r="T532" s="326" t="s">
        <v>381</v>
      </c>
      <c r="U532" s="327"/>
      <c r="W532" s="141">
        <f ca="1">IF($D528&lt;&gt;"None",1,0)</f>
        <v>0</v>
      </c>
      <c r="X532" s="326" t="s">
        <v>382</v>
      </c>
      <c r="Y532" s="327"/>
      <c r="AA532" s="141">
        <f ca="1">IF($D530="None",1,0)</f>
        <v>1</v>
      </c>
      <c r="AB532" s="326" t="str">
        <f ca="1">IF(AA532,D532,$D530)</f>
        <v>YC</v>
      </c>
      <c r="AC532" s="327"/>
      <c r="AE532" s="141">
        <f ca="1">IF($D529="None",1,0)</f>
        <v>1</v>
      </c>
      <c r="AF532" s="326" t="str">
        <f ca="1">IF(AE532,H532,$D529)</f>
        <v>YC</v>
      </c>
      <c r="AG532" s="327"/>
      <c r="AI532" s="141">
        <f ca="1">IF($D528="None",1,0)</f>
        <v>1</v>
      </c>
      <c r="AJ532" s="326" t="str">
        <f ca="1">IF(AI532,L532,$D528)</f>
        <v>YC</v>
      </c>
      <c r="AK532" s="327"/>
      <c r="AM532" s="141">
        <f ca="1">IF($X525="None",0,1)</f>
        <v>0</v>
      </c>
      <c r="AN532" s="197" t="s">
        <v>133</v>
      </c>
      <c r="AO532" s="198"/>
      <c r="AQ532" s="141">
        <f ca="1">IF($X525="None",0,1)</f>
        <v>0</v>
      </c>
      <c r="AR532" s="197" t="s">
        <v>134</v>
      </c>
      <c r="AS532" s="198"/>
      <c r="AW532" s="128">
        <f t="shared" si="73"/>
        <v>2307</v>
      </c>
      <c r="AX532" s="128">
        <f t="shared" ca="1" si="80"/>
        <v>-18.624000000000006</v>
      </c>
      <c r="AY532" s="129">
        <f t="shared" ca="1" si="81"/>
        <v>1.4960570012328709</v>
      </c>
      <c r="BB532" s="128">
        <f t="shared" ca="1" si="82"/>
        <v>-18.624000000000006</v>
      </c>
      <c r="BC532" s="129">
        <f t="shared" ca="1" si="83"/>
        <v>-1.4960570012328709</v>
      </c>
      <c r="BD532" s="157"/>
    </row>
    <row r="533" spans="2:56" ht="15" thickBot="1">
      <c r="B533" s="156"/>
      <c r="C533" s="136" t="s">
        <v>452</v>
      </c>
      <c r="D533" s="136" t="s">
        <v>384</v>
      </c>
      <c r="E533" s="138" t="s">
        <v>385</v>
      </c>
      <c r="G533" s="136" t="s">
        <v>452</v>
      </c>
      <c r="H533" s="136" t="s">
        <v>384</v>
      </c>
      <c r="I533" s="138" t="s">
        <v>385</v>
      </c>
      <c r="K533" s="193" t="s">
        <v>452</v>
      </c>
      <c r="L533" s="193" t="s">
        <v>384</v>
      </c>
      <c r="M533" s="194" t="s">
        <v>385</v>
      </c>
      <c r="O533" s="136" t="s">
        <v>452</v>
      </c>
      <c r="P533" s="136" t="s">
        <v>384</v>
      </c>
      <c r="Q533" s="138" t="s">
        <v>385</v>
      </c>
      <c r="S533" s="136" t="s">
        <v>452</v>
      </c>
      <c r="T533" s="136" t="s">
        <v>384</v>
      </c>
      <c r="U533" s="138" t="s">
        <v>385</v>
      </c>
      <c r="W533" s="136" t="s">
        <v>452</v>
      </c>
      <c r="X533" s="136" t="s">
        <v>384</v>
      </c>
      <c r="Y533" s="138" t="s">
        <v>385</v>
      </c>
      <c r="AA533" s="136" t="s">
        <v>452</v>
      </c>
      <c r="AB533" s="136" t="s">
        <v>384</v>
      </c>
      <c r="AC533" s="138" t="s">
        <v>385</v>
      </c>
      <c r="AE533" s="136" t="s">
        <v>452</v>
      </c>
      <c r="AF533" s="136" t="s">
        <v>384</v>
      </c>
      <c r="AG533" s="138" t="s">
        <v>385</v>
      </c>
      <c r="AI533" s="193" t="s">
        <v>452</v>
      </c>
      <c r="AJ533" s="193" t="s">
        <v>384</v>
      </c>
      <c r="AK533" s="194" t="s">
        <v>385</v>
      </c>
      <c r="AM533" s="193" t="s">
        <v>452</v>
      </c>
      <c r="AN533" s="193" t="s">
        <v>384</v>
      </c>
      <c r="AO533" s="194" t="s">
        <v>385</v>
      </c>
      <c r="AQ533" s="193" t="s">
        <v>452</v>
      </c>
      <c r="AR533" s="193" t="s">
        <v>384</v>
      </c>
      <c r="AS533" s="194" t="s">
        <v>385</v>
      </c>
      <c r="AW533" s="128">
        <f t="shared" si="73"/>
        <v>2308</v>
      </c>
      <c r="AX533" s="128">
        <f t="shared" ca="1" si="80"/>
        <v>-18.624000000000006</v>
      </c>
      <c r="AY533" s="129">
        <f t="shared" ca="1" si="81"/>
        <v>1.4960570012328709</v>
      </c>
      <c r="BB533" s="128">
        <f t="shared" ca="1" si="82"/>
        <v>-18.624000000000006</v>
      </c>
      <c r="BC533" s="129">
        <f t="shared" ca="1" si="83"/>
        <v>-1.4960570012328709</v>
      </c>
      <c r="BD533" s="157"/>
    </row>
    <row r="534" spans="2:56">
      <c r="B534" s="156"/>
      <c r="C534" s="128" t="s">
        <v>396</v>
      </c>
      <c r="D534" s="158">
        <f ca="1">IF(C532&gt;=1,L525,8888)</f>
        <v>-9.3620000000000001</v>
      </c>
      <c r="E534" s="160">
        <f ca="1">IF(C532&gt;=1,1/2*($C$13-P525-2*P527)+1/2*P525,8888)</f>
        <v>1.3199999999999998</v>
      </c>
      <c r="G534" s="128" t="s">
        <v>396</v>
      </c>
      <c r="H534" s="158">
        <f ca="1">IF(G532&gt;=1,L525,8888)</f>
        <v>8888</v>
      </c>
      <c r="I534" s="160">
        <f ca="1">IF(G532&gt;=1,E545-P529,8888)</f>
        <v>8888</v>
      </c>
      <c r="K534" s="128" t="s">
        <v>396</v>
      </c>
      <c r="L534" s="158">
        <f ca="1">IF(K532&gt;=1,L525,8888)</f>
        <v>-9.3620000000000001</v>
      </c>
      <c r="M534" s="160">
        <f ca="1">IF(K532&gt;=1,IF(FUSELAGE_n_aisles=1,E545-P529,I557-P529),8888)</f>
        <v>-0.25999999999999979</v>
      </c>
      <c r="O534" s="128" t="s">
        <v>396</v>
      </c>
      <c r="P534" s="158">
        <f ca="1">IF(O532,$L525,8888)</f>
        <v>8888</v>
      </c>
      <c r="Q534" s="209">
        <f ca="1">IF(O532,FUSELAGE_y_position_of_left_seat_YC-(FUSELAGE_nseats_right_YC-1)*(SEAT_w_cushion_YC+SEAT_w_armrest_YC)/2+T530/2,8888)</f>
        <v>8888</v>
      </c>
      <c r="S534" s="128" t="s">
        <v>396</v>
      </c>
      <c r="T534" s="158">
        <f ca="1">IF(S532,$L525,8888)</f>
        <v>8888</v>
      </c>
      <c r="U534" s="160">
        <f ca="1">IF(S532,T528/2,8888)</f>
        <v>8888</v>
      </c>
      <c r="W534" s="128" t="s">
        <v>396</v>
      </c>
      <c r="X534" s="158">
        <f ca="1">IF(W532,$L525,8888)</f>
        <v>8888</v>
      </c>
      <c r="Y534" s="160">
        <f ca="1">IF(W532,-FUSELAGE_y_position_of_left_seat_YC+(FUSELAGE_nseats_left_YC-1)*(SEAT_w_cushion_YC+SEAT_w_armrest_YC)/2-T526/2,8888)</f>
        <v>8888</v>
      </c>
      <c r="AA534" s="128" t="s">
        <v>396</v>
      </c>
      <c r="AB534" s="158">
        <f ca="1">IF($AA532,D534,P534)</f>
        <v>-9.3620000000000001</v>
      </c>
      <c r="AC534" s="174">
        <f ca="1">IF($AA532,E534,Q534)</f>
        <v>1.3199999999999998</v>
      </c>
      <c r="AE534" s="128" t="s">
        <v>396</v>
      </c>
      <c r="AF534" s="158">
        <f ca="1">IF($AE532,H534,T534)</f>
        <v>8888</v>
      </c>
      <c r="AG534" s="174">
        <f ca="1">IF($AE532,I534,U534)</f>
        <v>8888</v>
      </c>
      <c r="AI534" s="128" t="s">
        <v>396</v>
      </c>
      <c r="AJ534" s="158">
        <f ca="1">IF($AI532,L534,X534)</f>
        <v>-9.3620000000000001</v>
      </c>
      <c r="AK534" s="174">
        <f ca="1">IF($AI532,M534,Y534)</f>
        <v>-0.25999999999999979</v>
      </c>
      <c r="AM534" s="128" t="s">
        <v>396</v>
      </c>
      <c r="AN534" s="158">
        <f ca="1">AN503</f>
        <v>-8.5619999999999994</v>
      </c>
      <c r="AO534" s="174">
        <f ca="1">IF(AN534&gt;-Fuselage!$D$366,(FUSELAGE_a_ellipse)*SQRT(1-((AN534+Fuselage!$D$366)/(Fuselage!$K$364-FUSELAGE_t_fuselage))^2),IF(AN534&gt;$L$2505+Fuselage!$K$370,FUSELAGE_a_ellipse,(FUSELAGE_a_ellipse+FUSELAGE_t_fuselage-FUSELAGE_d_fo/4)/Fuselage!$K$368*(AN534-$L$2505-Fuselage!$K$370)+FUSELAGE_a_ellipse))</f>
        <v>1.4960570012328709</v>
      </c>
      <c r="AQ534" s="128" t="s">
        <v>396</v>
      </c>
      <c r="AR534" s="158">
        <f t="shared" ref="AR534:AR539" ca="1" si="84">AN534</f>
        <v>-8.5619999999999994</v>
      </c>
      <c r="AS534" s="174">
        <f t="shared" ref="AS534:AS539" ca="1" si="85">-AO534</f>
        <v>-1.4960570012328709</v>
      </c>
      <c r="AW534" s="128">
        <f t="shared" si="73"/>
        <v>2309</v>
      </c>
      <c r="AX534" s="128">
        <f t="shared" ca="1" si="80"/>
        <v>-18.624000000000006</v>
      </c>
      <c r="AY534" s="129">
        <f t="shared" ca="1" si="81"/>
        <v>1.4960570012328709</v>
      </c>
      <c r="BB534" s="128">
        <f t="shared" ca="1" si="82"/>
        <v>-18.624000000000006</v>
      </c>
      <c r="BC534" s="129">
        <f t="shared" ca="1" si="83"/>
        <v>-1.4960570012328709</v>
      </c>
      <c r="BD534" s="157"/>
    </row>
    <row r="535" spans="2:56">
      <c r="B535" s="156"/>
      <c r="C535" s="128" t="s">
        <v>213</v>
      </c>
      <c r="D535" s="128">
        <f ca="1">IF(X527,D534+P526/4,D534+P526)</f>
        <v>-8.9320000000000004</v>
      </c>
      <c r="E535" s="139">
        <f ca="1">E534</f>
        <v>1.3199999999999998</v>
      </c>
      <c r="G535" s="128" t="s">
        <v>213</v>
      </c>
      <c r="H535" s="128">
        <f ca="1">H534+P526</f>
        <v>8888.43</v>
      </c>
      <c r="I535" s="139">
        <f ca="1">I534</f>
        <v>8888</v>
      </c>
      <c r="K535" s="128" t="s">
        <v>213</v>
      </c>
      <c r="L535" s="128">
        <f ca="1">IF(X527,IF(K532=1,L534+P526/4,L534+P526),L534+P526)</f>
        <v>-8.9320000000000004</v>
      </c>
      <c r="M535" s="139">
        <f ca="1">M534</f>
        <v>-0.25999999999999979</v>
      </c>
      <c r="O535" s="128" t="s">
        <v>213</v>
      </c>
      <c r="P535" s="128">
        <f ca="1">P534+$T529</f>
        <v>8888</v>
      </c>
      <c r="Q535" s="139">
        <f ca="1">Q534</f>
        <v>8888</v>
      </c>
      <c r="S535" s="128" t="s">
        <v>213</v>
      </c>
      <c r="T535" s="128">
        <f ca="1">T534+$T527</f>
        <v>8888</v>
      </c>
      <c r="U535" s="139">
        <f ca="1">U534</f>
        <v>8888</v>
      </c>
      <c r="W535" s="128" t="s">
        <v>213</v>
      </c>
      <c r="X535" s="128">
        <f ca="1">X534+$T525</f>
        <v>8888</v>
      </c>
      <c r="Y535" s="139">
        <f ca="1">Y534</f>
        <v>8888</v>
      </c>
      <c r="AA535" s="143" t="s">
        <v>213</v>
      </c>
      <c r="AB535" s="128">
        <f ca="1">IF($AA532,D535,P535)</f>
        <v>-8.9320000000000004</v>
      </c>
      <c r="AC535" s="129">
        <f ca="1">IF($AA532,E535,Q535)</f>
        <v>1.3199999999999998</v>
      </c>
      <c r="AE535" s="128" t="s">
        <v>213</v>
      </c>
      <c r="AF535" s="128">
        <f ca="1">IF($AE532,H535,T535)</f>
        <v>8888.43</v>
      </c>
      <c r="AG535" s="129">
        <f ca="1">IF($AE532,I535,U535)</f>
        <v>8888</v>
      </c>
      <c r="AI535" s="128" t="s">
        <v>213</v>
      </c>
      <c r="AJ535" s="128">
        <f ca="1">IF($AI532,L535,X535)</f>
        <v>-8.9320000000000004</v>
      </c>
      <c r="AK535" s="129">
        <f ca="1">IF($AI532,M535,Y535)</f>
        <v>-0.25999999999999979</v>
      </c>
      <c r="AM535" s="128" t="s">
        <v>213</v>
      </c>
      <c r="AN535" s="128">
        <f ca="1">AN534-AO525/2</f>
        <v>-8.7469999999999999</v>
      </c>
      <c r="AO535" s="129">
        <f ca="1">IF(AN535&gt;-Fuselage!$D$366,(FUSELAGE_a_ellipse)*SQRT(1-((AN535+Fuselage!$D$366)/(Fuselage!$K$364-FUSELAGE_t_fuselage))^2),IF(AN535&gt;$L$2505+Fuselage!$K$370,FUSELAGE_a_ellipse,(FUSELAGE_a_ellipse+FUSELAGE_t_fuselage-FUSELAGE_d_fo/4)/Fuselage!$K$368*(AN535-$L$2505-Fuselage!$K$370)+FUSELAGE_a_ellipse))</f>
        <v>1.4960570012328709</v>
      </c>
      <c r="AQ535" s="128" t="s">
        <v>213</v>
      </c>
      <c r="AR535" s="128">
        <f t="shared" ca="1" si="84"/>
        <v>-8.7469999999999999</v>
      </c>
      <c r="AS535" s="129">
        <f t="shared" ca="1" si="85"/>
        <v>-1.4960570012328709</v>
      </c>
      <c r="AW535" s="128">
        <f>AW534+1</f>
        <v>2310</v>
      </c>
      <c r="AX535" s="128">
        <f ca="1">OFFSET(AN$209,$AW535,0)</f>
        <v>-18.624000000000006</v>
      </c>
      <c r="AY535" s="129">
        <f ca="1">OFFSET(AO$209,$AW535,0)</f>
        <v>1.4960570012328709</v>
      </c>
      <c r="BB535" s="128">
        <f ca="1">AX535</f>
        <v>-18.624000000000006</v>
      </c>
      <c r="BC535" s="129">
        <f ca="1">-AY535</f>
        <v>-1.4960570012328709</v>
      </c>
      <c r="BD535" s="157"/>
    </row>
    <row r="536" spans="2:56">
      <c r="B536" s="156"/>
      <c r="C536" s="128" t="s">
        <v>286</v>
      </c>
      <c r="D536" s="128">
        <f ca="1">D535</f>
        <v>-8.9320000000000004</v>
      </c>
      <c r="E536" s="139">
        <f ca="1">E535-P525</f>
        <v>0.81999999999999984</v>
      </c>
      <c r="G536" s="128" t="s">
        <v>286</v>
      </c>
      <c r="H536" s="128">
        <f ca="1">H535</f>
        <v>8888.43</v>
      </c>
      <c r="I536" s="139">
        <f ca="1">I535-P525</f>
        <v>8887.5</v>
      </c>
      <c r="K536" s="128" t="s">
        <v>286</v>
      </c>
      <c r="L536" s="128">
        <f ca="1">L535</f>
        <v>-8.9320000000000004</v>
      </c>
      <c r="M536" s="139">
        <f ca="1">M535-P525</f>
        <v>-0.75999999999999979</v>
      </c>
      <c r="O536" s="128" t="s">
        <v>286</v>
      </c>
      <c r="P536" s="128">
        <f ca="1">P535</f>
        <v>8888</v>
      </c>
      <c r="Q536" s="139">
        <f ca="1">Q535-$T530</f>
        <v>8888</v>
      </c>
      <c r="S536" s="128" t="s">
        <v>286</v>
      </c>
      <c r="T536" s="128">
        <f ca="1">T535</f>
        <v>8888</v>
      </c>
      <c r="U536" s="139">
        <f ca="1">U535-$T528</f>
        <v>8888</v>
      </c>
      <c r="W536" s="128" t="s">
        <v>286</v>
      </c>
      <c r="X536" s="128">
        <f ca="1">X535</f>
        <v>8888</v>
      </c>
      <c r="Y536" s="139">
        <f ca="1">Y535+$T526</f>
        <v>8888</v>
      </c>
      <c r="AA536" s="143" t="s">
        <v>286</v>
      </c>
      <c r="AB536" s="128">
        <f ca="1">IF($AA532,D536,P536)</f>
        <v>-8.9320000000000004</v>
      </c>
      <c r="AC536" s="129">
        <f ca="1">IF($AA532,E536,Q536)</f>
        <v>0.81999999999999984</v>
      </c>
      <c r="AE536" s="128" t="s">
        <v>286</v>
      </c>
      <c r="AF536" s="128">
        <f ca="1">IF($AE532,H536,T536)</f>
        <v>8888.43</v>
      </c>
      <c r="AG536" s="129">
        <f ca="1">IF($AE532,I536,U536)</f>
        <v>8887.5</v>
      </c>
      <c r="AI536" s="128" t="s">
        <v>286</v>
      </c>
      <c r="AJ536" s="128">
        <f ca="1">IF($AI532,L536,X536)</f>
        <v>-8.9320000000000004</v>
      </c>
      <c r="AK536" s="129">
        <f ca="1">IF($AI532,M536,Y536)</f>
        <v>-0.75999999999999979</v>
      </c>
      <c r="AM536" s="128" t="s">
        <v>286</v>
      </c>
      <c r="AN536" s="128">
        <f ca="1">AN535</f>
        <v>-8.7469999999999999</v>
      </c>
      <c r="AO536" s="129">
        <f ca="1">IF(AN536&gt;-Fuselage!$D$366,IF(AM532,(FUSELAGE_a_ellipse+FUSELAGE_t_fuselage)*SQRT(1-((AN536+Fuselage!$D$366)/Fuselage!$K$364)^2),(FUSELAGE_a_ellipse)*SQRT(1-((AN536+Fuselage!$D$366)/Fuselage!$K$364)^2)),IF(AN536&gt;$L$2505+Fuselage!$K$370,(IF(AM532,FUSELAGE_a_ellipse+FUSELAGE_t_fuselage,FUSELAGE_a_ellipse)),IF(AM532,(FUSELAGE_a_ellipse+FUSELAGE_t_fuselage-FUSELAGE_d_fo/4)/Fuselage!$K$368*(AN536-$L$2505-Fuselage!$K$370)+FUSELAGE_a_ellipse+FUSELAGE_t_fuselage,(FUSELAGE_a_ellipse+FUSELAGE_t_fuselage-FUSELAGE_d_fo/4)/Fuselage!$K$368*(AN536-$L$2505-Fuselage!$K$370)+FUSELAGE_a_ellipse)))</f>
        <v>1.4960570012328709</v>
      </c>
      <c r="AQ536" s="128" t="s">
        <v>286</v>
      </c>
      <c r="AR536" s="128">
        <f t="shared" ca="1" si="84"/>
        <v>-8.7469999999999999</v>
      </c>
      <c r="AS536" s="129">
        <f t="shared" ca="1" si="85"/>
        <v>-1.4960570012328709</v>
      </c>
      <c r="AW536" s="128"/>
      <c r="AX536" s="128"/>
      <c r="AY536" s="129"/>
      <c r="BB536" s="128"/>
      <c r="BC536" s="129"/>
      <c r="BD536" s="157"/>
    </row>
    <row r="537" spans="2:56">
      <c r="B537" s="156"/>
      <c r="C537" s="188" t="s">
        <v>522</v>
      </c>
      <c r="D537" s="188">
        <f ca="1">D534</f>
        <v>-9.3620000000000001</v>
      </c>
      <c r="E537" s="189">
        <f ca="1">E536</f>
        <v>0.81999999999999984</v>
      </c>
      <c r="F537" s="157"/>
      <c r="G537" s="2" t="s">
        <v>522</v>
      </c>
      <c r="H537" s="128">
        <f ca="1">H534</f>
        <v>8888</v>
      </c>
      <c r="I537" s="139">
        <f ca="1">I536</f>
        <v>8887.5</v>
      </c>
      <c r="K537" s="128" t="s">
        <v>522</v>
      </c>
      <c r="L537" s="128">
        <f ca="1">L534</f>
        <v>-9.3620000000000001</v>
      </c>
      <c r="M537" s="139">
        <f ca="1">M536</f>
        <v>-0.75999999999999979</v>
      </c>
      <c r="O537" s="188" t="s">
        <v>522</v>
      </c>
      <c r="P537" s="188">
        <f ca="1">P534</f>
        <v>8888</v>
      </c>
      <c r="Q537" s="189">
        <f ca="1">Q536</f>
        <v>8888</v>
      </c>
      <c r="S537" s="188" t="s">
        <v>522</v>
      </c>
      <c r="T537" s="188">
        <f ca="1">T534</f>
        <v>8888</v>
      </c>
      <c r="U537" s="189">
        <f ca="1">U536</f>
        <v>8888</v>
      </c>
      <c r="W537" s="188" t="s">
        <v>522</v>
      </c>
      <c r="X537" s="188">
        <f ca="1">X534</f>
        <v>8888</v>
      </c>
      <c r="Y537" s="189">
        <f ca="1">Y536</f>
        <v>8888</v>
      </c>
      <c r="AA537" s="195" t="s">
        <v>522</v>
      </c>
      <c r="AB537" s="128">
        <f ca="1">IF($AA532,D537,P537)</f>
        <v>-9.3620000000000001</v>
      </c>
      <c r="AC537" s="129">
        <f ca="1">IF($AA532,E537,Q537)</f>
        <v>0.81999999999999984</v>
      </c>
      <c r="AD537" s="157"/>
      <c r="AE537" s="2" t="s">
        <v>522</v>
      </c>
      <c r="AF537" s="188">
        <f ca="1">IF($AE532,H537,T537)</f>
        <v>8888</v>
      </c>
      <c r="AG537" s="196">
        <f ca="1">IF($AE532,I537,U537)</f>
        <v>8887.5</v>
      </c>
      <c r="AI537" s="128" t="s">
        <v>522</v>
      </c>
      <c r="AJ537" s="188">
        <f ca="1">IF($AI532,L537,X537)</f>
        <v>-9.3620000000000001</v>
      </c>
      <c r="AK537" s="196">
        <f ca="1">IF($AI532,M537,Y537)</f>
        <v>-0.75999999999999979</v>
      </c>
      <c r="AM537" s="128" t="s">
        <v>522</v>
      </c>
      <c r="AN537" s="128">
        <f ca="1">AN536-X526</f>
        <v>-8.7469999999999999</v>
      </c>
      <c r="AO537" s="129">
        <f ca="1">IF(AN537&gt;-Fuselage!$D$366,IF(AM532,(FUSELAGE_a_ellipse+FUSELAGE_t_fuselage)*SQRT(1-((AN537+Fuselage!$D$366)/Fuselage!$K$364)^2),(FUSELAGE_a_ellipse)*SQRT(1-((AN537+Fuselage!$D$366)/Fuselage!$K$364)^2)),IF(AN537&gt;$L$2505+Fuselage!$K$370,(IF(AM532,FUSELAGE_a_ellipse+FUSELAGE_t_fuselage,FUSELAGE_a_ellipse)),IF(AM532,(FUSELAGE_a_ellipse+FUSELAGE_t_fuselage-FUSELAGE_d_fo/4)/Fuselage!$K$368*(AN537-$L$2505-Fuselage!$K$370)+FUSELAGE_a_ellipse+FUSELAGE_t_fuselage,(FUSELAGE_a_ellipse+FUSELAGE_t_fuselage-FUSELAGE_d_fo/4)/Fuselage!$K$368*(AN537-$L$2505-Fuselage!$K$370)+FUSELAGE_a_ellipse)))</f>
        <v>1.4960570012328709</v>
      </c>
      <c r="AQ537" s="128" t="s">
        <v>522</v>
      </c>
      <c r="AR537" s="128">
        <f t="shared" ca="1" si="84"/>
        <v>-8.7469999999999999</v>
      </c>
      <c r="AS537" s="129">
        <f t="shared" ca="1" si="85"/>
        <v>-1.4960570012328709</v>
      </c>
      <c r="AW537" s="128"/>
      <c r="AX537" s="128"/>
      <c r="AY537" s="129"/>
      <c r="BB537" s="128"/>
      <c r="BC537" s="129"/>
      <c r="BD537" s="157"/>
    </row>
    <row r="538" spans="2:56" ht="15" thickBot="1">
      <c r="B538" s="156"/>
      <c r="C538" s="128" t="s">
        <v>49</v>
      </c>
      <c r="D538" s="128">
        <f ca="1">IF(C532&gt;=2,D534,D537)</f>
        <v>-9.3620000000000001</v>
      </c>
      <c r="E538" s="139">
        <f ca="1">IF(C532&gt;=2,E537-P527,E537)</f>
        <v>0.75999999999999979</v>
      </c>
      <c r="F538" s="157"/>
      <c r="G538" s="192" t="s">
        <v>49</v>
      </c>
      <c r="H538" s="190">
        <f ca="1">IF(G532&gt;=2,H534,H537)</f>
        <v>8888</v>
      </c>
      <c r="I538" s="191">
        <f ca="1">IF(G532&gt;=2,I537-P527,I537)</f>
        <v>8887.5</v>
      </c>
      <c r="K538" s="190" t="s">
        <v>49</v>
      </c>
      <c r="L538" s="190">
        <f ca="1">IF(K532&gt;=2,L534,L537)</f>
        <v>-9.3620000000000001</v>
      </c>
      <c r="M538" s="191">
        <f ca="1">IF(K532&gt;=2,M537-P527,M537)</f>
        <v>-0.81999999999999984</v>
      </c>
      <c r="O538" s="130" t="s">
        <v>396</v>
      </c>
      <c r="P538" s="130">
        <f ca="1">P534</f>
        <v>8888</v>
      </c>
      <c r="Q538" s="140">
        <f ca="1">Q534</f>
        <v>8888</v>
      </c>
      <c r="S538" s="130" t="s">
        <v>396</v>
      </c>
      <c r="T538" s="130">
        <f ca="1">T534</f>
        <v>8888</v>
      </c>
      <c r="U538" s="140">
        <f ca="1">U534</f>
        <v>8888</v>
      </c>
      <c r="W538" s="130" t="s">
        <v>396</v>
      </c>
      <c r="X538" s="130">
        <f ca="1">X534</f>
        <v>8888</v>
      </c>
      <c r="Y538" s="140">
        <f ca="1">Y534</f>
        <v>8888</v>
      </c>
      <c r="AA538" s="143" t="s">
        <v>49</v>
      </c>
      <c r="AB538" s="128">
        <f ca="1">IF($AA532,D538,P538)</f>
        <v>-9.3620000000000001</v>
      </c>
      <c r="AC538" s="129">
        <f ca="1">IF($AA532,E538,Q538)</f>
        <v>0.75999999999999979</v>
      </c>
      <c r="AD538" s="157"/>
      <c r="AE538" s="192" t="s">
        <v>49</v>
      </c>
      <c r="AF538" s="128">
        <f ca="1">IF($AE532,H538,T538)</f>
        <v>8888</v>
      </c>
      <c r="AG538" s="129">
        <f ca="1">IF($AE532,I538,U538)</f>
        <v>8887.5</v>
      </c>
      <c r="AI538" s="190" t="s">
        <v>49</v>
      </c>
      <c r="AJ538" s="128">
        <f ca="1">IF($AI532,L538,X538)</f>
        <v>-9.3620000000000001</v>
      </c>
      <c r="AK538" s="129">
        <f ca="1">IF($AI532,M538,Y538)</f>
        <v>-0.81999999999999984</v>
      </c>
      <c r="AM538" s="128" t="s">
        <v>49</v>
      </c>
      <c r="AN538" s="128">
        <f ca="1">AN537</f>
        <v>-8.7469999999999999</v>
      </c>
      <c r="AO538" s="129">
        <f ca="1">IF(AN538&gt;-Fuselage!$D$366,(FUSELAGE_a_ellipse)*SQRT(1-((AN538+Fuselage!$D$366)/(Fuselage!$K$364-FUSELAGE_t_fuselage))^2),IF(AN538&gt;$L$2505+Fuselage!$K$370,FUSELAGE_a_ellipse,(FUSELAGE_a_ellipse+FUSELAGE_t_fuselage-FUSELAGE_d_fo/4)/Fuselage!$K$368*(AN538-$L$2505-Fuselage!$K$370)+FUSELAGE_a_ellipse))</f>
        <v>1.4960570012328709</v>
      </c>
      <c r="AQ538" s="128" t="s">
        <v>49</v>
      </c>
      <c r="AR538" s="128">
        <f t="shared" ca="1" si="84"/>
        <v>-8.7469999999999999</v>
      </c>
      <c r="AS538" s="129">
        <f t="shared" ca="1" si="85"/>
        <v>-1.4960570012328709</v>
      </c>
      <c r="AW538" s="128"/>
      <c r="AX538" s="128"/>
      <c r="AY538" s="129"/>
      <c r="BB538" s="128"/>
      <c r="BC538" s="129"/>
      <c r="BD538" s="157"/>
    </row>
    <row r="539" spans="2:56">
      <c r="B539" s="156"/>
      <c r="C539" s="128" t="s">
        <v>453</v>
      </c>
      <c r="D539" s="128">
        <f ca="1">IF(C532&gt;=2,D534+P526,D537)</f>
        <v>-8.9320000000000004</v>
      </c>
      <c r="E539" s="139">
        <f ca="1">E538</f>
        <v>0.75999999999999979</v>
      </c>
      <c r="F539" s="157"/>
      <c r="G539" s="2" t="s">
        <v>453</v>
      </c>
      <c r="H539" s="128">
        <f ca="1">IF(G532&gt;=2,H535,H537)</f>
        <v>8888</v>
      </c>
      <c r="I539" s="139">
        <f ca="1">IF(G532&gt;=2,I538,I537)</f>
        <v>8887.5</v>
      </c>
      <c r="K539" s="128" t="s">
        <v>453</v>
      </c>
      <c r="L539" s="128">
        <f ca="1">IF(K532&gt;=2,IF(X527,IF(K532=2,L534+P526/4,L534+P526),L534+P526),L537)</f>
        <v>-8.9320000000000004</v>
      </c>
      <c r="M539" s="139">
        <f ca="1">IF(K532&gt;=2,M538,M537)</f>
        <v>-0.81999999999999984</v>
      </c>
      <c r="AA539" s="143" t="s">
        <v>453</v>
      </c>
      <c r="AB539" s="128">
        <f ca="1">IF($AA532,D539,AB538)</f>
        <v>-8.9320000000000004</v>
      </c>
      <c r="AC539" s="129">
        <f ca="1">IF($AA532,E539,AC538)</f>
        <v>0.75999999999999979</v>
      </c>
      <c r="AD539" s="157"/>
      <c r="AE539" s="2" t="s">
        <v>453</v>
      </c>
      <c r="AF539" s="128">
        <f ca="1">IF($AE532,H539,AF538)</f>
        <v>8888</v>
      </c>
      <c r="AG539" s="129">
        <f ca="1">IF($AE532,I539,AG538)</f>
        <v>8887.5</v>
      </c>
      <c r="AI539" s="128" t="s">
        <v>453</v>
      </c>
      <c r="AJ539" s="128">
        <f ca="1">IF($AI532,L539,AJ538)</f>
        <v>-8.9320000000000004</v>
      </c>
      <c r="AK539" s="129">
        <f ca="1">IF($AI532,M539,AK538)</f>
        <v>-0.81999999999999984</v>
      </c>
      <c r="AM539" s="128" t="s">
        <v>453</v>
      </c>
      <c r="AN539" s="128">
        <f ca="1">L525</f>
        <v>-9.3620000000000001</v>
      </c>
      <c r="AO539" s="129">
        <f ca="1">IF(AN539&gt;-Fuselage!$D$366,(FUSELAGE_a_ellipse)*SQRT(1-((AN539+Fuselage!$D$366)/(Fuselage!$K$364-FUSELAGE_t_fuselage))^2),IF(AN539&gt;$L$2505+Fuselage!$K$370,FUSELAGE_a_ellipse,(FUSELAGE_a_ellipse+FUSELAGE_t_fuselage-FUSELAGE_d_fo/4)/Fuselage!$K$368*(AN539-$L$2505-Fuselage!$K$370)+FUSELAGE_a_ellipse))</f>
        <v>1.4960570012328709</v>
      </c>
      <c r="AQ539" s="128" t="s">
        <v>453</v>
      </c>
      <c r="AR539" s="128">
        <f t="shared" ca="1" si="84"/>
        <v>-9.3620000000000001</v>
      </c>
      <c r="AS539" s="129">
        <f t="shared" ca="1" si="85"/>
        <v>-1.4960570012328709</v>
      </c>
      <c r="AW539" s="128"/>
      <c r="AX539" s="128"/>
      <c r="AY539" s="129"/>
      <c r="BB539" s="128"/>
      <c r="BC539" s="129"/>
      <c r="BD539" s="157"/>
    </row>
    <row r="540" spans="2:56">
      <c r="B540" s="156"/>
      <c r="C540" s="128" t="s">
        <v>394</v>
      </c>
      <c r="D540" s="128">
        <f ca="1">IF(C532&gt;=2,D539,D537)</f>
        <v>-8.9320000000000004</v>
      </c>
      <c r="E540" s="139">
        <f ca="1">IF(C532&gt;=2,E538-P525,E537)</f>
        <v>0.25999999999999979</v>
      </c>
      <c r="F540" s="157"/>
      <c r="G540" s="2" t="s">
        <v>394</v>
      </c>
      <c r="H540" s="128">
        <f ca="1">IF(G532&gt;=2,H535,H537)</f>
        <v>8888</v>
      </c>
      <c r="I540" s="139">
        <f ca="1">IF(G532&gt;=2,I539-P525,I537)</f>
        <v>8887.5</v>
      </c>
      <c r="K540" s="128" t="s">
        <v>394</v>
      </c>
      <c r="L540" s="128">
        <f ca="1">L539</f>
        <v>-8.9320000000000004</v>
      </c>
      <c r="M540" s="139">
        <f ca="1">IF(K532&gt;=2,M539-P525,M537)</f>
        <v>-1.3199999999999998</v>
      </c>
      <c r="AA540" s="143" t="s">
        <v>394</v>
      </c>
      <c r="AB540" s="128">
        <f ca="1">IF($AA532,D540,AB538)</f>
        <v>-8.9320000000000004</v>
      </c>
      <c r="AC540" s="129">
        <f ca="1">IF($AA532,E540,AC538)</f>
        <v>0.25999999999999979</v>
      </c>
      <c r="AD540" s="157"/>
      <c r="AE540" s="2" t="s">
        <v>394</v>
      </c>
      <c r="AF540" s="128">
        <f ca="1">IF($AE532,H540,AF538)</f>
        <v>8888</v>
      </c>
      <c r="AG540" s="129">
        <f ca="1">IF($AE532,I540,AG538)</f>
        <v>8887.5</v>
      </c>
      <c r="AI540" s="128" t="s">
        <v>394</v>
      </c>
      <c r="AJ540" s="128">
        <f ca="1">IF($AI532,L540,AJ538)</f>
        <v>-8.9320000000000004</v>
      </c>
      <c r="AK540" s="129">
        <f ca="1">IF($AI532,M540,AK538)</f>
        <v>-1.3199999999999998</v>
      </c>
      <c r="AW540" s="128"/>
      <c r="AX540" s="128"/>
      <c r="AY540" s="129"/>
      <c r="BB540" s="128"/>
      <c r="BC540" s="129"/>
      <c r="BD540" s="157"/>
    </row>
    <row r="541" spans="2:56">
      <c r="B541" s="156"/>
      <c r="C541" s="188" t="s">
        <v>454</v>
      </c>
      <c r="D541" s="188">
        <f ca="1">IF(C532&gt;=2,D534,D537)</f>
        <v>-9.3620000000000001</v>
      </c>
      <c r="E541" s="189">
        <f ca="1">E540</f>
        <v>0.25999999999999979</v>
      </c>
      <c r="F541" s="157"/>
      <c r="G541" s="115" t="s">
        <v>454</v>
      </c>
      <c r="H541" s="188">
        <f ca="1">IF(G532&gt;=2,H534,H537)</f>
        <v>8888</v>
      </c>
      <c r="I541" s="189">
        <f ca="1">IF(G532&gt;=2,I540,I537)</f>
        <v>8887.5</v>
      </c>
      <c r="K541" s="188" t="s">
        <v>454</v>
      </c>
      <c r="L541" s="188">
        <f ca="1">IF(K532&gt;=2,L534,L537)</f>
        <v>-9.3620000000000001</v>
      </c>
      <c r="M541" s="189">
        <f ca="1">IF(K532&gt;=2,M540,M537)</f>
        <v>-1.3199999999999998</v>
      </c>
      <c r="AA541" s="195" t="s">
        <v>454</v>
      </c>
      <c r="AB541" s="128">
        <f ca="1">IF($AA532,D541,AB538)</f>
        <v>-9.3620000000000001</v>
      </c>
      <c r="AC541" s="129">
        <f ca="1">IF($AA532,E541,AC538)</f>
        <v>0.25999999999999979</v>
      </c>
      <c r="AD541" s="157"/>
      <c r="AE541" s="115" t="s">
        <v>454</v>
      </c>
      <c r="AF541" s="188">
        <f ca="1">IF($AE532,H541,AF538)</f>
        <v>8888</v>
      </c>
      <c r="AG541" s="196">
        <f ca="1">IF($AE532,I541,AG538)</f>
        <v>8887.5</v>
      </c>
      <c r="AI541" s="188" t="s">
        <v>454</v>
      </c>
      <c r="AJ541" s="188">
        <f ca="1">IF($AI532,L541,AJ538)</f>
        <v>-9.3620000000000001</v>
      </c>
      <c r="AK541" s="196">
        <f ca="1">IF($AI532,M541,AK538)</f>
        <v>-1.3199999999999998</v>
      </c>
      <c r="AW541" s="128"/>
      <c r="AX541" s="128"/>
      <c r="AY541" s="129"/>
      <c r="BB541" s="128"/>
      <c r="BC541" s="129"/>
      <c r="BD541" s="157"/>
    </row>
    <row r="542" spans="2:56">
      <c r="B542" s="156"/>
      <c r="C542" s="128" t="s">
        <v>507</v>
      </c>
      <c r="D542" s="128">
        <f ca="1">IF(C532&gt;=3,D534,D541)</f>
        <v>-9.3620000000000001</v>
      </c>
      <c r="E542" s="139">
        <f ca="1">IF(C532&gt;=3,E541-P527,E541)</f>
        <v>0.25999999999999979</v>
      </c>
      <c r="F542" s="157"/>
      <c r="G542" s="2" t="s">
        <v>507</v>
      </c>
      <c r="H542" s="128">
        <f ca="1">IF(G532&gt;=3,H534,H541)</f>
        <v>8888</v>
      </c>
      <c r="I542" s="139">
        <f ca="1">IF(G532&gt;=3,I541-P527,I541)</f>
        <v>8887.5</v>
      </c>
      <c r="K542" s="128" t="s">
        <v>507</v>
      </c>
      <c r="L542" s="128">
        <f ca="1">IF(K532&gt;=3,L534,L541)</f>
        <v>-9.3620000000000001</v>
      </c>
      <c r="M542" s="139">
        <f ca="1">IF(K532&gt;=3,M541-P527,M541)</f>
        <v>-1.3199999999999998</v>
      </c>
      <c r="AA542" s="143" t="s">
        <v>507</v>
      </c>
      <c r="AB542" s="128">
        <f ca="1">IF($AA532,D542,AB538)</f>
        <v>-9.3620000000000001</v>
      </c>
      <c r="AC542" s="129">
        <f ca="1">IF($AA532,E542,AC538)</f>
        <v>0.25999999999999979</v>
      </c>
      <c r="AD542" s="157"/>
      <c r="AE542" s="2" t="s">
        <v>507</v>
      </c>
      <c r="AF542" s="128">
        <f ca="1">IF($AE532,H542,AF538)</f>
        <v>8888</v>
      </c>
      <c r="AG542" s="129">
        <f ca="1">IF($AE532,I542,AG538)</f>
        <v>8887.5</v>
      </c>
      <c r="AI542" s="128" t="s">
        <v>507</v>
      </c>
      <c r="AJ542" s="128">
        <f ca="1">IF($AI532,L542,AJ538)</f>
        <v>-9.3620000000000001</v>
      </c>
      <c r="AK542" s="129">
        <f ca="1">IF($AI532,M542,AK538)</f>
        <v>-1.3199999999999998</v>
      </c>
      <c r="AW542" s="128"/>
      <c r="AX542" s="128"/>
      <c r="AY542" s="129"/>
      <c r="BB542" s="128"/>
      <c r="BC542" s="129"/>
      <c r="BD542" s="157"/>
    </row>
    <row r="543" spans="2:56">
      <c r="B543" s="156"/>
      <c r="C543" s="128" t="s">
        <v>455</v>
      </c>
      <c r="D543" s="128">
        <f ca="1">IF(C532&gt;=3,D539,D541)</f>
        <v>-9.3620000000000001</v>
      </c>
      <c r="E543" s="139">
        <f ca="1">E542</f>
        <v>0.25999999999999979</v>
      </c>
      <c r="F543" s="157"/>
      <c r="G543" s="2" t="s">
        <v>455</v>
      </c>
      <c r="H543" s="128">
        <f ca="1">IF(G532&gt;=3,H535,H541)</f>
        <v>8888</v>
      </c>
      <c r="I543" s="139">
        <f ca="1">IF(G532&gt;=3,I542,I541)</f>
        <v>8887.5</v>
      </c>
      <c r="K543" s="128" t="s">
        <v>455</v>
      </c>
      <c r="L543" s="128">
        <f ca="1">IF(K532&gt;=3,IF(X527,IF(K532=3,L534+P526/4,L534+P526),L534+P526),L537)</f>
        <v>-9.3620000000000001</v>
      </c>
      <c r="M543" s="139">
        <f ca="1">IF(K532&gt;=3,M542,M541)</f>
        <v>-1.3199999999999998</v>
      </c>
      <c r="AA543" s="143" t="s">
        <v>455</v>
      </c>
      <c r="AB543" s="128">
        <f ca="1">IF($AA532,D543,AB538)</f>
        <v>-9.3620000000000001</v>
      </c>
      <c r="AC543" s="129">
        <f ca="1">IF($AA532,E543,AC538)</f>
        <v>0.25999999999999979</v>
      </c>
      <c r="AD543" s="157"/>
      <c r="AE543" s="2" t="s">
        <v>455</v>
      </c>
      <c r="AF543" s="128">
        <f ca="1">IF($AE532,H543,AF538)</f>
        <v>8888</v>
      </c>
      <c r="AG543" s="129">
        <f ca="1">IF($AE532,I543,AG538)</f>
        <v>8887.5</v>
      </c>
      <c r="AI543" s="128" t="s">
        <v>455</v>
      </c>
      <c r="AJ543" s="128">
        <f ca="1">IF($AI532,L543,AJ538)</f>
        <v>-9.3620000000000001</v>
      </c>
      <c r="AK543" s="129">
        <f ca="1">IF($AI532,M543,AK538)</f>
        <v>-1.3199999999999998</v>
      </c>
      <c r="AL543" s="156"/>
      <c r="AW543" s="128"/>
      <c r="AX543" s="128"/>
      <c r="AY543" s="129"/>
      <c r="BB543" s="128"/>
      <c r="BC543" s="129"/>
      <c r="BD543" s="157"/>
    </row>
    <row r="544" spans="2:56">
      <c r="B544" s="156"/>
      <c r="C544" s="128" t="s">
        <v>311</v>
      </c>
      <c r="D544" s="128">
        <f ca="1">IF(C532&gt;=3,D539,D541)</f>
        <v>-9.3620000000000001</v>
      </c>
      <c r="E544" s="139">
        <f ca="1">IF(C532&gt;=3,E543-P525,E541)</f>
        <v>0.25999999999999979</v>
      </c>
      <c r="F544" s="157"/>
      <c r="G544" s="2" t="s">
        <v>311</v>
      </c>
      <c r="H544" s="128">
        <f ca="1">IF(G532&gt;=3,H535,H541)</f>
        <v>8888</v>
      </c>
      <c r="I544" s="139">
        <f ca="1">IF(G532&gt;=3,I543-P525,I541)</f>
        <v>8887.5</v>
      </c>
      <c r="K544" s="128" t="s">
        <v>311</v>
      </c>
      <c r="L544" s="128">
        <f ca="1">L543</f>
        <v>-9.3620000000000001</v>
      </c>
      <c r="M544" s="139">
        <f ca="1">IF(K532&gt;=3,M543-P525,M541)</f>
        <v>-1.3199999999999998</v>
      </c>
      <c r="AA544" s="143" t="s">
        <v>311</v>
      </c>
      <c r="AB544" s="128">
        <f ca="1">IF($AA532,D544,AB538)</f>
        <v>-9.3620000000000001</v>
      </c>
      <c r="AC544" s="129">
        <f ca="1">IF($AA532,E544,AC538)</f>
        <v>0.25999999999999979</v>
      </c>
      <c r="AD544" s="157"/>
      <c r="AE544" s="2" t="s">
        <v>311</v>
      </c>
      <c r="AF544" s="128">
        <f ca="1">IF($AE532,H544,AF538)</f>
        <v>8888</v>
      </c>
      <c r="AG544" s="129">
        <f ca="1">IF($AE532,I544,AG538)</f>
        <v>8887.5</v>
      </c>
      <c r="AI544" s="128" t="s">
        <v>311</v>
      </c>
      <c r="AJ544" s="128">
        <f ca="1">IF($AI532,L544,AJ538)</f>
        <v>-9.3620000000000001</v>
      </c>
      <c r="AK544" s="129">
        <f ca="1">IF($AI532,M544,AK538)</f>
        <v>-1.3199999999999998</v>
      </c>
      <c r="AL544" s="156"/>
      <c r="AW544" s="128"/>
      <c r="AX544" s="128"/>
      <c r="AY544" s="129"/>
      <c r="BB544" s="128"/>
      <c r="BC544" s="129"/>
      <c r="BD544" s="157"/>
    </row>
    <row r="545" spans="2:56">
      <c r="B545" s="156"/>
      <c r="C545" s="188" t="s">
        <v>35</v>
      </c>
      <c r="D545" s="188">
        <f ca="1">IF(C532&gt;=3,D534,D541)</f>
        <v>-9.3620000000000001</v>
      </c>
      <c r="E545" s="189">
        <f ca="1">E544</f>
        <v>0.25999999999999979</v>
      </c>
      <c r="F545" s="157"/>
      <c r="G545" s="2" t="s">
        <v>35</v>
      </c>
      <c r="H545" s="188">
        <f ca="1">IF(G532&gt;=3,H534,H541)</f>
        <v>8888</v>
      </c>
      <c r="I545" s="189">
        <f ca="1">IF(G532&gt;=3,I544,I541)</f>
        <v>8887.5</v>
      </c>
      <c r="K545" s="188" t="s">
        <v>35</v>
      </c>
      <c r="L545" s="188">
        <f ca="1">IF(K532&gt;=3,L534,L541)</f>
        <v>-9.3620000000000001</v>
      </c>
      <c r="M545" s="189">
        <f ca="1">IF(K532&gt;=3,M544,M541)</f>
        <v>-1.3199999999999998</v>
      </c>
      <c r="AA545" s="143" t="s">
        <v>35</v>
      </c>
      <c r="AB545" s="128">
        <f ca="1">IF($AA532,D545,AB538)</f>
        <v>-9.3620000000000001</v>
      </c>
      <c r="AC545" s="129">
        <f ca="1">IF($AA532,E545,AC538)</f>
        <v>0.25999999999999979</v>
      </c>
      <c r="AD545" s="157"/>
      <c r="AE545" s="2" t="s">
        <v>35</v>
      </c>
      <c r="AF545" s="188">
        <f ca="1">IF($AE532,H545,AF538)</f>
        <v>8888</v>
      </c>
      <c r="AG545" s="196">
        <f ca="1">IF($AE532,I545,AG538)</f>
        <v>8887.5</v>
      </c>
      <c r="AI545" s="128" t="s">
        <v>35</v>
      </c>
      <c r="AJ545" s="128">
        <f ca="1">IF($AI532,L545,AJ538)</f>
        <v>-9.3620000000000001</v>
      </c>
      <c r="AK545" s="129">
        <f ca="1">IF($AI532,M545,AK538)</f>
        <v>-1.3199999999999998</v>
      </c>
      <c r="AL545" s="156"/>
      <c r="AW545" s="128"/>
      <c r="AX545" s="128"/>
      <c r="AY545" s="129"/>
      <c r="BB545" s="128"/>
      <c r="BC545" s="129"/>
      <c r="BD545" s="157"/>
    </row>
    <row r="546" spans="2:56" ht="15" thickBot="1">
      <c r="B546" s="156"/>
      <c r="C546" s="130" t="s">
        <v>396</v>
      </c>
      <c r="D546" s="130">
        <f ca="1">D534</f>
        <v>-9.3620000000000001</v>
      </c>
      <c r="E546" s="140">
        <f ca="1">E534</f>
        <v>1.3199999999999998</v>
      </c>
      <c r="F546" s="157"/>
      <c r="G546" s="192" t="s">
        <v>312</v>
      </c>
      <c r="H546" s="128">
        <f ca="1">IF(G532&gt;=4,H534,H545)</f>
        <v>8888</v>
      </c>
      <c r="I546" s="139">
        <f ca="1">IF(G532&gt;=4,I545-P527,I545)</f>
        <v>8887.5</v>
      </c>
      <c r="K546" s="130" t="s">
        <v>396</v>
      </c>
      <c r="L546" s="130">
        <f ca="1">L534</f>
        <v>-9.3620000000000001</v>
      </c>
      <c r="M546" s="140">
        <f ca="1">M534</f>
        <v>-0.25999999999999979</v>
      </c>
      <c r="AA546" s="144" t="s">
        <v>396</v>
      </c>
      <c r="AB546" s="130">
        <f ca="1">IF($AA532,D546,AB538)</f>
        <v>-9.3620000000000001</v>
      </c>
      <c r="AC546" s="132">
        <f ca="1">IF($AA532,E546,AC538)</f>
        <v>1.3199999999999998</v>
      </c>
      <c r="AD546" s="157"/>
      <c r="AE546" s="192" t="s">
        <v>312</v>
      </c>
      <c r="AF546" s="128">
        <f ca="1">IF($AE532,H546,AF538)</f>
        <v>8888</v>
      </c>
      <c r="AG546" s="129">
        <f ca="1">IF($AE532,I546,AG538)</f>
        <v>8887.5</v>
      </c>
      <c r="AI546" s="130" t="s">
        <v>396</v>
      </c>
      <c r="AJ546" s="130">
        <f ca="1">IF($AI532,L546,AJ538)</f>
        <v>-9.3620000000000001</v>
      </c>
      <c r="AK546" s="132">
        <f ca="1">IF($AI532,M546,AK538)</f>
        <v>-0.25999999999999979</v>
      </c>
      <c r="AW546" s="128"/>
      <c r="AX546" s="128"/>
      <c r="AY546" s="129"/>
      <c r="BB546" s="128"/>
      <c r="BC546" s="129"/>
      <c r="BD546" s="157"/>
    </row>
    <row r="547" spans="2:56">
      <c r="B547" s="156"/>
      <c r="F547" s="157"/>
      <c r="G547" s="2" t="s">
        <v>313</v>
      </c>
      <c r="H547" s="128">
        <f ca="1">IF(G532&gt;=4,H535,H545)</f>
        <v>8888</v>
      </c>
      <c r="I547" s="139">
        <f ca="1">IF(G532&gt;=4,I546,I545)</f>
        <v>8887.5</v>
      </c>
      <c r="AD547" s="157"/>
      <c r="AE547" s="2" t="s">
        <v>313</v>
      </c>
      <c r="AF547" s="128">
        <f ca="1">IF($AE532,H547,AF538)</f>
        <v>8888</v>
      </c>
      <c r="AG547" s="129">
        <f ca="1">IF($AE532,I547,AG538)</f>
        <v>8887.5</v>
      </c>
      <c r="AW547" s="128"/>
      <c r="AX547" s="128"/>
      <c r="AY547" s="129"/>
      <c r="BB547" s="128"/>
      <c r="BC547" s="129"/>
      <c r="BD547" s="157"/>
    </row>
    <row r="548" spans="2:56">
      <c r="B548" s="156"/>
      <c r="F548" s="157"/>
      <c r="G548" s="2" t="s">
        <v>7</v>
      </c>
      <c r="H548" s="128">
        <f ca="1">IF(G532&gt;=4,H535,H545)</f>
        <v>8888</v>
      </c>
      <c r="I548" s="139">
        <f ca="1">IF(G532&gt;=4,I547-P525,I545)</f>
        <v>8887.5</v>
      </c>
      <c r="AD548" s="157"/>
      <c r="AE548" s="2" t="s">
        <v>7</v>
      </c>
      <c r="AF548" s="128">
        <f ca="1">IF($AE532,H548,AF538)</f>
        <v>8888</v>
      </c>
      <c r="AG548" s="129">
        <f ca="1">IF($AE532,I548,AG538)</f>
        <v>8887.5</v>
      </c>
      <c r="AW548" s="128"/>
      <c r="AX548" s="128"/>
      <c r="AY548" s="129"/>
      <c r="BB548" s="128"/>
      <c r="BC548" s="129"/>
      <c r="BD548" s="157"/>
    </row>
    <row r="549" spans="2:56">
      <c r="B549" s="156"/>
      <c r="F549" s="157"/>
      <c r="G549" s="115" t="s">
        <v>8</v>
      </c>
      <c r="H549" s="188">
        <f ca="1">IF(G532&gt;=4,H534,H545)</f>
        <v>8888</v>
      </c>
      <c r="I549" s="189">
        <f ca="1">IF(G532&gt;=4,I548,I545)</f>
        <v>8887.5</v>
      </c>
      <c r="AD549" s="157"/>
      <c r="AE549" s="115" t="s">
        <v>8</v>
      </c>
      <c r="AF549" s="188">
        <f ca="1">IF($AE532,H549,AF538)</f>
        <v>8888</v>
      </c>
      <c r="AG549" s="196">
        <f ca="1">IF($AE532,I549,AG538)</f>
        <v>8887.5</v>
      </c>
      <c r="AW549" s="128"/>
      <c r="AX549" s="128"/>
      <c r="AY549" s="129"/>
      <c r="BB549" s="128"/>
      <c r="BC549" s="129"/>
      <c r="BD549" s="157"/>
    </row>
    <row r="550" spans="2:56">
      <c r="B550" s="156"/>
      <c r="F550" s="157"/>
      <c r="G550" s="2" t="s">
        <v>9</v>
      </c>
      <c r="H550" s="128">
        <f ca="1">IF(G532&gt;=5,H534,H549)</f>
        <v>8888</v>
      </c>
      <c r="I550" s="139">
        <f ca="1">IF(G532&gt;=5,I549-P527,I549)</f>
        <v>8887.5</v>
      </c>
      <c r="AD550" s="157"/>
      <c r="AE550" s="2" t="s">
        <v>9</v>
      </c>
      <c r="AF550" s="128">
        <f ca="1">IF($AE532,H550,AF538)</f>
        <v>8888</v>
      </c>
      <c r="AG550" s="129">
        <f ca="1">IF($AE532,I550,AG538)</f>
        <v>8887.5</v>
      </c>
      <c r="AW550" s="128"/>
      <c r="AX550" s="128"/>
      <c r="AY550" s="129"/>
      <c r="BB550" s="128"/>
      <c r="BC550" s="129"/>
      <c r="BD550" s="157"/>
    </row>
    <row r="551" spans="2:56">
      <c r="B551" s="156"/>
      <c r="F551" s="157"/>
      <c r="G551" s="2" t="s">
        <v>196</v>
      </c>
      <c r="H551" s="128">
        <f ca="1">IF(G532&gt;=5,H535,H549)</f>
        <v>8888</v>
      </c>
      <c r="I551" s="139">
        <f ca="1">IF(G532&gt;=5,I550,I549)</f>
        <v>8887.5</v>
      </c>
      <c r="AD551" s="157"/>
      <c r="AE551" s="2" t="s">
        <v>196</v>
      </c>
      <c r="AF551" s="128">
        <f ca="1">IF($AE532,H551,AF538)</f>
        <v>8888</v>
      </c>
      <c r="AG551" s="129">
        <f ca="1">IF($AE532,I551,AG538)</f>
        <v>8887.5</v>
      </c>
      <c r="AW551" s="128"/>
      <c r="AX551" s="128"/>
      <c r="AY551" s="129"/>
      <c r="BB551" s="128"/>
      <c r="BC551" s="129"/>
      <c r="BD551" s="157"/>
    </row>
    <row r="552" spans="2:56">
      <c r="B552" s="156"/>
      <c r="F552" s="157"/>
      <c r="G552" s="2" t="s">
        <v>10</v>
      </c>
      <c r="H552" s="128">
        <f ca="1">IF(G532&gt;=5,H535,H549)</f>
        <v>8888</v>
      </c>
      <c r="I552" s="139">
        <f ca="1">IF(G532&gt;=5,I551-P525,I549)</f>
        <v>8887.5</v>
      </c>
      <c r="AD552" s="157"/>
      <c r="AE552" s="2" t="s">
        <v>10</v>
      </c>
      <c r="AF552" s="128">
        <f ca="1">IF($AE532,H552,AF538)</f>
        <v>8888</v>
      </c>
      <c r="AG552" s="129">
        <f ca="1">IF($AE532,I552,AG538)</f>
        <v>8887.5</v>
      </c>
      <c r="AW552" s="128"/>
      <c r="AX552" s="128"/>
      <c r="AY552" s="129"/>
      <c r="BB552" s="128"/>
      <c r="BC552" s="129"/>
      <c r="BD552" s="157"/>
    </row>
    <row r="553" spans="2:56">
      <c r="B553" s="156"/>
      <c r="F553" s="157"/>
      <c r="G553" s="2" t="s">
        <v>161</v>
      </c>
      <c r="H553" s="188">
        <f ca="1">IF(G532&gt;=5,H534,H549)</f>
        <v>8888</v>
      </c>
      <c r="I553" s="189">
        <f ca="1">IF(G532&gt;=5,I552,I549)</f>
        <v>8887.5</v>
      </c>
      <c r="AD553" s="157"/>
      <c r="AE553" s="2" t="s">
        <v>161</v>
      </c>
      <c r="AF553" s="188">
        <f ca="1">IF($AE532,H553,AF538)</f>
        <v>8888</v>
      </c>
      <c r="AG553" s="196">
        <f ca="1">IF($AE532,I553,AG538)</f>
        <v>8887.5</v>
      </c>
      <c r="AW553" s="128"/>
      <c r="AX553" s="128"/>
      <c r="AY553" s="129"/>
      <c r="BB553" s="128"/>
      <c r="BC553" s="129"/>
      <c r="BD553" s="157"/>
    </row>
    <row r="554" spans="2:56">
      <c r="B554" s="156"/>
      <c r="F554" s="157"/>
      <c r="G554" s="192" t="s">
        <v>11</v>
      </c>
      <c r="H554" s="128">
        <f ca="1">IF(G532&gt;=6,H534,H553)</f>
        <v>8888</v>
      </c>
      <c r="I554" s="139">
        <f ca="1">IF(G532&gt;=6,I553-P527,I553)</f>
        <v>8887.5</v>
      </c>
      <c r="AD554" s="157"/>
      <c r="AE554" s="192" t="s">
        <v>11</v>
      </c>
      <c r="AF554" s="128">
        <f ca="1">IF($AE532,H554,AF538)</f>
        <v>8888</v>
      </c>
      <c r="AG554" s="129">
        <f ca="1">IF($AE532,I554,AG538)</f>
        <v>8887.5</v>
      </c>
      <c r="AW554" s="128"/>
      <c r="AX554" s="128"/>
      <c r="AY554" s="129"/>
      <c r="BB554" s="128"/>
      <c r="BC554" s="129"/>
      <c r="BD554" s="157"/>
    </row>
    <row r="555" spans="2:56">
      <c r="B555" s="156"/>
      <c r="F555" s="157"/>
      <c r="G555" s="2" t="s">
        <v>12</v>
      </c>
      <c r="H555" s="128">
        <f ca="1">IF(G532&gt;=6,H535,H553)</f>
        <v>8888</v>
      </c>
      <c r="I555" s="139">
        <f ca="1">IF(G532&gt;=6,I554,I553)</f>
        <v>8887.5</v>
      </c>
      <c r="AD555" s="157"/>
      <c r="AE555" s="2" t="s">
        <v>12</v>
      </c>
      <c r="AF555" s="128">
        <f ca="1">IF($AE532,H555,AF538)</f>
        <v>8888</v>
      </c>
      <c r="AG555" s="129">
        <f ca="1">IF($AE532,I555,AG538)</f>
        <v>8887.5</v>
      </c>
      <c r="AW555" s="128"/>
      <c r="AX555" s="128"/>
      <c r="AY555" s="129"/>
      <c r="BB555" s="128"/>
      <c r="BC555" s="129"/>
      <c r="BD555" s="157"/>
    </row>
    <row r="556" spans="2:56">
      <c r="B556" s="156"/>
      <c r="F556" s="157"/>
      <c r="G556" s="2" t="s">
        <v>13</v>
      </c>
      <c r="H556" s="128">
        <f ca="1">IF(G532&gt;=6,H535,H553)</f>
        <v>8888</v>
      </c>
      <c r="I556" s="139">
        <f ca="1">IF(G532&gt;=6,I555-P525,I553)</f>
        <v>8887.5</v>
      </c>
      <c r="AD556" s="157"/>
      <c r="AE556" s="2" t="s">
        <v>13</v>
      </c>
      <c r="AF556" s="128">
        <f ca="1">IF($AE532,H556,AF538)</f>
        <v>8888</v>
      </c>
      <c r="AG556" s="129">
        <f ca="1">IF($AE532,I556,AG538)</f>
        <v>8887.5</v>
      </c>
      <c r="AW556" s="128"/>
      <c r="AX556" s="128"/>
      <c r="AY556" s="129"/>
      <c r="BB556" s="128"/>
      <c r="BC556" s="129"/>
      <c r="BD556" s="157"/>
    </row>
    <row r="557" spans="2:56">
      <c r="B557" s="156"/>
      <c r="F557" s="157"/>
      <c r="G557" s="115" t="s">
        <v>14</v>
      </c>
      <c r="H557" s="188">
        <f ca="1">IF(G532&gt;=6,H534,H553)</f>
        <v>8888</v>
      </c>
      <c r="I557" s="189">
        <f ca="1">IF(G532&gt;=6,I556,I553)</f>
        <v>8887.5</v>
      </c>
      <c r="AD557" s="157"/>
      <c r="AE557" s="115" t="s">
        <v>14</v>
      </c>
      <c r="AF557" s="188">
        <f ca="1">IF($AE532,H557,AF538)</f>
        <v>8888</v>
      </c>
      <c r="AG557" s="196">
        <f ca="1">IF($AE532,I557,AG538)</f>
        <v>8887.5</v>
      </c>
      <c r="AW557" s="128"/>
      <c r="AX557" s="128"/>
      <c r="AY557" s="129"/>
      <c r="BB557" s="128"/>
      <c r="BC557" s="129"/>
      <c r="BD557" s="157"/>
    </row>
    <row r="558" spans="2:56" ht="15" thickBot="1">
      <c r="B558" s="156"/>
      <c r="G558" s="130" t="s">
        <v>396</v>
      </c>
      <c r="H558" s="130">
        <f ca="1">H534</f>
        <v>8888</v>
      </c>
      <c r="I558" s="140">
        <f ca="1">I534</f>
        <v>8888</v>
      </c>
      <c r="AE558" s="130" t="s">
        <v>396</v>
      </c>
      <c r="AF558" s="130">
        <f ca="1">IF($AE532,H558,AF538)</f>
        <v>8888</v>
      </c>
      <c r="AG558" s="132">
        <f ca="1">IF($AE532,I558,AG538)</f>
        <v>8888</v>
      </c>
      <c r="AW558" s="128"/>
      <c r="AX558" s="128"/>
      <c r="AY558" s="129"/>
      <c r="BB558" s="128"/>
      <c r="BC558" s="129"/>
      <c r="BD558" s="157"/>
    </row>
    <row r="559" spans="2:56">
      <c r="B559" s="156"/>
      <c r="AW559" s="128"/>
      <c r="AX559" s="128"/>
      <c r="AY559" s="129"/>
      <c r="BB559" s="128"/>
      <c r="BC559" s="129"/>
      <c r="BD559" s="157"/>
    </row>
    <row r="560" spans="2:56">
      <c r="B560" s="156"/>
      <c r="AW560" s="128"/>
      <c r="AX560" s="128"/>
      <c r="AY560" s="129"/>
      <c r="BB560" s="128"/>
      <c r="BC560" s="129"/>
      <c r="BD560" s="157"/>
    </row>
    <row r="561" spans="2:56">
      <c r="B561" s="156"/>
      <c r="C561" s="200" t="s">
        <v>336</v>
      </c>
      <c r="D561">
        <f>D525+1</f>
        <v>11</v>
      </c>
      <c r="G561" s="200" t="s">
        <v>638</v>
      </c>
      <c r="H561">
        <f ca="1">LOOKUP(D564,$C$191:$C$196,$D$191:$D$196)</f>
        <v>0</v>
      </c>
      <c r="K561" s="200" t="s">
        <v>644</v>
      </c>
      <c r="L561">
        <f ca="1">L525-H566</f>
        <v>-10.162000000000001</v>
      </c>
      <c r="O561" s="200" t="s">
        <v>404</v>
      </c>
      <c r="P561">
        <f ca="1">IF(D563=1,SEAT_w_cushion_FC,IF(D563=2,SEAT_w_cushion_BC,IF(D563=3,SEAT_w_cushion_YC,0)))</f>
        <v>0.5</v>
      </c>
      <c r="S561" s="200" t="s">
        <v>647</v>
      </c>
      <c r="T561">
        <f ca="1">LOOKUP(D564,$C$191:$C$196,$E$191:$E$196)</f>
        <v>0</v>
      </c>
      <c r="W561" t="s">
        <v>130</v>
      </c>
      <c r="X561" t="str">
        <f ca="1">OFFSET(Fuselage!$B$275,D561,5)</f>
        <v>None</v>
      </c>
      <c r="AN561" s="200" t="s">
        <v>135</v>
      </c>
      <c r="AO561">
        <f ca="1">MAX(0,H566-MAX(T561,T563,T565,P562)-X562)</f>
        <v>0.37000000000000005</v>
      </c>
      <c r="AW561" s="128"/>
      <c r="AX561" s="128"/>
      <c r="AY561" s="129"/>
      <c r="BB561" s="128"/>
      <c r="BC561" s="129"/>
      <c r="BD561" s="157"/>
    </row>
    <row r="562" spans="2:56">
      <c r="B562" s="156"/>
      <c r="C562" s="200" t="s">
        <v>200</v>
      </c>
      <c r="D562">
        <f ca="1">OFFSET(Fuselage!$B$275,D561,0)</f>
        <v>10</v>
      </c>
      <c r="G562" s="200" t="s">
        <v>639</v>
      </c>
      <c r="H562">
        <f ca="1">LOOKUP(D565,$C$191:$C$196,$D$191:$D$196)</f>
        <v>0</v>
      </c>
      <c r="O562" s="200" t="s">
        <v>535</v>
      </c>
      <c r="P562">
        <f ca="1">IF(D563=1,SEAT_length_FC,IF(D563=2,SEAT_length_BC,IF(D563=3,SEAT_length_YC,0)))</f>
        <v>0.43</v>
      </c>
      <c r="S562" s="200" t="s">
        <v>648</v>
      </c>
      <c r="T562">
        <f ca="1">LOOKUP(D564,$C$191:$C$196,$F$191:$F$196)</f>
        <v>0</v>
      </c>
      <c r="W562" t="s">
        <v>131</v>
      </c>
      <c r="X562">
        <f ca="1">LOOKUP(X561,$I$191:$I$198,$J$191:$J$198)</f>
        <v>0</v>
      </c>
      <c r="AW562" s="128"/>
      <c r="AX562" s="128"/>
      <c r="AY562" s="129"/>
      <c r="BB562" s="128"/>
      <c r="BC562" s="129"/>
      <c r="BD562" s="157"/>
    </row>
    <row r="563" spans="2:56">
      <c r="B563" s="156"/>
      <c r="C563" s="200" t="s">
        <v>337</v>
      </c>
      <c r="D563">
        <f ca="1">OFFSET(Fuselage!$B$275,D561,4)</f>
        <v>3</v>
      </c>
      <c r="G563" s="200" t="s">
        <v>309</v>
      </c>
      <c r="H563">
        <f ca="1">LOOKUP(D566,$C$191:$C$196,$D$191:$D$196)</f>
        <v>0</v>
      </c>
      <c r="K563" s="200" t="s">
        <v>645</v>
      </c>
      <c r="L563">
        <f ca="1">IF(D563=1,FUSELAGE_nseats_left_FC,IF(D563=2,FUSELAGE_nseats_left_BC,IF(D563=3,FUSELAGE_nseats_left_YC,0)))</f>
        <v>2</v>
      </c>
      <c r="O563" s="200" t="s">
        <v>405</v>
      </c>
      <c r="P563">
        <f ca="1">IF(D563=1,SEAT_w_armrest_FC,IF(D563=2,SEAT_w_armrest_BC,IF(D563=3,SEAT_w_armrest_YC,0)))</f>
        <v>0.06</v>
      </c>
      <c r="S563" s="200" t="s">
        <v>652</v>
      </c>
      <c r="T563">
        <f ca="1">LOOKUP(D565,$C$191:$C$196,$E$191:$E$196)</f>
        <v>0</v>
      </c>
      <c r="W563" s="200" t="s">
        <v>393</v>
      </c>
      <c r="X563" t="b">
        <f ca="1">IF(OFFSET(Fuselage!$B$275,D561,6)="YES",TRUE(),FALSE())</f>
        <v>0</v>
      </c>
      <c r="AW563" s="128"/>
      <c r="AX563" s="128"/>
      <c r="AY563" s="129"/>
      <c r="BB563" s="128"/>
      <c r="BC563" s="129"/>
      <c r="BD563" s="157"/>
    </row>
    <row r="564" spans="2:56">
      <c r="B564" s="156"/>
      <c r="C564" s="200" t="s">
        <v>640</v>
      </c>
      <c r="D564" t="str">
        <f ca="1">OFFSET(Fuselage!$B$275,D561,1)</f>
        <v>None</v>
      </c>
      <c r="G564" s="200" t="s">
        <v>132</v>
      </c>
      <c r="H564">
        <f ca="1">IF(D563=1,SEAT_pitch_FC,IF(D563=2,SEAT_pitch_BC,IF(D563=3,SEAT_pitch_YC,0)))</f>
        <v>0.8</v>
      </c>
      <c r="K564" s="200" t="s">
        <v>646</v>
      </c>
      <c r="L564">
        <f ca="1">IF(D563=1,FUSELAGE_nseats_middle_FC,IF(D563=2,FUSELAGE_nseats_middle_BC,IF(D563=3,FUSELAGE_nseats_middle_YC,0)))</f>
        <v>0</v>
      </c>
      <c r="S564" s="200" t="s">
        <v>653</v>
      </c>
      <c r="T564">
        <f ca="1">LOOKUP(D565,$C$191:$C$196,$F$191:$F$196)</f>
        <v>0</v>
      </c>
      <c r="AW564" s="128"/>
      <c r="AX564" s="128"/>
      <c r="AY564" s="129"/>
      <c r="BB564" s="128"/>
      <c r="BC564" s="129"/>
      <c r="BD564" s="157"/>
    </row>
    <row r="565" spans="2:56">
      <c r="B565" s="156"/>
      <c r="C565" s="200" t="s">
        <v>642</v>
      </c>
      <c r="D565" t="str">
        <f ca="1">OFFSET(Fuselage!$B$275,D561,2)</f>
        <v>None</v>
      </c>
      <c r="G565" s="200" t="s">
        <v>129</v>
      </c>
      <c r="H565">
        <f ca="1">IF(OR(X561="Type A",X561="Type B"),MAX(H561:H564)+42*0.0254,IF(X561="Type C",MAX(H561:H564)+X562,IF(X561&lt;&gt;"None",24*0.0254,0)))</f>
        <v>0</v>
      </c>
      <c r="K565" s="200" t="s">
        <v>655</v>
      </c>
      <c r="L565">
        <f ca="1">IF(D563=1,FUSELAGE_nseats_right_FC,IF(D563=2,FUSELAGE_nseats_right_BC,IF(D563=3,FUSELAGE_nseats_right_YC,0)))</f>
        <v>2</v>
      </c>
      <c r="O565" s="200" t="s">
        <v>407</v>
      </c>
      <c r="P565">
        <f ca="1">($C$13-(L563+L564+L565)*(P561+P563)+(FUSELAGE_n_aisles-1)*P563)/FUSELAGE_n_aisles</f>
        <v>0.51999999999999957</v>
      </c>
      <c r="S565" s="200" t="s">
        <v>651</v>
      </c>
      <c r="T565">
        <f ca="1">LOOKUP(D566,$C$191:$C$196,$E$191:$E$196)</f>
        <v>0</v>
      </c>
      <c r="AW565" s="128"/>
      <c r="AX565" s="128"/>
      <c r="AY565" s="129"/>
      <c r="BB565" s="128"/>
      <c r="BC565" s="129"/>
      <c r="BD565" s="157"/>
    </row>
    <row r="566" spans="2:56">
      <c r="B566" s="156"/>
      <c r="C566" s="200" t="s">
        <v>641</v>
      </c>
      <c r="D566" t="str">
        <f ca="1">OFFSET(Fuselage!$B$275,D561,3)</f>
        <v>None</v>
      </c>
      <c r="G566" s="200" t="s">
        <v>643</v>
      </c>
      <c r="H566">
        <f ca="1">MAX(H561:H565)</f>
        <v>0.8</v>
      </c>
      <c r="S566" s="200" t="s">
        <v>654</v>
      </c>
      <c r="T566">
        <f ca="1">LOOKUP(D566,$C$191:$C$196,$F$191:$F$196)</f>
        <v>0</v>
      </c>
      <c r="AW566" s="128"/>
      <c r="AX566" s="128"/>
      <c r="AY566" s="129"/>
      <c r="BB566" s="128"/>
      <c r="BC566" s="129"/>
      <c r="BD566" s="157"/>
    </row>
    <row r="567" spans="2:56" ht="15" thickBot="1">
      <c r="B567" s="156"/>
      <c r="AW567" s="128"/>
      <c r="AX567" s="128"/>
      <c r="AY567" s="129"/>
      <c r="BB567" s="128"/>
      <c r="BC567" s="129"/>
      <c r="BD567" s="157"/>
    </row>
    <row r="568" spans="2:56" ht="15" thickBot="1">
      <c r="B568" s="156"/>
      <c r="C568" s="141">
        <f ca="1">L565</f>
        <v>2</v>
      </c>
      <c r="D568" s="197" t="str">
        <f ca="1">IF($D563=1,"FC",IF($D563=2,"BC",IF($D563=3,"YC","Nothing")))</f>
        <v>YC</v>
      </c>
      <c r="E568" s="198"/>
      <c r="G568" s="141">
        <f ca="1">L564</f>
        <v>0</v>
      </c>
      <c r="H568" s="197" t="str">
        <f ca="1">IF($D563=1,"FC",IF($D563=2,"BC",IF($D563=3,"YC","Nothing")))</f>
        <v>YC</v>
      </c>
      <c r="I568" s="198"/>
      <c r="K568" s="141">
        <f ca="1" xml:space="preserve"> L563</f>
        <v>2</v>
      </c>
      <c r="L568" s="197" t="str">
        <f ca="1">IF($D563=1,"FC",IF($D563=2,"BC",IF($D563=3,"YC","Nothing")))</f>
        <v>YC</v>
      </c>
      <c r="M568" s="198"/>
      <c r="O568" s="141">
        <f ca="1">IF($D566&lt;&gt;"None",1,0)</f>
        <v>0</v>
      </c>
      <c r="P568" s="326" t="s">
        <v>380</v>
      </c>
      <c r="Q568" s="327"/>
      <c r="S568" s="141">
        <f ca="1">IF($D565&lt;&gt;"None",1,0)</f>
        <v>0</v>
      </c>
      <c r="T568" s="326" t="s">
        <v>381</v>
      </c>
      <c r="U568" s="327"/>
      <c r="W568" s="141">
        <f ca="1">IF($D564&lt;&gt;"None",1,0)</f>
        <v>0</v>
      </c>
      <c r="X568" s="326" t="s">
        <v>382</v>
      </c>
      <c r="Y568" s="327"/>
      <c r="AA568" s="141">
        <f ca="1">IF($D566="None",1,0)</f>
        <v>1</v>
      </c>
      <c r="AB568" s="326" t="str">
        <f ca="1">IF(AA568,D568,$D566)</f>
        <v>YC</v>
      </c>
      <c r="AC568" s="327"/>
      <c r="AE568" s="141">
        <f ca="1">IF($D565="None",1,0)</f>
        <v>1</v>
      </c>
      <c r="AF568" s="326" t="str">
        <f ca="1">IF(AE568,H568,$D565)</f>
        <v>YC</v>
      </c>
      <c r="AG568" s="327"/>
      <c r="AI568" s="141">
        <f ca="1">IF($D564="None",1,0)</f>
        <v>1</v>
      </c>
      <c r="AJ568" s="326" t="str">
        <f ca="1">IF(AI568,L568,$D564)</f>
        <v>YC</v>
      </c>
      <c r="AK568" s="327"/>
      <c r="AM568" s="141">
        <f ca="1">IF($X561="None",0,1)</f>
        <v>0</v>
      </c>
      <c r="AN568" s="197" t="s">
        <v>133</v>
      </c>
      <c r="AO568" s="198"/>
      <c r="AQ568" s="141">
        <f ca="1">IF($X561="None",0,1)</f>
        <v>0</v>
      </c>
      <c r="AR568" s="197" t="s">
        <v>134</v>
      </c>
      <c r="AS568" s="198"/>
      <c r="AW568" s="128"/>
      <c r="AX568" s="128"/>
      <c r="AY568" s="129"/>
      <c r="BB568" s="128"/>
      <c r="BC568" s="129"/>
      <c r="BD568" s="157"/>
    </row>
    <row r="569" spans="2:56" ht="15" thickBot="1">
      <c r="B569" s="156"/>
      <c r="C569" s="136" t="s">
        <v>452</v>
      </c>
      <c r="D569" s="136" t="s">
        <v>384</v>
      </c>
      <c r="E569" s="138" t="s">
        <v>385</v>
      </c>
      <c r="G569" s="136" t="s">
        <v>452</v>
      </c>
      <c r="H569" s="136" t="s">
        <v>384</v>
      </c>
      <c r="I569" s="138" t="s">
        <v>385</v>
      </c>
      <c r="K569" s="193" t="s">
        <v>452</v>
      </c>
      <c r="L569" s="193" t="s">
        <v>384</v>
      </c>
      <c r="M569" s="194" t="s">
        <v>385</v>
      </c>
      <c r="O569" s="136" t="s">
        <v>452</v>
      </c>
      <c r="P569" s="136" t="s">
        <v>384</v>
      </c>
      <c r="Q569" s="138" t="s">
        <v>385</v>
      </c>
      <c r="S569" s="136" t="s">
        <v>452</v>
      </c>
      <c r="T569" s="136" t="s">
        <v>384</v>
      </c>
      <c r="U569" s="138" t="s">
        <v>385</v>
      </c>
      <c r="W569" s="136" t="s">
        <v>452</v>
      </c>
      <c r="X569" s="136" t="s">
        <v>384</v>
      </c>
      <c r="Y569" s="138" t="s">
        <v>385</v>
      </c>
      <c r="AA569" s="136" t="s">
        <v>452</v>
      </c>
      <c r="AB569" s="136" t="s">
        <v>384</v>
      </c>
      <c r="AC569" s="138" t="s">
        <v>385</v>
      </c>
      <c r="AE569" s="136" t="s">
        <v>452</v>
      </c>
      <c r="AF569" s="136" t="s">
        <v>384</v>
      </c>
      <c r="AG569" s="138" t="s">
        <v>385</v>
      </c>
      <c r="AI569" s="193" t="s">
        <v>452</v>
      </c>
      <c r="AJ569" s="193" t="s">
        <v>384</v>
      </c>
      <c r="AK569" s="194" t="s">
        <v>385</v>
      </c>
      <c r="AM569" s="193" t="s">
        <v>452</v>
      </c>
      <c r="AN569" s="193" t="s">
        <v>384</v>
      </c>
      <c r="AO569" s="194" t="s">
        <v>385</v>
      </c>
      <c r="AQ569" s="193" t="s">
        <v>452</v>
      </c>
      <c r="AR569" s="193" t="s">
        <v>384</v>
      </c>
      <c r="AS569" s="194" t="s">
        <v>385</v>
      </c>
      <c r="AW569" s="128"/>
      <c r="AX569" s="128"/>
      <c r="AY569" s="129"/>
      <c r="BB569" s="128"/>
      <c r="BC569" s="129"/>
      <c r="BD569" s="157"/>
    </row>
    <row r="570" spans="2:56">
      <c r="B570" s="156"/>
      <c r="C570" s="128" t="s">
        <v>396</v>
      </c>
      <c r="D570" s="158">
        <f ca="1">IF(C568&gt;=1,L561,8888)</f>
        <v>-10.162000000000001</v>
      </c>
      <c r="E570" s="160">
        <f ca="1">IF(C568&gt;=1,1/2*($C$13-P561-2*P563)+1/2*P561,8888)</f>
        <v>1.3199999999999998</v>
      </c>
      <c r="G570" s="128" t="s">
        <v>396</v>
      </c>
      <c r="H570" s="158">
        <f ca="1">IF(G568&gt;=1,L561,8888)</f>
        <v>8888</v>
      </c>
      <c r="I570" s="160">
        <f ca="1">IF(G568&gt;=1,E581-P565,8888)</f>
        <v>8888</v>
      </c>
      <c r="K570" s="128" t="s">
        <v>396</v>
      </c>
      <c r="L570" s="158">
        <f ca="1">IF(K568&gt;=1,L561,8888)</f>
        <v>-10.162000000000001</v>
      </c>
      <c r="M570" s="160">
        <f ca="1">IF(K568&gt;=1,IF(FUSELAGE_n_aisles=1,E581-P565,I593-P565),8888)</f>
        <v>-0.25999999999999979</v>
      </c>
      <c r="O570" s="128" t="s">
        <v>396</v>
      </c>
      <c r="P570" s="158">
        <f ca="1">IF(O568,$L561,8888)</f>
        <v>8888</v>
      </c>
      <c r="Q570" s="209">
        <f ca="1">IF(O568,FUSELAGE_y_position_of_left_seat_YC-(FUSELAGE_nseats_right_YC-1)*(SEAT_w_cushion_YC+SEAT_w_armrest_YC)/2+T566/2,8888)</f>
        <v>8888</v>
      </c>
      <c r="S570" s="128" t="s">
        <v>396</v>
      </c>
      <c r="T570" s="158">
        <f ca="1">IF(S568,$L561,8888)</f>
        <v>8888</v>
      </c>
      <c r="U570" s="160">
        <f ca="1">IF(S568,T564/2,8888)</f>
        <v>8888</v>
      </c>
      <c r="W570" s="128" t="s">
        <v>396</v>
      </c>
      <c r="X570" s="158">
        <f ca="1">IF(W568,$L561,8888)</f>
        <v>8888</v>
      </c>
      <c r="Y570" s="160">
        <f ca="1">IF(W568,-FUSELAGE_y_position_of_left_seat_YC+(FUSELAGE_nseats_left_YC-1)*(SEAT_w_cushion_YC+SEAT_w_armrest_YC)/2-T562/2,8888)</f>
        <v>8888</v>
      </c>
      <c r="AA570" s="128" t="s">
        <v>396</v>
      </c>
      <c r="AB570" s="158">
        <f ca="1">IF($AA568,D570,P570)</f>
        <v>-10.162000000000001</v>
      </c>
      <c r="AC570" s="174">
        <f ca="1">IF($AA568,E570,Q570)</f>
        <v>1.3199999999999998</v>
      </c>
      <c r="AE570" s="128" t="s">
        <v>396</v>
      </c>
      <c r="AF570" s="158">
        <f ca="1">IF($AE568,H570,T570)</f>
        <v>8888</v>
      </c>
      <c r="AG570" s="174">
        <f ca="1">IF($AE568,I570,U570)</f>
        <v>8888</v>
      </c>
      <c r="AI570" s="128" t="s">
        <v>396</v>
      </c>
      <c r="AJ570" s="158">
        <f ca="1">IF($AI568,L570,X570)</f>
        <v>-10.162000000000001</v>
      </c>
      <c r="AK570" s="174">
        <f ca="1">IF($AI568,M570,Y570)</f>
        <v>-0.25999999999999979</v>
      </c>
      <c r="AM570" s="128" t="s">
        <v>396</v>
      </c>
      <c r="AN570" s="158">
        <f ca="1">AN539</f>
        <v>-9.3620000000000001</v>
      </c>
      <c r="AO570" s="174">
        <f ca="1">IF(AN570&gt;-Fuselage!$D$366,(FUSELAGE_a_ellipse)*SQRT(1-((AN570+Fuselage!$D$366)/(Fuselage!$K$364-FUSELAGE_t_fuselage))^2),IF(AN570&gt;$L$2505+Fuselage!$K$370,FUSELAGE_a_ellipse,(FUSELAGE_a_ellipse+FUSELAGE_t_fuselage-FUSELAGE_d_fo/4)/Fuselage!$K$368*(AN570-$L$2505-Fuselage!$K$370)+FUSELAGE_a_ellipse))</f>
        <v>1.4960570012328709</v>
      </c>
      <c r="AQ570" s="128" t="s">
        <v>396</v>
      </c>
      <c r="AR570" s="158">
        <f t="shared" ref="AR570:AR575" ca="1" si="86">AN570</f>
        <v>-9.3620000000000001</v>
      </c>
      <c r="AS570" s="174">
        <f t="shared" ref="AS570:AS575" ca="1" si="87">-AO570</f>
        <v>-1.4960570012328709</v>
      </c>
      <c r="BD570" s="157"/>
    </row>
    <row r="571" spans="2:56">
      <c r="B571" s="156"/>
      <c r="C571" s="128" t="s">
        <v>213</v>
      </c>
      <c r="D571" s="128">
        <f ca="1">IF(X563,D570+P562/4,D570+P562)</f>
        <v>-9.7320000000000011</v>
      </c>
      <c r="E571" s="139">
        <f ca="1">E570</f>
        <v>1.3199999999999998</v>
      </c>
      <c r="G571" s="128" t="s">
        <v>213</v>
      </c>
      <c r="H571" s="128">
        <f ca="1">H570+P562</f>
        <v>8888.43</v>
      </c>
      <c r="I571" s="139">
        <f ca="1">I570</f>
        <v>8888</v>
      </c>
      <c r="K571" s="128" t="s">
        <v>213</v>
      </c>
      <c r="L571" s="128">
        <f ca="1">IF(X563,IF(K568=1,L570+P562/4,L570+P562),L570+P562)</f>
        <v>-9.7320000000000011</v>
      </c>
      <c r="M571" s="139">
        <f ca="1">M570</f>
        <v>-0.25999999999999979</v>
      </c>
      <c r="O571" s="128" t="s">
        <v>213</v>
      </c>
      <c r="P571" s="128">
        <f ca="1">P570+$T565</f>
        <v>8888</v>
      </c>
      <c r="Q571" s="139">
        <f ca="1">Q570</f>
        <v>8888</v>
      </c>
      <c r="S571" s="128" t="s">
        <v>213</v>
      </c>
      <c r="T571" s="128">
        <f ca="1">T570+$T563</f>
        <v>8888</v>
      </c>
      <c r="U571" s="139">
        <f ca="1">U570</f>
        <v>8888</v>
      </c>
      <c r="W571" s="128" t="s">
        <v>213</v>
      </c>
      <c r="X571" s="128">
        <f ca="1">X570+$T561</f>
        <v>8888</v>
      </c>
      <c r="Y571" s="139">
        <f ca="1">Y570</f>
        <v>8888</v>
      </c>
      <c r="AA571" s="143" t="s">
        <v>213</v>
      </c>
      <c r="AB571" s="128">
        <f ca="1">IF($AA568,D571,P571)</f>
        <v>-9.7320000000000011</v>
      </c>
      <c r="AC571" s="129">
        <f ca="1">IF($AA568,E571,Q571)</f>
        <v>1.3199999999999998</v>
      </c>
      <c r="AE571" s="128" t="s">
        <v>213</v>
      </c>
      <c r="AF571" s="128">
        <f ca="1">IF($AE568,H571,T571)</f>
        <v>8888.43</v>
      </c>
      <c r="AG571" s="129">
        <f ca="1">IF($AE568,I571,U571)</f>
        <v>8888</v>
      </c>
      <c r="AI571" s="128" t="s">
        <v>213</v>
      </c>
      <c r="AJ571" s="128">
        <f ca="1">IF($AI568,L571,X571)</f>
        <v>-9.7320000000000011</v>
      </c>
      <c r="AK571" s="129">
        <f ca="1">IF($AI568,M571,Y571)</f>
        <v>-0.25999999999999979</v>
      </c>
      <c r="AM571" s="128" t="s">
        <v>213</v>
      </c>
      <c r="AN571" s="128">
        <f ca="1">AN570-AO561/2</f>
        <v>-9.5470000000000006</v>
      </c>
      <c r="AO571" s="129">
        <f ca="1">IF(AN571&gt;-Fuselage!$D$366,(FUSELAGE_a_ellipse)*SQRT(1-((AN571+Fuselage!$D$366)/(Fuselage!$K$364-FUSELAGE_t_fuselage))^2),IF(AN571&gt;$L$2505+Fuselage!$K$370,FUSELAGE_a_ellipse,(FUSELAGE_a_ellipse+FUSELAGE_t_fuselage-FUSELAGE_d_fo/4)/Fuselage!$K$368*(AN571-$L$2505-Fuselage!$K$370)+FUSELAGE_a_ellipse))</f>
        <v>1.4960570012328709</v>
      </c>
      <c r="AQ571" s="128" t="s">
        <v>213</v>
      </c>
      <c r="AR571" s="128">
        <f t="shared" ca="1" si="86"/>
        <v>-9.5470000000000006</v>
      </c>
      <c r="AS571" s="129">
        <f t="shared" ca="1" si="87"/>
        <v>-1.4960570012328709</v>
      </c>
      <c r="BD571" s="157"/>
    </row>
    <row r="572" spans="2:56">
      <c r="B572" s="156"/>
      <c r="C572" s="128" t="s">
        <v>286</v>
      </c>
      <c r="D572" s="128">
        <f ca="1">D571</f>
        <v>-9.7320000000000011</v>
      </c>
      <c r="E572" s="139">
        <f ca="1">E571-P561</f>
        <v>0.81999999999999984</v>
      </c>
      <c r="G572" s="128" t="s">
        <v>286</v>
      </c>
      <c r="H572" s="128">
        <f ca="1">H571</f>
        <v>8888.43</v>
      </c>
      <c r="I572" s="139">
        <f ca="1">I571-P561</f>
        <v>8887.5</v>
      </c>
      <c r="K572" s="128" t="s">
        <v>286</v>
      </c>
      <c r="L572" s="128">
        <f ca="1">L571</f>
        <v>-9.7320000000000011</v>
      </c>
      <c r="M572" s="139">
        <f ca="1">M571-P561</f>
        <v>-0.75999999999999979</v>
      </c>
      <c r="O572" s="128" t="s">
        <v>286</v>
      </c>
      <c r="P572" s="128">
        <f ca="1">P571</f>
        <v>8888</v>
      </c>
      <c r="Q572" s="139">
        <f ca="1">Q571-$T566</f>
        <v>8888</v>
      </c>
      <c r="S572" s="128" t="s">
        <v>286</v>
      </c>
      <c r="T572" s="128">
        <f ca="1">T571</f>
        <v>8888</v>
      </c>
      <c r="U572" s="139">
        <f ca="1">U571-$T564</f>
        <v>8888</v>
      </c>
      <c r="W572" s="128" t="s">
        <v>286</v>
      </c>
      <c r="X572" s="128">
        <f ca="1">X571</f>
        <v>8888</v>
      </c>
      <c r="Y572" s="139">
        <f ca="1">Y571+$T562</f>
        <v>8888</v>
      </c>
      <c r="AA572" s="143" t="s">
        <v>286</v>
      </c>
      <c r="AB572" s="128">
        <f ca="1">IF($AA568,D572,P572)</f>
        <v>-9.7320000000000011</v>
      </c>
      <c r="AC572" s="129">
        <f ca="1">IF($AA568,E572,Q572)</f>
        <v>0.81999999999999984</v>
      </c>
      <c r="AE572" s="128" t="s">
        <v>286</v>
      </c>
      <c r="AF572" s="128">
        <f ca="1">IF($AE568,H572,T572)</f>
        <v>8888.43</v>
      </c>
      <c r="AG572" s="129">
        <f ca="1">IF($AE568,I572,U572)</f>
        <v>8887.5</v>
      </c>
      <c r="AI572" s="128" t="s">
        <v>286</v>
      </c>
      <c r="AJ572" s="128">
        <f ca="1">IF($AI568,L572,X572)</f>
        <v>-9.7320000000000011</v>
      </c>
      <c r="AK572" s="129">
        <f ca="1">IF($AI568,M572,Y572)</f>
        <v>-0.75999999999999979</v>
      </c>
      <c r="AM572" s="128" t="s">
        <v>286</v>
      </c>
      <c r="AN572" s="128">
        <f ca="1">AN571</f>
        <v>-9.5470000000000006</v>
      </c>
      <c r="AO572" s="129">
        <f ca="1">IF(AN572&gt;-Fuselage!$D$366,IF(AM568,(FUSELAGE_a_ellipse+FUSELAGE_t_fuselage)*SQRT(1-((AN572+Fuselage!$D$366)/Fuselage!$K$364)^2),(FUSELAGE_a_ellipse)*SQRT(1-((AN572+Fuselage!$D$366)/Fuselage!$K$364)^2)),IF(AN572&gt;$L$2505+Fuselage!$K$370,(IF(AM568,FUSELAGE_a_ellipse+FUSELAGE_t_fuselage,FUSELAGE_a_ellipse)),IF(AM568,(FUSELAGE_a_ellipse+FUSELAGE_t_fuselage-FUSELAGE_d_fo/4)/Fuselage!$K$368*(AN572-$L$2505-Fuselage!$K$370)+FUSELAGE_a_ellipse+FUSELAGE_t_fuselage,(FUSELAGE_a_ellipse+FUSELAGE_t_fuselage-FUSELAGE_d_fo/4)/Fuselage!$K$368*(AN572-$L$2505-Fuselage!$K$370)+FUSELAGE_a_ellipse)))</f>
        <v>1.4960570012328709</v>
      </c>
      <c r="AQ572" s="128" t="s">
        <v>286</v>
      </c>
      <c r="AR572" s="128">
        <f t="shared" ca="1" si="86"/>
        <v>-9.5470000000000006</v>
      </c>
      <c r="AS572" s="129">
        <f t="shared" ca="1" si="87"/>
        <v>-1.4960570012328709</v>
      </c>
      <c r="BD572" s="157"/>
    </row>
    <row r="573" spans="2:56">
      <c r="B573" s="156"/>
      <c r="C573" s="188" t="s">
        <v>522</v>
      </c>
      <c r="D573" s="188">
        <f ca="1">D570</f>
        <v>-10.162000000000001</v>
      </c>
      <c r="E573" s="189">
        <f ca="1">E572</f>
        <v>0.81999999999999984</v>
      </c>
      <c r="F573" s="157"/>
      <c r="G573" s="2" t="s">
        <v>522</v>
      </c>
      <c r="H573" s="128">
        <f ca="1">H570</f>
        <v>8888</v>
      </c>
      <c r="I573" s="139">
        <f ca="1">I572</f>
        <v>8887.5</v>
      </c>
      <c r="K573" s="128" t="s">
        <v>522</v>
      </c>
      <c r="L573" s="128">
        <f ca="1">L570</f>
        <v>-10.162000000000001</v>
      </c>
      <c r="M573" s="139">
        <f ca="1">M572</f>
        <v>-0.75999999999999979</v>
      </c>
      <c r="O573" s="188" t="s">
        <v>522</v>
      </c>
      <c r="P573" s="188">
        <f ca="1">P570</f>
        <v>8888</v>
      </c>
      <c r="Q573" s="189">
        <f ca="1">Q572</f>
        <v>8888</v>
      </c>
      <c r="S573" s="188" t="s">
        <v>522</v>
      </c>
      <c r="T573" s="188">
        <f ca="1">T570</f>
        <v>8888</v>
      </c>
      <c r="U573" s="189">
        <f ca="1">U572</f>
        <v>8888</v>
      </c>
      <c r="W573" s="188" t="s">
        <v>522</v>
      </c>
      <c r="X573" s="188">
        <f ca="1">X570</f>
        <v>8888</v>
      </c>
      <c r="Y573" s="189">
        <f ca="1">Y572</f>
        <v>8888</v>
      </c>
      <c r="AA573" s="195" t="s">
        <v>522</v>
      </c>
      <c r="AB573" s="128">
        <f ca="1">IF($AA568,D573,P573)</f>
        <v>-10.162000000000001</v>
      </c>
      <c r="AC573" s="129">
        <f ca="1">IF($AA568,E573,Q573)</f>
        <v>0.81999999999999984</v>
      </c>
      <c r="AD573" s="157"/>
      <c r="AE573" s="2" t="s">
        <v>522</v>
      </c>
      <c r="AF573" s="188">
        <f ca="1">IF($AE568,H573,T573)</f>
        <v>8888</v>
      </c>
      <c r="AG573" s="196">
        <f ca="1">IF($AE568,I573,U573)</f>
        <v>8887.5</v>
      </c>
      <c r="AI573" s="128" t="s">
        <v>522</v>
      </c>
      <c r="AJ573" s="188">
        <f ca="1">IF($AI568,L573,X573)</f>
        <v>-10.162000000000001</v>
      </c>
      <c r="AK573" s="196">
        <f ca="1">IF($AI568,M573,Y573)</f>
        <v>-0.75999999999999979</v>
      </c>
      <c r="AM573" s="128" t="s">
        <v>522</v>
      </c>
      <c r="AN573" s="128">
        <f ca="1">AN572-X562</f>
        <v>-9.5470000000000006</v>
      </c>
      <c r="AO573" s="129">
        <f ca="1">IF(AN573&gt;-Fuselage!$D$366,IF(AM568,(FUSELAGE_a_ellipse+FUSELAGE_t_fuselage)*SQRT(1-((AN573+Fuselage!$D$366)/Fuselage!$K$364)^2),(FUSELAGE_a_ellipse)*SQRT(1-((AN573+Fuselage!$D$366)/Fuselage!$K$364)^2)),IF(AN573&gt;$L$2505+Fuselage!$K$370,(IF(AM568,FUSELAGE_a_ellipse+FUSELAGE_t_fuselage,FUSELAGE_a_ellipse)),IF(AM568,(FUSELAGE_a_ellipse+FUSELAGE_t_fuselage-FUSELAGE_d_fo/4)/Fuselage!$K$368*(AN573-$L$2505-Fuselage!$K$370)+FUSELAGE_a_ellipse+FUSELAGE_t_fuselage,(FUSELAGE_a_ellipse+FUSELAGE_t_fuselage-FUSELAGE_d_fo/4)/Fuselage!$K$368*(AN573-$L$2505-Fuselage!$K$370)+FUSELAGE_a_ellipse)))</f>
        <v>1.4960570012328709</v>
      </c>
      <c r="AQ573" s="128" t="s">
        <v>522</v>
      </c>
      <c r="AR573" s="128">
        <f t="shared" ca="1" si="86"/>
        <v>-9.5470000000000006</v>
      </c>
      <c r="AS573" s="129">
        <f t="shared" ca="1" si="87"/>
        <v>-1.4960570012328709</v>
      </c>
      <c r="BD573" s="157"/>
    </row>
    <row r="574" spans="2:56" ht="15" thickBot="1">
      <c r="B574" s="156"/>
      <c r="C574" s="128" t="s">
        <v>49</v>
      </c>
      <c r="D574" s="128">
        <f ca="1">IF(C568&gt;=2,D570,D573)</f>
        <v>-10.162000000000001</v>
      </c>
      <c r="E574" s="139">
        <f ca="1">IF(C568&gt;=2,E573-P563,E573)</f>
        <v>0.75999999999999979</v>
      </c>
      <c r="F574" s="157"/>
      <c r="G574" s="192" t="s">
        <v>49</v>
      </c>
      <c r="H574" s="190">
        <f ca="1">IF(G568&gt;=2,H570,H573)</f>
        <v>8888</v>
      </c>
      <c r="I574" s="191">
        <f ca="1">IF(G568&gt;=2,I573-P563,I573)</f>
        <v>8887.5</v>
      </c>
      <c r="K574" s="190" t="s">
        <v>49</v>
      </c>
      <c r="L574" s="190">
        <f ca="1">IF(K568&gt;=2,L570,L573)</f>
        <v>-10.162000000000001</v>
      </c>
      <c r="M574" s="191">
        <f ca="1">IF(K568&gt;=2,M573-P563,M573)</f>
        <v>-0.81999999999999984</v>
      </c>
      <c r="O574" s="130" t="s">
        <v>396</v>
      </c>
      <c r="P574" s="130">
        <f ca="1">P570</f>
        <v>8888</v>
      </c>
      <c r="Q574" s="140">
        <f ca="1">Q570</f>
        <v>8888</v>
      </c>
      <c r="S574" s="130" t="s">
        <v>396</v>
      </c>
      <c r="T574" s="130">
        <f ca="1">T570</f>
        <v>8888</v>
      </c>
      <c r="U574" s="140">
        <f ca="1">U570</f>
        <v>8888</v>
      </c>
      <c r="W574" s="130" t="s">
        <v>396</v>
      </c>
      <c r="X574" s="130">
        <f ca="1">X570</f>
        <v>8888</v>
      </c>
      <c r="Y574" s="140">
        <f ca="1">Y570</f>
        <v>8888</v>
      </c>
      <c r="AA574" s="143" t="s">
        <v>49</v>
      </c>
      <c r="AB574" s="128">
        <f ca="1">IF($AA568,D574,P574)</f>
        <v>-10.162000000000001</v>
      </c>
      <c r="AC574" s="129">
        <f ca="1">IF($AA568,E574,Q574)</f>
        <v>0.75999999999999979</v>
      </c>
      <c r="AD574" s="157"/>
      <c r="AE574" s="192" t="s">
        <v>49</v>
      </c>
      <c r="AF574" s="128">
        <f ca="1">IF($AE568,H574,T574)</f>
        <v>8888</v>
      </c>
      <c r="AG574" s="129">
        <f ca="1">IF($AE568,I574,U574)</f>
        <v>8887.5</v>
      </c>
      <c r="AI574" s="190" t="s">
        <v>49</v>
      </c>
      <c r="AJ574" s="128">
        <f ca="1">IF($AI568,L574,X574)</f>
        <v>-10.162000000000001</v>
      </c>
      <c r="AK574" s="129">
        <f ca="1">IF($AI568,M574,Y574)</f>
        <v>-0.81999999999999984</v>
      </c>
      <c r="AM574" s="128" t="s">
        <v>49</v>
      </c>
      <c r="AN574" s="128">
        <f ca="1">AN573</f>
        <v>-9.5470000000000006</v>
      </c>
      <c r="AO574" s="129">
        <f ca="1">IF(AN574&gt;-Fuselage!$D$366,(FUSELAGE_a_ellipse)*SQRT(1-((AN574+Fuselage!$D$366)/(Fuselage!$K$364-FUSELAGE_t_fuselage))^2),IF(AN574&gt;$L$2505+Fuselage!$K$370,FUSELAGE_a_ellipse,(FUSELAGE_a_ellipse+FUSELAGE_t_fuselage-FUSELAGE_d_fo/4)/Fuselage!$K$368*(AN574-$L$2505-Fuselage!$K$370)+FUSELAGE_a_ellipse))</f>
        <v>1.4960570012328709</v>
      </c>
      <c r="AQ574" s="128" t="s">
        <v>49</v>
      </c>
      <c r="AR574" s="128">
        <f t="shared" ca="1" si="86"/>
        <v>-9.5470000000000006</v>
      </c>
      <c r="AS574" s="129">
        <f t="shared" ca="1" si="87"/>
        <v>-1.4960570012328709</v>
      </c>
      <c r="BD574" s="157"/>
    </row>
    <row r="575" spans="2:56">
      <c r="B575" s="156"/>
      <c r="C575" s="128" t="s">
        <v>453</v>
      </c>
      <c r="D575" s="128">
        <f ca="1">IF(C568&gt;=2,D570+P562,D573)</f>
        <v>-9.7320000000000011</v>
      </c>
      <c r="E575" s="139">
        <f ca="1">E574</f>
        <v>0.75999999999999979</v>
      </c>
      <c r="F575" s="157"/>
      <c r="G575" s="2" t="s">
        <v>453</v>
      </c>
      <c r="H575" s="128">
        <f ca="1">IF(G568&gt;=2,H571,H573)</f>
        <v>8888</v>
      </c>
      <c r="I575" s="139">
        <f ca="1">IF(G568&gt;=2,I574,I573)</f>
        <v>8887.5</v>
      </c>
      <c r="K575" s="128" t="s">
        <v>453</v>
      </c>
      <c r="L575" s="128">
        <f ca="1">IF(K568&gt;=2,IF(X563,IF(K568=2,L570+P562/4,L570+P562),L570+P562),L573)</f>
        <v>-9.7320000000000011</v>
      </c>
      <c r="M575" s="139">
        <f ca="1">IF(K568&gt;=2,M574,M573)</f>
        <v>-0.81999999999999984</v>
      </c>
      <c r="AA575" s="143" t="s">
        <v>453</v>
      </c>
      <c r="AB575" s="128">
        <f ca="1">IF($AA568,D575,AB574)</f>
        <v>-9.7320000000000011</v>
      </c>
      <c r="AC575" s="129">
        <f ca="1">IF($AA568,E575,AC574)</f>
        <v>0.75999999999999979</v>
      </c>
      <c r="AD575" s="157"/>
      <c r="AE575" s="2" t="s">
        <v>453</v>
      </c>
      <c r="AF575" s="128">
        <f ca="1">IF($AE568,H575,AF574)</f>
        <v>8888</v>
      </c>
      <c r="AG575" s="129">
        <f ca="1">IF($AE568,I575,AG574)</f>
        <v>8887.5</v>
      </c>
      <c r="AI575" s="128" t="s">
        <v>453</v>
      </c>
      <c r="AJ575" s="128">
        <f ca="1">IF($AI568,L575,AJ574)</f>
        <v>-9.7320000000000011</v>
      </c>
      <c r="AK575" s="129">
        <f ca="1">IF($AI568,M575,AK574)</f>
        <v>-0.81999999999999984</v>
      </c>
      <c r="AM575" s="128" t="s">
        <v>453</v>
      </c>
      <c r="AN575" s="128">
        <f ca="1">L561</f>
        <v>-10.162000000000001</v>
      </c>
      <c r="AO575" s="129">
        <f ca="1">IF(AN575&gt;-Fuselage!$D$366,(FUSELAGE_a_ellipse)*SQRT(1-((AN575+Fuselage!$D$366)/(Fuselage!$K$364-FUSELAGE_t_fuselage))^2),IF(AN575&gt;$L$2505+Fuselage!$K$370,FUSELAGE_a_ellipse,(FUSELAGE_a_ellipse+FUSELAGE_t_fuselage-FUSELAGE_d_fo/4)/Fuselage!$K$368*(AN575-$L$2505-Fuselage!$K$370)+FUSELAGE_a_ellipse))</f>
        <v>1.4960570012328709</v>
      </c>
      <c r="AQ575" s="128" t="s">
        <v>453</v>
      </c>
      <c r="AR575" s="128">
        <f t="shared" ca="1" si="86"/>
        <v>-10.162000000000001</v>
      </c>
      <c r="AS575" s="129">
        <f t="shared" ca="1" si="87"/>
        <v>-1.4960570012328709</v>
      </c>
      <c r="BD575" s="157"/>
    </row>
    <row r="576" spans="2:56">
      <c r="B576" s="156"/>
      <c r="C576" s="128" t="s">
        <v>394</v>
      </c>
      <c r="D576" s="128">
        <f ca="1">IF(C568&gt;=2,D575,D573)</f>
        <v>-9.7320000000000011</v>
      </c>
      <c r="E576" s="139">
        <f ca="1">IF(C568&gt;=2,E574-P561,E573)</f>
        <v>0.25999999999999979</v>
      </c>
      <c r="F576" s="157"/>
      <c r="G576" s="2" t="s">
        <v>394</v>
      </c>
      <c r="H576" s="128">
        <f ca="1">IF(G568&gt;=2,H571,H573)</f>
        <v>8888</v>
      </c>
      <c r="I576" s="139">
        <f ca="1">IF(G568&gt;=2,I575-P561,I573)</f>
        <v>8887.5</v>
      </c>
      <c r="K576" s="128" t="s">
        <v>394</v>
      </c>
      <c r="L576" s="128">
        <f ca="1">L575</f>
        <v>-9.7320000000000011</v>
      </c>
      <c r="M576" s="139">
        <f ca="1">IF(K568&gt;=2,M575-P561,M573)</f>
        <v>-1.3199999999999998</v>
      </c>
      <c r="AA576" s="143" t="s">
        <v>394</v>
      </c>
      <c r="AB576" s="128">
        <f ca="1">IF($AA568,D576,AB574)</f>
        <v>-9.7320000000000011</v>
      </c>
      <c r="AC576" s="129">
        <f ca="1">IF($AA568,E576,AC574)</f>
        <v>0.25999999999999979</v>
      </c>
      <c r="AD576" s="157"/>
      <c r="AE576" s="2" t="s">
        <v>394</v>
      </c>
      <c r="AF576" s="128">
        <f ca="1">IF($AE568,H576,AF574)</f>
        <v>8888</v>
      </c>
      <c r="AG576" s="129">
        <f ca="1">IF($AE568,I576,AG574)</f>
        <v>8887.5</v>
      </c>
      <c r="AI576" s="128" t="s">
        <v>394</v>
      </c>
      <c r="AJ576" s="128">
        <f ca="1">IF($AI568,L576,AJ574)</f>
        <v>-9.7320000000000011</v>
      </c>
      <c r="AK576" s="129">
        <f ca="1">IF($AI568,M576,AK574)</f>
        <v>-1.3199999999999998</v>
      </c>
      <c r="BD576" s="157"/>
    </row>
    <row r="577" spans="2:56">
      <c r="B577" s="156"/>
      <c r="C577" s="188" t="s">
        <v>454</v>
      </c>
      <c r="D577" s="188">
        <f ca="1">IF(C568&gt;=2,D570,D573)</f>
        <v>-10.162000000000001</v>
      </c>
      <c r="E577" s="189">
        <f ca="1">E576</f>
        <v>0.25999999999999979</v>
      </c>
      <c r="F577" s="157"/>
      <c r="G577" s="115" t="s">
        <v>454</v>
      </c>
      <c r="H577" s="188">
        <f ca="1">IF(G568&gt;=2,H570,H573)</f>
        <v>8888</v>
      </c>
      <c r="I577" s="189">
        <f ca="1">IF(G568&gt;=2,I576,I573)</f>
        <v>8887.5</v>
      </c>
      <c r="K577" s="188" t="s">
        <v>454</v>
      </c>
      <c r="L577" s="188">
        <f ca="1">IF(K568&gt;=2,L570,L573)</f>
        <v>-10.162000000000001</v>
      </c>
      <c r="M577" s="189">
        <f ca="1">IF(K568&gt;=2,M576,M573)</f>
        <v>-1.3199999999999998</v>
      </c>
      <c r="AA577" s="195" t="s">
        <v>454</v>
      </c>
      <c r="AB577" s="128">
        <f ca="1">IF($AA568,D577,AB574)</f>
        <v>-10.162000000000001</v>
      </c>
      <c r="AC577" s="129">
        <f ca="1">IF($AA568,E577,AC574)</f>
        <v>0.25999999999999979</v>
      </c>
      <c r="AD577" s="157"/>
      <c r="AE577" s="115" t="s">
        <v>454</v>
      </c>
      <c r="AF577" s="188">
        <f ca="1">IF($AE568,H577,AF574)</f>
        <v>8888</v>
      </c>
      <c r="AG577" s="196">
        <f ca="1">IF($AE568,I577,AG574)</f>
        <v>8887.5</v>
      </c>
      <c r="AI577" s="188" t="s">
        <v>454</v>
      </c>
      <c r="AJ577" s="188">
        <f ca="1">IF($AI568,L577,AJ574)</f>
        <v>-10.162000000000001</v>
      </c>
      <c r="AK577" s="196">
        <f ca="1">IF($AI568,M577,AK574)</f>
        <v>-1.3199999999999998</v>
      </c>
      <c r="BD577" s="157"/>
    </row>
    <row r="578" spans="2:56">
      <c r="B578" s="156"/>
      <c r="C578" s="128" t="s">
        <v>507</v>
      </c>
      <c r="D578" s="128">
        <f ca="1">IF(C568&gt;=3,D570,D577)</f>
        <v>-10.162000000000001</v>
      </c>
      <c r="E578" s="139">
        <f ca="1">IF(C568&gt;=3,E577-P563,E577)</f>
        <v>0.25999999999999979</v>
      </c>
      <c r="F578" s="157"/>
      <c r="G578" s="2" t="s">
        <v>507</v>
      </c>
      <c r="H578" s="128">
        <f ca="1">IF(G568&gt;=3,H570,H577)</f>
        <v>8888</v>
      </c>
      <c r="I578" s="139">
        <f ca="1">IF(G568&gt;=3,I577-P563,I577)</f>
        <v>8887.5</v>
      </c>
      <c r="K578" s="128" t="s">
        <v>507</v>
      </c>
      <c r="L578" s="128">
        <f ca="1">IF(K568&gt;=3,L570,L577)</f>
        <v>-10.162000000000001</v>
      </c>
      <c r="M578" s="139">
        <f ca="1">IF(K568&gt;=3,M577-P563,M577)</f>
        <v>-1.3199999999999998</v>
      </c>
      <c r="AA578" s="143" t="s">
        <v>507</v>
      </c>
      <c r="AB578" s="128">
        <f ca="1">IF($AA568,D578,AB574)</f>
        <v>-10.162000000000001</v>
      </c>
      <c r="AC578" s="129">
        <f ca="1">IF($AA568,E578,AC574)</f>
        <v>0.25999999999999979</v>
      </c>
      <c r="AD578" s="157"/>
      <c r="AE578" s="2" t="s">
        <v>507</v>
      </c>
      <c r="AF578" s="128">
        <f ca="1">IF($AE568,H578,AF574)</f>
        <v>8888</v>
      </c>
      <c r="AG578" s="129">
        <f ca="1">IF($AE568,I578,AG574)</f>
        <v>8887.5</v>
      </c>
      <c r="AI578" s="128" t="s">
        <v>507</v>
      </c>
      <c r="AJ578" s="128">
        <f ca="1">IF($AI568,L578,AJ574)</f>
        <v>-10.162000000000001</v>
      </c>
      <c r="AK578" s="129">
        <f ca="1">IF($AI568,M578,AK574)</f>
        <v>-1.3199999999999998</v>
      </c>
      <c r="BD578" s="157"/>
    </row>
    <row r="579" spans="2:56">
      <c r="B579" s="156"/>
      <c r="C579" s="128" t="s">
        <v>455</v>
      </c>
      <c r="D579" s="128">
        <f ca="1">IF(C568&gt;=3,D575,D577)</f>
        <v>-10.162000000000001</v>
      </c>
      <c r="E579" s="139">
        <f ca="1">E578</f>
        <v>0.25999999999999979</v>
      </c>
      <c r="F579" s="157"/>
      <c r="G579" s="2" t="s">
        <v>455</v>
      </c>
      <c r="H579" s="128">
        <f ca="1">IF(G568&gt;=3,H571,H577)</f>
        <v>8888</v>
      </c>
      <c r="I579" s="139">
        <f ca="1">IF(G568&gt;=3,I578,I577)</f>
        <v>8887.5</v>
      </c>
      <c r="K579" s="128" t="s">
        <v>455</v>
      </c>
      <c r="L579" s="128">
        <f ca="1">IF(K568&gt;=3,IF(X563,IF(K568=3,L570+P562/4,L570+P562),L570+P562),L573)</f>
        <v>-10.162000000000001</v>
      </c>
      <c r="M579" s="139">
        <f ca="1">IF(K568&gt;=3,M578,M577)</f>
        <v>-1.3199999999999998</v>
      </c>
      <c r="AA579" s="143" t="s">
        <v>455</v>
      </c>
      <c r="AB579" s="128">
        <f ca="1">IF($AA568,D579,AB574)</f>
        <v>-10.162000000000001</v>
      </c>
      <c r="AC579" s="129">
        <f ca="1">IF($AA568,E579,AC574)</f>
        <v>0.25999999999999979</v>
      </c>
      <c r="AD579" s="157"/>
      <c r="AE579" s="2" t="s">
        <v>455</v>
      </c>
      <c r="AF579" s="128">
        <f ca="1">IF($AE568,H579,AF574)</f>
        <v>8888</v>
      </c>
      <c r="AG579" s="129">
        <f ca="1">IF($AE568,I579,AG574)</f>
        <v>8887.5</v>
      </c>
      <c r="AI579" s="128" t="s">
        <v>455</v>
      </c>
      <c r="AJ579" s="128">
        <f ca="1">IF($AI568,L579,AJ574)</f>
        <v>-10.162000000000001</v>
      </c>
      <c r="AK579" s="129">
        <f ca="1">IF($AI568,M579,AK574)</f>
        <v>-1.3199999999999998</v>
      </c>
      <c r="AL579" s="156"/>
      <c r="BD579" s="157"/>
    </row>
    <row r="580" spans="2:56">
      <c r="B580" s="156"/>
      <c r="C580" s="128" t="s">
        <v>311</v>
      </c>
      <c r="D580" s="128">
        <f ca="1">IF(C568&gt;=3,D575,D577)</f>
        <v>-10.162000000000001</v>
      </c>
      <c r="E580" s="139">
        <f ca="1">IF(C568&gt;=3,E579-P561,E577)</f>
        <v>0.25999999999999979</v>
      </c>
      <c r="F580" s="157"/>
      <c r="G580" s="2" t="s">
        <v>311</v>
      </c>
      <c r="H580" s="128">
        <f ca="1">IF(G568&gt;=3,H571,H577)</f>
        <v>8888</v>
      </c>
      <c r="I580" s="139">
        <f ca="1">IF(G568&gt;=3,I579-P561,I577)</f>
        <v>8887.5</v>
      </c>
      <c r="K580" s="128" t="s">
        <v>311</v>
      </c>
      <c r="L580" s="128">
        <f ca="1">L579</f>
        <v>-10.162000000000001</v>
      </c>
      <c r="M580" s="139">
        <f ca="1">IF(K568&gt;=3,M579-P561,M577)</f>
        <v>-1.3199999999999998</v>
      </c>
      <c r="AA580" s="143" t="s">
        <v>311</v>
      </c>
      <c r="AB580" s="128">
        <f ca="1">IF($AA568,D580,AB574)</f>
        <v>-10.162000000000001</v>
      </c>
      <c r="AC580" s="129">
        <f ca="1">IF($AA568,E580,AC574)</f>
        <v>0.25999999999999979</v>
      </c>
      <c r="AD580" s="157"/>
      <c r="AE580" s="2" t="s">
        <v>311</v>
      </c>
      <c r="AF580" s="128">
        <f ca="1">IF($AE568,H580,AF574)</f>
        <v>8888</v>
      </c>
      <c r="AG580" s="129">
        <f ca="1">IF($AE568,I580,AG574)</f>
        <v>8887.5</v>
      </c>
      <c r="AI580" s="128" t="s">
        <v>311</v>
      </c>
      <c r="AJ580" s="128">
        <f ca="1">IF($AI568,L580,AJ574)</f>
        <v>-10.162000000000001</v>
      </c>
      <c r="AK580" s="129">
        <f ca="1">IF($AI568,M580,AK574)</f>
        <v>-1.3199999999999998</v>
      </c>
      <c r="AL580" s="156"/>
      <c r="BD580" s="157"/>
    </row>
    <row r="581" spans="2:56">
      <c r="B581" s="156"/>
      <c r="C581" s="188" t="s">
        <v>35</v>
      </c>
      <c r="D581" s="188">
        <f ca="1">IF(C568&gt;=3,D570,D577)</f>
        <v>-10.162000000000001</v>
      </c>
      <c r="E581" s="189">
        <f ca="1">E580</f>
        <v>0.25999999999999979</v>
      </c>
      <c r="F581" s="157"/>
      <c r="G581" s="2" t="s">
        <v>35</v>
      </c>
      <c r="H581" s="188">
        <f ca="1">IF(G568&gt;=3,H570,H577)</f>
        <v>8888</v>
      </c>
      <c r="I581" s="189">
        <f ca="1">IF(G568&gt;=3,I580,I577)</f>
        <v>8887.5</v>
      </c>
      <c r="K581" s="188" t="s">
        <v>35</v>
      </c>
      <c r="L581" s="188">
        <f ca="1">IF(K568&gt;=3,L570,L577)</f>
        <v>-10.162000000000001</v>
      </c>
      <c r="M581" s="189">
        <f ca="1">IF(K568&gt;=3,M580,M577)</f>
        <v>-1.3199999999999998</v>
      </c>
      <c r="AA581" s="143" t="s">
        <v>35</v>
      </c>
      <c r="AB581" s="128">
        <f ca="1">IF($AA568,D581,AB574)</f>
        <v>-10.162000000000001</v>
      </c>
      <c r="AC581" s="129">
        <f ca="1">IF($AA568,E581,AC574)</f>
        <v>0.25999999999999979</v>
      </c>
      <c r="AD581" s="157"/>
      <c r="AE581" s="2" t="s">
        <v>35</v>
      </c>
      <c r="AF581" s="188">
        <f ca="1">IF($AE568,H581,AF574)</f>
        <v>8888</v>
      </c>
      <c r="AG581" s="196">
        <f ca="1">IF($AE568,I581,AG574)</f>
        <v>8887.5</v>
      </c>
      <c r="AI581" s="128" t="s">
        <v>35</v>
      </c>
      <c r="AJ581" s="128">
        <f ca="1">IF($AI568,L581,AJ574)</f>
        <v>-10.162000000000001</v>
      </c>
      <c r="AK581" s="129">
        <f ca="1">IF($AI568,M581,AK574)</f>
        <v>-1.3199999999999998</v>
      </c>
      <c r="AL581" s="156"/>
      <c r="BD581" s="157"/>
    </row>
    <row r="582" spans="2:56" ht="15" thickBot="1">
      <c r="B582" s="156"/>
      <c r="C582" s="130" t="s">
        <v>396</v>
      </c>
      <c r="D582" s="130">
        <f ca="1">D570</f>
        <v>-10.162000000000001</v>
      </c>
      <c r="E582" s="140">
        <f ca="1">E570</f>
        <v>1.3199999999999998</v>
      </c>
      <c r="F582" s="157"/>
      <c r="G582" s="192" t="s">
        <v>312</v>
      </c>
      <c r="H582" s="128">
        <f ca="1">IF(G568&gt;=4,H570,H581)</f>
        <v>8888</v>
      </c>
      <c r="I582" s="139">
        <f ca="1">IF(G568&gt;=4,I581-P563,I581)</f>
        <v>8887.5</v>
      </c>
      <c r="K582" s="130" t="s">
        <v>396</v>
      </c>
      <c r="L582" s="130">
        <f ca="1">L570</f>
        <v>-10.162000000000001</v>
      </c>
      <c r="M582" s="140">
        <f ca="1">M570</f>
        <v>-0.25999999999999979</v>
      </c>
      <c r="AA582" s="144" t="s">
        <v>396</v>
      </c>
      <c r="AB582" s="130">
        <f ca="1">IF($AA568,D582,AB574)</f>
        <v>-10.162000000000001</v>
      </c>
      <c r="AC582" s="132">
        <f ca="1">IF($AA568,E582,AC574)</f>
        <v>1.3199999999999998</v>
      </c>
      <c r="AD582" s="157"/>
      <c r="AE582" s="192" t="s">
        <v>312</v>
      </c>
      <c r="AF582" s="128">
        <f ca="1">IF($AE568,H582,AF574)</f>
        <v>8888</v>
      </c>
      <c r="AG582" s="129">
        <f ca="1">IF($AE568,I582,AG574)</f>
        <v>8887.5</v>
      </c>
      <c r="AI582" s="130" t="s">
        <v>396</v>
      </c>
      <c r="AJ582" s="130">
        <f ca="1">IF($AI568,L582,AJ574)</f>
        <v>-10.162000000000001</v>
      </c>
      <c r="AK582" s="132">
        <f ca="1">IF($AI568,M582,AK574)</f>
        <v>-0.25999999999999979</v>
      </c>
      <c r="BD582" s="157"/>
    </row>
    <row r="583" spans="2:56">
      <c r="B583" s="156"/>
      <c r="F583" s="157"/>
      <c r="G583" s="2" t="s">
        <v>313</v>
      </c>
      <c r="H583" s="128">
        <f ca="1">IF(G568&gt;=4,H571,H581)</f>
        <v>8888</v>
      </c>
      <c r="I583" s="139">
        <f ca="1">IF(G568&gt;=4,I582,I581)</f>
        <v>8887.5</v>
      </c>
      <c r="AD583" s="157"/>
      <c r="AE583" s="2" t="s">
        <v>313</v>
      </c>
      <c r="AF583" s="128">
        <f ca="1">IF($AE568,H583,AF574)</f>
        <v>8888</v>
      </c>
      <c r="AG583" s="129">
        <f ca="1">IF($AE568,I583,AG574)</f>
        <v>8887.5</v>
      </c>
      <c r="BD583" s="157"/>
    </row>
    <row r="584" spans="2:56">
      <c r="B584" s="156"/>
      <c r="F584" s="157"/>
      <c r="G584" s="2" t="s">
        <v>7</v>
      </c>
      <c r="H584" s="128">
        <f ca="1">IF(G568&gt;=4,H571,H581)</f>
        <v>8888</v>
      </c>
      <c r="I584" s="139">
        <f ca="1">IF(G568&gt;=4,I583-P561,I581)</f>
        <v>8887.5</v>
      </c>
      <c r="AD584" s="157"/>
      <c r="AE584" s="2" t="s">
        <v>7</v>
      </c>
      <c r="AF584" s="128">
        <f ca="1">IF($AE568,H584,AF574)</f>
        <v>8888</v>
      </c>
      <c r="AG584" s="129">
        <f ca="1">IF($AE568,I584,AG574)</f>
        <v>8887.5</v>
      </c>
      <c r="BD584" s="157"/>
    </row>
    <row r="585" spans="2:56">
      <c r="B585" s="156"/>
      <c r="F585" s="157"/>
      <c r="G585" s="115" t="s">
        <v>8</v>
      </c>
      <c r="H585" s="188">
        <f ca="1">IF(G568&gt;=4,H570,H581)</f>
        <v>8888</v>
      </c>
      <c r="I585" s="189">
        <f ca="1">IF(G568&gt;=4,I584,I581)</f>
        <v>8887.5</v>
      </c>
      <c r="AD585" s="157"/>
      <c r="AE585" s="115" t="s">
        <v>8</v>
      </c>
      <c r="AF585" s="188">
        <f ca="1">IF($AE568,H585,AF574)</f>
        <v>8888</v>
      </c>
      <c r="AG585" s="196">
        <f ca="1">IF($AE568,I585,AG574)</f>
        <v>8887.5</v>
      </c>
      <c r="BD585" s="157"/>
    </row>
    <row r="586" spans="2:56">
      <c r="B586" s="156"/>
      <c r="F586" s="157"/>
      <c r="G586" s="2" t="s">
        <v>9</v>
      </c>
      <c r="H586" s="128">
        <f ca="1">IF(G568&gt;=5,H570,H585)</f>
        <v>8888</v>
      </c>
      <c r="I586" s="139">
        <f ca="1">IF(G568&gt;=5,I585-P563,I585)</f>
        <v>8887.5</v>
      </c>
      <c r="AD586" s="157"/>
      <c r="AE586" s="2" t="s">
        <v>9</v>
      </c>
      <c r="AF586" s="128">
        <f ca="1">IF($AE568,H586,AF574)</f>
        <v>8888</v>
      </c>
      <c r="AG586" s="129">
        <f ca="1">IF($AE568,I586,AG574)</f>
        <v>8887.5</v>
      </c>
      <c r="BD586" s="157"/>
    </row>
    <row r="587" spans="2:56">
      <c r="B587" s="156"/>
      <c r="F587" s="157"/>
      <c r="G587" s="2" t="s">
        <v>196</v>
      </c>
      <c r="H587" s="128">
        <f ca="1">IF(G568&gt;=5,H571,H585)</f>
        <v>8888</v>
      </c>
      <c r="I587" s="139">
        <f ca="1">IF(G568&gt;=5,I586,I585)</f>
        <v>8887.5</v>
      </c>
      <c r="AD587" s="157"/>
      <c r="AE587" s="2" t="s">
        <v>196</v>
      </c>
      <c r="AF587" s="128">
        <f ca="1">IF($AE568,H587,AF574)</f>
        <v>8888</v>
      </c>
      <c r="AG587" s="129">
        <f ca="1">IF($AE568,I587,AG574)</f>
        <v>8887.5</v>
      </c>
      <c r="BD587" s="157"/>
    </row>
    <row r="588" spans="2:56">
      <c r="B588" s="156"/>
      <c r="F588" s="157"/>
      <c r="G588" s="2" t="s">
        <v>10</v>
      </c>
      <c r="H588" s="128">
        <f ca="1">IF(G568&gt;=5,H571,H585)</f>
        <v>8888</v>
      </c>
      <c r="I588" s="139">
        <f ca="1">IF(G568&gt;=5,I587-P561,I585)</f>
        <v>8887.5</v>
      </c>
      <c r="AD588" s="157"/>
      <c r="AE588" s="2" t="s">
        <v>10</v>
      </c>
      <c r="AF588" s="128">
        <f ca="1">IF($AE568,H588,AF574)</f>
        <v>8888</v>
      </c>
      <c r="AG588" s="129">
        <f ca="1">IF($AE568,I588,AG574)</f>
        <v>8887.5</v>
      </c>
      <c r="BD588" s="157"/>
    </row>
    <row r="589" spans="2:56">
      <c r="B589" s="156"/>
      <c r="F589" s="157"/>
      <c r="G589" s="2" t="s">
        <v>161</v>
      </c>
      <c r="H589" s="188">
        <f ca="1">IF(G568&gt;=5,H570,H585)</f>
        <v>8888</v>
      </c>
      <c r="I589" s="189">
        <f ca="1">IF(G568&gt;=5,I588,I585)</f>
        <v>8887.5</v>
      </c>
      <c r="AD589" s="157"/>
      <c r="AE589" s="2" t="s">
        <v>161</v>
      </c>
      <c r="AF589" s="188">
        <f ca="1">IF($AE568,H589,AF574)</f>
        <v>8888</v>
      </c>
      <c r="AG589" s="196">
        <f ca="1">IF($AE568,I589,AG574)</f>
        <v>8887.5</v>
      </c>
      <c r="BD589" s="157"/>
    </row>
    <row r="590" spans="2:56">
      <c r="B590" s="156"/>
      <c r="F590" s="157"/>
      <c r="G590" s="192" t="s">
        <v>11</v>
      </c>
      <c r="H590" s="128">
        <f ca="1">IF(G568&gt;=6,H570,H589)</f>
        <v>8888</v>
      </c>
      <c r="I590" s="139">
        <f ca="1">IF(G568&gt;=6,I589-P563,I589)</f>
        <v>8887.5</v>
      </c>
      <c r="AD590" s="157"/>
      <c r="AE590" s="192" t="s">
        <v>11</v>
      </c>
      <c r="AF590" s="128">
        <f ca="1">IF($AE568,H590,AF574)</f>
        <v>8888</v>
      </c>
      <c r="AG590" s="129">
        <f ca="1">IF($AE568,I590,AG574)</f>
        <v>8887.5</v>
      </c>
      <c r="BD590" s="157"/>
    </row>
    <row r="591" spans="2:56">
      <c r="B591" s="156"/>
      <c r="F591" s="157"/>
      <c r="G591" s="2" t="s">
        <v>12</v>
      </c>
      <c r="H591" s="128">
        <f ca="1">IF(G568&gt;=6,H571,H589)</f>
        <v>8888</v>
      </c>
      <c r="I591" s="139">
        <f ca="1">IF(G568&gt;=6,I590,I589)</f>
        <v>8887.5</v>
      </c>
      <c r="AD591" s="157"/>
      <c r="AE591" s="2" t="s">
        <v>12</v>
      </c>
      <c r="AF591" s="128">
        <f ca="1">IF($AE568,H591,AF574)</f>
        <v>8888</v>
      </c>
      <c r="AG591" s="129">
        <f ca="1">IF($AE568,I591,AG574)</f>
        <v>8887.5</v>
      </c>
      <c r="BD591" s="157"/>
    </row>
    <row r="592" spans="2:56">
      <c r="B592" s="156"/>
      <c r="F592" s="157"/>
      <c r="G592" s="2" t="s">
        <v>13</v>
      </c>
      <c r="H592" s="128">
        <f ca="1">IF(G568&gt;=6,H571,H589)</f>
        <v>8888</v>
      </c>
      <c r="I592" s="139">
        <f ca="1">IF(G568&gt;=6,I591-P561,I589)</f>
        <v>8887.5</v>
      </c>
      <c r="AD592" s="157"/>
      <c r="AE592" s="2" t="s">
        <v>13</v>
      </c>
      <c r="AF592" s="128">
        <f ca="1">IF($AE568,H592,AF574)</f>
        <v>8888</v>
      </c>
      <c r="AG592" s="129">
        <f ca="1">IF($AE568,I592,AG574)</f>
        <v>8887.5</v>
      </c>
      <c r="BD592" s="157"/>
    </row>
    <row r="593" spans="2:56">
      <c r="B593" s="156"/>
      <c r="F593" s="157"/>
      <c r="G593" s="115" t="s">
        <v>14</v>
      </c>
      <c r="H593" s="188">
        <f ca="1">IF(G568&gt;=6,H570,H589)</f>
        <v>8888</v>
      </c>
      <c r="I593" s="189">
        <f ca="1">IF(G568&gt;=6,I592,I589)</f>
        <v>8887.5</v>
      </c>
      <c r="AD593" s="157"/>
      <c r="AE593" s="115" t="s">
        <v>14</v>
      </c>
      <c r="AF593" s="188">
        <f ca="1">IF($AE568,H593,AF574)</f>
        <v>8888</v>
      </c>
      <c r="AG593" s="196">
        <f ca="1">IF($AE568,I593,AG574)</f>
        <v>8887.5</v>
      </c>
      <c r="BD593" s="157"/>
    </row>
    <row r="594" spans="2:56" ht="15" thickBot="1">
      <c r="B594" s="156"/>
      <c r="G594" s="130" t="s">
        <v>396</v>
      </c>
      <c r="H594" s="130">
        <f ca="1">H570</f>
        <v>8888</v>
      </c>
      <c r="I594" s="140">
        <f ca="1">I570</f>
        <v>8888</v>
      </c>
      <c r="AE594" s="130" t="s">
        <v>396</v>
      </c>
      <c r="AF594" s="130">
        <f ca="1">IF($AE568,H594,AF574)</f>
        <v>8888</v>
      </c>
      <c r="AG594" s="132">
        <f ca="1">IF($AE568,I594,AG574)</f>
        <v>8888</v>
      </c>
      <c r="BD594" s="157"/>
    </row>
    <row r="595" spans="2:56">
      <c r="B595" s="156"/>
      <c r="BD595" s="157"/>
    </row>
    <row r="596" spans="2:56">
      <c r="B596" s="156"/>
      <c r="BD596" s="157"/>
    </row>
    <row r="597" spans="2:56">
      <c r="B597" s="156"/>
      <c r="C597" s="200" t="s">
        <v>336</v>
      </c>
      <c r="D597">
        <f>D561+1</f>
        <v>12</v>
      </c>
      <c r="G597" s="200" t="s">
        <v>638</v>
      </c>
      <c r="H597">
        <f ca="1">LOOKUP(D600,$C$191:$C$196,$D$191:$D$196)</f>
        <v>0</v>
      </c>
      <c r="K597" s="200" t="s">
        <v>644</v>
      </c>
      <c r="L597">
        <f ca="1">L561-H602</f>
        <v>-10.962000000000002</v>
      </c>
      <c r="O597" s="200" t="s">
        <v>404</v>
      </c>
      <c r="P597">
        <f ca="1">IF(D599=1,SEAT_w_cushion_FC,IF(D599=2,SEAT_w_cushion_BC,IF(D599=3,SEAT_w_cushion_YC,0)))</f>
        <v>0.5</v>
      </c>
      <c r="S597" s="200" t="s">
        <v>647</v>
      </c>
      <c r="T597">
        <f ca="1">LOOKUP(D600,$C$191:$C$196,$E$191:$E$196)</f>
        <v>0</v>
      </c>
      <c r="W597" t="s">
        <v>130</v>
      </c>
      <c r="X597" t="str">
        <f ca="1">OFFSET(Fuselage!$B$275,D597,5)</f>
        <v>None</v>
      </c>
      <c r="AN597" s="200" t="s">
        <v>135</v>
      </c>
      <c r="AO597">
        <f ca="1">MAX(0,H602-MAX(T597,T599,T601,P598)-X598)</f>
        <v>0.37000000000000005</v>
      </c>
      <c r="BD597" s="157"/>
    </row>
    <row r="598" spans="2:56">
      <c r="B598" s="156"/>
      <c r="C598" s="200" t="s">
        <v>200</v>
      </c>
      <c r="D598">
        <f ca="1">OFFSET(Fuselage!$B$275,D597,0)</f>
        <v>11</v>
      </c>
      <c r="G598" s="200" t="s">
        <v>639</v>
      </c>
      <c r="H598">
        <f ca="1">LOOKUP(D601,$C$191:$C$196,$D$191:$D$196)</f>
        <v>0</v>
      </c>
      <c r="O598" s="200" t="s">
        <v>535</v>
      </c>
      <c r="P598">
        <f ca="1">IF(D599=1,SEAT_length_FC,IF(D599=2,SEAT_length_BC,IF(D599=3,SEAT_length_YC,0)))</f>
        <v>0.43</v>
      </c>
      <c r="S598" s="200" t="s">
        <v>648</v>
      </c>
      <c r="T598">
        <f ca="1">LOOKUP(D600,$C$191:$C$196,$F$191:$F$196)</f>
        <v>0</v>
      </c>
      <c r="W598" t="s">
        <v>131</v>
      </c>
      <c r="X598">
        <f ca="1">LOOKUP(X597,$I$191:$I$198,$J$191:$J$198)</f>
        <v>0</v>
      </c>
      <c r="BD598" s="157"/>
    </row>
    <row r="599" spans="2:56">
      <c r="B599" s="156"/>
      <c r="C599" s="200" t="s">
        <v>337</v>
      </c>
      <c r="D599">
        <f ca="1">OFFSET(Fuselage!$B$275,D597,4)</f>
        <v>3</v>
      </c>
      <c r="G599" s="200" t="s">
        <v>309</v>
      </c>
      <c r="H599">
        <f ca="1">LOOKUP(D602,$C$191:$C$196,$D$191:$D$196)</f>
        <v>0</v>
      </c>
      <c r="K599" s="200" t="s">
        <v>645</v>
      </c>
      <c r="L599">
        <f ca="1">IF(D599=1,FUSELAGE_nseats_left_FC,IF(D599=2,FUSELAGE_nseats_left_BC,IF(D599=3,FUSELAGE_nseats_left_YC,0)))</f>
        <v>2</v>
      </c>
      <c r="O599" s="200" t="s">
        <v>405</v>
      </c>
      <c r="P599">
        <f ca="1">IF(D599=1,SEAT_w_armrest_FC,IF(D599=2,SEAT_w_armrest_BC,IF(D599=3,SEAT_w_armrest_YC,0)))</f>
        <v>0.06</v>
      </c>
      <c r="S599" s="200" t="s">
        <v>652</v>
      </c>
      <c r="T599">
        <f ca="1">LOOKUP(D601,$C$191:$C$196,$E$191:$E$196)</f>
        <v>0</v>
      </c>
      <c r="W599" s="200" t="s">
        <v>393</v>
      </c>
      <c r="X599" t="b">
        <f ca="1">IF(OFFSET(Fuselage!$B$275,D597,6)="YES",TRUE(),FALSE())</f>
        <v>0</v>
      </c>
      <c r="BD599" s="157"/>
    </row>
    <row r="600" spans="2:56">
      <c r="B600" s="156"/>
      <c r="C600" s="200" t="s">
        <v>640</v>
      </c>
      <c r="D600" t="str">
        <f ca="1">OFFSET(Fuselage!$B$275,D597,1)</f>
        <v>None</v>
      </c>
      <c r="G600" s="200" t="s">
        <v>132</v>
      </c>
      <c r="H600">
        <f ca="1">IF(D599=1,SEAT_pitch_FC,IF(D599=2,SEAT_pitch_BC,IF(D599=3,SEAT_pitch_YC,0)))</f>
        <v>0.8</v>
      </c>
      <c r="K600" s="200" t="s">
        <v>646</v>
      </c>
      <c r="L600">
        <f ca="1">IF(D599=1,FUSELAGE_nseats_middle_FC,IF(D599=2,FUSELAGE_nseats_middle_BC,IF(D599=3,FUSELAGE_nseats_middle_YC,0)))</f>
        <v>0</v>
      </c>
      <c r="S600" s="200" t="s">
        <v>653</v>
      </c>
      <c r="T600">
        <f ca="1">LOOKUP(D601,$C$191:$C$196,$F$191:$F$196)</f>
        <v>0</v>
      </c>
      <c r="BD600" s="157"/>
    </row>
    <row r="601" spans="2:56">
      <c r="B601" s="156"/>
      <c r="C601" s="200" t="s">
        <v>642</v>
      </c>
      <c r="D601" t="str">
        <f ca="1">OFFSET(Fuselage!$B$275,D597,2)</f>
        <v>None</v>
      </c>
      <c r="G601" s="200" t="s">
        <v>129</v>
      </c>
      <c r="H601">
        <f ca="1">IF(OR(X597="Type A",X597="Type B"),MAX(H597:H600)+42*0.0254,IF(X597="Type C",MAX(H597:H600)+X598,IF(X597&lt;&gt;"None",24*0.0254,0)))</f>
        <v>0</v>
      </c>
      <c r="K601" s="200" t="s">
        <v>655</v>
      </c>
      <c r="L601">
        <f ca="1">IF(D599=1,FUSELAGE_nseats_right_FC,IF(D599=2,FUSELAGE_nseats_right_BC,IF(D599=3,FUSELAGE_nseats_right_YC,0)))</f>
        <v>2</v>
      </c>
      <c r="O601" s="200" t="s">
        <v>407</v>
      </c>
      <c r="P601">
        <f ca="1">($C$13-(L599+L600+L601)*(P597+P599)+(FUSELAGE_n_aisles-1)*P599)/FUSELAGE_n_aisles</f>
        <v>0.51999999999999957</v>
      </c>
      <c r="S601" s="200" t="s">
        <v>651</v>
      </c>
      <c r="T601">
        <f ca="1">LOOKUP(D602,$C$191:$C$196,$E$191:$E$196)</f>
        <v>0</v>
      </c>
      <c r="BD601" s="157"/>
    </row>
    <row r="602" spans="2:56">
      <c r="B602" s="156"/>
      <c r="C602" s="200" t="s">
        <v>641</v>
      </c>
      <c r="D602" t="str">
        <f ca="1">OFFSET(Fuselage!$B$275,D597,3)</f>
        <v>None</v>
      </c>
      <c r="G602" s="200" t="s">
        <v>643</v>
      </c>
      <c r="H602">
        <f ca="1">MAX(H597:H601)</f>
        <v>0.8</v>
      </c>
      <c r="S602" s="200" t="s">
        <v>654</v>
      </c>
      <c r="T602">
        <f ca="1">LOOKUP(D602,$C$191:$C$196,$F$191:$F$196)</f>
        <v>0</v>
      </c>
      <c r="BD602" s="157"/>
    </row>
    <row r="603" spans="2:56" ht="15" thickBot="1">
      <c r="B603" s="156"/>
      <c r="BD603" s="157"/>
    </row>
    <row r="604" spans="2:56" ht="15" thickBot="1">
      <c r="B604" s="156"/>
      <c r="C604" s="141">
        <f ca="1">L601</f>
        <v>2</v>
      </c>
      <c r="D604" s="197" t="str">
        <f ca="1">IF($D599=1,"FC",IF($D599=2,"BC",IF($D599=3,"YC","Nothing")))</f>
        <v>YC</v>
      </c>
      <c r="E604" s="198"/>
      <c r="G604" s="141">
        <f ca="1">L600</f>
        <v>0</v>
      </c>
      <c r="H604" s="197" t="str">
        <f ca="1">IF($D599=1,"FC",IF($D599=2,"BC",IF($D599=3,"YC","Nothing")))</f>
        <v>YC</v>
      </c>
      <c r="I604" s="198"/>
      <c r="K604" s="141">
        <f ca="1" xml:space="preserve"> L599</f>
        <v>2</v>
      </c>
      <c r="L604" s="197" t="str">
        <f ca="1">IF($D599=1,"FC",IF($D599=2,"BC",IF($D599=3,"YC","Nothing")))</f>
        <v>YC</v>
      </c>
      <c r="M604" s="198"/>
      <c r="O604" s="141">
        <f ca="1">IF($D602&lt;&gt;"None",1,0)</f>
        <v>0</v>
      </c>
      <c r="P604" s="326" t="s">
        <v>380</v>
      </c>
      <c r="Q604" s="327"/>
      <c r="S604" s="141">
        <f ca="1">IF($D601&lt;&gt;"None",1,0)</f>
        <v>0</v>
      </c>
      <c r="T604" s="326" t="s">
        <v>381</v>
      </c>
      <c r="U604" s="327"/>
      <c r="W604" s="141">
        <f ca="1">IF($D600&lt;&gt;"None",1,0)</f>
        <v>0</v>
      </c>
      <c r="X604" s="326" t="s">
        <v>382</v>
      </c>
      <c r="Y604" s="327"/>
      <c r="AA604" s="141">
        <f ca="1">IF($D602="None",1,0)</f>
        <v>1</v>
      </c>
      <c r="AB604" s="326" t="str">
        <f ca="1">IF(AA604,D604,$D602)</f>
        <v>YC</v>
      </c>
      <c r="AC604" s="327"/>
      <c r="AE604" s="141">
        <f ca="1">IF($D601="None",1,0)</f>
        <v>1</v>
      </c>
      <c r="AF604" s="326" t="str">
        <f ca="1">IF(AE604,H604,$D601)</f>
        <v>YC</v>
      </c>
      <c r="AG604" s="327"/>
      <c r="AI604" s="141">
        <f ca="1">IF($D600="None",1,0)</f>
        <v>1</v>
      </c>
      <c r="AJ604" s="326" t="str">
        <f ca="1">IF(AI604,L604,$D600)</f>
        <v>YC</v>
      </c>
      <c r="AK604" s="327"/>
      <c r="AM604" s="141">
        <f ca="1">IF($X597="None",0,1)</f>
        <v>0</v>
      </c>
      <c r="AN604" s="197" t="s">
        <v>133</v>
      </c>
      <c r="AO604" s="198"/>
      <c r="AQ604" s="141">
        <f ca="1">IF($X597="None",0,1)</f>
        <v>0</v>
      </c>
      <c r="AR604" s="197" t="s">
        <v>134</v>
      </c>
      <c r="AS604" s="198"/>
      <c r="BD604" s="157"/>
    </row>
    <row r="605" spans="2:56" ht="15" thickBot="1">
      <c r="B605" s="156"/>
      <c r="C605" s="136" t="s">
        <v>452</v>
      </c>
      <c r="D605" s="136" t="s">
        <v>384</v>
      </c>
      <c r="E605" s="138" t="s">
        <v>385</v>
      </c>
      <c r="G605" s="136" t="s">
        <v>452</v>
      </c>
      <c r="H605" s="136" t="s">
        <v>384</v>
      </c>
      <c r="I605" s="138" t="s">
        <v>385</v>
      </c>
      <c r="K605" s="193" t="s">
        <v>452</v>
      </c>
      <c r="L605" s="193" t="s">
        <v>384</v>
      </c>
      <c r="M605" s="194" t="s">
        <v>385</v>
      </c>
      <c r="O605" s="136" t="s">
        <v>452</v>
      </c>
      <c r="P605" s="136" t="s">
        <v>384</v>
      </c>
      <c r="Q605" s="138" t="s">
        <v>385</v>
      </c>
      <c r="S605" s="136" t="s">
        <v>452</v>
      </c>
      <c r="T605" s="136" t="s">
        <v>384</v>
      </c>
      <c r="U605" s="138" t="s">
        <v>385</v>
      </c>
      <c r="W605" s="136" t="s">
        <v>452</v>
      </c>
      <c r="X605" s="136" t="s">
        <v>384</v>
      </c>
      <c r="Y605" s="138" t="s">
        <v>385</v>
      </c>
      <c r="AA605" s="136" t="s">
        <v>452</v>
      </c>
      <c r="AB605" s="136" t="s">
        <v>384</v>
      </c>
      <c r="AC605" s="138" t="s">
        <v>385</v>
      </c>
      <c r="AE605" s="136" t="s">
        <v>452</v>
      </c>
      <c r="AF605" s="136" t="s">
        <v>384</v>
      </c>
      <c r="AG605" s="138" t="s">
        <v>385</v>
      </c>
      <c r="AI605" s="193" t="s">
        <v>452</v>
      </c>
      <c r="AJ605" s="193" t="s">
        <v>384</v>
      </c>
      <c r="AK605" s="194" t="s">
        <v>385</v>
      </c>
      <c r="AM605" s="193" t="s">
        <v>452</v>
      </c>
      <c r="AN605" s="193" t="s">
        <v>384</v>
      </c>
      <c r="AO605" s="194" t="s">
        <v>385</v>
      </c>
      <c r="AQ605" s="193" t="s">
        <v>452</v>
      </c>
      <c r="AR605" s="193" t="s">
        <v>384</v>
      </c>
      <c r="AS605" s="194" t="s">
        <v>385</v>
      </c>
      <c r="BD605" s="157"/>
    </row>
    <row r="606" spans="2:56">
      <c r="B606" s="156"/>
      <c r="C606" s="128" t="s">
        <v>396</v>
      </c>
      <c r="D606" s="158">
        <f ca="1">IF(C604&gt;=1,L597,8888)</f>
        <v>-10.962000000000002</v>
      </c>
      <c r="E606" s="160">
        <f ca="1">IF(C604&gt;=1,1/2*($C$13-P597-2*P599)+1/2*P597,8888)</f>
        <v>1.3199999999999998</v>
      </c>
      <c r="G606" s="128" t="s">
        <v>396</v>
      </c>
      <c r="H606" s="158">
        <f ca="1">IF(G604&gt;=1,L597,8888)</f>
        <v>8888</v>
      </c>
      <c r="I606" s="160">
        <f ca="1">IF(G604&gt;=1,E617-P601,8888)</f>
        <v>8888</v>
      </c>
      <c r="K606" s="128" t="s">
        <v>396</v>
      </c>
      <c r="L606" s="158">
        <f ca="1">IF(K604&gt;=1,L597,8888)</f>
        <v>-10.962000000000002</v>
      </c>
      <c r="M606" s="160">
        <f ca="1">IF(K604&gt;=1,IF(FUSELAGE_n_aisles=1,E617-P601,I629-P601),8888)</f>
        <v>-0.25999999999999979</v>
      </c>
      <c r="O606" s="128" t="s">
        <v>396</v>
      </c>
      <c r="P606" s="158">
        <f ca="1">IF(O604,$L597,8888)</f>
        <v>8888</v>
      </c>
      <c r="Q606" s="209">
        <f ca="1">IF(O604,FUSELAGE_y_position_of_left_seat_YC-(FUSELAGE_nseats_right_YC-1)*(SEAT_w_cushion_YC+SEAT_w_armrest_YC)/2+T602/2,8888)</f>
        <v>8888</v>
      </c>
      <c r="S606" s="128" t="s">
        <v>396</v>
      </c>
      <c r="T606" s="158">
        <f ca="1">IF(S604,$L597,8888)</f>
        <v>8888</v>
      </c>
      <c r="U606" s="160">
        <f ca="1">IF(S604,T600/2,8888)</f>
        <v>8888</v>
      </c>
      <c r="W606" s="128" t="s">
        <v>396</v>
      </c>
      <c r="X606" s="158">
        <f ca="1">IF(W604,$L597,8888)</f>
        <v>8888</v>
      </c>
      <c r="Y606" s="160">
        <f ca="1">IF(W604,-FUSELAGE_y_position_of_left_seat_YC+(FUSELAGE_nseats_left_YC-1)*(SEAT_w_cushion_YC+SEAT_w_armrest_YC)/2-T598/2,8888)</f>
        <v>8888</v>
      </c>
      <c r="AA606" s="128" t="s">
        <v>396</v>
      </c>
      <c r="AB606" s="158">
        <f ca="1">IF($AA604,D606,P606)</f>
        <v>-10.962000000000002</v>
      </c>
      <c r="AC606" s="174">
        <f ca="1">IF($AA604,E606,Q606)</f>
        <v>1.3199999999999998</v>
      </c>
      <c r="AE606" s="128" t="s">
        <v>396</v>
      </c>
      <c r="AF606" s="158">
        <f ca="1">IF($AE604,H606,T606)</f>
        <v>8888</v>
      </c>
      <c r="AG606" s="174">
        <f ca="1">IF($AE604,I606,U606)</f>
        <v>8888</v>
      </c>
      <c r="AI606" s="128" t="s">
        <v>396</v>
      </c>
      <c r="AJ606" s="158">
        <f ca="1">IF($AI604,L606,X606)</f>
        <v>-10.962000000000002</v>
      </c>
      <c r="AK606" s="174">
        <f ca="1">IF($AI604,M606,Y606)</f>
        <v>-0.25999999999999979</v>
      </c>
      <c r="AM606" s="128" t="s">
        <v>396</v>
      </c>
      <c r="AN606" s="158">
        <f ca="1">AN575</f>
        <v>-10.162000000000001</v>
      </c>
      <c r="AO606" s="174">
        <f ca="1">IF(AN606&gt;-Fuselage!$D$366,(FUSELAGE_a_ellipse)*SQRT(1-((AN606+Fuselage!$D$366)/(Fuselage!$K$364-FUSELAGE_t_fuselage))^2),IF(AN606&gt;$L$2505+Fuselage!$K$370,FUSELAGE_a_ellipse,(FUSELAGE_a_ellipse+FUSELAGE_t_fuselage-FUSELAGE_d_fo/4)/Fuselage!$K$368*(AN606-$L$2505-Fuselage!$K$370)+FUSELAGE_a_ellipse))</f>
        <v>1.4960570012328709</v>
      </c>
      <c r="AQ606" s="128" t="s">
        <v>396</v>
      </c>
      <c r="AR606" s="158">
        <f t="shared" ref="AR606:AR611" ca="1" si="88">AN606</f>
        <v>-10.162000000000001</v>
      </c>
      <c r="AS606" s="174">
        <f t="shared" ref="AS606:AS611" ca="1" si="89">-AO606</f>
        <v>-1.4960570012328709</v>
      </c>
      <c r="BD606" s="157"/>
    </row>
    <row r="607" spans="2:56">
      <c r="B607" s="156"/>
      <c r="C607" s="128" t="s">
        <v>213</v>
      </c>
      <c r="D607" s="128">
        <f ca="1">IF(X599,D606+P598/4,D606+P598)</f>
        <v>-10.532000000000002</v>
      </c>
      <c r="E607" s="139">
        <f ca="1">E606</f>
        <v>1.3199999999999998</v>
      </c>
      <c r="G607" s="128" t="s">
        <v>213</v>
      </c>
      <c r="H607" s="128">
        <f ca="1">H606+P598</f>
        <v>8888.43</v>
      </c>
      <c r="I607" s="139">
        <f ca="1">I606</f>
        <v>8888</v>
      </c>
      <c r="K607" s="128" t="s">
        <v>213</v>
      </c>
      <c r="L607" s="128">
        <f ca="1">IF(X599,IF(K604=1,L606+P598/4,L606+P598),L606+P598)</f>
        <v>-10.532000000000002</v>
      </c>
      <c r="M607" s="139">
        <f ca="1">M606</f>
        <v>-0.25999999999999979</v>
      </c>
      <c r="O607" s="128" t="s">
        <v>213</v>
      </c>
      <c r="P607" s="128">
        <f ca="1">P606+$T601</f>
        <v>8888</v>
      </c>
      <c r="Q607" s="139">
        <f ca="1">Q606</f>
        <v>8888</v>
      </c>
      <c r="S607" s="128" t="s">
        <v>213</v>
      </c>
      <c r="T607" s="128">
        <f ca="1">T606+$T599</f>
        <v>8888</v>
      </c>
      <c r="U607" s="139">
        <f ca="1">U606</f>
        <v>8888</v>
      </c>
      <c r="W607" s="128" t="s">
        <v>213</v>
      </c>
      <c r="X607" s="128">
        <f ca="1">X606+$T597</f>
        <v>8888</v>
      </c>
      <c r="Y607" s="139">
        <f ca="1">Y606</f>
        <v>8888</v>
      </c>
      <c r="AA607" s="143" t="s">
        <v>213</v>
      </c>
      <c r="AB607" s="128">
        <f ca="1">IF($AA604,D607,P607)</f>
        <v>-10.532000000000002</v>
      </c>
      <c r="AC607" s="129">
        <f ca="1">IF($AA604,E607,Q607)</f>
        <v>1.3199999999999998</v>
      </c>
      <c r="AE607" s="128" t="s">
        <v>213</v>
      </c>
      <c r="AF607" s="128">
        <f ca="1">IF($AE604,H607,T607)</f>
        <v>8888.43</v>
      </c>
      <c r="AG607" s="129">
        <f ca="1">IF($AE604,I607,U607)</f>
        <v>8888</v>
      </c>
      <c r="AI607" s="128" t="s">
        <v>213</v>
      </c>
      <c r="AJ607" s="128">
        <f ca="1">IF($AI604,L607,X607)</f>
        <v>-10.532000000000002</v>
      </c>
      <c r="AK607" s="129">
        <f ca="1">IF($AI604,M607,Y607)</f>
        <v>-0.25999999999999979</v>
      </c>
      <c r="AM607" s="128" t="s">
        <v>213</v>
      </c>
      <c r="AN607" s="128">
        <f ca="1">AN606-AO597/2</f>
        <v>-10.347000000000001</v>
      </c>
      <c r="AO607" s="129">
        <f ca="1">IF(AN607&gt;-Fuselage!$D$366,(FUSELAGE_a_ellipse)*SQRT(1-((AN607+Fuselage!$D$366)/(Fuselage!$K$364-FUSELAGE_t_fuselage))^2),IF(AN607&gt;$L$2505+Fuselage!$K$370,FUSELAGE_a_ellipse,(FUSELAGE_a_ellipse+FUSELAGE_t_fuselage-FUSELAGE_d_fo/4)/Fuselage!$K$368*(AN607-$L$2505-Fuselage!$K$370)+FUSELAGE_a_ellipse))</f>
        <v>1.4960570012328709</v>
      </c>
      <c r="AQ607" s="128" t="s">
        <v>213</v>
      </c>
      <c r="AR607" s="128">
        <f t="shared" ca="1" si="88"/>
        <v>-10.347000000000001</v>
      </c>
      <c r="AS607" s="129">
        <f t="shared" ca="1" si="89"/>
        <v>-1.4960570012328709</v>
      </c>
      <c r="BD607" s="157"/>
    </row>
    <row r="608" spans="2:56">
      <c r="B608" s="156"/>
      <c r="C608" s="128" t="s">
        <v>286</v>
      </c>
      <c r="D608" s="128">
        <f ca="1">D607</f>
        <v>-10.532000000000002</v>
      </c>
      <c r="E608" s="139">
        <f ca="1">E607-P597</f>
        <v>0.81999999999999984</v>
      </c>
      <c r="G608" s="128" t="s">
        <v>286</v>
      </c>
      <c r="H608" s="128">
        <f ca="1">H607</f>
        <v>8888.43</v>
      </c>
      <c r="I608" s="139">
        <f ca="1">I607-P597</f>
        <v>8887.5</v>
      </c>
      <c r="K608" s="128" t="s">
        <v>286</v>
      </c>
      <c r="L608" s="128">
        <f ca="1">L607</f>
        <v>-10.532000000000002</v>
      </c>
      <c r="M608" s="139">
        <f ca="1">M607-P597</f>
        <v>-0.75999999999999979</v>
      </c>
      <c r="O608" s="128" t="s">
        <v>286</v>
      </c>
      <c r="P608" s="128">
        <f ca="1">P607</f>
        <v>8888</v>
      </c>
      <c r="Q608" s="139">
        <f ca="1">Q607-$T602</f>
        <v>8888</v>
      </c>
      <c r="S608" s="128" t="s">
        <v>286</v>
      </c>
      <c r="T608" s="128">
        <f ca="1">T607</f>
        <v>8888</v>
      </c>
      <c r="U608" s="139">
        <f ca="1">U607-$T600</f>
        <v>8888</v>
      </c>
      <c r="W608" s="128" t="s">
        <v>286</v>
      </c>
      <c r="X608" s="128">
        <f ca="1">X607</f>
        <v>8888</v>
      </c>
      <c r="Y608" s="139">
        <f ca="1">Y607+$T598</f>
        <v>8888</v>
      </c>
      <c r="AA608" s="143" t="s">
        <v>286</v>
      </c>
      <c r="AB608" s="128">
        <f ca="1">IF($AA604,D608,P608)</f>
        <v>-10.532000000000002</v>
      </c>
      <c r="AC608" s="129">
        <f ca="1">IF($AA604,E608,Q608)</f>
        <v>0.81999999999999984</v>
      </c>
      <c r="AE608" s="128" t="s">
        <v>286</v>
      </c>
      <c r="AF608" s="128">
        <f ca="1">IF($AE604,H608,T608)</f>
        <v>8888.43</v>
      </c>
      <c r="AG608" s="129">
        <f ca="1">IF($AE604,I608,U608)</f>
        <v>8887.5</v>
      </c>
      <c r="AI608" s="128" t="s">
        <v>286</v>
      </c>
      <c r="AJ608" s="128">
        <f ca="1">IF($AI604,L608,X608)</f>
        <v>-10.532000000000002</v>
      </c>
      <c r="AK608" s="129">
        <f ca="1">IF($AI604,M608,Y608)</f>
        <v>-0.75999999999999979</v>
      </c>
      <c r="AM608" s="128" t="s">
        <v>286</v>
      </c>
      <c r="AN608" s="128">
        <f ca="1">AN607</f>
        <v>-10.347000000000001</v>
      </c>
      <c r="AO608" s="129">
        <f ca="1">IF(AN608&gt;-Fuselage!$D$366,IF(AM604,(FUSELAGE_a_ellipse+FUSELAGE_t_fuselage)*SQRT(1-((AN608+Fuselage!$D$366)/Fuselage!$K$364)^2),(FUSELAGE_a_ellipse)*SQRT(1-((AN608+Fuselage!$D$366)/Fuselage!$K$364)^2)),IF(AN608&gt;$L$2505+Fuselage!$K$370,(IF(AM604,FUSELAGE_a_ellipse+FUSELAGE_t_fuselage,FUSELAGE_a_ellipse)),IF(AM604,(FUSELAGE_a_ellipse+FUSELAGE_t_fuselage-FUSELAGE_d_fo/4)/Fuselage!$K$368*(AN608-$L$2505-Fuselage!$K$370)+FUSELAGE_a_ellipse+FUSELAGE_t_fuselage,(FUSELAGE_a_ellipse+FUSELAGE_t_fuselage-FUSELAGE_d_fo/4)/Fuselage!$K$368*(AN608-$L$2505-Fuselage!$K$370)+FUSELAGE_a_ellipse)))</f>
        <v>1.4960570012328709</v>
      </c>
      <c r="AQ608" s="128" t="s">
        <v>286</v>
      </c>
      <c r="AR608" s="128">
        <f t="shared" ca="1" si="88"/>
        <v>-10.347000000000001</v>
      </c>
      <c r="AS608" s="129">
        <f t="shared" ca="1" si="89"/>
        <v>-1.4960570012328709</v>
      </c>
      <c r="BD608" s="157"/>
    </row>
    <row r="609" spans="2:56">
      <c r="B609" s="156"/>
      <c r="C609" s="188" t="s">
        <v>522</v>
      </c>
      <c r="D609" s="188">
        <f ca="1">D606</f>
        <v>-10.962000000000002</v>
      </c>
      <c r="E609" s="189">
        <f ca="1">E608</f>
        <v>0.81999999999999984</v>
      </c>
      <c r="F609" s="157"/>
      <c r="G609" s="2" t="s">
        <v>522</v>
      </c>
      <c r="H609" s="128">
        <f ca="1">H606</f>
        <v>8888</v>
      </c>
      <c r="I609" s="139">
        <f ca="1">I608</f>
        <v>8887.5</v>
      </c>
      <c r="K609" s="128" t="s">
        <v>522</v>
      </c>
      <c r="L609" s="128">
        <f ca="1">L606</f>
        <v>-10.962000000000002</v>
      </c>
      <c r="M609" s="139">
        <f ca="1">M608</f>
        <v>-0.75999999999999979</v>
      </c>
      <c r="O609" s="188" t="s">
        <v>522</v>
      </c>
      <c r="P609" s="188">
        <f ca="1">P606</f>
        <v>8888</v>
      </c>
      <c r="Q609" s="189">
        <f ca="1">Q608</f>
        <v>8888</v>
      </c>
      <c r="S609" s="188" t="s">
        <v>522</v>
      </c>
      <c r="T609" s="188">
        <f ca="1">T606</f>
        <v>8888</v>
      </c>
      <c r="U609" s="189">
        <f ca="1">U608</f>
        <v>8888</v>
      </c>
      <c r="W609" s="188" t="s">
        <v>522</v>
      </c>
      <c r="X609" s="188">
        <f ca="1">X606</f>
        <v>8888</v>
      </c>
      <c r="Y609" s="189">
        <f ca="1">Y608</f>
        <v>8888</v>
      </c>
      <c r="AA609" s="195" t="s">
        <v>522</v>
      </c>
      <c r="AB609" s="128">
        <f ca="1">IF($AA604,D609,P609)</f>
        <v>-10.962000000000002</v>
      </c>
      <c r="AC609" s="129">
        <f ca="1">IF($AA604,E609,Q609)</f>
        <v>0.81999999999999984</v>
      </c>
      <c r="AD609" s="157"/>
      <c r="AE609" s="2" t="s">
        <v>522</v>
      </c>
      <c r="AF609" s="188">
        <f ca="1">IF($AE604,H609,T609)</f>
        <v>8888</v>
      </c>
      <c r="AG609" s="196">
        <f ca="1">IF($AE604,I609,U609)</f>
        <v>8887.5</v>
      </c>
      <c r="AI609" s="128" t="s">
        <v>522</v>
      </c>
      <c r="AJ609" s="188">
        <f ca="1">IF($AI604,L609,X609)</f>
        <v>-10.962000000000002</v>
      </c>
      <c r="AK609" s="196">
        <f ca="1">IF($AI604,M609,Y609)</f>
        <v>-0.75999999999999979</v>
      </c>
      <c r="AM609" s="128" t="s">
        <v>522</v>
      </c>
      <c r="AN609" s="128">
        <f ca="1">AN608-X598</f>
        <v>-10.347000000000001</v>
      </c>
      <c r="AO609" s="129">
        <f ca="1">IF(AN609&gt;-Fuselage!$D$366,IF(AM604,(FUSELAGE_a_ellipse+FUSELAGE_t_fuselage)*SQRT(1-((AN609+Fuselage!$D$366)/Fuselage!$K$364)^2),(FUSELAGE_a_ellipse)*SQRT(1-((AN609+Fuselage!$D$366)/Fuselage!$K$364)^2)),IF(AN609&gt;$L$2505+Fuselage!$K$370,(IF(AM604,FUSELAGE_a_ellipse+FUSELAGE_t_fuselage,FUSELAGE_a_ellipse)),IF(AM604,(FUSELAGE_a_ellipse+FUSELAGE_t_fuselage-FUSELAGE_d_fo/4)/Fuselage!$K$368*(AN609-$L$2505-Fuselage!$K$370)+FUSELAGE_a_ellipse+FUSELAGE_t_fuselage,(FUSELAGE_a_ellipse+FUSELAGE_t_fuselage-FUSELAGE_d_fo/4)/Fuselage!$K$368*(AN609-$L$2505-Fuselage!$K$370)+FUSELAGE_a_ellipse)))</f>
        <v>1.4960570012328709</v>
      </c>
      <c r="AQ609" s="128" t="s">
        <v>522</v>
      </c>
      <c r="AR609" s="128">
        <f t="shared" ca="1" si="88"/>
        <v>-10.347000000000001</v>
      </c>
      <c r="AS609" s="129">
        <f t="shared" ca="1" si="89"/>
        <v>-1.4960570012328709</v>
      </c>
      <c r="BD609" s="157"/>
    </row>
    <row r="610" spans="2:56" ht="15" thickBot="1">
      <c r="B610" s="156"/>
      <c r="C610" s="128" t="s">
        <v>49</v>
      </c>
      <c r="D610" s="128">
        <f ca="1">IF(C604&gt;=2,D606,D609)</f>
        <v>-10.962000000000002</v>
      </c>
      <c r="E610" s="139">
        <f ca="1">IF(C604&gt;=2,E609-P599,E609)</f>
        <v>0.75999999999999979</v>
      </c>
      <c r="F610" s="157"/>
      <c r="G610" s="192" t="s">
        <v>49</v>
      </c>
      <c r="H610" s="190">
        <f ca="1">IF(G604&gt;=2,H606,H609)</f>
        <v>8888</v>
      </c>
      <c r="I610" s="191">
        <f ca="1">IF(G604&gt;=2,I609-P599,I609)</f>
        <v>8887.5</v>
      </c>
      <c r="K610" s="190" t="s">
        <v>49</v>
      </c>
      <c r="L610" s="190">
        <f ca="1">IF(K604&gt;=2,L606,L609)</f>
        <v>-10.962000000000002</v>
      </c>
      <c r="M610" s="191">
        <f ca="1">IF(K604&gt;=2,M609-P599,M609)</f>
        <v>-0.81999999999999984</v>
      </c>
      <c r="O610" s="130" t="s">
        <v>396</v>
      </c>
      <c r="P610" s="130">
        <f ca="1">P606</f>
        <v>8888</v>
      </c>
      <c r="Q610" s="140">
        <f ca="1">Q606</f>
        <v>8888</v>
      </c>
      <c r="S610" s="130" t="s">
        <v>396</v>
      </c>
      <c r="T610" s="130">
        <f ca="1">T606</f>
        <v>8888</v>
      </c>
      <c r="U610" s="140">
        <f ca="1">U606</f>
        <v>8888</v>
      </c>
      <c r="W610" s="130" t="s">
        <v>396</v>
      </c>
      <c r="X610" s="130">
        <f ca="1">X606</f>
        <v>8888</v>
      </c>
      <c r="Y610" s="140">
        <f ca="1">Y606</f>
        <v>8888</v>
      </c>
      <c r="AA610" s="143" t="s">
        <v>49</v>
      </c>
      <c r="AB610" s="128">
        <f ca="1">IF($AA604,D610,P610)</f>
        <v>-10.962000000000002</v>
      </c>
      <c r="AC610" s="129">
        <f ca="1">IF($AA604,E610,Q610)</f>
        <v>0.75999999999999979</v>
      </c>
      <c r="AD610" s="157"/>
      <c r="AE610" s="192" t="s">
        <v>49</v>
      </c>
      <c r="AF610" s="128">
        <f ca="1">IF($AE604,H610,T610)</f>
        <v>8888</v>
      </c>
      <c r="AG610" s="129">
        <f ca="1">IF($AE604,I610,U610)</f>
        <v>8887.5</v>
      </c>
      <c r="AI610" s="190" t="s">
        <v>49</v>
      </c>
      <c r="AJ610" s="128">
        <f ca="1">IF($AI604,L610,X610)</f>
        <v>-10.962000000000002</v>
      </c>
      <c r="AK610" s="129">
        <f ca="1">IF($AI604,M610,Y610)</f>
        <v>-0.81999999999999984</v>
      </c>
      <c r="AM610" s="128" t="s">
        <v>49</v>
      </c>
      <c r="AN610" s="128">
        <f ca="1">AN609</f>
        <v>-10.347000000000001</v>
      </c>
      <c r="AO610" s="129">
        <f ca="1">IF(AN610&gt;-Fuselage!$D$366,(FUSELAGE_a_ellipse)*SQRT(1-((AN610+Fuselage!$D$366)/(Fuselage!$K$364-FUSELAGE_t_fuselage))^2),IF(AN610&gt;$L$2505+Fuselage!$K$370,FUSELAGE_a_ellipse,(FUSELAGE_a_ellipse+FUSELAGE_t_fuselage-FUSELAGE_d_fo/4)/Fuselage!$K$368*(AN610-$L$2505-Fuselage!$K$370)+FUSELAGE_a_ellipse))</f>
        <v>1.4960570012328709</v>
      </c>
      <c r="AQ610" s="128" t="s">
        <v>49</v>
      </c>
      <c r="AR610" s="128">
        <f t="shared" ca="1" si="88"/>
        <v>-10.347000000000001</v>
      </c>
      <c r="AS610" s="129">
        <f t="shared" ca="1" si="89"/>
        <v>-1.4960570012328709</v>
      </c>
      <c r="BD610" s="157"/>
    </row>
    <row r="611" spans="2:56">
      <c r="B611" s="156"/>
      <c r="C611" s="128" t="s">
        <v>453</v>
      </c>
      <c r="D611" s="128">
        <f ca="1">IF(C604&gt;=2,D606+P598,D609)</f>
        <v>-10.532000000000002</v>
      </c>
      <c r="E611" s="139">
        <f ca="1">E610</f>
        <v>0.75999999999999979</v>
      </c>
      <c r="F611" s="157"/>
      <c r="G611" s="2" t="s">
        <v>453</v>
      </c>
      <c r="H611" s="128">
        <f ca="1">IF(G604&gt;=2,H607,H609)</f>
        <v>8888</v>
      </c>
      <c r="I611" s="139">
        <f ca="1">IF(G604&gt;=2,I610,I609)</f>
        <v>8887.5</v>
      </c>
      <c r="K611" s="128" t="s">
        <v>453</v>
      </c>
      <c r="L611" s="128">
        <f ca="1">IF(K604&gt;=2,IF(X599,IF(K604=2,L606+P598/4,L606+P598),L606+P598),L609)</f>
        <v>-10.532000000000002</v>
      </c>
      <c r="M611" s="139">
        <f ca="1">IF(K604&gt;=2,M610,M609)</f>
        <v>-0.81999999999999984</v>
      </c>
      <c r="AA611" s="143" t="s">
        <v>453</v>
      </c>
      <c r="AB611" s="128">
        <f ca="1">IF($AA604,D611,AB610)</f>
        <v>-10.532000000000002</v>
      </c>
      <c r="AC611" s="129">
        <f ca="1">IF($AA604,E611,AC610)</f>
        <v>0.75999999999999979</v>
      </c>
      <c r="AD611" s="157"/>
      <c r="AE611" s="2" t="s">
        <v>453</v>
      </c>
      <c r="AF611" s="128">
        <f ca="1">IF($AE604,H611,AF610)</f>
        <v>8888</v>
      </c>
      <c r="AG611" s="129">
        <f ca="1">IF($AE604,I611,AG610)</f>
        <v>8887.5</v>
      </c>
      <c r="AI611" s="128" t="s">
        <v>453</v>
      </c>
      <c r="AJ611" s="128">
        <f ca="1">IF($AI604,L611,AJ610)</f>
        <v>-10.532000000000002</v>
      </c>
      <c r="AK611" s="129">
        <f ca="1">IF($AI604,M611,AK610)</f>
        <v>-0.81999999999999984</v>
      </c>
      <c r="AM611" s="128" t="s">
        <v>453</v>
      </c>
      <c r="AN611" s="128">
        <f ca="1">L597</f>
        <v>-10.962000000000002</v>
      </c>
      <c r="AO611" s="129">
        <f ca="1">IF(AN611&gt;-Fuselage!$D$366,(FUSELAGE_a_ellipse)*SQRT(1-((AN611+Fuselage!$D$366)/(Fuselage!$K$364-FUSELAGE_t_fuselage))^2),IF(AN611&gt;$L$2505+Fuselage!$K$370,FUSELAGE_a_ellipse,(FUSELAGE_a_ellipse+FUSELAGE_t_fuselage-FUSELAGE_d_fo/4)/Fuselage!$K$368*(AN611-$L$2505-Fuselage!$K$370)+FUSELAGE_a_ellipse))</f>
        <v>1.4960570012328709</v>
      </c>
      <c r="AQ611" s="128" t="s">
        <v>453</v>
      </c>
      <c r="AR611" s="128">
        <f t="shared" ca="1" si="88"/>
        <v>-10.962000000000002</v>
      </c>
      <c r="AS611" s="129">
        <f t="shared" ca="1" si="89"/>
        <v>-1.4960570012328709</v>
      </c>
      <c r="BD611" s="157"/>
    </row>
    <row r="612" spans="2:56">
      <c r="B612" s="156"/>
      <c r="C612" s="128" t="s">
        <v>394</v>
      </c>
      <c r="D612" s="128">
        <f ca="1">IF(C604&gt;=2,D611,D609)</f>
        <v>-10.532000000000002</v>
      </c>
      <c r="E612" s="139">
        <f ca="1">IF(C604&gt;=2,E610-P597,E609)</f>
        <v>0.25999999999999979</v>
      </c>
      <c r="F612" s="157"/>
      <c r="G612" s="2" t="s">
        <v>394</v>
      </c>
      <c r="H612" s="128">
        <f ca="1">IF(G604&gt;=2,H607,H609)</f>
        <v>8888</v>
      </c>
      <c r="I612" s="139">
        <f ca="1">IF(G604&gt;=2,I611-P597,I609)</f>
        <v>8887.5</v>
      </c>
      <c r="K612" s="128" t="s">
        <v>394</v>
      </c>
      <c r="L612" s="128">
        <f ca="1">L611</f>
        <v>-10.532000000000002</v>
      </c>
      <c r="M612" s="139">
        <f ca="1">IF(K604&gt;=2,M611-P597,M609)</f>
        <v>-1.3199999999999998</v>
      </c>
      <c r="AA612" s="143" t="s">
        <v>394</v>
      </c>
      <c r="AB612" s="128">
        <f ca="1">IF($AA604,D612,AB610)</f>
        <v>-10.532000000000002</v>
      </c>
      <c r="AC612" s="129">
        <f ca="1">IF($AA604,E612,AC610)</f>
        <v>0.25999999999999979</v>
      </c>
      <c r="AD612" s="157"/>
      <c r="AE612" s="2" t="s">
        <v>394</v>
      </c>
      <c r="AF612" s="128">
        <f ca="1">IF($AE604,H612,AF610)</f>
        <v>8888</v>
      </c>
      <c r="AG612" s="129">
        <f ca="1">IF($AE604,I612,AG610)</f>
        <v>8887.5</v>
      </c>
      <c r="AI612" s="128" t="s">
        <v>394</v>
      </c>
      <c r="AJ612" s="128">
        <f ca="1">IF($AI604,L612,AJ610)</f>
        <v>-10.532000000000002</v>
      </c>
      <c r="AK612" s="129">
        <f ca="1">IF($AI604,M612,AK610)</f>
        <v>-1.3199999999999998</v>
      </c>
      <c r="BD612" s="157"/>
    </row>
    <row r="613" spans="2:56">
      <c r="B613" s="156"/>
      <c r="C613" s="188" t="s">
        <v>454</v>
      </c>
      <c r="D613" s="188">
        <f ca="1">IF(C604&gt;=2,D606,D609)</f>
        <v>-10.962000000000002</v>
      </c>
      <c r="E613" s="189">
        <f ca="1">E612</f>
        <v>0.25999999999999979</v>
      </c>
      <c r="F613" s="157"/>
      <c r="G613" s="115" t="s">
        <v>454</v>
      </c>
      <c r="H613" s="188">
        <f ca="1">IF(G604&gt;=2,H606,H609)</f>
        <v>8888</v>
      </c>
      <c r="I613" s="189">
        <f ca="1">IF(G604&gt;=2,I612,I609)</f>
        <v>8887.5</v>
      </c>
      <c r="K613" s="188" t="s">
        <v>454</v>
      </c>
      <c r="L613" s="188">
        <f ca="1">IF(K604&gt;=2,L606,L609)</f>
        <v>-10.962000000000002</v>
      </c>
      <c r="M613" s="189">
        <f ca="1">IF(K604&gt;=2,M612,M609)</f>
        <v>-1.3199999999999998</v>
      </c>
      <c r="AA613" s="195" t="s">
        <v>454</v>
      </c>
      <c r="AB613" s="128">
        <f ca="1">IF($AA604,D613,AB610)</f>
        <v>-10.962000000000002</v>
      </c>
      <c r="AC613" s="129">
        <f ca="1">IF($AA604,E613,AC610)</f>
        <v>0.25999999999999979</v>
      </c>
      <c r="AD613" s="157"/>
      <c r="AE613" s="115" t="s">
        <v>454</v>
      </c>
      <c r="AF613" s="188">
        <f ca="1">IF($AE604,H613,AF610)</f>
        <v>8888</v>
      </c>
      <c r="AG613" s="196">
        <f ca="1">IF($AE604,I613,AG610)</f>
        <v>8887.5</v>
      </c>
      <c r="AI613" s="188" t="s">
        <v>454</v>
      </c>
      <c r="AJ613" s="188">
        <f ca="1">IF($AI604,L613,AJ610)</f>
        <v>-10.962000000000002</v>
      </c>
      <c r="AK613" s="196">
        <f ca="1">IF($AI604,M613,AK610)</f>
        <v>-1.3199999999999998</v>
      </c>
      <c r="BD613" s="157"/>
    </row>
    <row r="614" spans="2:56">
      <c r="B614" s="156"/>
      <c r="C614" s="128" t="s">
        <v>507</v>
      </c>
      <c r="D614" s="128">
        <f ca="1">IF(C604&gt;=3,D606,D613)</f>
        <v>-10.962000000000002</v>
      </c>
      <c r="E614" s="139">
        <f ca="1">IF(C604&gt;=3,E613-P599,E613)</f>
        <v>0.25999999999999979</v>
      </c>
      <c r="F614" s="157"/>
      <c r="G614" s="2" t="s">
        <v>507</v>
      </c>
      <c r="H614" s="128">
        <f ca="1">IF(G604&gt;=3,H606,H613)</f>
        <v>8888</v>
      </c>
      <c r="I614" s="139">
        <f ca="1">IF(G604&gt;=3,I613-P599,I613)</f>
        <v>8887.5</v>
      </c>
      <c r="K614" s="128" t="s">
        <v>507</v>
      </c>
      <c r="L614" s="128">
        <f ca="1">IF(K604&gt;=3,L606,L613)</f>
        <v>-10.962000000000002</v>
      </c>
      <c r="M614" s="139">
        <f ca="1">IF(K604&gt;=3,M613-P599,M613)</f>
        <v>-1.3199999999999998</v>
      </c>
      <c r="AA614" s="143" t="s">
        <v>507</v>
      </c>
      <c r="AB614" s="128">
        <f ca="1">IF($AA604,D614,AB610)</f>
        <v>-10.962000000000002</v>
      </c>
      <c r="AC614" s="129">
        <f ca="1">IF($AA604,E614,AC610)</f>
        <v>0.25999999999999979</v>
      </c>
      <c r="AD614" s="157"/>
      <c r="AE614" s="2" t="s">
        <v>507</v>
      </c>
      <c r="AF614" s="128">
        <f ca="1">IF($AE604,H614,AF610)</f>
        <v>8888</v>
      </c>
      <c r="AG614" s="129">
        <f ca="1">IF($AE604,I614,AG610)</f>
        <v>8887.5</v>
      </c>
      <c r="AI614" s="128" t="s">
        <v>507</v>
      </c>
      <c r="AJ614" s="128">
        <f ca="1">IF($AI604,L614,AJ610)</f>
        <v>-10.962000000000002</v>
      </c>
      <c r="AK614" s="129">
        <f ca="1">IF($AI604,M614,AK610)</f>
        <v>-1.3199999999999998</v>
      </c>
      <c r="BD614" s="157"/>
    </row>
    <row r="615" spans="2:56">
      <c r="B615" s="156"/>
      <c r="C615" s="128" t="s">
        <v>455</v>
      </c>
      <c r="D615" s="128">
        <f ca="1">IF(C604&gt;=3,D611,D613)</f>
        <v>-10.962000000000002</v>
      </c>
      <c r="E615" s="139">
        <f ca="1">E614</f>
        <v>0.25999999999999979</v>
      </c>
      <c r="F615" s="157"/>
      <c r="G615" s="2" t="s">
        <v>455</v>
      </c>
      <c r="H615" s="128">
        <f ca="1">IF(G604&gt;=3,H607,H613)</f>
        <v>8888</v>
      </c>
      <c r="I615" s="139">
        <f ca="1">IF(G604&gt;=3,I614,I613)</f>
        <v>8887.5</v>
      </c>
      <c r="K615" s="128" t="s">
        <v>455</v>
      </c>
      <c r="L615" s="128">
        <f ca="1">IF(K604&gt;=3,IF(X599,IF(K604=3,L606+P598/4,L606+P598),L606+P598),L609)</f>
        <v>-10.962000000000002</v>
      </c>
      <c r="M615" s="139">
        <f ca="1">IF(K604&gt;=3,M614,M613)</f>
        <v>-1.3199999999999998</v>
      </c>
      <c r="AA615" s="143" t="s">
        <v>455</v>
      </c>
      <c r="AB615" s="128">
        <f ca="1">IF($AA604,D615,AB610)</f>
        <v>-10.962000000000002</v>
      </c>
      <c r="AC615" s="129">
        <f ca="1">IF($AA604,E615,AC610)</f>
        <v>0.25999999999999979</v>
      </c>
      <c r="AD615" s="157"/>
      <c r="AE615" s="2" t="s">
        <v>455</v>
      </c>
      <c r="AF615" s="128">
        <f ca="1">IF($AE604,H615,AF610)</f>
        <v>8888</v>
      </c>
      <c r="AG615" s="129">
        <f ca="1">IF($AE604,I615,AG610)</f>
        <v>8887.5</v>
      </c>
      <c r="AI615" s="128" t="s">
        <v>455</v>
      </c>
      <c r="AJ615" s="128">
        <f ca="1">IF($AI604,L615,AJ610)</f>
        <v>-10.962000000000002</v>
      </c>
      <c r="AK615" s="129">
        <f ca="1">IF($AI604,M615,AK610)</f>
        <v>-1.3199999999999998</v>
      </c>
      <c r="AL615" s="156"/>
      <c r="BD615" s="157"/>
    </row>
    <row r="616" spans="2:56">
      <c r="B616" s="156"/>
      <c r="C616" s="128" t="s">
        <v>311</v>
      </c>
      <c r="D616" s="128">
        <f ca="1">IF(C604&gt;=3,D611,D613)</f>
        <v>-10.962000000000002</v>
      </c>
      <c r="E616" s="139">
        <f ca="1">IF(C604&gt;=3,E615-P597,E613)</f>
        <v>0.25999999999999979</v>
      </c>
      <c r="F616" s="157"/>
      <c r="G616" s="2" t="s">
        <v>311</v>
      </c>
      <c r="H616" s="128">
        <f ca="1">IF(G604&gt;=3,H607,H613)</f>
        <v>8888</v>
      </c>
      <c r="I616" s="139">
        <f ca="1">IF(G604&gt;=3,I615-P597,I613)</f>
        <v>8887.5</v>
      </c>
      <c r="K616" s="128" t="s">
        <v>311</v>
      </c>
      <c r="L616" s="128">
        <f ca="1">L615</f>
        <v>-10.962000000000002</v>
      </c>
      <c r="M616" s="139">
        <f ca="1">IF(K604&gt;=3,M615-P597,M613)</f>
        <v>-1.3199999999999998</v>
      </c>
      <c r="AA616" s="143" t="s">
        <v>311</v>
      </c>
      <c r="AB616" s="128">
        <f ca="1">IF($AA604,D616,AB610)</f>
        <v>-10.962000000000002</v>
      </c>
      <c r="AC616" s="129">
        <f ca="1">IF($AA604,E616,AC610)</f>
        <v>0.25999999999999979</v>
      </c>
      <c r="AD616" s="157"/>
      <c r="AE616" s="2" t="s">
        <v>311</v>
      </c>
      <c r="AF616" s="128">
        <f ca="1">IF($AE604,H616,AF610)</f>
        <v>8888</v>
      </c>
      <c r="AG616" s="129">
        <f ca="1">IF($AE604,I616,AG610)</f>
        <v>8887.5</v>
      </c>
      <c r="AI616" s="128" t="s">
        <v>311</v>
      </c>
      <c r="AJ616" s="128">
        <f ca="1">IF($AI604,L616,AJ610)</f>
        <v>-10.962000000000002</v>
      </c>
      <c r="AK616" s="129">
        <f ca="1">IF($AI604,M616,AK610)</f>
        <v>-1.3199999999999998</v>
      </c>
      <c r="AL616" s="156"/>
      <c r="BD616" s="157"/>
    </row>
    <row r="617" spans="2:56">
      <c r="B617" s="156"/>
      <c r="C617" s="188" t="s">
        <v>35</v>
      </c>
      <c r="D617" s="188">
        <f ca="1">IF(C604&gt;=3,D606,D613)</f>
        <v>-10.962000000000002</v>
      </c>
      <c r="E617" s="189">
        <f ca="1">E616</f>
        <v>0.25999999999999979</v>
      </c>
      <c r="F617" s="157"/>
      <c r="G617" s="2" t="s">
        <v>35</v>
      </c>
      <c r="H617" s="188">
        <f ca="1">IF(G604&gt;=3,H606,H613)</f>
        <v>8888</v>
      </c>
      <c r="I617" s="189">
        <f ca="1">IF(G604&gt;=3,I616,I613)</f>
        <v>8887.5</v>
      </c>
      <c r="K617" s="188" t="s">
        <v>35</v>
      </c>
      <c r="L617" s="188">
        <f ca="1">IF(K604&gt;=3,L606,L613)</f>
        <v>-10.962000000000002</v>
      </c>
      <c r="M617" s="189">
        <f ca="1">IF(K604&gt;=3,M616,M613)</f>
        <v>-1.3199999999999998</v>
      </c>
      <c r="AA617" s="143" t="s">
        <v>35</v>
      </c>
      <c r="AB617" s="128">
        <f ca="1">IF($AA604,D617,AB610)</f>
        <v>-10.962000000000002</v>
      </c>
      <c r="AC617" s="129">
        <f ca="1">IF($AA604,E617,AC610)</f>
        <v>0.25999999999999979</v>
      </c>
      <c r="AD617" s="157"/>
      <c r="AE617" s="2" t="s">
        <v>35</v>
      </c>
      <c r="AF617" s="188">
        <f ca="1">IF($AE604,H617,AF610)</f>
        <v>8888</v>
      </c>
      <c r="AG617" s="196">
        <f ca="1">IF($AE604,I617,AG610)</f>
        <v>8887.5</v>
      </c>
      <c r="AI617" s="128" t="s">
        <v>35</v>
      </c>
      <c r="AJ617" s="128">
        <f ca="1">IF($AI604,L617,AJ610)</f>
        <v>-10.962000000000002</v>
      </c>
      <c r="AK617" s="129">
        <f ca="1">IF($AI604,M617,AK610)</f>
        <v>-1.3199999999999998</v>
      </c>
      <c r="AL617" s="156"/>
      <c r="BD617" s="157"/>
    </row>
    <row r="618" spans="2:56" ht="15" thickBot="1">
      <c r="B618" s="156"/>
      <c r="C618" s="130" t="s">
        <v>396</v>
      </c>
      <c r="D618" s="130">
        <f ca="1">D606</f>
        <v>-10.962000000000002</v>
      </c>
      <c r="E618" s="140">
        <f ca="1">E606</f>
        <v>1.3199999999999998</v>
      </c>
      <c r="F618" s="157"/>
      <c r="G618" s="192" t="s">
        <v>312</v>
      </c>
      <c r="H618" s="128">
        <f ca="1">IF(G604&gt;=4,H606,H617)</f>
        <v>8888</v>
      </c>
      <c r="I618" s="139">
        <f ca="1">IF(G604&gt;=4,I617-P599,I617)</f>
        <v>8887.5</v>
      </c>
      <c r="K618" s="130" t="s">
        <v>396</v>
      </c>
      <c r="L618" s="130">
        <f ca="1">L606</f>
        <v>-10.962000000000002</v>
      </c>
      <c r="M618" s="140">
        <f ca="1">M606</f>
        <v>-0.25999999999999979</v>
      </c>
      <c r="AA618" s="144" t="s">
        <v>396</v>
      </c>
      <c r="AB618" s="130">
        <f ca="1">IF($AA604,D618,AB610)</f>
        <v>-10.962000000000002</v>
      </c>
      <c r="AC618" s="132">
        <f ca="1">IF($AA604,E618,AC610)</f>
        <v>1.3199999999999998</v>
      </c>
      <c r="AD618" s="157"/>
      <c r="AE618" s="192" t="s">
        <v>312</v>
      </c>
      <c r="AF618" s="128">
        <f ca="1">IF($AE604,H618,AF610)</f>
        <v>8888</v>
      </c>
      <c r="AG618" s="129">
        <f ca="1">IF($AE604,I618,AG610)</f>
        <v>8887.5</v>
      </c>
      <c r="AI618" s="130" t="s">
        <v>396</v>
      </c>
      <c r="AJ618" s="130">
        <f ca="1">IF($AI604,L618,AJ610)</f>
        <v>-10.962000000000002</v>
      </c>
      <c r="AK618" s="132">
        <f ca="1">IF($AI604,M618,AK610)</f>
        <v>-0.25999999999999979</v>
      </c>
      <c r="BD618" s="157"/>
    </row>
    <row r="619" spans="2:56">
      <c r="B619" s="156"/>
      <c r="F619" s="157"/>
      <c r="G619" s="2" t="s">
        <v>313</v>
      </c>
      <c r="H619" s="128">
        <f ca="1">IF(G604&gt;=4,H607,H617)</f>
        <v>8888</v>
      </c>
      <c r="I619" s="139">
        <f ca="1">IF(G604&gt;=4,I618,I617)</f>
        <v>8887.5</v>
      </c>
      <c r="AD619" s="157"/>
      <c r="AE619" s="2" t="s">
        <v>313</v>
      </c>
      <c r="AF619" s="128">
        <f ca="1">IF($AE604,H619,AF610)</f>
        <v>8888</v>
      </c>
      <c r="AG619" s="129">
        <f ca="1">IF($AE604,I619,AG610)</f>
        <v>8887.5</v>
      </c>
      <c r="BD619" s="157"/>
    </row>
    <row r="620" spans="2:56">
      <c r="B620" s="156"/>
      <c r="F620" s="157"/>
      <c r="G620" s="2" t="s">
        <v>7</v>
      </c>
      <c r="H620" s="128">
        <f ca="1">IF(G604&gt;=4,H607,H617)</f>
        <v>8888</v>
      </c>
      <c r="I620" s="139">
        <f ca="1">IF(G604&gt;=4,I619-P597,I617)</f>
        <v>8887.5</v>
      </c>
      <c r="AD620" s="157"/>
      <c r="AE620" s="2" t="s">
        <v>7</v>
      </c>
      <c r="AF620" s="128">
        <f ca="1">IF($AE604,H620,AF610)</f>
        <v>8888</v>
      </c>
      <c r="AG620" s="129">
        <f ca="1">IF($AE604,I620,AG610)</f>
        <v>8887.5</v>
      </c>
      <c r="BD620" s="157"/>
    </row>
    <row r="621" spans="2:56">
      <c r="B621" s="156"/>
      <c r="F621" s="157"/>
      <c r="G621" s="115" t="s">
        <v>8</v>
      </c>
      <c r="H621" s="188">
        <f ca="1">IF(G604&gt;=4,H606,H617)</f>
        <v>8888</v>
      </c>
      <c r="I621" s="189">
        <f ca="1">IF(G604&gt;=4,I620,I617)</f>
        <v>8887.5</v>
      </c>
      <c r="AD621" s="157"/>
      <c r="AE621" s="115" t="s">
        <v>8</v>
      </c>
      <c r="AF621" s="188">
        <f ca="1">IF($AE604,H621,AF610)</f>
        <v>8888</v>
      </c>
      <c r="AG621" s="196">
        <f ca="1">IF($AE604,I621,AG610)</f>
        <v>8887.5</v>
      </c>
      <c r="BD621" s="157"/>
    </row>
    <row r="622" spans="2:56">
      <c r="B622" s="156"/>
      <c r="F622" s="157"/>
      <c r="G622" s="2" t="s">
        <v>9</v>
      </c>
      <c r="H622" s="128">
        <f ca="1">IF(G604&gt;=5,H606,H621)</f>
        <v>8888</v>
      </c>
      <c r="I622" s="139">
        <f ca="1">IF(G604&gt;=5,I621-P599,I621)</f>
        <v>8887.5</v>
      </c>
      <c r="AD622" s="157"/>
      <c r="AE622" s="2" t="s">
        <v>9</v>
      </c>
      <c r="AF622" s="128">
        <f ca="1">IF($AE604,H622,AF610)</f>
        <v>8888</v>
      </c>
      <c r="AG622" s="129">
        <f ca="1">IF($AE604,I622,AG610)</f>
        <v>8887.5</v>
      </c>
      <c r="BD622" s="157"/>
    </row>
    <row r="623" spans="2:56">
      <c r="B623" s="156"/>
      <c r="F623" s="157"/>
      <c r="G623" s="2" t="s">
        <v>196</v>
      </c>
      <c r="H623" s="128">
        <f ca="1">IF(G604&gt;=5,H607,H621)</f>
        <v>8888</v>
      </c>
      <c r="I623" s="139">
        <f ca="1">IF(G604&gt;=5,I622,I621)</f>
        <v>8887.5</v>
      </c>
      <c r="AD623" s="157"/>
      <c r="AE623" s="2" t="s">
        <v>196</v>
      </c>
      <c r="AF623" s="128">
        <f ca="1">IF($AE604,H623,AF610)</f>
        <v>8888</v>
      </c>
      <c r="AG623" s="129">
        <f ca="1">IF($AE604,I623,AG610)</f>
        <v>8887.5</v>
      </c>
      <c r="BD623" s="157"/>
    </row>
    <row r="624" spans="2:56">
      <c r="B624" s="156"/>
      <c r="F624" s="157"/>
      <c r="G624" s="2" t="s">
        <v>10</v>
      </c>
      <c r="H624" s="128">
        <f ca="1">IF(G604&gt;=5,H607,H621)</f>
        <v>8888</v>
      </c>
      <c r="I624" s="139">
        <f ca="1">IF(G604&gt;=5,I623-P597,I621)</f>
        <v>8887.5</v>
      </c>
      <c r="AD624" s="157"/>
      <c r="AE624" s="2" t="s">
        <v>10</v>
      </c>
      <c r="AF624" s="128">
        <f ca="1">IF($AE604,H624,AF610)</f>
        <v>8888</v>
      </c>
      <c r="AG624" s="129">
        <f ca="1">IF($AE604,I624,AG610)</f>
        <v>8887.5</v>
      </c>
      <c r="BD624" s="157"/>
    </row>
    <row r="625" spans="2:56">
      <c r="B625" s="156"/>
      <c r="F625" s="157"/>
      <c r="G625" s="2" t="s">
        <v>161</v>
      </c>
      <c r="H625" s="188">
        <f ca="1">IF(G604&gt;=5,H606,H621)</f>
        <v>8888</v>
      </c>
      <c r="I625" s="189">
        <f ca="1">IF(G604&gt;=5,I624,I621)</f>
        <v>8887.5</v>
      </c>
      <c r="AD625" s="157"/>
      <c r="AE625" s="2" t="s">
        <v>161</v>
      </c>
      <c r="AF625" s="188">
        <f ca="1">IF($AE604,H625,AF610)</f>
        <v>8888</v>
      </c>
      <c r="AG625" s="196">
        <f ca="1">IF($AE604,I625,AG610)</f>
        <v>8887.5</v>
      </c>
      <c r="BD625" s="157"/>
    </row>
    <row r="626" spans="2:56">
      <c r="B626" s="156"/>
      <c r="F626" s="157"/>
      <c r="G626" s="192" t="s">
        <v>11</v>
      </c>
      <c r="H626" s="128">
        <f ca="1">IF(G604&gt;=6,H606,H625)</f>
        <v>8888</v>
      </c>
      <c r="I626" s="139">
        <f ca="1">IF(G604&gt;=6,I625-P599,I625)</f>
        <v>8887.5</v>
      </c>
      <c r="AD626" s="157"/>
      <c r="AE626" s="192" t="s">
        <v>11</v>
      </c>
      <c r="AF626" s="128">
        <f ca="1">IF($AE604,H626,AF610)</f>
        <v>8888</v>
      </c>
      <c r="AG626" s="129">
        <f ca="1">IF($AE604,I626,AG610)</f>
        <v>8887.5</v>
      </c>
      <c r="BD626" s="157"/>
    </row>
    <row r="627" spans="2:56">
      <c r="B627" s="156"/>
      <c r="F627" s="157"/>
      <c r="G627" s="2" t="s">
        <v>12</v>
      </c>
      <c r="H627" s="128">
        <f ca="1">IF(G604&gt;=6,H607,H625)</f>
        <v>8888</v>
      </c>
      <c r="I627" s="139">
        <f ca="1">IF(G604&gt;=6,I626,I625)</f>
        <v>8887.5</v>
      </c>
      <c r="AD627" s="157"/>
      <c r="AE627" s="2" t="s">
        <v>12</v>
      </c>
      <c r="AF627" s="128">
        <f ca="1">IF($AE604,H627,AF610)</f>
        <v>8888</v>
      </c>
      <c r="AG627" s="129">
        <f ca="1">IF($AE604,I627,AG610)</f>
        <v>8887.5</v>
      </c>
      <c r="BD627" s="157"/>
    </row>
    <row r="628" spans="2:56">
      <c r="B628" s="156"/>
      <c r="F628" s="157"/>
      <c r="G628" s="2" t="s">
        <v>13</v>
      </c>
      <c r="H628" s="128">
        <f ca="1">IF(G604&gt;=6,H607,H625)</f>
        <v>8888</v>
      </c>
      <c r="I628" s="139">
        <f ca="1">IF(G604&gt;=6,I627-P597,I625)</f>
        <v>8887.5</v>
      </c>
      <c r="AD628" s="157"/>
      <c r="AE628" s="2" t="s">
        <v>13</v>
      </c>
      <c r="AF628" s="128">
        <f ca="1">IF($AE604,H628,AF610)</f>
        <v>8888</v>
      </c>
      <c r="AG628" s="129">
        <f ca="1">IF($AE604,I628,AG610)</f>
        <v>8887.5</v>
      </c>
      <c r="BD628" s="157"/>
    </row>
    <row r="629" spans="2:56">
      <c r="B629" s="156"/>
      <c r="F629" s="157"/>
      <c r="G629" s="115" t="s">
        <v>14</v>
      </c>
      <c r="H629" s="188">
        <f ca="1">IF(G604&gt;=6,H606,H625)</f>
        <v>8888</v>
      </c>
      <c r="I629" s="189">
        <f ca="1">IF(G604&gt;=6,I628,I625)</f>
        <v>8887.5</v>
      </c>
      <c r="AD629" s="157"/>
      <c r="AE629" s="115" t="s">
        <v>14</v>
      </c>
      <c r="AF629" s="188">
        <f ca="1">IF($AE604,H629,AF610)</f>
        <v>8888</v>
      </c>
      <c r="AG629" s="196">
        <f ca="1">IF($AE604,I629,AG610)</f>
        <v>8887.5</v>
      </c>
      <c r="BD629" s="157"/>
    </row>
    <row r="630" spans="2:56" ht="15" thickBot="1">
      <c r="B630" s="156"/>
      <c r="G630" s="130" t="s">
        <v>396</v>
      </c>
      <c r="H630" s="130">
        <f ca="1">H606</f>
        <v>8888</v>
      </c>
      <c r="I630" s="140">
        <f ca="1">I606</f>
        <v>8888</v>
      </c>
      <c r="AE630" s="130" t="s">
        <v>396</v>
      </c>
      <c r="AF630" s="130">
        <f ca="1">IF($AE604,H630,AF610)</f>
        <v>8888</v>
      </c>
      <c r="AG630" s="132">
        <f ca="1">IF($AE604,I630,AG610)</f>
        <v>8888</v>
      </c>
      <c r="BD630" s="157"/>
    </row>
    <row r="631" spans="2:56">
      <c r="B631" s="156"/>
      <c r="BD631" s="157"/>
    </row>
    <row r="632" spans="2:56">
      <c r="B632" s="156"/>
      <c r="BD632" s="157"/>
    </row>
    <row r="633" spans="2:56">
      <c r="B633" s="156"/>
      <c r="C633" s="200" t="s">
        <v>336</v>
      </c>
      <c r="D633">
        <f>D597+1</f>
        <v>13</v>
      </c>
      <c r="G633" s="200" t="s">
        <v>638</v>
      </c>
      <c r="H633">
        <f ca="1">LOOKUP(D636,$C$191:$C$196,$D$191:$D$196)</f>
        <v>0</v>
      </c>
      <c r="K633" s="200" t="s">
        <v>644</v>
      </c>
      <c r="L633">
        <f ca="1">L597-H638</f>
        <v>-11.762000000000002</v>
      </c>
      <c r="O633" s="200" t="s">
        <v>404</v>
      </c>
      <c r="P633">
        <f ca="1">IF(D635=1,SEAT_w_cushion_FC,IF(D635=2,SEAT_w_cushion_BC,IF(D635=3,SEAT_w_cushion_YC,0)))</f>
        <v>0.5</v>
      </c>
      <c r="S633" s="200" t="s">
        <v>647</v>
      </c>
      <c r="T633">
        <f ca="1">LOOKUP(D636,$C$191:$C$196,$E$191:$E$196)</f>
        <v>0</v>
      </c>
      <c r="W633" t="s">
        <v>130</v>
      </c>
      <c r="X633" t="str">
        <f ca="1">OFFSET(Fuselage!$B$275,D633,5)</f>
        <v>Type III</v>
      </c>
      <c r="AN633" s="200" t="s">
        <v>135</v>
      </c>
      <c r="AO633">
        <f ca="1">MAX(0,H638-MAX(T633,T635,T637,P634)-X634)</f>
        <v>0</v>
      </c>
      <c r="BD633" s="157"/>
    </row>
    <row r="634" spans="2:56">
      <c r="B634" s="156"/>
      <c r="C634" s="200" t="s">
        <v>200</v>
      </c>
      <c r="D634">
        <f ca="1">OFFSET(Fuselage!$B$275,D633,0)</f>
        <v>12</v>
      </c>
      <c r="G634" s="200" t="s">
        <v>639</v>
      </c>
      <c r="H634">
        <f ca="1">LOOKUP(D637,$C$191:$C$196,$D$191:$D$196)</f>
        <v>0</v>
      </c>
      <c r="O634" s="200" t="s">
        <v>535</v>
      </c>
      <c r="P634">
        <f ca="1">IF(D635=1,SEAT_length_FC,IF(D635=2,SEAT_length_BC,IF(D635=3,SEAT_length_YC,0)))</f>
        <v>0.43</v>
      </c>
      <c r="S634" s="200" t="s">
        <v>648</v>
      </c>
      <c r="T634">
        <f ca="1">LOOKUP(D636,$C$191:$C$196,$F$191:$F$196)</f>
        <v>0</v>
      </c>
      <c r="W634" t="s">
        <v>131</v>
      </c>
      <c r="X634">
        <f ca="1">LOOKUP(X633,$I$191:$I$198,$J$191:$J$198)</f>
        <v>0.50800000000000001</v>
      </c>
      <c r="BD634" s="157"/>
    </row>
    <row r="635" spans="2:56">
      <c r="B635" s="156"/>
      <c r="C635" s="200" t="s">
        <v>337</v>
      </c>
      <c r="D635">
        <f ca="1">OFFSET(Fuselage!$B$275,D633,4)</f>
        <v>3</v>
      </c>
      <c r="G635" s="200" t="s">
        <v>309</v>
      </c>
      <c r="H635">
        <f ca="1">LOOKUP(D638,$C$191:$C$196,$D$191:$D$196)</f>
        <v>0</v>
      </c>
      <c r="K635" s="200" t="s">
        <v>645</v>
      </c>
      <c r="L635">
        <f ca="1">IF(D635=1,FUSELAGE_nseats_left_FC,IF(D635=2,FUSELAGE_nseats_left_BC,IF(D635=3,FUSELAGE_nseats_left_YC,0)))</f>
        <v>2</v>
      </c>
      <c r="O635" s="200" t="s">
        <v>405</v>
      </c>
      <c r="P635">
        <f ca="1">IF(D635=1,SEAT_w_armrest_FC,IF(D635=2,SEAT_w_armrest_BC,IF(D635=3,SEAT_w_armrest_YC,0)))</f>
        <v>0.06</v>
      </c>
      <c r="S635" s="200" t="s">
        <v>652</v>
      </c>
      <c r="T635">
        <f ca="1">LOOKUP(D637,$C$191:$C$196,$E$191:$E$196)</f>
        <v>0</v>
      </c>
      <c r="W635" s="200" t="s">
        <v>393</v>
      </c>
      <c r="X635" t="b">
        <f ca="1">IF(OFFSET(Fuselage!$B$275,D633,6)="YES",TRUE(),FALSE())</f>
        <v>0</v>
      </c>
      <c r="BD635" s="157"/>
    </row>
    <row r="636" spans="2:56">
      <c r="B636" s="156"/>
      <c r="C636" s="200" t="s">
        <v>640</v>
      </c>
      <c r="D636" t="str">
        <f ca="1">OFFSET(Fuselage!$B$275,D633,1)</f>
        <v>None</v>
      </c>
      <c r="G636" s="200" t="s">
        <v>132</v>
      </c>
      <c r="H636">
        <f ca="1">IF(D635=1,SEAT_pitch_FC,IF(D635=2,SEAT_pitch_BC,IF(D635=3,SEAT_pitch_YC,0)))</f>
        <v>0.8</v>
      </c>
      <c r="K636" s="200" t="s">
        <v>646</v>
      </c>
      <c r="L636">
        <f ca="1">IF(D635=1,FUSELAGE_nseats_middle_FC,IF(D635=2,FUSELAGE_nseats_middle_BC,IF(D635=3,FUSELAGE_nseats_middle_YC,0)))</f>
        <v>0</v>
      </c>
      <c r="S636" s="200" t="s">
        <v>653</v>
      </c>
      <c r="T636">
        <f ca="1">LOOKUP(D637,$C$191:$C$196,$F$191:$F$196)</f>
        <v>0</v>
      </c>
      <c r="BD636" s="157"/>
    </row>
    <row r="637" spans="2:56">
      <c r="B637" s="156"/>
      <c r="C637" s="200" t="s">
        <v>642</v>
      </c>
      <c r="D637" t="str">
        <f ca="1">OFFSET(Fuselage!$B$275,D633,2)</f>
        <v>None</v>
      </c>
      <c r="G637" s="200" t="s">
        <v>129</v>
      </c>
      <c r="H637">
        <f ca="1">IF(OR(X633="Type A",X633="Type B"),MAX(H633:H636)+42*0.0254,IF(X633="Type C",MAX(H633:H636)+X634,IF(X633&lt;&gt;"None",24*0.0254,0)))</f>
        <v>0.60959999999999992</v>
      </c>
      <c r="K637" s="200" t="s">
        <v>655</v>
      </c>
      <c r="L637">
        <f ca="1">IF(D635=1,FUSELAGE_nseats_right_FC,IF(D635=2,FUSELAGE_nseats_right_BC,IF(D635=3,FUSELAGE_nseats_right_YC,0)))</f>
        <v>2</v>
      </c>
      <c r="O637" s="200" t="s">
        <v>407</v>
      </c>
      <c r="P637">
        <f ca="1">($C$13-(L635+L636+L637)*(P633+P635)+(FUSELAGE_n_aisles-1)*P635)/FUSELAGE_n_aisles</f>
        <v>0.51999999999999957</v>
      </c>
      <c r="S637" s="200" t="s">
        <v>651</v>
      </c>
      <c r="T637">
        <f ca="1">LOOKUP(D638,$C$191:$C$196,$E$191:$E$196)</f>
        <v>0</v>
      </c>
      <c r="BD637" s="157"/>
    </row>
    <row r="638" spans="2:56">
      <c r="B638" s="156"/>
      <c r="C638" s="200" t="s">
        <v>641</v>
      </c>
      <c r="D638" t="str">
        <f ca="1">OFFSET(Fuselage!$B$275,D633,3)</f>
        <v>None</v>
      </c>
      <c r="G638" s="200" t="s">
        <v>643</v>
      </c>
      <c r="H638">
        <f ca="1">MAX(H633:H637)</f>
        <v>0.8</v>
      </c>
      <c r="S638" s="200" t="s">
        <v>654</v>
      </c>
      <c r="T638">
        <f ca="1">LOOKUP(D638,$C$191:$C$196,$F$191:$F$196)</f>
        <v>0</v>
      </c>
      <c r="BD638" s="157"/>
    </row>
    <row r="639" spans="2:56" ht="15" thickBot="1">
      <c r="B639" s="156"/>
      <c r="BD639" s="157"/>
    </row>
    <row r="640" spans="2:56" ht="15" thickBot="1">
      <c r="B640" s="156"/>
      <c r="C640" s="141">
        <f ca="1">L637</f>
        <v>2</v>
      </c>
      <c r="D640" s="197" t="str">
        <f ca="1">IF($D635=1,"FC",IF($D635=2,"BC",IF($D635=3,"YC","Nothing")))</f>
        <v>YC</v>
      </c>
      <c r="E640" s="198"/>
      <c r="G640" s="141">
        <f ca="1">L636</f>
        <v>0</v>
      </c>
      <c r="H640" s="197" t="str">
        <f ca="1">IF($D635=1,"FC",IF($D635=2,"BC",IF($D635=3,"YC","Nothing")))</f>
        <v>YC</v>
      </c>
      <c r="I640" s="198"/>
      <c r="K640" s="141">
        <f ca="1" xml:space="preserve"> L635</f>
        <v>2</v>
      </c>
      <c r="L640" s="197" t="str">
        <f ca="1">IF($D635=1,"FC",IF($D635=2,"BC",IF($D635=3,"YC","Nothing")))</f>
        <v>YC</v>
      </c>
      <c r="M640" s="198"/>
      <c r="O640" s="141">
        <f ca="1">IF($D638&lt;&gt;"None",1,0)</f>
        <v>0</v>
      </c>
      <c r="P640" s="326" t="s">
        <v>380</v>
      </c>
      <c r="Q640" s="327"/>
      <c r="S640" s="141">
        <f ca="1">IF($D637&lt;&gt;"None",1,0)</f>
        <v>0</v>
      </c>
      <c r="T640" s="326" t="s">
        <v>381</v>
      </c>
      <c r="U640" s="327"/>
      <c r="W640" s="141">
        <f ca="1">IF($D636&lt;&gt;"None",1,0)</f>
        <v>0</v>
      </c>
      <c r="X640" s="326" t="s">
        <v>382</v>
      </c>
      <c r="Y640" s="327"/>
      <c r="AA640" s="141">
        <f ca="1">IF($D638="None",1,0)</f>
        <v>1</v>
      </c>
      <c r="AB640" s="326" t="str">
        <f ca="1">IF(AA640,D640,$D638)</f>
        <v>YC</v>
      </c>
      <c r="AC640" s="327"/>
      <c r="AE640" s="141">
        <f ca="1">IF($D637="None",1,0)</f>
        <v>1</v>
      </c>
      <c r="AF640" s="326" t="str">
        <f ca="1">IF(AE640,H640,$D637)</f>
        <v>YC</v>
      </c>
      <c r="AG640" s="327"/>
      <c r="AI640" s="141">
        <f ca="1">IF($D636="None",1,0)</f>
        <v>1</v>
      </c>
      <c r="AJ640" s="326" t="str">
        <f ca="1">IF(AI640,L640,$D636)</f>
        <v>YC</v>
      </c>
      <c r="AK640" s="327"/>
      <c r="AM640" s="141">
        <f ca="1">IF($X633="None",0,1)</f>
        <v>1</v>
      </c>
      <c r="AN640" s="197" t="s">
        <v>133</v>
      </c>
      <c r="AO640" s="198"/>
      <c r="AQ640" s="141">
        <f ca="1">IF($X633="None",0,1)</f>
        <v>1</v>
      </c>
      <c r="AR640" s="197" t="s">
        <v>134</v>
      </c>
      <c r="AS640" s="198"/>
      <c r="BD640" s="157"/>
    </row>
    <row r="641" spans="2:56" ht="15" thickBot="1">
      <c r="B641" s="156"/>
      <c r="C641" s="136" t="s">
        <v>452</v>
      </c>
      <c r="D641" s="136" t="s">
        <v>384</v>
      </c>
      <c r="E641" s="138" t="s">
        <v>385</v>
      </c>
      <c r="G641" s="136" t="s">
        <v>452</v>
      </c>
      <c r="H641" s="136" t="s">
        <v>384</v>
      </c>
      <c r="I641" s="138" t="s">
        <v>385</v>
      </c>
      <c r="K641" s="193" t="s">
        <v>452</v>
      </c>
      <c r="L641" s="193" t="s">
        <v>384</v>
      </c>
      <c r="M641" s="194" t="s">
        <v>385</v>
      </c>
      <c r="O641" s="136" t="s">
        <v>452</v>
      </c>
      <c r="P641" s="136" t="s">
        <v>384</v>
      </c>
      <c r="Q641" s="138" t="s">
        <v>385</v>
      </c>
      <c r="S641" s="136" t="s">
        <v>452</v>
      </c>
      <c r="T641" s="136" t="s">
        <v>384</v>
      </c>
      <c r="U641" s="138" t="s">
        <v>385</v>
      </c>
      <c r="W641" s="136" t="s">
        <v>452</v>
      </c>
      <c r="X641" s="136" t="s">
        <v>384</v>
      </c>
      <c r="Y641" s="138" t="s">
        <v>385</v>
      </c>
      <c r="AA641" s="136" t="s">
        <v>452</v>
      </c>
      <c r="AB641" s="136" t="s">
        <v>384</v>
      </c>
      <c r="AC641" s="138" t="s">
        <v>385</v>
      </c>
      <c r="AE641" s="136" t="s">
        <v>452</v>
      </c>
      <c r="AF641" s="136" t="s">
        <v>384</v>
      </c>
      <c r="AG641" s="138" t="s">
        <v>385</v>
      </c>
      <c r="AI641" s="193" t="s">
        <v>452</v>
      </c>
      <c r="AJ641" s="193" t="s">
        <v>384</v>
      </c>
      <c r="AK641" s="194" t="s">
        <v>385</v>
      </c>
      <c r="AM641" s="193" t="s">
        <v>452</v>
      </c>
      <c r="AN641" s="193" t="s">
        <v>384</v>
      </c>
      <c r="AO641" s="194" t="s">
        <v>385</v>
      </c>
      <c r="AQ641" s="193" t="s">
        <v>452</v>
      </c>
      <c r="AR641" s="193" t="s">
        <v>384</v>
      </c>
      <c r="AS641" s="194" t="s">
        <v>385</v>
      </c>
      <c r="BD641" s="157"/>
    </row>
    <row r="642" spans="2:56">
      <c r="B642" s="156"/>
      <c r="C642" s="128" t="s">
        <v>396</v>
      </c>
      <c r="D642" s="158">
        <f ca="1">IF(C640&gt;=1,L633,8888)</f>
        <v>-11.762000000000002</v>
      </c>
      <c r="E642" s="160">
        <f ca="1">IF(C640&gt;=1,1/2*($C$13-P633-2*P635)+1/2*P633,8888)</f>
        <v>1.3199999999999998</v>
      </c>
      <c r="G642" s="128" t="s">
        <v>396</v>
      </c>
      <c r="H642" s="158">
        <f ca="1">IF(G640&gt;=1,L633,8888)</f>
        <v>8888</v>
      </c>
      <c r="I642" s="160">
        <f ca="1">IF(G640&gt;=1,E653-P637,8888)</f>
        <v>8888</v>
      </c>
      <c r="K642" s="128" t="s">
        <v>396</v>
      </c>
      <c r="L642" s="158">
        <f ca="1">IF(K640&gt;=1,L633,8888)</f>
        <v>-11.762000000000002</v>
      </c>
      <c r="M642" s="160">
        <f ca="1">IF(K640&gt;=1,IF(FUSELAGE_n_aisles=1,E653-P637,I665-P637),8888)</f>
        <v>-0.25999999999999979</v>
      </c>
      <c r="O642" s="128" t="s">
        <v>396</v>
      </c>
      <c r="P642" s="158">
        <f ca="1">IF(O640,$L633,8888)</f>
        <v>8888</v>
      </c>
      <c r="Q642" s="209">
        <f ca="1">IF(O640,FUSELAGE_y_position_of_left_seat_YC-(FUSELAGE_nseats_right_YC-1)*(SEAT_w_cushion_YC+SEAT_w_armrest_YC)/2+T638/2,8888)</f>
        <v>8888</v>
      </c>
      <c r="S642" s="128" t="s">
        <v>396</v>
      </c>
      <c r="T642" s="158">
        <f ca="1">IF(S640,$L633,8888)</f>
        <v>8888</v>
      </c>
      <c r="U642" s="160">
        <f ca="1">IF(S640,T636/2,8888)</f>
        <v>8888</v>
      </c>
      <c r="W642" s="128" t="s">
        <v>396</v>
      </c>
      <c r="X642" s="158">
        <f ca="1">IF(W640,$L633,8888)</f>
        <v>8888</v>
      </c>
      <c r="Y642" s="160">
        <f ca="1">IF(W640,-FUSELAGE_y_position_of_left_seat_YC+(FUSELAGE_nseats_left_YC-1)*(SEAT_w_cushion_YC+SEAT_w_armrest_YC)/2-T634/2,8888)</f>
        <v>8888</v>
      </c>
      <c r="AA642" s="128" t="s">
        <v>396</v>
      </c>
      <c r="AB642" s="158">
        <f ca="1">IF($AA640,D642,P642)</f>
        <v>-11.762000000000002</v>
      </c>
      <c r="AC642" s="174">
        <f ca="1">IF($AA640,E642,Q642)</f>
        <v>1.3199999999999998</v>
      </c>
      <c r="AE642" s="128" t="s">
        <v>396</v>
      </c>
      <c r="AF642" s="158">
        <f ca="1">IF($AE640,H642,T642)</f>
        <v>8888</v>
      </c>
      <c r="AG642" s="174">
        <f ca="1">IF($AE640,I642,U642)</f>
        <v>8888</v>
      </c>
      <c r="AI642" s="128" t="s">
        <v>396</v>
      </c>
      <c r="AJ642" s="158">
        <f ca="1">IF($AI640,L642,X642)</f>
        <v>-11.762000000000002</v>
      </c>
      <c r="AK642" s="174">
        <f ca="1">IF($AI640,M642,Y642)</f>
        <v>-0.25999999999999979</v>
      </c>
      <c r="AM642" s="128" t="s">
        <v>396</v>
      </c>
      <c r="AN642" s="158">
        <f ca="1">AN611</f>
        <v>-10.962000000000002</v>
      </c>
      <c r="AO642" s="174">
        <f ca="1">IF(AN642&gt;-Fuselage!$D$366,(FUSELAGE_a_ellipse)*SQRT(1-((AN642+Fuselage!$D$366)/(Fuselage!$K$364-FUSELAGE_t_fuselage))^2),IF(AN642&gt;$L$2505+Fuselage!$K$370,FUSELAGE_a_ellipse,(FUSELAGE_a_ellipse+FUSELAGE_t_fuselage-FUSELAGE_d_fo/4)/Fuselage!$K$368*(AN642-$L$2505-Fuselage!$K$370)+FUSELAGE_a_ellipse))</f>
        <v>1.4960570012328709</v>
      </c>
      <c r="AQ642" s="128" t="s">
        <v>396</v>
      </c>
      <c r="AR642" s="158">
        <f t="shared" ref="AR642:AR647" ca="1" si="90">AN642</f>
        <v>-10.962000000000002</v>
      </c>
      <c r="AS642" s="174">
        <f t="shared" ref="AS642:AS647" ca="1" si="91">-AO642</f>
        <v>-1.4960570012328709</v>
      </c>
      <c r="BD642" s="157"/>
    </row>
    <row r="643" spans="2:56">
      <c r="B643" s="156"/>
      <c r="C643" s="128" t="s">
        <v>213</v>
      </c>
      <c r="D643" s="128">
        <f ca="1">IF(X635,D642+P634/4,D642+P634)</f>
        <v>-11.332000000000003</v>
      </c>
      <c r="E643" s="139">
        <f ca="1">E642</f>
        <v>1.3199999999999998</v>
      </c>
      <c r="G643" s="128" t="s">
        <v>213</v>
      </c>
      <c r="H643" s="128">
        <f ca="1">H642+P634</f>
        <v>8888.43</v>
      </c>
      <c r="I643" s="139">
        <f ca="1">I642</f>
        <v>8888</v>
      </c>
      <c r="K643" s="128" t="s">
        <v>213</v>
      </c>
      <c r="L643" s="128">
        <f ca="1">IF(X635,IF(K640=1,L642+P634/4,L642+P634),L642+P634)</f>
        <v>-11.332000000000003</v>
      </c>
      <c r="M643" s="139">
        <f ca="1">M642</f>
        <v>-0.25999999999999979</v>
      </c>
      <c r="O643" s="128" t="s">
        <v>213</v>
      </c>
      <c r="P643" s="128">
        <f ca="1">P642+$T637</f>
        <v>8888</v>
      </c>
      <c r="Q643" s="139">
        <f ca="1">Q642</f>
        <v>8888</v>
      </c>
      <c r="S643" s="128" t="s">
        <v>213</v>
      </c>
      <c r="T643" s="128">
        <f ca="1">T642+$T635</f>
        <v>8888</v>
      </c>
      <c r="U643" s="139">
        <f ca="1">U642</f>
        <v>8888</v>
      </c>
      <c r="W643" s="128" t="s">
        <v>213</v>
      </c>
      <c r="X643" s="128">
        <f ca="1">X642+$T633</f>
        <v>8888</v>
      </c>
      <c r="Y643" s="139">
        <f ca="1">Y642</f>
        <v>8888</v>
      </c>
      <c r="AA643" s="143" t="s">
        <v>213</v>
      </c>
      <c r="AB643" s="128">
        <f ca="1">IF($AA640,D643,P643)</f>
        <v>-11.332000000000003</v>
      </c>
      <c r="AC643" s="129">
        <f ca="1">IF($AA640,E643,Q643)</f>
        <v>1.3199999999999998</v>
      </c>
      <c r="AE643" s="128" t="s">
        <v>213</v>
      </c>
      <c r="AF643" s="128">
        <f ca="1">IF($AE640,H643,T643)</f>
        <v>8888.43</v>
      </c>
      <c r="AG643" s="129">
        <f ca="1">IF($AE640,I643,U643)</f>
        <v>8888</v>
      </c>
      <c r="AI643" s="128" t="s">
        <v>213</v>
      </c>
      <c r="AJ643" s="128">
        <f ca="1">IF($AI640,L643,X643)</f>
        <v>-11.332000000000003</v>
      </c>
      <c r="AK643" s="129">
        <f ca="1">IF($AI640,M643,Y643)</f>
        <v>-0.25999999999999979</v>
      </c>
      <c r="AM643" s="128" t="s">
        <v>213</v>
      </c>
      <c r="AN643" s="128">
        <f ca="1">AN642-AO633/2</f>
        <v>-10.962000000000002</v>
      </c>
      <c r="AO643" s="129">
        <f ca="1">IF(AN643&gt;-Fuselage!$D$366,(FUSELAGE_a_ellipse)*SQRT(1-((AN643+Fuselage!$D$366)/(Fuselage!$K$364-FUSELAGE_t_fuselage))^2),IF(AN643&gt;$L$2505+Fuselage!$K$370,FUSELAGE_a_ellipse,(FUSELAGE_a_ellipse+FUSELAGE_t_fuselage-FUSELAGE_d_fo/4)/Fuselage!$K$368*(AN643-$L$2505-Fuselage!$K$370)+FUSELAGE_a_ellipse))</f>
        <v>1.4960570012328709</v>
      </c>
      <c r="AQ643" s="128" t="s">
        <v>213</v>
      </c>
      <c r="AR643" s="128">
        <f t="shared" ca="1" si="90"/>
        <v>-10.962000000000002</v>
      </c>
      <c r="AS643" s="129">
        <f t="shared" ca="1" si="91"/>
        <v>-1.4960570012328709</v>
      </c>
      <c r="BD643" s="157"/>
    </row>
    <row r="644" spans="2:56">
      <c r="B644" s="156"/>
      <c r="C644" s="128" t="s">
        <v>286</v>
      </c>
      <c r="D644" s="128">
        <f ca="1">D643</f>
        <v>-11.332000000000003</v>
      </c>
      <c r="E644" s="139">
        <f ca="1">E643-P633</f>
        <v>0.81999999999999984</v>
      </c>
      <c r="G644" s="128" t="s">
        <v>286</v>
      </c>
      <c r="H644" s="128">
        <f ca="1">H643</f>
        <v>8888.43</v>
      </c>
      <c r="I644" s="139">
        <f ca="1">I643-P633</f>
        <v>8887.5</v>
      </c>
      <c r="K644" s="128" t="s">
        <v>286</v>
      </c>
      <c r="L644" s="128">
        <f ca="1">L643</f>
        <v>-11.332000000000003</v>
      </c>
      <c r="M644" s="139">
        <f ca="1">M643-P633</f>
        <v>-0.75999999999999979</v>
      </c>
      <c r="O644" s="128" t="s">
        <v>286</v>
      </c>
      <c r="P644" s="128">
        <f ca="1">P643</f>
        <v>8888</v>
      </c>
      <c r="Q644" s="139">
        <f ca="1">Q643-$T638</f>
        <v>8888</v>
      </c>
      <c r="S644" s="128" t="s">
        <v>286</v>
      </c>
      <c r="T644" s="128">
        <f ca="1">T643</f>
        <v>8888</v>
      </c>
      <c r="U644" s="139">
        <f ca="1">U643-$T636</f>
        <v>8888</v>
      </c>
      <c r="W644" s="128" t="s">
        <v>286</v>
      </c>
      <c r="X644" s="128">
        <f ca="1">X643</f>
        <v>8888</v>
      </c>
      <c r="Y644" s="139">
        <f ca="1">Y643+$T634</f>
        <v>8888</v>
      </c>
      <c r="AA644" s="143" t="s">
        <v>286</v>
      </c>
      <c r="AB644" s="128">
        <f ca="1">IF($AA640,D644,P644)</f>
        <v>-11.332000000000003</v>
      </c>
      <c r="AC644" s="129">
        <f ca="1">IF($AA640,E644,Q644)</f>
        <v>0.81999999999999984</v>
      </c>
      <c r="AE644" s="128" t="s">
        <v>286</v>
      </c>
      <c r="AF644" s="128">
        <f ca="1">IF($AE640,H644,T644)</f>
        <v>8888.43</v>
      </c>
      <c r="AG644" s="129">
        <f ca="1">IF($AE640,I644,U644)</f>
        <v>8887.5</v>
      </c>
      <c r="AI644" s="128" t="s">
        <v>286</v>
      </c>
      <c r="AJ644" s="128">
        <f ca="1">IF($AI640,L644,X644)</f>
        <v>-11.332000000000003</v>
      </c>
      <c r="AK644" s="129">
        <f ca="1">IF($AI640,M644,Y644)</f>
        <v>-0.75999999999999979</v>
      </c>
      <c r="AM644" s="128" t="s">
        <v>286</v>
      </c>
      <c r="AN644" s="128">
        <f ca="1">AN643</f>
        <v>-10.962000000000002</v>
      </c>
      <c r="AO644" s="129">
        <f ca="1">IF(AN644&gt;-Fuselage!$D$366,IF(AM640,(FUSELAGE_a_ellipse+FUSELAGE_t_fuselage)*SQRT(1-((AN644+Fuselage!$D$366)/Fuselage!$K$364)^2),(FUSELAGE_a_ellipse)*SQRT(1-((AN644+Fuselage!$D$366)/Fuselage!$K$364)^2)),IF(AN644&gt;$L$2505+Fuselage!$K$370,(IF(AM640,FUSELAGE_a_ellipse+FUSELAGE_t_fuselage,FUSELAGE_a_ellipse)),IF(AM640,(FUSELAGE_a_ellipse+FUSELAGE_t_fuselage-FUSELAGE_d_fo/4)/Fuselage!$K$368*(AN644-$L$2505-Fuselage!$K$370)+FUSELAGE_a_ellipse+FUSELAGE_t_fuselage,(FUSELAGE_a_ellipse+FUSELAGE_t_fuselage-FUSELAGE_d_fo/4)/Fuselage!$K$368*(AN644-$L$2505-Fuselage!$K$370)+FUSELAGE_a_ellipse)))</f>
        <v>1.6053795662883501</v>
      </c>
      <c r="AQ644" s="128" t="s">
        <v>286</v>
      </c>
      <c r="AR644" s="128">
        <f t="shared" ca="1" si="90"/>
        <v>-10.962000000000002</v>
      </c>
      <c r="AS644" s="129">
        <f t="shared" ca="1" si="91"/>
        <v>-1.6053795662883501</v>
      </c>
      <c r="BD644" s="157"/>
    </row>
    <row r="645" spans="2:56">
      <c r="B645" s="156"/>
      <c r="C645" s="188" t="s">
        <v>522</v>
      </c>
      <c r="D645" s="188">
        <f ca="1">D642</f>
        <v>-11.762000000000002</v>
      </c>
      <c r="E645" s="189">
        <f ca="1">E644</f>
        <v>0.81999999999999984</v>
      </c>
      <c r="F645" s="157"/>
      <c r="G645" s="2" t="s">
        <v>522</v>
      </c>
      <c r="H645" s="128">
        <f ca="1">H642</f>
        <v>8888</v>
      </c>
      <c r="I645" s="139">
        <f ca="1">I644</f>
        <v>8887.5</v>
      </c>
      <c r="K645" s="128" t="s">
        <v>522</v>
      </c>
      <c r="L645" s="128">
        <f ca="1">L642</f>
        <v>-11.762000000000002</v>
      </c>
      <c r="M645" s="139">
        <f ca="1">M644</f>
        <v>-0.75999999999999979</v>
      </c>
      <c r="O645" s="188" t="s">
        <v>522</v>
      </c>
      <c r="P645" s="188">
        <f ca="1">P642</f>
        <v>8888</v>
      </c>
      <c r="Q645" s="189">
        <f ca="1">Q644</f>
        <v>8888</v>
      </c>
      <c r="S645" s="188" t="s">
        <v>522</v>
      </c>
      <c r="T645" s="188">
        <f ca="1">T642</f>
        <v>8888</v>
      </c>
      <c r="U645" s="189">
        <f ca="1">U644</f>
        <v>8888</v>
      </c>
      <c r="W645" s="188" t="s">
        <v>522</v>
      </c>
      <c r="X645" s="188">
        <f ca="1">X642</f>
        <v>8888</v>
      </c>
      <c r="Y645" s="189">
        <f ca="1">Y644</f>
        <v>8888</v>
      </c>
      <c r="AA645" s="195" t="s">
        <v>522</v>
      </c>
      <c r="AB645" s="128">
        <f ca="1">IF($AA640,D645,P645)</f>
        <v>-11.762000000000002</v>
      </c>
      <c r="AC645" s="129">
        <f ca="1">IF($AA640,E645,Q645)</f>
        <v>0.81999999999999984</v>
      </c>
      <c r="AD645" s="157"/>
      <c r="AE645" s="2" t="s">
        <v>522</v>
      </c>
      <c r="AF645" s="188">
        <f ca="1">IF($AE640,H645,T645)</f>
        <v>8888</v>
      </c>
      <c r="AG645" s="196">
        <f ca="1">IF($AE640,I645,U645)</f>
        <v>8887.5</v>
      </c>
      <c r="AI645" s="128" t="s">
        <v>522</v>
      </c>
      <c r="AJ645" s="188">
        <f ca="1">IF($AI640,L645,X645)</f>
        <v>-11.762000000000002</v>
      </c>
      <c r="AK645" s="196">
        <f ca="1">IF($AI640,M645,Y645)</f>
        <v>-0.75999999999999979</v>
      </c>
      <c r="AM645" s="128" t="s">
        <v>522</v>
      </c>
      <c r="AN645" s="128">
        <f ca="1">AN644-X634</f>
        <v>-11.470000000000002</v>
      </c>
      <c r="AO645" s="129">
        <f ca="1">IF(AN645&gt;-Fuselage!$D$366,IF(AM640,(FUSELAGE_a_ellipse+FUSELAGE_t_fuselage)*SQRT(1-((AN645+Fuselage!$D$366)/Fuselage!$K$364)^2),(FUSELAGE_a_ellipse)*SQRT(1-((AN645+Fuselage!$D$366)/Fuselage!$K$364)^2)),IF(AN645&gt;$L$2505+Fuselage!$K$370,(IF(AM640,FUSELAGE_a_ellipse+FUSELAGE_t_fuselage,FUSELAGE_a_ellipse)),IF(AM640,(FUSELAGE_a_ellipse+FUSELAGE_t_fuselage-FUSELAGE_d_fo/4)/Fuselage!$K$368*(AN645-$L$2505-Fuselage!$K$370)+FUSELAGE_a_ellipse+FUSELAGE_t_fuselage,(FUSELAGE_a_ellipse+FUSELAGE_t_fuselage-FUSELAGE_d_fo/4)/Fuselage!$K$368*(AN645-$L$2505-Fuselage!$K$370)+FUSELAGE_a_ellipse)))</f>
        <v>1.6053795662883501</v>
      </c>
      <c r="AQ645" s="128" t="s">
        <v>522</v>
      </c>
      <c r="AR645" s="128">
        <f t="shared" ca="1" si="90"/>
        <v>-11.470000000000002</v>
      </c>
      <c r="AS645" s="129">
        <f t="shared" ca="1" si="91"/>
        <v>-1.6053795662883501</v>
      </c>
      <c r="BD645" s="157"/>
    </row>
    <row r="646" spans="2:56" ht="15" thickBot="1">
      <c r="B646" s="156"/>
      <c r="C646" s="128" t="s">
        <v>49</v>
      </c>
      <c r="D646" s="128">
        <f ca="1">IF(C640&gt;=2,D642,D645)</f>
        <v>-11.762000000000002</v>
      </c>
      <c r="E646" s="139">
        <f ca="1">IF(C640&gt;=2,E645-P635,E645)</f>
        <v>0.75999999999999979</v>
      </c>
      <c r="F646" s="157"/>
      <c r="G646" s="192" t="s">
        <v>49</v>
      </c>
      <c r="H646" s="190">
        <f ca="1">IF(G640&gt;=2,H642,H645)</f>
        <v>8888</v>
      </c>
      <c r="I646" s="191">
        <f ca="1">IF(G640&gt;=2,I645-P635,I645)</f>
        <v>8887.5</v>
      </c>
      <c r="K646" s="190" t="s">
        <v>49</v>
      </c>
      <c r="L646" s="190">
        <f ca="1">IF(K640&gt;=2,L642,L645)</f>
        <v>-11.762000000000002</v>
      </c>
      <c r="M646" s="191">
        <f ca="1">IF(K640&gt;=2,M645-P635,M645)</f>
        <v>-0.81999999999999984</v>
      </c>
      <c r="O646" s="130" t="s">
        <v>396</v>
      </c>
      <c r="P646" s="130">
        <f ca="1">P642</f>
        <v>8888</v>
      </c>
      <c r="Q646" s="140">
        <f ca="1">Q642</f>
        <v>8888</v>
      </c>
      <c r="S646" s="130" t="s">
        <v>396</v>
      </c>
      <c r="T646" s="130">
        <f ca="1">T642</f>
        <v>8888</v>
      </c>
      <c r="U646" s="140">
        <f ca="1">U642</f>
        <v>8888</v>
      </c>
      <c r="W646" s="130" t="s">
        <v>396</v>
      </c>
      <c r="X646" s="130">
        <f ca="1">X642</f>
        <v>8888</v>
      </c>
      <c r="Y646" s="140">
        <f ca="1">Y642</f>
        <v>8888</v>
      </c>
      <c r="AA646" s="143" t="s">
        <v>49</v>
      </c>
      <c r="AB646" s="128">
        <f ca="1">IF($AA640,D646,P646)</f>
        <v>-11.762000000000002</v>
      </c>
      <c r="AC646" s="129">
        <f ca="1">IF($AA640,E646,Q646)</f>
        <v>0.75999999999999979</v>
      </c>
      <c r="AD646" s="157"/>
      <c r="AE646" s="192" t="s">
        <v>49</v>
      </c>
      <c r="AF646" s="128">
        <f ca="1">IF($AE640,H646,T646)</f>
        <v>8888</v>
      </c>
      <c r="AG646" s="129">
        <f ca="1">IF($AE640,I646,U646)</f>
        <v>8887.5</v>
      </c>
      <c r="AI646" s="190" t="s">
        <v>49</v>
      </c>
      <c r="AJ646" s="128">
        <f ca="1">IF($AI640,L646,X646)</f>
        <v>-11.762000000000002</v>
      </c>
      <c r="AK646" s="129">
        <f ca="1">IF($AI640,M646,Y646)</f>
        <v>-0.81999999999999984</v>
      </c>
      <c r="AM646" s="128" t="s">
        <v>49</v>
      </c>
      <c r="AN646" s="128">
        <f ca="1">AN645</f>
        <v>-11.470000000000002</v>
      </c>
      <c r="AO646" s="129">
        <f ca="1">IF(AN646&gt;-Fuselage!$D$366,(FUSELAGE_a_ellipse)*SQRT(1-((AN646+Fuselage!$D$366)/(Fuselage!$K$364-FUSELAGE_t_fuselage))^2),IF(AN646&gt;$L$2505+Fuselage!$K$370,FUSELAGE_a_ellipse,(FUSELAGE_a_ellipse+FUSELAGE_t_fuselage-FUSELAGE_d_fo/4)/Fuselage!$K$368*(AN646-$L$2505-Fuselage!$K$370)+FUSELAGE_a_ellipse))</f>
        <v>1.4960570012328709</v>
      </c>
      <c r="AQ646" s="128" t="s">
        <v>49</v>
      </c>
      <c r="AR646" s="128">
        <f t="shared" ca="1" si="90"/>
        <v>-11.470000000000002</v>
      </c>
      <c r="AS646" s="129">
        <f t="shared" ca="1" si="91"/>
        <v>-1.4960570012328709</v>
      </c>
      <c r="BD646" s="157"/>
    </row>
    <row r="647" spans="2:56">
      <c r="B647" s="156"/>
      <c r="C647" s="128" t="s">
        <v>453</v>
      </c>
      <c r="D647" s="128">
        <f ca="1">IF(C640&gt;=2,D642+P634,D645)</f>
        <v>-11.332000000000003</v>
      </c>
      <c r="E647" s="139">
        <f ca="1">E646</f>
        <v>0.75999999999999979</v>
      </c>
      <c r="F647" s="157"/>
      <c r="G647" s="2" t="s">
        <v>453</v>
      </c>
      <c r="H647" s="128">
        <f ca="1">IF(G640&gt;=2,H643,H645)</f>
        <v>8888</v>
      </c>
      <c r="I647" s="139">
        <f ca="1">IF(G640&gt;=2,I646,I645)</f>
        <v>8887.5</v>
      </c>
      <c r="K647" s="128" t="s">
        <v>453</v>
      </c>
      <c r="L647" s="128">
        <f ca="1">IF(K640&gt;=2,IF(X635,IF(K640=2,L642+P634/4,L642+P634),L642+P634),L645)</f>
        <v>-11.332000000000003</v>
      </c>
      <c r="M647" s="139">
        <f ca="1">IF(K640&gt;=2,M646,M645)</f>
        <v>-0.81999999999999984</v>
      </c>
      <c r="AA647" s="143" t="s">
        <v>453</v>
      </c>
      <c r="AB647" s="128">
        <f ca="1">IF($AA640,D647,AB646)</f>
        <v>-11.332000000000003</v>
      </c>
      <c r="AC647" s="129">
        <f ca="1">IF($AA640,E647,AC646)</f>
        <v>0.75999999999999979</v>
      </c>
      <c r="AD647" s="157"/>
      <c r="AE647" s="2" t="s">
        <v>453</v>
      </c>
      <c r="AF647" s="128">
        <f ca="1">IF($AE640,H647,AF646)</f>
        <v>8888</v>
      </c>
      <c r="AG647" s="129">
        <f ca="1">IF($AE640,I647,AG646)</f>
        <v>8887.5</v>
      </c>
      <c r="AI647" s="128" t="s">
        <v>453</v>
      </c>
      <c r="AJ647" s="128">
        <f ca="1">IF($AI640,L647,AJ646)</f>
        <v>-11.332000000000003</v>
      </c>
      <c r="AK647" s="129">
        <f ca="1">IF($AI640,M647,AK646)</f>
        <v>-0.81999999999999984</v>
      </c>
      <c r="AM647" s="128" t="s">
        <v>453</v>
      </c>
      <c r="AN647" s="128">
        <f ca="1">L633</f>
        <v>-11.762000000000002</v>
      </c>
      <c r="AO647" s="129">
        <f ca="1">IF(AN647&gt;-Fuselage!$D$366,(FUSELAGE_a_ellipse)*SQRT(1-((AN647+Fuselage!$D$366)/(Fuselage!$K$364-FUSELAGE_t_fuselage))^2),IF(AN647&gt;$L$2505+Fuselage!$K$370,FUSELAGE_a_ellipse,(FUSELAGE_a_ellipse+FUSELAGE_t_fuselage-FUSELAGE_d_fo/4)/Fuselage!$K$368*(AN647-$L$2505-Fuselage!$K$370)+FUSELAGE_a_ellipse))</f>
        <v>1.4960570012328709</v>
      </c>
      <c r="AQ647" s="128" t="s">
        <v>453</v>
      </c>
      <c r="AR647" s="128">
        <f t="shared" ca="1" si="90"/>
        <v>-11.762000000000002</v>
      </c>
      <c r="AS647" s="129">
        <f t="shared" ca="1" si="91"/>
        <v>-1.4960570012328709</v>
      </c>
      <c r="BD647" s="157"/>
    </row>
    <row r="648" spans="2:56">
      <c r="B648" s="156"/>
      <c r="C648" s="128" t="s">
        <v>394</v>
      </c>
      <c r="D648" s="128">
        <f ca="1">IF(C640&gt;=2,D647,D645)</f>
        <v>-11.332000000000003</v>
      </c>
      <c r="E648" s="139">
        <f ca="1">IF(C640&gt;=2,E646-P633,E645)</f>
        <v>0.25999999999999979</v>
      </c>
      <c r="F648" s="157"/>
      <c r="G648" s="2" t="s">
        <v>394</v>
      </c>
      <c r="H648" s="128">
        <f ca="1">IF(G640&gt;=2,H643,H645)</f>
        <v>8888</v>
      </c>
      <c r="I648" s="139">
        <f ca="1">IF(G640&gt;=2,I647-P633,I645)</f>
        <v>8887.5</v>
      </c>
      <c r="K648" s="128" t="s">
        <v>394</v>
      </c>
      <c r="L648" s="128">
        <f ca="1">L647</f>
        <v>-11.332000000000003</v>
      </c>
      <c r="M648" s="139">
        <f ca="1">IF(K640&gt;=2,M647-P633,M645)</f>
        <v>-1.3199999999999998</v>
      </c>
      <c r="AA648" s="143" t="s">
        <v>394</v>
      </c>
      <c r="AB648" s="128">
        <f ca="1">IF($AA640,D648,AB646)</f>
        <v>-11.332000000000003</v>
      </c>
      <c r="AC648" s="129">
        <f ca="1">IF($AA640,E648,AC646)</f>
        <v>0.25999999999999979</v>
      </c>
      <c r="AD648" s="157"/>
      <c r="AE648" s="2" t="s">
        <v>394</v>
      </c>
      <c r="AF648" s="128">
        <f ca="1">IF($AE640,H648,AF646)</f>
        <v>8888</v>
      </c>
      <c r="AG648" s="129">
        <f ca="1">IF($AE640,I648,AG646)</f>
        <v>8887.5</v>
      </c>
      <c r="AI648" s="128" t="s">
        <v>394</v>
      </c>
      <c r="AJ648" s="128">
        <f ca="1">IF($AI640,L648,AJ646)</f>
        <v>-11.332000000000003</v>
      </c>
      <c r="AK648" s="129">
        <f ca="1">IF($AI640,M648,AK646)</f>
        <v>-1.3199999999999998</v>
      </c>
      <c r="BD648" s="157"/>
    </row>
    <row r="649" spans="2:56">
      <c r="B649" s="156"/>
      <c r="C649" s="188" t="s">
        <v>454</v>
      </c>
      <c r="D649" s="188">
        <f ca="1">IF(C640&gt;=2,D642,D645)</f>
        <v>-11.762000000000002</v>
      </c>
      <c r="E649" s="189">
        <f ca="1">E648</f>
        <v>0.25999999999999979</v>
      </c>
      <c r="F649" s="157"/>
      <c r="G649" s="115" t="s">
        <v>454</v>
      </c>
      <c r="H649" s="188">
        <f ca="1">IF(G640&gt;=2,H642,H645)</f>
        <v>8888</v>
      </c>
      <c r="I649" s="189">
        <f ca="1">IF(G640&gt;=2,I648,I645)</f>
        <v>8887.5</v>
      </c>
      <c r="K649" s="188" t="s">
        <v>454</v>
      </c>
      <c r="L649" s="188">
        <f ca="1">IF(K640&gt;=2,L642,L645)</f>
        <v>-11.762000000000002</v>
      </c>
      <c r="M649" s="189">
        <f ca="1">IF(K640&gt;=2,M648,M645)</f>
        <v>-1.3199999999999998</v>
      </c>
      <c r="AA649" s="195" t="s">
        <v>454</v>
      </c>
      <c r="AB649" s="128">
        <f ca="1">IF($AA640,D649,AB646)</f>
        <v>-11.762000000000002</v>
      </c>
      <c r="AC649" s="129">
        <f ca="1">IF($AA640,E649,AC646)</f>
        <v>0.25999999999999979</v>
      </c>
      <c r="AD649" s="157"/>
      <c r="AE649" s="115" t="s">
        <v>454</v>
      </c>
      <c r="AF649" s="188">
        <f ca="1">IF($AE640,H649,AF646)</f>
        <v>8888</v>
      </c>
      <c r="AG649" s="196">
        <f ca="1">IF($AE640,I649,AG646)</f>
        <v>8887.5</v>
      </c>
      <c r="AI649" s="188" t="s">
        <v>454</v>
      </c>
      <c r="AJ649" s="188">
        <f ca="1">IF($AI640,L649,AJ646)</f>
        <v>-11.762000000000002</v>
      </c>
      <c r="AK649" s="196">
        <f ca="1">IF($AI640,M649,AK646)</f>
        <v>-1.3199999999999998</v>
      </c>
      <c r="BD649" s="157"/>
    </row>
    <row r="650" spans="2:56">
      <c r="B650" s="156"/>
      <c r="C650" s="128" t="s">
        <v>507</v>
      </c>
      <c r="D650" s="128">
        <f ca="1">IF(C640&gt;=3,D642,D649)</f>
        <v>-11.762000000000002</v>
      </c>
      <c r="E650" s="139">
        <f ca="1">IF(C640&gt;=3,E649-P635,E649)</f>
        <v>0.25999999999999979</v>
      </c>
      <c r="F650" s="157"/>
      <c r="G650" s="2" t="s">
        <v>507</v>
      </c>
      <c r="H650" s="128">
        <f ca="1">IF(G640&gt;=3,H642,H649)</f>
        <v>8888</v>
      </c>
      <c r="I650" s="139">
        <f ca="1">IF(G640&gt;=3,I649-P635,I649)</f>
        <v>8887.5</v>
      </c>
      <c r="K650" s="128" t="s">
        <v>507</v>
      </c>
      <c r="L650" s="128">
        <f ca="1">IF(K640&gt;=3,L642,L649)</f>
        <v>-11.762000000000002</v>
      </c>
      <c r="M650" s="139">
        <f ca="1">IF(K640&gt;=3,M649-P635,M649)</f>
        <v>-1.3199999999999998</v>
      </c>
      <c r="AA650" s="143" t="s">
        <v>507</v>
      </c>
      <c r="AB650" s="128">
        <f ca="1">IF($AA640,D650,AB646)</f>
        <v>-11.762000000000002</v>
      </c>
      <c r="AC650" s="129">
        <f ca="1">IF($AA640,E650,AC646)</f>
        <v>0.25999999999999979</v>
      </c>
      <c r="AD650" s="157"/>
      <c r="AE650" s="2" t="s">
        <v>507</v>
      </c>
      <c r="AF650" s="128">
        <f ca="1">IF($AE640,H650,AF646)</f>
        <v>8888</v>
      </c>
      <c r="AG650" s="129">
        <f ca="1">IF($AE640,I650,AG646)</f>
        <v>8887.5</v>
      </c>
      <c r="AI650" s="128" t="s">
        <v>507</v>
      </c>
      <c r="AJ650" s="128">
        <f ca="1">IF($AI640,L650,AJ646)</f>
        <v>-11.762000000000002</v>
      </c>
      <c r="AK650" s="129">
        <f ca="1">IF($AI640,M650,AK646)</f>
        <v>-1.3199999999999998</v>
      </c>
      <c r="BD650" s="157"/>
    </row>
    <row r="651" spans="2:56">
      <c r="B651" s="156"/>
      <c r="C651" s="128" t="s">
        <v>455</v>
      </c>
      <c r="D651" s="128">
        <f ca="1">IF(C640&gt;=3,D647,D649)</f>
        <v>-11.762000000000002</v>
      </c>
      <c r="E651" s="139">
        <f ca="1">E650</f>
        <v>0.25999999999999979</v>
      </c>
      <c r="F651" s="157"/>
      <c r="G651" s="2" t="s">
        <v>455</v>
      </c>
      <c r="H651" s="128">
        <f ca="1">IF(G640&gt;=3,H643,H649)</f>
        <v>8888</v>
      </c>
      <c r="I651" s="139">
        <f ca="1">IF(G640&gt;=3,I650,I649)</f>
        <v>8887.5</v>
      </c>
      <c r="K651" s="128" t="s">
        <v>455</v>
      </c>
      <c r="L651" s="128">
        <f ca="1">IF(K640&gt;=3,IF(X635,IF(K640=3,L642+P634/4,L642+P634),L642+P634),L645)</f>
        <v>-11.762000000000002</v>
      </c>
      <c r="M651" s="139">
        <f ca="1">IF(K640&gt;=3,M650,M649)</f>
        <v>-1.3199999999999998</v>
      </c>
      <c r="AA651" s="143" t="s">
        <v>455</v>
      </c>
      <c r="AB651" s="128">
        <f ca="1">IF($AA640,D651,AB646)</f>
        <v>-11.762000000000002</v>
      </c>
      <c r="AC651" s="129">
        <f ca="1">IF($AA640,E651,AC646)</f>
        <v>0.25999999999999979</v>
      </c>
      <c r="AD651" s="157"/>
      <c r="AE651" s="2" t="s">
        <v>455</v>
      </c>
      <c r="AF651" s="128">
        <f ca="1">IF($AE640,H651,AF646)</f>
        <v>8888</v>
      </c>
      <c r="AG651" s="129">
        <f ca="1">IF($AE640,I651,AG646)</f>
        <v>8887.5</v>
      </c>
      <c r="AI651" s="128" t="s">
        <v>455</v>
      </c>
      <c r="AJ651" s="128">
        <f ca="1">IF($AI640,L651,AJ646)</f>
        <v>-11.762000000000002</v>
      </c>
      <c r="AK651" s="129">
        <f ca="1">IF($AI640,M651,AK646)</f>
        <v>-1.3199999999999998</v>
      </c>
      <c r="AL651" s="156"/>
      <c r="BD651" s="157"/>
    </row>
    <row r="652" spans="2:56">
      <c r="B652" s="156"/>
      <c r="C652" s="128" t="s">
        <v>311</v>
      </c>
      <c r="D652" s="128">
        <f ca="1">IF(C640&gt;=3,D647,D649)</f>
        <v>-11.762000000000002</v>
      </c>
      <c r="E652" s="139">
        <f ca="1">IF(C640&gt;=3,E651-P633,E649)</f>
        <v>0.25999999999999979</v>
      </c>
      <c r="F652" s="157"/>
      <c r="G652" s="2" t="s">
        <v>311</v>
      </c>
      <c r="H652" s="128">
        <f ca="1">IF(G640&gt;=3,H643,H649)</f>
        <v>8888</v>
      </c>
      <c r="I652" s="139">
        <f ca="1">IF(G640&gt;=3,I651-P633,I649)</f>
        <v>8887.5</v>
      </c>
      <c r="K652" s="128" t="s">
        <v>311</v>
      </c>
      <c r="L652" s="128">
        <f ca="1">L651</f>
        <v>-11.762000000000002</v>
      </c>
      <c r="M652" s="139">
        <f ca="1">IF(K640&gt;=3,M651-P633,M649)</f>
        <v>-1.3199999999999998</v>
      </c>
      <c r="AA652" s="143" t="s">
        <v>311</v>
      </c>
      <c r="AB652" s="128">
        <f ca="1">IF($AA640,D652,AB646)</f>
        <v>-11.762000000000002</v>
      </c>
      <c r="AC652" s="129">
        <f ca="1">IF($AA640,E652,AC646)</f>
        <v>0.25999999999999979</v>
      </c>
      <c r="AD652" s="157"/>
      <c r="AE652" s="2" t="s">
        <v>311</v>
      </c>
      <c r="AF652" s="128">
        <f ca="1">IF($AE640,H652,AF646)</f>
        <v>8888</v>
      </c>
      <c r="AG652" s="129">
        <f ca="1">IF($AE640,I652,AG646)</f>
        <v>8887.5</v>
      </c>
      <c r="AI652" s="128" t="s">
        <v>311</v>
      </c>
      <c r="AJ652" s="128">
        <f ca="1">IF($AI640,L652,AJ646)</f>
        <v>-11.762000000000002</v>
      </c>
      <c r="AK652" s="129">
        <f ca="1">IF($AI640,M652,AK646)</f>
        <v>-1.3199999999999998</v>
      </c>
      <c r="AL652" s="156"/>
      <c r="BD652" s="157"/>
    </row>
    <row r="653" spans="2:56">
      <c r="B653" s="156"/>
      <c r="C653" s="188" t="s">
        <v>35</v>
      </c>
      <c r="D653" s="188">
        <f ca="1">IF(C640&gt;=3,D642,D649)</f>
        <v>-11.762000000000002</v>
      </c>
      <c r="E653" s="189">
        <f ca="1">E652</f>
        <v>0.25999999999999979</v>
      </c>
      <c r="F653" s="157"/>
      <c r="G653" s="2" t="s">
        <v>35</v>
      </c>
      <c r="H653" s="188">
        <f ca="1">IF(G640&gt;=3,H642,H649)</f>
        <v>8888</v>
      </c>
      <c r="I653" s="189">
        <f ca="1">IF(G640&gt;=3,I652,I649)</f>
        <v>8887.5</v>
      </c>
      <c r="K653" s="188" t="s">
        <v>35</v>
      </c>
      <c r="L653" s="188">
        <f ca="1">IF(K640&gt;=3,L642,L649)</f>
        <v>-11.762000000000002</v>
      </c>
      <c r="M653" s="189">
        <f ca="1">IF(K640&gt;=3,M652,M649)</f>
        <v>-1.3199999999999998</v>
      </c>
      <c r="AA653" s="143" t="s">
        <v>35</v>
      </c>
      <c r="AB653" s="128">
        <f ca="1">IF($AA640,D653,AB646)</f>
        <v>-11.762000000000002</v>
      </c>
      <c r="AC653" s="129">
        <f ca="1">IF($AA640,E653,AC646)</f>
        <v>0.25999999999999979</v>
      </c>
      <c r="AD653" s="157"/>
      <c r="AE653" s="2" t="s">
        <v>35</v>
      </c>
      <c r="AF653" s="188">
        <f ca="1">IF($AE640,H653,AF646)</f>
        <v>8888</v>
      </c>
      <c r="AG653" s="196">
        <f ca="1">IF($AE640,I653,AG646)</f>
        <v>8887.5</v>
      </c>
      <c r="AI653" s="128" t="s">
        <v>35</v>
      </c>
      <c r="AJ653" s="128">
        <f ca="1">IF($AI640,L653,AJ646)</f>
        <v>-11.762000000000002</v>
      </c>
      <c r="AK653" s="129">
        <f ca="1">IF($AI640,M653,AK646)</f>
        <v>-1.3199999999999998</v>
      </c>
      <c r="AL653" s="156"/>
      <c r="BD653" s="157"/>
    </row>
    <row r="654" spans="2:56" ht="15" thickBot="1">
      <c r="B654" s="156"/>
      <c r="C654" s="130" t="s">
        <v>396</v>
      </c>
      <c r="D654" s="130">
        <f ca="1">D642</f>
        <v>-11.762000000000002</v>
      </c>
      <c r="E654" s="140">
        <f ca="1">E642</f>
        <v>1.3199999999999998</v>
      </c>
      <c r="F654" s="157"/>
      <c r="G654" s="192" t="s">
        <v>312</v>
      </c>
      <c r="H654" s="128">
        <f ca="1">IF(G640&gt;=4,H642,H653)</f>
        <v>8888</v>
      </c>
      <c r="I654" s="139">
        <f ca="1">IF(G640&gt;=4,I653-P635,I653)</f>
        <v>8887.5</v>
      </c>
      <c r="K654" s="130" t="s">
        <v>396</v>
      </c>
      <c r="L654" s="130">
        <f ca="1">L642</f>
        <v>-11.762000000000002</v>
      </c>
      <c r="M654" s="140">
        <f ca="1">M642</f>
        <v>-0.25999999999999979</v>
      </c>
      <c r="AA654" s="144" t="s">
        <v>396</v>
      </c>
      <c r="AB654" s="130">
        <f ca="1">IF($AA640,D654,AB646)</f>
        <v>-11.762000000000002</v>
      </c>
      <c r="AC654" s="132">
        <f ca="1">IF($AA640,E654,AC646)</f>
        <v>1.3199999999999998</v>
      </c>
      <c r="AD654" s="157"/>
      <c r="AE654" s="192" t="s">
        <v>312</v>
      </c>
      <c r="AF654" s="128">
        <f ca="1">IF($AE640,H654,AF646)</f>
        <v>8888</v>
      </c>
      <c r="AG654" s="129">
        <f ca="1">IF($AE640,I654,AG646)</f>
        <v>8887.5</v>
      </c>
      <c r="AI654" s="130" t="s">
        <v>396</v>
      </c>
      <c r="AJ654" s="130">
        <f ca="1">IF($AI640,L654,AJ646)</f>
        <v>-11.762000000000002</v>
      </c>
      <c r="AK654" s="132">
        <f ca="1">IF($AI640,M654,AK646)</f>
        <v>-0.25999999999999979</v>
      </c>
      <c r="BD654" s="157"/>
    </row>
    <row r="655" spans="2:56">
      <c r="B655" s="156"/>
      <c r="F655" s="157"/>
      <c r="G655" s="2" t="s">
        <v>313</v>
      </c>
      <c r="H655" s="128">
        <f ca="1">IF(G640&gt;=4,H643,H653)</f>
        <v>8888</v>
      </c>
      <c r="I655" s="139">
        <f ca="1">IF(G640&gt;=4,I654,I653)</f>
        <v>8887.5</v>
      </c>
      <c r="AD655" s="157"/>
      <c r="AE655" s="2" t="s">
        <v>313</v>
      </c>
      <c r="AF655" s="128">
        <f ca="1">IF($AE640,H655,AF646)</f>
        <v>8888</v>
      </c>
      <c r="AG655" s="129">
        <f ca="1">IF($AE640,I655,AG646)</f>
        <v>8887.5</v>
      </c>
      <c r="BD655" s="157"/>
    </row>
    <row r="656" spans="2:56">
      <c r="B656" s="156"/>
      <c r="F656" s="157"/>
      <c r="G656" s="2" t="s">
        <v>7</v>
      </c>
      <c r="H656" s="128">
        <f ca="1">IF(G640&gt;=4,H643,H653)</f>
        <v>8888</v>
      </c>
      <c r="I656" s="139">
        <f ca="1">IF(G640&gt;=4,I655-P633,I653)</f>
        <v>8887.5</v>
      </c>
      <c r="AD656" s="157"/>
      <c r="AE656" s="2" t="s">
        <v>7</v>
      </c>
      <c r="AF656" s="128">
        <f ca="1">IF($AE640,H656,AF646)</f>
        <v>8888</v>
      </c>
      <c r="AG656" s="129">
        <f ca="1">IF($AE640,I656,AG646)</f>
        <v>8887.5</v>
      </c>
      <c r="BD656" s="157"/>
    </row>
    <row r="657" spans="2:56">
      <c r="B657" s="156"/>
      <c r="F657" s="157"/>
      <c r="G657" s="115" t="s">
        <v>8</v>
      </c>
      <c r="H657" s="188">
        <f ca="1">IF(G640&gt;=4,H642,H653)</f>
        <v>8888</v>
      </c>
      <c r="I657" s="189">
        <f ca="1">IF(G640&gt;=4,I656,I653)</f>
        <v>8887.5</v>
      </c>
      <c r="AD657" s="157"/>
      <c r="AE657" s="115" t="s">
        <v>8</v>
      </c>
      <c r="AF657" s="188">
        <f ca="1">IF($AE640,H657,AF646)</f>
        <v>8888</v>
      </c>
      <c r="AG657" s="196">
        <f ca="1">IF($AE640,I657,AG646)</f>
        <v>8887.5</v>
      </c>
      <c r="BD657" s="157"/>
    </row>
    <row r="658" spans="2:56">
      <c r="B658" s="156"/>
      <c r="F658" s="157"/>
      <c r="G658" s="2" t="s">
        <v>9</v>
      </c>
      <c r="H658" s="128">
        <f ca="1">IF(G640&gt;=5,H642,H657)</f>
        <v>8888</v>
      </c>
      <c r="I658" s="139">
        <f ca="1">IF(G640&gt;=5,I657-P635,I657)</f>
        <v>8887.5</v>
      </c>
      <c r="AD658" s="157"/>
      <c r="AE658" s="2" t="s">
        <v>9</v>
      </c>
      <c r="AF658" s="128">
        <f ca="1">IF($AE640,H658,AF646)</f>
        <v>8888</v>
      </c>
      <c r="AG658" s="129">
        <f ca="1">IF($AE640,I658,AG646)</f>
        <v>8887.5</v>
      </c>
      <c r="BD658" s="157"/>
    </row>
    <row r="659" spans="2:56">
      <c r="B659" s="156"/>
      <c r="F659" s="157"/>
      <c r="G659" s="2" t="s">
        <v>196</v>
      </c>
      <c r="H659" s="128">
        <f ca="1">IF(G640&gt;=5,H643,H657)</f>
        <v>8888</v>
      </c>
      <c r="I659" s="139">
        <f ca="1">IF(G640&gt;=5,I658,I657)</f>
        <v>8887.5</v>
      </c>
      <c r="AD659" s="157"/>
      <c r="AE659" s="2" t="s">
        <v>196</v>
      </c>
      <c r="AF659" s="128">
        <f ca="1">IF($AE640,H659,AF646)</f>
        <v>8888</v>
      </c>
      <c r="AG659" s="129">
        <f ca="1">IF($AE640,I659,AG646)</f>
        <v>8887.5</v>
      </c>
      <c r="BD659" s="157"/>
    </row>
    <row r="660" spans="2:56">
      <c r="B660" s="156"/>
      <c r="F660" s="157"/>
      <c r="G660" s="2" t="s">
        <v>10</v>
      </c>
      <c r="H660" s="128">
        <f ca="1">IF(G640&gt;=5,H643,H657)</f>
        <v>8888</v>
      </c>
      <c r="I660" s="139">
        <f ca="1">IF(G640&gt;=5,I659-P633,I657)</f>
        <v>8887.5</v>
      </c>
      <c r="AD660" s="157"/>
      <c r="AE660" s="2" t="s">
        <v>10</v>
      </c>
      <c r="AF660" s="128">
        <f ca="1">IF($AE640,H660,AF646)</f>
        <v>8888</v>
      </c>
      <c r="AG660" s="129">
        <f ca="1">IF($AE640,I660,AG646)</f>
        <v>8887.5</v>
      </c>
      <c r="BD660" s="157"/>
    </row>
    <row r="661" spans="2:56">
      <c r="B661" s="156"/>
      <c r="F661" s="157"/>
      <c r="G661" s="2" t="s">
        <v>161</v>
      </c>
      <c r="H661" s="188">
        <f ca="1">IF(G640&gt;=5,H642,H657)</f>
        <v>8888</v>
      </c>
      <c r="I661" s="189">
        <f ca="1">IF(G640&gt;=5,I660,I657)</f>
        <v>8887.5</v>
      </c>
      <c r="AD661" s="157"/>
      <c r="AE661" s="2" t="s">
        <v>161</v>
      </c>
      <c r="AF661" s="188">
        <f ca="1">IF($AE640,H661,AF646)</f>
        <v>8888</v>
      </c>
      <c r="AG661" s="196">
        <f ca="1">IF($AE640,I661,AG646)</f>
        <v>8887.5</v>
      </c>
      <c r="BD661" s="157"/>
    </row>
    <row r="662" spans="2:56">
      <c r="B662" s="156"/>
      <c r="F662" s="157"/>
      <c r="G662" s="192" t="s">
        <v>11</v>
      </c>
      <c r="H662" s="128">
        <f ca="1">IF(G640&gt;=6,H642,H661)</f>
        <v>8888</v>
      </c>
      <c r="I662" s="139">
        <f ca="1">IF(G640&gt;=6,I661-P635,I661)</f>
        <v>8887.5</v>
      </c>
      <c r="AD662" s="157"/>
      <c r="AE662" s="192" t="s">
        <v>11</v>
      </c>
      <c r="AF662" s="128">
        <f ca="1">IF($AE640,H662,AF646)</f>
        <v>8888</v>
      </c>
      <c r="AG662" s="129">
        <f ca="1">IF($AE640,I662,AG646)</f>
        <v>8887.5</v>
      </c>
      <c r="BD662" s="157"/>
    </row>
    <row r="663" spans="2:56">
      <c r="B663" s="156"/>
      <c r="F663" s="157"/>
      <c r="G663" s="2" t="s">
        <v>12</v>
      </c>
      <c r="H663" s="128">
        <f ca="1">IF(G640&gt;=6,H643,H661)</f>
        <v>8888</v>
      </c>
      <c r="I663" s="139">
        <f ca="1">IF(G640&gt;=6,I662,I661)</f>
        <v>8887.5</v>
      </c>
      <c r="AD663" s="157"/>
      <c r="AE663" s="2" t="s">
        <v>12</v>
      </c>
      <c r="AF663" s="128">
        <f ca="1">IF($AE640,H663,AF646)</f>
        <v>8888</v>
      </c>
      <c r="AG663" s="129">
        <f ca="1">IF($AE640,I663,AG646)</f>
        <v>8887.5</v>
      </c>
      <c r="BD663" s="157"/>
    </row>
    <row r="664" spans="2:56">
      <c r="B664" s="156"/>
      <c r="F664" s="157"/>
      <c r="G664" s="2" t="s">
        <v>13</v>
      </c>
      <c r="H664" s="128">
        <f ca="1">IF(G640&gt;=6,H643,H661)</f>
        <v>8888</v>
      </c>
      <c r="I664" s="139">
        <f ca="1">IF(G640&gt;=6,I663-P633,I661)</f>
        <v>8887.5</v>
      </c>
      <c r="AD664" s="157"/>
      <c r="AE664" s="2" t="s">
        <v>13</v>
      </c>
      <c r="AF664" s="128">
        <f ca="1">IF($AE640,H664,AF646)</f>
        <v>8888</v>
      </c>
      <c r="AG664" s="129">
        <f ca="1">IF($AE640,I664,AG646)</f>
        <v>8887.5</v>
      </c>
      <c r="BD664" s="157"/>
    </row>
    <row r="665" spans="2:56">
      <c r="B665" s="156"/>
      <c r="F665" s="157"/>
      <c r="G665" s="115" t="s">
        <v>14</v>
      </c>
      <c r="H665" s="188">
        <f ca="1">IF(G640&gt;=6,H642,H661)</f>
        <v>8888</v>
      </c>
      <c r="I665" s="189">
        <f ca="1">IF(G640&gt;=6,I664,I661)</f>
        <v>8887.5</v>
      </c>
      <c r="AD665" s="157"/>
      <c r="AE665" s="115" t="s">
        <v>14</v>
      </c>
      <c r="AF665" s="188">
        <f ca="1">IF($AE640,H665,AF646)</f>
        <v>8888</v>
      </c>
      <c r="AG665" s="196">
        <f ca="1">IF($AE640,I665,AG646)</f>
        <v>8887.5</v>
      </c>
      <c r="BD665" s="157"/>
    </row>
    <row r="666" spans="2:56" ht="15" thickBot="1">
      <c r="B666" s="156"/>
      <c r="G666" s="130" t="s">
        <v>396</v>
      </c>
      <c r="H666" s="130">
        <f ca="1">H642</f>
        <v>8888</v>
      </c>
      <c r="I666" s="140">
        <f ca="1">I642</f>
        <v>8888</v>
      </c>
      <c r="AE666" s="130" t="s">
        <v>396</v>
      </c>
      <c r="AF666" s="130">
        <f ca="1">IF($AE640,H666,AF646)</f>
        <v>8888</v>
      </c>
      <c r="AG666" s="132">
        <f ca="1">IF($AE640,I666,AG646)</f>
        <v>8888</v>
      </c>
      <c r="BD666" s="157"/>
    </row>
    <row r="667" spans="2:56">
      <c r="B667" s="156"/>
      <c r="BD667" s="157"/>
    </row>
    <row r="668" spans="2:56">
      <c r="B668" s="156"/>
      <c r="BD668" s="157"/>
    </row>
    <row r="669" spans="2:56">
      <c r="B669" s="156"/>
      <c r="C669" s="200" t="s">
        <v>336</v>
      </c>
      <c r="D669">
        <f>D633+1</f>
        <v>14</v>
      </c>
      <c r="G669" s="200" t="s">
        <v>638</v>
      </c>
      <c r="H669">
        <f ca="1">LOOKUP(D672,$C$191:$C$196,$D$191:$D$196)</f>
        <v>0</v>
      </c>
      <c r="K669" s="200" t="s">
        <v>644</v>
      </c>
      <c r="L669">
        <f ca="1">L633-H674</f>
        <v>-12.562000000000003</v>
      </c>
      <c r="O669" s="200" t="s">
        <v>404</v>
      </c>
      <c r="P669">
        <f ca="1">IF(D671=1,SEAT_w_cushion_FC,IF(D671=2,SEAT_w_cushion_BC,IF(D671=3,SEAT_w_cushion_YC,0)))</f>
        <v>0.5</v>
      </c>
      <c r="S669" s="200" t="s">
        <v>647</v>
      </c>
      <c r="T669">
        <f ca="1">LOOKUP(D672,$C$191:$C$196,$E$191:$E$196)</f>
        <v>0</v>
      </c>
      <c r="W669" t="s">
        <v>130</v>
      </c>
      <c r="X669" t="str">
        <f ca="1">OFFSET(Fuselage!$B$275,D669,5)</f>
        <v>None</v>
      </c>
      <c r="AN669" s="200" t="s">
        <v>135</v>
      </c>
      <c r="AO669">
        <f ca="1">MAX(0,H674-MAX(T669,T671,T673,P670)-X670)</f>
        <v>0.37000000000000005</v>
      </c>
      <c r="BD669" s="157"/>
    </row>
    <row r="670" spans="2:56">
      <c r="B670" s="156"/>
      <c r="C670" s="200" t="s">
        <v>200</v>
      </c>
      <c r="D670">
        <f ca="1">OFFSET(Fuselage!$B$275,D669,0)</f>
        <v>13</v>
      </c>
      <c r="G670" s="200" t="s">
        <v>639</v>
      </c>
      <c r="H670">
        <f ca="1">LOOKUP(D673,$C$191:$C$196,$D$191:$D$196)</f>
        <v>0</v>
      </c>
      <c r="O670" s="200" t="s">
        <v>535</v>
      </c>
      <c r="P670">
        <f ca="1">IF(D671=1,SEAT_length_FC,IF(D671=2,SEAT_length_BC,IF(D671=3,SEAT_length_YC,0)))</f>
        <v>0.43</v>
      </c>
      <c r="S670" s="200" t="s">
        <v>648</v>
      </c>
      <c r="T670">
        <f ca="1">LOOKUP(D672,$C$191:$C$196,$F$191:$F$196)</f>
        <v>0</v>
      </c>
      <c r="W670" t="s">
        <v>131</v>
      </c>
      <c r="X670">
        <f ca="1">LOOKUP(X669,$I$191:$I$198,$J$191:$J$198)</f>
        <v>0</v>
      </c>
      <c r="BD670" s="157"/>
    </row>
    <row r="671" spans="2:56">
      <c r="B671" s="156"/>
      <c r="C671" s="200" t="s">
        <v>337</v>
      </c>
      <c r="D671">
        <f ca="1">OFFSET(Fuselage!$B$275,D669,4)</f>
        <v>3</v>
      </c>
      <c r="G671" s="200" t="s">
        <v>309</v>
      </c>
      <c r="H671">
        <f ca="1">LOOKUP(D674,$C$191:$C$196,$D$191:$D$196)</f>
        <v>0</v>
      </c>
      <c r="K671" s="200" t="s">
        <v>645</v>
      </c>
      <c r="L671">
        <f ca="1">IF(D671=1,FUSELAGE_nseats_left_FC,IF(D671=2,FUSELAGE_nseats_left_BC,IF(D671=3,FUSELAGE_nseats_left_YC,0)))</f>
        <v>2</v>
      </c>
      <c r="O671" s="200" t="s">
        <v>405</v>
      </c>
      <c r="P671">
        <f ca="1">IF(D671=1,SEAT_w_armrest_FC,IF(D671=2,SEAT_w_armrest_BC,IF(D671=3,SEAT_w_armrest_YC,0)))</f>
        <v>0.06</v>
      </c>
      <c r="S671" s="200" t="s">
        <v>652</v>
      </c>
      <c r="T671">
        <f ca="1">LOOKUP(D673,$C$191:$C$196,$E$191:$E$196)</f>
        <v>0</v>
      </c>
      <c r="W671" s="200" t="s">
        <v>393</v>
      </c>
      <c r="X671" t="b">
        <f ca="1">IF(OFFSET(Fuselage!$B$275,D669,6)="YES",TRUE(),FALSE())</f>
        <v>0</v>
      </c>
      <c r="BD671" s="157"/>
    </row>
    <row r="672" spans="2:56">
      <c r="B672" s="156"/>
      <c r="C672" s="200" t="s">
        <v>640</v>
      </c>
      <c r="D672" t="str">
        <f ca="1">OFFSET(Fuselage!$B$275,D669,1)</f>
        <v>None</v>
      </c>
      <c r="G672" s="200" t="s">
        <v>132</v>
      </c>
      <c r="H672">
        <f ca="1">IF(D671=1,SEAT_pitch_FC,IF(D671=2,SEAT_pitch_BC,IF(D671=3,SEAT_pitch_YC,0)))</f>
        <v>0.8</v>
      </c>
      <c r="K672" s="200" t="s">
        <v>646</v>
      </c>
      <c r="L672">
        <f ca="1">IF(D671=1,FUSELAGE_nseats_middle_FC,IF(D671=2,FUSELAGE_nseats_middle_BC,IF(D671=3,FUSELAGE_nseats_middle_YC,0)))</f>
        <v>0</v>
      </c>
      <c r="S672" s="200" t="s">
        <v>653</v>
      </c>
      <c r="T672">
        <f ca="1">LOOKUP(D673,$C$191:$C$196,$F$191:$F$196)</f>
        <v>0</v>
      </c>
      <c r="BD672" s="157"/>
    </row>
    <row r="673" spans="2:56">
      <c r="B673" s="156"/>
      <c r="C673" s="200" t="s">
        <v>642</v>
      </c>
      <c r="D673" t="str">
        <f ca="1">OFFSET(Fuselage!$B$275,D669,2)</f>
        <v>None</v>
      </c>
      <c r="G673" s="200" t="s">
        <v>129</v>
      </c>
      <c r="H673">
        <f ca="1">IF(OR(X669="Type A",X669="Type B"),MAX(H669:H672)+42*0.0254,IF(X669="Type C",MAX(H669:H672)+X670,IF(X669&lt;&gt;"None",24*0.0254,0)))</f>
        <v>0</v>
      </c>
      <c r="K673" s="200" t="s">
        <v>655</v>
      </c>
      <c r="L673">
        <f ca="1">IF(D671=1,FUSELAGE_nseats_right_FC,IF(D671=2,FUSELAGE_nseats_right_BC,IF(D671=3,FUSELAGE_nseats_right_YC,0)))</f>
        <v>2</v>
      </c>
      <c r="O673" s="200" t="s">
        <v>407</v>
      </c>
      <c r="P673">
        <f ca="1">($C$13-(L671+L672+L673)*(P669+P671)+(FUSELAGE_n_aisles-1)*P671)/FUSELAGE_n_aisles</f>
        <v>0.51999999999999957</v>
      </c>
      <c r="S673" s="200" t="s">
        <v>651</v>
      </c>
      <c r="T673">
        <f ca="1">LOOKUP(D674,$C$191:$C$196,$E$191:$E$196)</f>
        <v>0</v>
      </c>
      <c r="BD673" s="157"/>
    </row>
    <row r="674" spans="2:56">
      <c r="B674" s="156"/>
      <c r="C674" s="200" t="s">
        <v>641</v>
      </c>
      <c r="D674" t="str">
        <f ca="1">OFFSET(Fuselage!$B$275,D669,3)</f>
        <v>None</v>
      </c>
      <c r="G674" s="200" t="s">
        <v>643</v>
      </c>
      <c r="H674">
        <f ca="1">MAX(H669:H673)</f>
        <v>0.8</v>
      </c>
      <c r="S674" s="200" t="s">
        <v>654</v>
      </c>
      <c r="T674">
        <f ca="1">LOOKUP(D674,$C$191:$C$196,$F$191:$F$196)</f>
        <v>0</v>
      </c>
      <c r="BD674" s="157"/>
    </row>
    <row r="675" spans="2:56" ht="15" thickBot="1">
      <c r="B675" s="156"/>
      <c r="BD675" s="157"/>
    </row>
    <row r="676" spans="2:56" ht="15" thickBot="1">
      <c r="B676" s="156"/>
      <c r="C676" s="141">
        <f ca="1">L673</f>
        <v>2</v>
      </c>
      <c r="D676" s="197" t="str">
        <f ca="1">IF($D671=1,"FC",IF($D671=2,"BC",IF($D671=3,"YC","Nothing")))</f>
        <v>YC</v>
      </c>
      <c r="E676" s="198"/>
      <c r="G676" s="141">
        <f ca="1">L672</f>
        <v>0</v>
      </c>
      <c r="H676" s="197" t="str">
        <f ca="1">IF($D671=1,"FC",IF($D671=2,"BC",IF($D671=3,"YC","Nothing")))</f>
        <v>YC</v>
      </c>
      <c r="I676" s="198"/>
      <c r="K676" s="141">
        <f ca="1" xml:space="preserve"> L671</f>
        <v>2</v>
      </c>
      <c r="L676" s="197" t="str">
        <f ca="1">IF($D671=1,"FC",IF($D671=2,"BC",IF($D671=3,"YC","Nothing")))</f>
        <v>YC</v>
      </c>
      <c r="M676" s="198"/>
      <c r="O676" s="141">
        <f ca="1">IF($D674&lt;&gt;"None",1,0)</f>
        <v>0</v>
      </c>
      <c r="P676" s="326" t="s">
        <v>380</v>
      </c>
      <c r="Q676" s="327"/>
      <c r="S676" s="141">
        <f ca="1">IF($D673&lt;&gt;"None",1,0)</f>
        <v>0</v>
      </c>
      <c r="T676" s="326" t="s">
        <v>381</v>
      </c>
      <c r="U676" s="327"/>
      <c r="W676" s="141">
        <f ca="1">IF($D672&lt;&gt;"None",1,0)</f>
        <v>0</v>
      </c>
      <c r="X676" s="326" t="s">
        <v>382</v>
      </c>
      <c r="Y676" s="327"/>
      <c r="AA676" s="141">
        <f ca="1">IF($D674="None",1,0)</f>
        <v>1</v>
      </c>
      <c r="AB676" s="326" t="str">
        <f ca="1">IF(AA676,D676,$D674)</f>
        <v>YC</v>
      </c>
      <c r="AC676" s="327"/>
      <c r="AE676" s="141">
        <f ca="1">IF($D673="None",1,0)</f>
        <v>1</v>
      </c>
      <c r="AF676" s="326" t="str">
        <f ca="1">IF(AE676,H676,$D673)</f>
        <v>YC</v>
      </c>
      <c r="AG676" s="327"/>
      <c r="AI676" s="141">
        <f ca="1">IF($D672="None",1,0)</f>
        <v>1</v>
      </c>
      <c r="AJ676" s="326" t="str">
        <f ca="1">IF(AI676,L676,$D672)</f>
        <v>YC</v>
      </c>
      <c r="AK676" s="327"/>
      <c r="AM676" s="141">
        <f ca="1">IF($X669="None",0,1)</f>
        <v>0</v>
      </c>
      <c r="AN676" s="197" t="s">
        <v>133</v>
      </c>
      <c r="AO676" s="198"/>
      <c r="AQ676" s="141">
        <f ca="1">IF($X669="None",0,1)</f>
        <v>0</v>
      </c>
      <c r="AR676" s="197" t="s">
        <v>134</v>
      </c>
      <c r="AS676" s="198"/>
      <c r="BD676" s="157"/>
    </row>
    <row r="677" spans="2:56" ht="15" thickBot="1">
      <c r="B677" s="156"/>
      <c r="C677" s="136" t="s">
        <v>452</v>
      </c>
      <c r="D677" s="136" t="s">
        <v>384</v>
      </c>
      <c r="E677" s="138" t="s">
        <v>385</v>
      </c>
      <c r="G677" s="136" t="s">
        <v>452</v>
      </c>
      <c r="H677" s="136" t="s">
        <v>384</v>
      </c>
      <c r="I677" s="138" t="s">
        <v>385</v>
      </c>
      <c r="K677" s="193" t="s">
        <v>452</v>
      </c>
      <c r="L677" s="193" t="s">
        <v>384</v>
      </c>
      <c r="M677" s="194" t="s">
        <v>385</v>
      </c>
      <c r="O677" s="136" t="s">
        <v>452</v>
      </c>
      <c r="P677" s="136" t="s">
        <v>384</v>
      </c>
      <c r="Q677" s="138" t="s">
        <v>385</v>
      </c>
      <c r="S677" s="136" t="s">
        <v>452</v>
      </c>
      <c r="T677" s="136" t="s">
        <v>384</v>
      </c>
      <c r="U677" s="138" t="s">
        <v>385</v>
      </c>
      <c r="W677" s="136" t="s">
        <v>452</v>
      </c>
      <c r="X677" s="136" t="s">
        <v>384</v>
      </c>
      <c r="Y677" s="138" t="s">
        <v>385</v>
      </c>
      <c r="AA677" s="136" t="s">
        <v>452</v>
      </c>
      <c r="AB677" s="136" t="s">
        <v>384</v>
      </c>
      <c r="AC677" s="138" t="s">
        <v>385</v>
      </c>
      <c r="AE677" s="136" t="s">
        <v>452</v>
      </c>
      <c r="AF677" s="136" t="s">
        <v>384</v>
      </c>
      <c r="AG677" s="138" t="s">
        <v>385</v>
      </c>
      <c r="AI677" s="193" t="s">
        <v>452</v>
      </c>
      <c r="AJ677" s="193" t="s">
        <v>384</v>
      </c>
      <c r="AK677" s="194" t="s">
        <v>385</v>
      </c>
      <c r="AM677" s="193" t="s">
        <v>452</v>
      </c>
      <c r="AN677" s="193" t="s">
        <v>384</v>
      </c>
      <c r="AO677" s="194" t="s">
        <v>385</v>
      </c>
      <c r="AQ677" s="193" t="s">
        <v>452</v>
      </c>
      <c r="AR677" s="193" t="s">
        <v>384</v>
      </c>
      <c r="AS677" s="194" t="s">
        <v>385</v>
      </c>
      <c r="BD677" s="157"/>
    </row>
    <row r="678" spans="2:56">
      <c r="B678" s="156"/>
      <c r="C678" s="128" t="s">
        <v>396</v>
      </c>
      <c r="D678" s="158">
        <f ca="1">IF(C676&gt;=1,L669,8888)</f>
        <v>-12.562000000000003</v>
      </c>
      <c r="E678" s="160">
        <f ca="1">IF(C676&gt;=1,1/2*($C$13-P669-2*P671)+1/2*P669,8888)</f>
        <v>1.3199999999999998</v>
      </c>
      <c r="G678" s="128" t="s">
        <v>396</v>
      </c>
      <c r="H678" s="158">
        <f ca="1">IF(G676&gt;=1,L669,8888)</f>
        <v>8888</v>
      </c>
      <c r="I678" s="160">
        <f ca="1">IF(G676&gt;=1,E689-P673,8888)</f>
        <v>8888</v>
      </c>
      <c r="K678" s="128" t="s">
        <v>396</v>
      </c>
      <c r="L678" s="158">
        <f ca="1">IF(K676&gt;=1,L669,8888)</f>
        <v>-12.562000000000003</v>
      </c>
      <c r="M678" s="160">
        <f ca="1">IF(K676&gt;=1,IF(FUSELAGE_n_aisles=1,E689-P673,I701-P673),8888)</f>
        <v>-0.25999999999999979</v>
      </c>
      <c r="O678" s="128" t="s">
        <v>396</v>
      </c>
      <c r="P678" s="158">
        <f ca="1">IF(O676,$L669,8888)</f>
        <v>8888</v>
      </c>
      <c r="Q678" s="209">
        <f ca="1">IF(O676,FUSELAGE_y_position_of_left_seat_YC-(FUSELAGE_nseats_right_YC-1)*(SEAT_w_cushion_YC+SEAT_w_armrest_YC)/2+T674/2,8888)</f>
        <v>8888</v>
      </c>
      <c r="S678" s="128" t="s">
        <v>396</v>
      </c>
      <c r="T678" s="158">
        <f ca="1">IF(S676,$L669,8888)</f>
        <v>8888</v>
      </c>
      <c r="U678" s="160">
        <f ca="1">IF(S676,T672/2,8888)</f>
        <v>8888</v>
      </c>
      <c r="W678" s="128" t="s">
        <v>396</v>
      </c>
      <c r="X678" s="158">
        <f ca="1">IF(W676,$L669,8888)</f>
        <v>8888</v>
      </c>
      <c r="Y678" s="160">
        <f ca="1">IF(W676,-FUSELAGE_y_position_of_left_seat_YC+(FUSELAGE_nseats_left_YC-1)*(SEAT_w_cushion_YC+SEAT_w_armrest_YC)/2-T670/2,8888)</f>
        <v>8888</v>
      </c>
      <c r="AA678" s="128" t="s">
        <v>396</v>
      </c>
      <c r="AB678" s="158">
        <f ca="1">IF($AA676,D678,P678)</f>
        <v>-12.562000000000003</v>
      </c>
      <c r="AC678" s="174">
        <f ca="1">IF($AA676,E678,Q678)</f>
        <v>1.3199999999999998</v>
      </c>
      <c r="AE678" s="128" t="s">
        <v>396</v>
      </c>
      <c r="AF678" s="158">
        <f ca="1">IF($AE676,H678,T678)</f>
        <v>8888</v>
      </c>
      <c r="AG678" s="174">
        <f ca="1">IF($AE676,I678,U678)</f>
        <v>8888</v>
      </c>
      <c r="AI678" s="128" t="s">
        <v>396</v>
      </c>
      <c r="AJ678" s="158">
        <f ca="1">IF($AI676,L678,X678)</f>
        <v>-12.562000000000003</v>
      </c>
      <c r="AK678" s="174">
        <f ca="1">IF($AI676,M678,Y678)</f>
        <v>-0.25999999999999979</v>
      </c>
      <c r="AM678" s="128" t="s">
        <v>396</v>
      </c>
      <c r="AN678" s="158">
        <f ca="1">AN647</f>
        <v>-11.762000000000002</v>
      </c>
      <c r="AO678" s="174">
        <f ca="1">IF(AN678&gt;-Fuselage!$D$366,(FUSELAGE_a_ellipse)*SQRT(1-((AN678+Fuselage!$D$366)/(Fuselage!$K$364-FUSELAGE_t_fuselage))^2),IF(AN678&gt;$L$2505+Fuselage!$K$370,FUSELAGE_a_ellipse,(FUSELAGE_a_ellipse+FUSELAGE_t_fuselage-FUSELAGE_d_fo/4)/Fuselage!$K$368*(AN678-$L$2505-Fuselage!$K$370)+FUSELAGE_a_ellipse))</f>
        <v>1.4960570012328709</v>
      </c>
      <c r="AQ678" s="128" t="s">
        <v>396</v>
      </c>
      <c r="AR678" s="158">
        <f t="shared" ref="AR678:AR683" ca="1" si="92">AN678</f>
        <v>-11.762000000000002</v>
      </c>
      <c r="AS678" s="174">
        <f t="shared" ref="AS678:AS683" ca="1" si="93">-AO678</f>
        <v>-1.4960570012328709</v>
      </c>
      <c r="BD678" s="157"/>
    </row>
    <row r="679" spans="2:56">
      <c r="B679" s="156"/>
      <c r="C679" s="128" t="s">
        <v>213</v>
      </c>
      <c r="D679" s="128">
        <f ca="1">IF(X671,D678+P670/4,D678+P670)</f>
        <v>-12.132000000000003</v>
      </c>
      <c r="E679" s="139">
        <f ca="1">E678</f>
        <v>1.3199999999999998</v>
      </c>
      <c r="G679" s="128" t="s">
        <v>213</v>
      </c>
      <c r="H679" s="128">
        <f ca="1">H678+P670</f>
        <v>8888.43</v>
      </c>
      <c r="I679" s="139">
        <f ca="1">I678</f>
        <v>8888</v>
      </c>
      <c r="K679" s="128" t="s">
        <v>213</v>
      </c>
      <c r="L679" s="128">
        <f ca="1">IF(X671,IF(K676=1,L678+P670/4,L678+P670),L678+P670)</f>
        <v>-12.132000000000003</v>
      </c>
      <c r="M679" s="139">
        <f ca="1">M678</f>
        <v>-0.25999999999999979</v>
      </c>
      <c r="O679" s="128" t="s">
        <v>213</v>
      </c>
      <c r="P679" s="128">
        <f ca="1">P678+$T673</f>
        <v>8888</v>
      </c>
      <c r="Q679" s="139">
        <f ca="1">Q678</f>
        <v>8888</v>
      </c>
      <c r="S679" s="128" t="s">
        <v>213</v>
      </c>
      <c r="T679" s="128">
        <f ca="1">T678+$T671</f>
        <v>8888</v>
      </c>
      <c r="U679" s="139">
        <f ca="1">U678</f>
        <v>8888</v>
      </c>
      <c r="W679" s="128" t="s">
        <v>213</v>
      </c>
      <c r="X679" s="128">
        <f ca="1">X678+$T669</f>
        <v>8888</v>
      </c>
      <c r="Y679" s="139">
        <f ca="1">Y678</f>
        <v>8888</v>
      </c>
      <c r="AA679" s="143" t="s">
        <v>213</v>
      </c>
      <c r="AB679" s="128">
        <f ca="1">IF($AA676,D679,P679)</f>
        <v>-12.132000000000003</v>
      </c>
      <c r="AC679" s="129">
        <f ca="1">IF($AA676,E679,Q679)</f>
        <v>1.3199999999999998</v>
      </c>
      <c r="AE679" s="128" t="s">
        <v>213</v>
      </c>
      <c r="AF679" s="128">
        <f ca="1">IF($AE676,H679,T679)</f>
        <v>8888.43</v>
      </c>
      <c r="AG679" s="129">
        <f ca="1">IF($AE676,I679,U679)</f>
        <v>8888</v>
      </c>
      <c r="AI679" s="128" t="s">
        <v>213</v>
      </c>
      <c r="AJ679" s="128">
        <f ca="1">IF($AI676,L679,X679)</f>
        <v>-12.132000000000003</v>
      </c>
      <c r="AK679" s="129">
        <f ca="1">IF($AI676,M679,Y679)</f>
        <v>-0.25999999999999979</v>
      </c>
      <c r="AM679" s="128" t="s">
        <v>213</v>
      </c>
      <c r="AN679" s="128">
        <f ca="1">AN678-AO669/2</f>
        <v>-11.947000000000003</v>
      </c>
      <c r="AO679" s="129">
        <f ca="1">IF(AN679&gt;-Fuselage!$D$366,(FUSELAGE_a_ellipse)*SQRT(1-((AN679+Fuselage!$D$366)/(Fuselage!$K$364-FUSELAGE_t_fuselage))^2),IF(AN679&gt;$L$2505+Fuselage!$K$370,FUSELAGE_a_ellipse,(FUSELAGE_a_ellipse+FUSELAGE_t_fuselage-FUSELAGE_d_fo/4)/Fuselage!$K$368*(AN679-$L$2505-Fuselage!$K$370)+FUSELAGE_a_ellipse))</f>
        <v>1.4960570012328709</v>
      </c>
      <c r="AQ679" s="128" t="s">
        <v>213</v>
      </c>
      <c r="AR679" s="128">
        <f t="shared" ca="1" si="92"/>
        <v>-11.947000000000003</v>
      </c>
      <c r="AS679" s="129">
        <f t="shared" ca="1" si="93"/>
        <v>-1.4960570012328709</v>
      </c>
      <c r="BD679" s="157"/>
    </row>
    <row r="680" spans="2:56">
      <c r="B680" s="156"/>
      <c r="C680" s="128" t="s">
        <v>286</v>
      </c>
      <c r="D680" s="128">
        <f ca="1">D679</f>
        <v>-12.132000000000003</v>
      </c>
      <c r="E680" s="139">
        <f ca="1">E679-P669</f>
        <v>0.81999999999999984</v>
      </c>
      <c r="G680" s="128" t="s">
        <v>286</v>
      </c>
      <c r="H680" s="128">
        <f ca="1">H679</f>
        <v>8888.43</v>
      </c>
      <c r="I680" s="139">
        <f ca="1">I679-P669</f>
        <v>8887.5</v>
      </c>
      <c r="K680" s="128" t="s">
        <v>286</v>
      </c>
      <c r="L680" s="128">
        <f ca="1">L679</f>
        <v>-12.132000000000003</v>
      </c>
      <c r="M680" s="139">
        <f ca="1">M679-P669</f>
        <v>-0.75999999999999979</v>
      </c>
      <c r="O680" s="128" t="s">
        <v>286</v>
      </c>
      <c r="P680" s="128">
        <f ca="1">P679</f>
        <v>8888</v>
      </c>
      <c r="Q680" s="139">
        <f ca="1">Q679-$T674</f>
        <v>8888</v>
      </c>
      <c r="S680" s="128" t="s">
        <v>286</v>
      </c>
      <c r="T680" s="128">
        <f ca="1">T679</f>
        <v>8888</v>
      </c>
      <c r="U680" s="139">
        <f ca="1">U679-$T672</f>
        <v>8888</v>
      </c>
      <c r="W680" s="128" t="s">
        <v>286</v>
      </c>
      <c r="X680" s="128">
        <f ca="1">X679</f>
        <v>8888</v>
      </c>
      <c r="Y680" s="139">
        <f ca="1">Y679+$T670</f>
        <v>8888</v>
      </c>
      <c r="AA680" s="143" t="s">
        <v>286</v>
      </c>
      <c r="AB680" s="128">
        <f ca="1">IF($AA676,D680,P680)</f>
        <v>-12.132000000000003</v>
      </c>
      <c r="AC680" s="129">
        <f ca="1">IF($AA676,E680,Q680)</f>
        <v>0.81999999999999984</v>
      </c>
      <c r="AE680" s="128" t="s">
        <v>286</v>
      </c>
      <c r="AF680" s="128">
        <f ca="1">IF($AE676,H680,T680)</f>
        <v>8888.43</v>
      </c>
      <c r="AG680" s="129">
        <f ca="1">IF($AE676,I680,U680)</f>
        <v>8887.5</v>
      </c>
      <c r="AI680" s="128" t="s">
        <v>286</v>
      </c>
      <c r="AJ680" s="128">
        <f ca="1">IF($AI676,L680,X680)</f>
        <v>-12.132000000000003</v>
      </c>
      <c r="AK680" s="129">
        <f ca="1">IF($AI676,M680,Y680)</f>
        <v>-0.75999999999999979</v>
      </c>
      <c r="AM680" s="128" t="s">
        <v>286</v>
      </c>
      <c r="AN680" s="128">
        <f ca="1">AN679</f>
        <v>-11.947000000000003</v>
      </c>
      <c r="AO680" s="129">
        <f ca="1">IF(AN680&gt;-Fuselage!$D$366,IF(AM676,(FUSELAGE_a_ellipse+FUSELAGE_t_fuselage)*SQRT(1-((AN680+Fuselage!$D$366)/Fuselage!$K$364)^2),(FUSELAGE_a_ellipse)*SQRT(1-((AN680+Fuselage!$D$366)/Fuselage!$K$364)^2)),IF(AN680&gt;$L$2505+Fuselage!$K$370,(IF(AM676,FUSELAGE_a_ellipse+FUSELAGE_t_fuselage,FUSELAGE_a_ellipse)),IF(AM676,(FUSELAGE_a_ellipse+FUSELAGE_t_fuselage-FUSELAGE_d_fo/4)/Fuselage!$K$368*(AN680-$L$2505-Fuselage!$K$370)+FUSELAGE_a_ellipse+FUSELAGE_t_fuselage,(FUSELAGE_a_ellipse+FUSELAGE_t_fuselage-FUSELAGE_d_fo/4)/Fuselage!$K$368*(AN680-$L$2505-Fuselage!$K$370)+FUSELAGE_a_ellipse)))</f>
        <v>1.4960570012328709</v>
      </c>
      <c r="AQ680" s="128" t="s">
        <v>286</v>
      </c>
      <c r="AR680" s="128">
        <f t="shared" ca="1" si="92"/>
        <v>-11.947000000000003</v>
      </c>
      <c r="AS680" s="129">
        <f t="shared" ca="1" si="93"/>
        <v>-1.4960570012328709</v>
      </c>
      <c r="BD680" s="157"/>
    </row>
    <row r="681" spans="2:56">
      <c r="B681" s="156"/>
      <c r="C681" s="188" t="s">
        <v>522</v>
      </c>
      <c r="D681" s="188">
        <f ca="1">D678</f>
        <v>-12.562000000000003</v>
      </c>
      <c r="E681" s="189">
        <f ca="1">E680</f>
        <v>0.81999999999999984</v>
      </c>
      <c r="F681" s="157"/>
      <c r="G681" s="2" t="s">
        <v>522</v>
      </c>
      <c r="H681" s="128">
        <f ca="1">H678</f>
        <v>8888</v>
      </c>
      <c r="I681" s="139">
        <f ca="1">I680</f>
        <v>8887.5</v>
      </c>
      <c r="K681" s="128" t="s">
        <v>522</v>
      </c>
      <c r="L681" s="128">
        <f ca="1">L678</f>
        <v>-12.562000000000003</v>
      </c>
      <c r="M681" s="139">
        <f ca="1">M680</f>
        <v>-0.75999999999999979</v>
      </c>
      <c r="O681" s="188" t="s">
        <v>522</v>
      </c>
      <c r="P681" s="188">
        <f ca="1">P678</f>
        <v>8888</v>
      </c>
      <c r="Q681" s="189">
        <f ca="1">Q680</f>
        <v>8888</v>
      </c>
      <c r="S681" s="188" t="s">
        <v>522</v>
      </c>
      <c r="T681" s="188">
        <f ca="1">T678</f>
        <v>8888</v>
      </c>
      <c r="U681" s="189">
        <f ca="1">U680</f>
        <v>8888</v>
      </c>
      <c r="W681" s="188" t="s">
        <v>522</v>
      </c>
      <c r="X681" s="188">
        <f ca="1">X678</f>
        <v>8888</v>
      </c>
      <c r="Y681" s="189">
        <f ca="1">Y680</f>
        <v>8888</v>
      </c>
      <c r="AA681" s="195" t="s">
        <v>522</v>
      </c>
      <c r="AB681" s="128">
        <f ca="1">IF($AA676,D681,P681)</f>
        <v>-12.562000000000003</v>
      </c>
      <c r="AC681" s="129">
        <f ca="1">IF($AA676,E681,Q681)</f>
        <v>0.81999999999999984</v>
      </c>
      <c r="AD681" s="157"/>
      <c r="AE681" s="2" t="s">
        <v>522</v>
      </c>
      <c r="AF681" s="188">
        <f ca="1">IF($AE676,H681,T681)</f>
        <v>8888</v>
      </c>
      <c r="AG681" s="196">
        <f ca="1">IF($AE676,I681,U681)</f>
        <v>8887.5</v>
      </c>
      <c r="AI681" s="128" t="s">
        <v>522</v>
      </c>
      <c r="AJ681" s="188">
        <f ca="1">IF($AI676,L681,X681)</f>
        <v>-12.562000000000003</v>
      </c>
      <c r="AK681" s="196">
        <f ca="1">IF($AI676,M681,Y681)</f>
        <v>-0.75999999999999979</v>
      </c>
      <c r="AM681" s="128" t="s">
        <v>522</v>
      </c>
      <c r="AN681" s="128">
        <f ca="1">AN680-X670</f>
        <v>-11.947000000000003</v>
      </c>
      <c r="AO681" s="129">
        <f ca="1">IF(AN681&gt;-Fuselage!$D$366,IF(AM676,(FUSELAGE_a_ellipse+FUSELAGE_t_fuselage)*SQRT(1-((AN681+Fuselage!$D$366)/Fuselage!$K$364)^2),(FUSELAGE_a_ellipse)*SQRT(1-((AN681+Fuselage!$D$366)/Fuselage!$K$364)^2)),IF(AN681&gt;$L$2505+Fuselage!$K$370,(IF(AM676,FUSELAGE_a_ellipse+FUSELAGE_t_fuselage,FUSELAGE_a_ellipse)),IF(AM676,(FUSELAGE_a_ellipse+FUSELAGE_t_fuselage-FUSELAGE_d_fo/4)/Fuselage!$K$368*(AN681-$L$2505-Fuselage!$K$370)+FUSELAGE_a_ellipse+FUSELAGE_t_fuselage,(FUSELAGE_a_ellipse+FUSELAGE_t_fuselage-FUSELAGE_d_fo/4)/Fuselage!$K$368*(AN681-$L$2505-Fuselage!$K$370)+FUSELAGE_a_ellipse)))</f>
        <v>1.4960570012328709</v>
      </c>
      <c r="AQ681" s="128" t="s">
        <v>522</v>
      </c>
      <c r="AR681" s="128">
        <f t="shared" ca="1" si="92"/>
        <v>-11.947000000000003</v>
      </c>
      <c r="AS681" s="129">
        <f t="shared" ca="1" si="93"/>
        <v>-1.4960570012328709</v>
      </c>
      <c r="BD681" s="157"/>
    </row>
    <row r="682" spans="2:56" ht="15" thickBot="1">
      <c r="B682" s="156"/>
      <c r="C682" s="128" t="s">
        <v>49</v>
      </c>
      <c r="D682" s="128">
        <f ca="1">IF(C676&gt;=2,D678,D681)</f>
        <v>-12.562000000000003</v>
      </c>
      <c r="E682" s="139">
        <f ca="1">IF(C676&gt;=2,E681-P671,E681)</f>
        <v>0.75999999999999979</v>
      </c>
      <c r="F682" s="157"/>
      <c r="G682" s="192" t="s">
        <v>49</v>
      </c>
      <c r="H682" s="190">
        <f ca="1">IF(G676&gt;=2,H678,H681)</f>
        <v>8888</v>
      </c>
      <c r="I682" s="191">
        <f ca="1">IF(G676&gt;=2,I681-P671,I681)</f>
        <v>8887.5</v>
      </c>
      <c r="K682" s="190" t="s">
        <v>49</v>
      </c>
      <c r="L682" s="190">
        <f ca="1">IF(K676&gt;=2,L678,L681)</f>
        <v>-12.562000000000003</v>
      </c>
      <c r="M682" s="191">
        <f ca="1">IF(K676&gt;=2,M681-P671,M681)</f>
        <v>-0.81999999999999984</v>
      </c>
      <c r="O682" s="130" t="s">
        <v>396</v>
      </c>
      <c r="P682" s="130">
        <f ca="1">P678</f>
        <v>8888</v>
      </c>
      <c r="Q682" s="140">
        <f ca="1">Q678</f>
        <v>8888</v>
      </c>
      <c r="S682" s="130" t="s">
        <v>396</v>
      </c>
      <c r="T682" s="130">
        <f ca="1">T678</f>
        <v>8888</v>
      </c>
      <c r="U682" s="140">
        <f ca="1">U678</f>
        <v>8888</v>
      </c>
      <c r="W682" s="130" t="s">
        <v>396</v>
      </c>
      <c r="X682" s="130">
        <f ca="1">X678</f>
        <v>8888</v>
      </c>
      <c r="Y682" s="140">
        <f ca="1">Y678</f>
        <v>8888</v>
      </c>
      <c r="AA682" s="143" t="s">
        <v>49</v>
      </c>
      <c r="AB682" s="128">
        <f ca="1">IF($AA676,D682,P682)</f>
        <v>-12.562000000000003</v>
      </c>
      <c r="AC682" s="129">
        <f ca="1">IF($AA676,E682,Q682)</f>
        <v>0.75999999999999979</v>
      </c>
      <c r="AD682" s="157"/>
      <c r="AE682" s="192" t="s">
        <v>49</v>
      </c>
      <c r="AF682" s="128">
        <f ca="1">IF($AE676,H682,T682)</f>
        <v>8888</v>
      </c>
      <c r="AG682" s="129">
        <f ca="1">IF($AE676,I682,U682)</f>
        <v>8887.5</v>
      </c>
      <c r="AI682" s="190" t="s">
        <v>49</v>
      </c>
      <c r="AJ682" s="128">
        <f ca="1">IF($AI676,L682,X682)</f>
        <v>-12.562000000000003</v>
      </c>
      <c r="AK682" s="129">
        <f ca="1">IF($AI676,M682,Y682)</f>
        <v>-0.81999999999999984</v>
      </c>
      <c r="AM682" s="128" t="s">
        <v>49</v>
      </c>
      <c r="AN682" s="128">
        <f ca="1">AN681</f>
        <v>-11.947000000000003</v>
      </c>
      <c r="AO682" s="129">
        <f ca="1">IF(AN682&gt;-Fuselage!$D$366,(FUSELAGE_a_ellipse)*SQRT(1-((AN682+Fuselage!$D$366)/(Fuselage!$K$364-FUSELAGE_t_fuselage))^2),IF(AN682&gt;$L$2505+Fuselage!$K$370,FUSELAGE_a_ellipse,(FUSELAGE_a_ellipse+FUSELAGE_t_fuselage-FUSELAGE_d_fo/4)/Fuselage!$K$368*(AN682-$L$2505-Fuselage!$K$370)+FUSELAGE_a_ellipse))</f>
        <v>1.4960570012328709</v>
      </c>
      <c r="AQ682" s="128" t="s">
        <v>49</v>
      </c>
      <c r="AR682" s="128">
        <f t="shared" ca="1" si="92"/>
        <v>-11.947000000000003</v>
      </c>
      <c r="AS682" s="129">
        <f t="shared" ca="1" si="93"/>
        <v>-1.4960570012328709</v>
      </c>
      <c r="BD682" s="157"/>
    </row>
    <row r="683" spans="2:56">
      <c r="B683" s="156"/>
      <c r="C683" s="128" t="s">
        <v>453</v>
      </c>
      <c r="D683" s="128">
        <f ca="1">IF(C676&gt;=2,D678+P670,D681)</f>
        <v>-12.132000000000003</v>
      </c>
      <c r="E683" s="139">
        <f ca="1">E682</f>
        <v>0.75999999999999979</v>
      </c>
      <c r="F683" s="157"/>
      <c r="G683" s="2" t="s">
        <v>453</v>
      </c>
      <c r="H683" s="128">
        <f ca="1">IF(G676&gt;=2,H679,H681)</f>
        <v>8888</v>
      </c>
      <c r="I683" s="139">
        <f ca="1">IF(G676&gt;=2,I682,I681)</f>
        <v>8887.5</v>
      </c>
      <c r="K683" s="128" t="s">
        <v>453</v>
      </c>
      <c r="L683" s="128">
        <f ca="1">IF(K676&gt;=2,IF(X671,IF(K676=2,L678+P670/4,L678+P670),L678+P670),L681)</f>
        <v>-12.132000000000003</v>
      </c>
      <c r="M683" s="139">
        <f ca="1">IF(K676&gt;=2,M682,M681)</f>
        <v>-0.81999999999999984</v>
      </c>
      <c r="AA683" s="143" t="s">
        <v>453</v>
      </c>
      <c r="AB683" s="128">
        <f ca="1">IF($AA676,D683,AB682)</f>
        <v>-12.132000000000003</v>
      </c>
      <c r="AC683" s="129">
        <f ca="1">IF($AA676,E683,AC682)</f>
        <v>0.75999999999999979</v>
      </c>
      <c r="AD683" s="157"/>
      <c r="AE683" s="2" t="s">
        <v>453</v>
      </c>
      <c r="AF683" s="128">
        <f ca="1">IF($AE676,H683,AF682)</f>
        <v>8888</v>
      </c>
      <c r="AG683" s="129">
        <f ca="1">IF($AE676,I683,AG682)</f>
        <v>8887.5</v>
      </c>
      <c r="AI683" s="128" t="s">
        <v>453</v>
      </c>
      <c r="AJ683" s="128">
        <f ca="1">IF($AI676,L683,AJ682)</f>
        <v>-12.132000000000003</v>
      </c>
      <c r="AK683" s="129">
        <f ca="1">IF($AI676,M683,AK682)</f>
        <v>-0.81999999999999984</v>
      </c>
      <c r="AM683" s="128" t="s">
        <v>453</v>
      </c>
      <c r="AN683" s="128">
        <f ca="1">L669</f>
        <v>-12.562000000000003</v>
      </c>
      <c r="AO683" s="129">
        <f ca="1">IF(AN683&gt;-Fuselage!$D$366,(FUSELAGE_a_ellipse)*SQRT(1-((AN683+Fuselage!$D$366)/(Fuselage!$K$364-FUSELAGE_t_fuselage))^2),IF(AN683&gt;$L$2505+Fuselage!$K$370,FUSELAGE_a_ellipse,(FUSELAGE_a_ellipse+FUSELAGE_t_fuselage-FUSELAGE_d_fo/4)/Fuselage!$K$368*(AN683-$L$2505-Fuselage!$K$370)+FUSELAGE_a_ellipse))</f>
        <v>1.4960570012328709</v>
      </c>
      <c r="AQ683" s="128" t="s">
        <v>453</v>
      </c>
      <c r="AR683" s="128">
        <f t="shared" ca="1" si="92"/>
        <v>-12.562000000000003</v>
      </c>
      <c r="AS683" s="129">
        <f t="shared" ca="1" si="93"/>
        <v>-1.4960570012328709</v>
      </c>
      <c r="BD683" s="157"/>
    </row>
    <row r="684" spans="2:56">
      <c r="B684" s="156"/>
      <c r="C684" s="128" t="s">
        <v>394</v>
      </c>
      <c r="D684" s="128">
        <f ca="1">IF(C676&gt;=2,D683,D681)</f>
        <v>-12.132000000000003</v>
      </c>
      <c r="E684" s="139">
        <f ca="1">IF(C676&gt;=2,E682-P669,E681)</f>
        <v>0.25999999999999979</v>
      </c>
      <c r="F684" s="157"/>
      <c r="G684" s="2" t="s">
        <v>394</v>
      </c>
      <c r="H684" s="128">
        <f ca="1">IF(G676&gt;=2,H679,H681)</f>
        <v>8888</v>
      </c>
      <c r="I684" s="139">
        <f ca="1">IF(G676&gt;=2,I683-P669,I681)</f>
        <v>8887.5</v>
      </c>
      <c r="K684" s="128" t="s">
        <v>394</v>
      </c>
      <c r="L684" s="128">
        <f ca="1">L683</f>
        <v>-12.132000000000003</v>
      </c>
      <c r="M684" s="139">
        <f ca="1">IF(K676&gt;=2,M683-P669,M681)</f>
        <v>-1.3199999999999998</v>
      </c>
      <c r="AA684" s="143" t="s">
        <v>394</v>
      </c>
      <c r="AB684" s="128">
        <f ca="1">IF($AA676,D684,AB682)</f>
        <v>-12.132000000000003</v>
      </c>
      <c r="AC684" s="129">
        <f ca="1">IF($AA676,E684,AC682)</f>
        <v>0.25999999999999979</v>
      </c>
      <c r="AD684" s="157"/>
      <c r="AE684" s="2" t="s">
        <v>394</v>
      </c>
      <c r="AF684" s="128">
        <f ca="1">IF($AE676,H684,AF682)</f>
        <v>8888</v>
      </c>
      <c r="AG684" s="129">
        <f ca="1">IF($AE676,I684,AG682)</f>
        <v>8887.5</v>
      </c>
      <c r="AI684" s="128" t="s">
        <v>394</v>
      </c>
      <c r="AJ684" s="128">
        <f ca="1">IF($AI676,L684,AJ682)</f>
        <v>-12.132000000000003</v>
      </c>
      <c r="AK684" s="129">
        <f ca="1">IF($AI676,M684,AK682)</f>
        <v>-1.3199999999999998</v>
      </c>
      <c r="BD684" s="157"/>
    </row>
    <row r="685" spans="2:56">
      <c r="B685" s="156"/>
      <c r="C685" s="188" t="s">
        <v>454</v>
      </c>
      <c r="D685" s="188">
        <f ca="1">IF(C676&gt;=2,D678,D681)</f>
        <v>-12.562000000000003</v>
      </c>
      <c r="E685" s="189">
        <f ca="1">E684</f>
        <v>0.25999999999999979</v>
      </c>
      <c r="F685" s="157"/>
      <c r="G685" s="115" t="s">
        <v>454</v>
      </c>
      <c r="H685" s="188">
        <f ca="1">IF(G676&gt;=2,H678,H681)</f>
        <v>8888</v>
      </c>
      <c r="I685" s="189">
        <f ca="1">IF(G676&gt;=2,I684,I681)</f>
        <v>8887.5</v>
      </c>
      <c r="K685" s="188" t="s">
        <v>454</v>
      </c>
      <c r="L685" s="188">
        <f ca="1">IF(K676&gt;=2,L678,L681)</f>
        <v>-12.562000000000003</v>
      </c>
      <c r="M685" s="189">
        <f ca="1">IF(K676&gt;=2,M684,M681)</f>
        <v>-1.3199999999999998</v>
      </c>
      <c r="AA685" s="195" t="s">
        <v>454</v>
      </c>
      <c r="AB685" s="128">
        <f ca="1">IF($AA676,D685,AB682)</f>
        <v>-12.562000000000003</v>
      </c>
      <c r="AC685" s="129">
        <f ca="1">IF($AA676,E685,AC682)</f>
        <v>0.25999999999999979</v>
      </c>
      <c r="AD685" s="157"/>
      <c r="AE685" s="115" t="s">
        <v>454</v>
      </c>
      <c r="AF685" s="188">
        <f ca="1">IF($AE676,H685,AF682)</f>
        <v>8888</v>
      </c>
      <c r="AG685" s="196">
        <f ca="1">IF($AE676,I685,AG682)</f>
        <v>8887.5</v>
      </c>
      <c r="AI685" s="188" t="s">
        <v>454</v>
      </c>
      <c r="AJ685" s="188">
        <f ca="1">IF($AI676,L685,AJ682)</f>
        <v>-12.562000000000003</v>
      </c>
      <c r="AK685" s="196">
        <f ca="1">IF($AI676,M685,AK682)</f>
        <v>-1.3199999999999998</v>
      </c>
      <c r="BD685" s="157"/>
    </row>
    <row r="686" spans="2:56">
      <c r="B686" s="156"/>
      <c r="C686" s="128" t="s">
        <v>507</v>
      </c>
      <c r="D686" s="128">
        <f ca="1">IF(C676&gt;=3,D678,D685)</f>
        <v>-12.562000000000003</v>
      </c>
      <c r="E686" s="139">
        <f ca="1">IF(C676&gt;=3,E685-P671,E685)</f>
        <v>0.25999999999999979</v>
      </c>
      <c r="F686" s="157"/>
      <c r="G686" s="2" t="s">
        <v>507</v>
      </c>
      <c r="H686" s="128">
        <f ca="1">IF(G676&gt;=3,H678,H685)</f>
        <v>8888</v>
      </c>
      <c r="I686" s="139">
        <f ca="1">IF(G676&gt;=3,I685-P671,I685)</f>
        <v>8887.5</v>
      </c>
      <c r="K686" s="128" t="s">
        <v>507</v>
      </c>
      <c r="L686" s="128">
        <f ca="1">IF(K676&gt;=3,L678,L685)</f>
        <v>-12.562000000000003</v>
      </c>
      <c r="M686" s="139">
        <f ca="1">IF(K676&gt;=3,M685-P671,M685)</f>
        <v>-1.3199999999999998</v>
      </c>
      <c r="AA686" s="143" t="s">
        <v>507</v>
      </c>
      <c r="AB686" s="128">
        <f ca="1">IF($AA676,D686,AB682)</f>
        <v>-12.562000000000003</v>
      </c>
      <c r="AC686" s="129">
        <f ca="1">IF($AA676,E686,AC682)</f>
        <v>0.25999999999999979</v>
      </c>
      <c r="AD686" s="157"/>
      <c r="AE686" s="2" t="s">
        <v>507</v>
      </c>
      <c r="AF686" s="128">
        <f ca="1">IF($AE676,H686,AF682)</f>
        <v>8888</v>
      </c>
      <c r="AG686" s="129">
        <f ca="1">IF($AE676,I686,AG682)</f>
        <v>8887.5</v>
      </c>
      <c r="AI686" s="128" t="s">
        <v>507</v>
      </c>
      <c r="AJ686" s="128">
        <f ca="1">IF($AI676,L686,AJ682)</f>
        <v>-12.562000000000003</v>
      </c>
      <c r="AK686" s="129">
        <f ca="1">IF($AI676,M686,AK682)</f>
        <v>-1.3199999999999998</v>
      </c>
      <c r="BD686" s="157"/>
    </row>
    <row r="687" spans="2:56">
      <c r="B687" s="156"/>
      <c r="C687" s="128" t="s">
        <v>455</v>
      </c>
      <c r="D687" s="128">
        <f ca="1">IF(C676&gt;=3,D683,D685)</f>
        <v>-12.562000000000003</v>
      </c>
      <c r="E687" s="139">
        <f ca="1">E686</f>
        <v>0.25999999999999979</v>
      </c>
      <c r="F687" s="157"/>
      <c r="G687" s="2" t="s">
        <v>455</v>
      </c>
      <c r="H687" s="128">
        <f ca="1">IF(G676&gt;=3,H679,H685)</f>
        <v>8888</v>
      </c>
      <c r="I687" s="139">
        <f ca="1">IF(G676&gt;=3,I686,I685)</f>
        <v>8887.5</v>
      </c>
      <c r="K687" s="128" t="s">
        <v>455</v>
      </c>
      <c r="L687" s="128">
        <f ca="1">IF(K676&gt;=3,IF(X671,IF(K676=3,L678+P670/4,L678+P670),L678+P670),L681)</f>
        <v>-12.562000000000003</v>
      </c>
      <c r="M687" s="139">
        <f ca="1">IF(K676&gt;=3,M686,M685)</f>
        <v>-1.3199999999999998</v>
      </c>
      <c r="AA687" s="143" t="s">
        <v>455</v>
      </c>
      <c r="AB687" s="128">
        <f ca="1">IF($AA676,D687,AB682)</f>
        <v>-12.562000000000003</v>
      </c>
      <c r="AC687" s="129">
        <f ca="1">IF($AA676,E687,AC682)</f>
        <v>0.25999999999999979</v>
      </c>
      <c r="AD687" s="157"/>
      <c r="AE687" s="2" t="s">
        <v>455</v>
      </c>
      <c r="AF687" s="128">
        <f ca="1">IF($AE676,H687,AF682)</f>
        <v>8888</v>
      </c>
      <c r="AG687" s="129">
        <f ca="1">IF($AE676,I687,AG682)</f>
        <v>8887.5</v>
      </c>
      <c r="AI687" s="128" t="s">
        <v>455</v>
      </c>
      <c r="AJ687" s="128">
        <f ca="1">IF($AI676,L687,AJ682)</f>
        <v>-12.562000000000003</v>
      </c>
      <c r="AK687" s="129">
        <f ca="1">IF($AI676,M687,AK682)</f>
        <v>-1.3199999999999998</v>
      </c>
      <c r="AL687" s="156"/>
      <c r="BD687" s="157"/>
    </row>
    <row r="688" spans="2:56">
      <c r="B688" s="156"/>
      <c r="C688" s="128" t="s">
        <v>311</v>
      </c>
      <c r="D688" s="128">
        <f ca="1">IF(C676&gt;=3,D683,D685)</f>
        <v>-12.562000000000003</v>
      </c>
      <c r="E688" s="139">
        <f ca="1">IF(C676&gt;=3,E687-P669,E685)</f>
        <v>0.25999999999999979</v>
      </c>
      <c r="F688" s="157"/>
      <c r="G688" s="2" t="s">
        <v>311</v>
      </c>
      <c r="H688" s="128">
        <f ca="1">IF(G676&gt;=3,H679,H685)</f>
        <v>8888</v>
      </c>
      <c r="I688" s="139">
        <f ca="1">IF(G676&gt;=3,I687-P669,I685)</f>
        <v>8887.5</v>
      </c>
      <c r="K688" s="128" t="s">
        <v>311</v>
      </c>
      <c r="L688" s="128">
        <f ca="1">L687</f>
        <v>-12.562000000000003</v>
      </c>
      <c r="M688" s="139">
        <f ca="1">IF(K676&gt;=3,M687-P669,M685)</f>
        <v>-1.3199999999999998</v>
      </c>
      <c r="AA688" s="143" t="s">
        <v>311</v>
      </c>
      <c r="AB688" s="128">
        <f ca="1">IF($AA676,D688,AB682)</f>
        <v>-12.562000000000003</v>
      </c>
      <c r="AC688" s="129">
        <f ca="1">IF($AA676,E688,AC682)</f>
        <v>0.25999999999999979</v>
      </c>
      <c r="AD688" s="157"/>
      <c r="AE688" s="2" t="s">
        <v>311</v>
      </c>
      <c r="AF688" s="128">
        <f ca="1">IF($AE676,H688,AF682)</f>
        <v>8888</v>
      </c>
      <c r="AG688" s="129">
        <f ca="1">IF($AE676,I688,AG682)</f>
        <v>8887.5</v>
      </c>
      <c r="AI688" s="128" t="s">
        <v>311</v>
      </c>
      <c r="AJ688" s="128">
        <f ca="1">IF($AI676,L688,AJ682)</f>
        <v>-12.562000000000003</v>
      </c>
      <c r="AK688" s="129">
        <f ca="1">IF($AI676,M688,AK682)</f>
        <v>-1.3199999999999998</v>
      </c>
      <c r="AL688" s="156"/>
      <c r="BD688" s="157"/>
    </row>
    <row r="689" spans="2:56">
      <c r="B689" s="156"/>
      <c r="C689" s="188" t="s">
        <v>35</v>
      </c>
      <c r="D689" s="188">
        <f ca="1">IF(C676&gt;=3,D678,D685)</f>
        <v>-12.562000000000003</v>
      </c>
      <c r="E689" s="189">
        <f ca="1">E688</f>
        <v>0.25999999999999979</v>
      </c>
      <c r="F689" s="157"/>
      <c r="G689" s="2" t="s">
        <v>35</v>
      </c>
      <c r="H689" s="188">
        <f ca="1">IF(G676&gt;=3,H678,H685)</f>
        <v>8888</v>
      </c>
      <c r="I689" s="189">
        <f ca="1">IF(G676&gt;=3,I688,I685)</f>
        <v>8887.5</v>
      </c>
      <c r="K689" s="188" t="s">
        <v>35</v>
      </c>
      <c r="L689" s="188">
        <f ca="1">IF(K676&gt;=3,L678,L685)</f>
        <v>-12.562000000000003</v>
      </c>
      <c r="M689" s="189">
        <f ca="1">IF(K676&gt;=3,M688,M685)</f>
        <v>-1.3199999999999998</v>
      </c>
      <c r="AA689" s="143" t="s">
        <v>35</v>
      </c>
      <c r="AB689" s="128">
        <f ca="1">IF($AA676,D689,AB682)</f>
        <v>-12.562000000000003</v>
      </c>
      <c r="AC689" s="129">
        <f ca="1">IF($AA676,E689,AC682)</f>
        <v>0.25999999999999979</v>
      </c>
      <c r="AD689" s="157"/>
      <c r="AE689" s="2" t="s">
        <v>35</v>
      </c>
      <c r="AF689" s="188">
        <f ca="1">IF($AE676,H689,AF682)</f>
        <v>8888</v>
      </c>
      <c r="AG689" s="196">
        <f ca="1">IF($AE676,I689,AG682)</f>
        <v>8887.5</v>
      </c>
      <c r="AI689" s="128" t="s">
        <v>35</v>
      </c>
      <c r="AJ689" s="128">
        <f ca="1">IF($AI676,L689,AJ682)</f>
        <v>-12.562000000000003</v>
      </c>
      <c r="AK689" s="129">
        <f ca="1">IF($AI676,M689,AK682)</f>
        <v>-1.3199999999999998</v>
      </c>
      <c r="AL689" s="156"/>
      <c r="BD689" s="157"/>
    </row>
    <row r="690" spans="2:56" ht="15" thickBot="1">
      <c r="B690" s="156"/>
      <c r="C690" s="130" t="s">
        <v>396</v>
      </c>
      <c r="D690" s="130">
        <f ca="1">D678</f>
        <v>-12.562000000000003</v>
      </c>
      <c r="E690" s="140">
        <f ca="1">E678</f>
        <v>1.3199999999999998</v>
      </c>
      <c r="F690" s="157"/>
      <c r="G690" s="192" t="s">
        <v>312</v>
      </c>
      <c r="H690" s="128">
        <f ca="1">IF(G676&gt;=4,H678,H689)</f>
        <v>8888</v>
      </c>
      <c r="I690" s="139">
        <f ca="1">IF(G676&gt;=4,I689-P671,I689)</f>
        <v>8887.5</v>
      </c>
      <c r="K690" s="130" t="s">
        <v>396</v>
      </c>
      <c r="L690" s="130">
        <f ca="1">L678</f>
        <v>-12.562000000000003</v>
      </c>
      <c r="M690" s="140">
        <f ca="1">M678</f>
        <v>-0.25999999999999979</v>
      </c>
      <c r="AA690" s="144" t="s">
        <v>396</v>
      </c>
      <c r="AB690" s="130">
        <f ca="1">IF($AA676,D690,AB682)</f>
        <v>-12.562000000000003</v>
      </c>
      <c r="AC690" s="132">
        <f ca="1">IF($AA676,E690,AC682)</f>
        <v>1.3199999999999998</v>
      </c>
      <c r="AD690" s="157"/>
      <c r="AE690" s="192" t="s">
        <v>312</v>
      </c>
      <c r="AF690" s="128">
        <f ca="1">IF($AE676,H690,AF682)</f>
        <v>8888</v>
      </c>
      <c r="AG690" s="129">
        <f ca="1">IF($AE676,I690,AG682)</f>
        <v>8887.5</v>
      </c>
      <c r="AI690" s="130" t="s">
        <v>396</v>
      </c>
      <c r="AJ690" s="130">
        <f ca="1">IF($AI676,L690,AJ682)</f>
        <v>-12.562000000000003</v>
      </c>
      <c r="AK690" s="132">
        <f ca="1">IF($AI676,M690,AK682)</f>
        <v>-0.25999999999999979</v>
      </c>
      <c r="BD690" s="157"/>
    </row>
    <row r="691" spans="2:56">
      <c r="B691" s="156"/>
      <c r="F691" s="157"/>
      <c r="G691" s="2" t="s">
        <v>313</v>
      </c>
      <c r="H691" s="128">
        <f ca="1">IF(G676&gt;=4,H679,H689)</f>
        <v>8888</v>
      </c>
      <c r="I691" s="139">
        <f ca="1">IF(G676&gt;=4,I690,I689)</f>
        <v>8887.5</v>
      </c>
      <c r="AD691" s="157"/>
      <c r="AE691" s="2" t="s">
        <v>313</v>
      </c>
      <c r="AF691" s="128">
        <f ca="1">IF($AE676,H691,AF682)</f>
        <v>8888</v>
      </c>
      <c r="AG691" s="129">
        <f ca="1">IF($AE676,I691,AG682)</f>
        <v>8887.5</v>
      </c>
      <c r="BD691" s="157"/>
    </row>
    <row r="692" spans="2:56">
      <c r="B692" s="156"/>
      <c r="F692" s="157"/>
      <c r="G692" s="2" t="s">
        <v>7</v>
      </c>
      <c r="H692" s="128">
        <f ca="1">IF(G676&gt;=4,H679,H689)</f>
        <v>8888</v>
      </c>
      <c r="I692" s="139">
        <f ca="1">IF(G676&gt;=4,I691-P669,I689)</f>
        <v>8887.5</v>
      </c>
      <c r="AD692" s="157"/>
      <c r="AE692" s="2" t="s">
        <v>7</v>
      </c>
      <c r="AF692" s="128">
        <f ca="1">IF($AE676,H692,AF682)</f>
        <v>8888</v>
      </c>
      <c r="AG692" s="129">
        <f ca="1">IF($AE676,I692,AG682)</f>
        <v>8887.5</v>
      </c>
      <c r="BD692" s="157"/>
    </row>
    <row r="693" spans="2:56">
      <c r="B693" s="156"/>
      <c r="F693" s="157"/>
      <c r="G693" s="115" t="s">
        <v>8</v>
      </c>
      <c r="H693" s="188">
        <f ca="1">IF(G676&gt;=4,H678,H689)</f>
        <v>8888</v>
      </c>
      <c r="I693" s="189">
        <f ca="1">IF(G676&gt;=4,I692,I689)</f>
        <v>8887.5</v>
      </c>
      <c r="AD693" s="157"/>
      <c r="AE693" s="115" t="s">
        <v>8</v>
      </c>
      <c r="AF693" s="188">
        <f ca="1">IF($AE676,H693,AF682)</f>
        <v>8888</v>
      </c>
      <c r="AG693" s="196">
        <f ca="1">IF($AE676,I693,AG682)</f>
        <v>8887.5</v>
      </c>
      <c r="BD693" s="157"/>
    </row>
    <row r="694" spans="2:56">
      <c r="B694" s="156"/>
      <c r="F694" s="157"/>
      <c r="G694" s="2" t="s">
        <v>9</v>
      </c>
      <c r="H694" s="128">
        <f ca="1">IF(G676&gt;=5,H678,H693)</f>
        <v>8888</v>
      </c>
      <c r="I694" s="139">
        <f ca="1">IF(G676&gt;=5,I693-P671,I693)</f>
        <v>8887.5</v>
      </c>
      <c r="AD694" s="157"/>
      <c r="AE694" s="2" t="s">
        <v>9</v>
      </c>
      <c r="AF694" s="128">
        <f ca="1">IF($AE676,H694,AF682)</f>
        <v>8888</v>
      </c>
      <c r="AG694" s="129">
        <f ca="1">IF($AE676,I694,AG682)</f>
        <v>8887.5</v>
      </c>
      <c r="BD694" s="157"/>
    </row>
    <row r="695" spans="2:56">
      <c r="B695" s="156"/>
      <c r="F695" s="157"/>
      <c r="G695" s="2" t="s">
        <v>196</v>
      </c>
      <c r="H695" s="128">
        <f ca="1">IF(G676&gt;=5,H679,H693)</f>
        <v>8888</v>
      </c>
      <c r="I695" s="139">
        <f ca="1">IF(G676&gt;=5,I694,I693)</f>
        <v>8887.5</v>
      </c>
      <c r="AD695" s="157"/>
      <c r="AE695" s="2" t="s">
        <v>196</v>
      </c>
      <c r="AF695" s="128">
        <f ca="1">IF($AE676,H695,AF682)</f>
        <v>8888</v>
      </c>
      <c r="AG695" s="129">
        <f ca="1">IF($AE676,I695,AG682)</f>
        <v>8887.5</v>
      </c>
      <c r="BD695" s="157"/>
    </row>
    <row r="696" spans="2:56">
      <c r="B696" s="156"/>
      <c r="F696" s="157"/>
      <c r="G696" s="2" t="s">
        <v>10</v>
      </c>
      <c r="H696" s="128">
        <f ca="1">IF(G676&gt;=5,H679,H693)</f>
        <v>8888</v>
      </c>
      <c r="I696" s="139">
        <f ca="1">IF(G676&gt;=5,I695-P669,I693)</f>
        <v>8887.5</v>
      </c>
      <c r="AD696" s="157"/>
      <c r="AE696" s="2" t="s">
        <v>10</v>
      </c>
      <c r="AF696" s="128">
        <f ca="1">IF($AE676,H696,AF682)</f>
        <v>8888</v>
      </c>
      <c r="AG696" s="129">
        <f ca="1">IF($AE676,I696,AG682)</f>
        <v>8887.5</v>
      </c>
      <c r="BD696" s="157"/>
    </row>
    <row r="697" spans="2:56">
      <c r="B697" s="156"/>
      <c r="F697" s="157"/>
      <c r="G697" s="2" t="s">
        <v>161</v>
      </c>
      <c r="H697" s="188">
        <f ca="1">IF(G676&gt;=5,H678,H693)</f>
        <v>8888</v>
      </c>
      <c r="I697" s="189">
        <f ca="1">IF(G676&gt;=5,I696,I693)</f>
        <v>8887.5</v>
      </c>
      <c r="AD697" s="157"/>
      <c r="AE697" s="2" t="s">
        <v>161</v>
      </c>
      <c r="AF697" s="188">
        <f ca="1">IF($AE676,H697,AF682)</f>
        <v>8888</v>
      </c>
      <c r="AG697" s="196">
        <f ca="1">IF($AE676,I697,AG682)</f>
        <v>8887.5</v>
      </c>
      <c r="BD697" s="157"/>
    </row>
    <row r="698" spans="2:56">
      <c r="B698" s="156"/>
      <c r="F698" s="157"/>
      <c r="G698" s="192" t="s">
        <v>11</v>
      </c>
      <c r="H698" s="128">
        <f ca="1">IF(G676&gt;=6,H678,H697)</f>
        <v>8888</v>
      </c>
      <c r="I698" s="139">
        <f ca="1">IF(G676&gt;=6,I697-P671,I697)</f>
        <v>8887.5</v>
      </c>
      <c r="AD698" s="157"/>
      <c r="AE698" s="192" t="s">
        <v>11</v>
      </c>
      <c r="AF698" s="128">
        <f ca="1">IF($AE676,H698,AF682)</f>
        <v>8888</v>
      </c>
      <c r="AG698" s="129">
        <f ca="1">IF($AE676,I698,AG682)</f>
        <v>8887.5</v>
      </c>
      <c r="BD698" s="157"/>
    </row>
    <row r="699" spans="2:56">
      <c r="B699" s="156"/>
      <c r="F699" s="157"/>
      <c r="G699" s="2" t="s">
        <v>12</v>
      </c>
      <c r="H699" s="128">
        <f ca="1">IF(G676&gt;=6,H679,H697)</f>
        <v>8888</v>
      </c>
      <c r="I699" s="139">
        <f ca="1">IF(G676&gt;=6,I698,I697)</f>
        <v>8887.5</v>
      </c>
      <c r="AD699" s="157"/>
      <c r="AE699" s="2" t="s">
        <v>12</v>
      </c>
      <c r="AF699" s="128">
        <f ca="1">IF($AE676,H699,AF682)</f>
        <v>8888</v>
      </c>
      <c r="AG699" s="129">
        <f ca="1">IF($AE676,I699,AG682)</f>
        <v>8887.5</v>
      </c>
      <c r="BD699" s="157"/>
    </row>
    <row r="700" spans="2:56">
      <c r="B700" s="156"/>
      <c r="F700" s="157"/>
      <c r="G700" s="2" t="s">
        <v>13</v>
      </c>
      <c r="H700" s="128">
        <f ca="1">IF(G676&gt;=6,H679,H697)</f>
        <v>8888</v>
      </c>
      <c r="I700" s="139">
        <f ca="1">IF(G676&gt;=6,I699-P669,I697)</f>
        <v>8887.5</v>
      </c>
      <c r="AD700" s="157"/>
      <c r="AE700" s="2" t="s">
        <v>13</v>
      </c>
      <c r="AF700" s="128">
        <f ca="1">IF($AE676,H700,AF682)</f>
        <v>8888</v>
      </c>
      <c r="AG700" s="129">
        <f ca="1">IF($AE676,I700,AG682)</f>
        <v>8887.5</v>
      </c>
      <c r="BD700" s="157"/>
    </row>
    <row r="701" spans="2:56">
      <c r="B701" s="156"/>
      <c r="F701" s="157"/>
      <c r="G701" s="115" t="s">
        <v>14</v>
      </c>
      <c r="H701" s="188">
        <f ca="1">IF(G676&gt;=6,H678,H697)</f>
        <v>8888</v>
      </c>
      <c r="I701" s="189">
        <f ca="1">IF(G676&gt;=6,I700,I697)</f>
        <v>8887.5</v>
      </c>
      <c r="AD701" s="157"/>
      <c r="AE701" s="115" t="s">
        <v>14</v>
      </c>
      <c r="AF701" s="188">
        <f ca="1">IF($AE676,H701,AF682)</f>
        <v>8888</v>
      </c>
      <c r="AG701" s="196">
        <f ca="1">IF($AE676,I701,AG682)</f>
        <v>8887.5</v>
      </c>
      <c r="BD701" s="157"/>
    </row>
    <row r="702" spans="2:56" ht="15" thickBot="1">
      <c r="B702" s="156"/>
      <c r="G702" s="130" t="s">
        <v>396</v>
      </c>
      <c r="H702" s="130">
        <f ca="1">H678</f>
        <v>8888</v>
      </c>
      <c r="I702" s="140">
        <f ca="1">I678</f>
        <v>8888</v>
      </c>
      <c r="AE702" s="130" t="s">
        <v>396</v>
      </c>
      <c r="AF702" s="130">
        <f ca="1">IF($AE676,H702,AF682)</f>
        <v>8888</v>
      </c>
      <c r="AG702" s="132">
        <f ca="1">IF($AE676,I702,AG682)</f>
        <v>8888</v>
      </c>
      <c r="BD702" s="157"/>
    </row>
    <row r="703" spans="2:56">
      <c r="B703" s="156"/>
      <c r="BD703" s="157"/>
    </row>
    <row r="704" spans="2:56">
      <c r="B704" s="156"/>
      <c r="BD704" s="157"/>
    </row>
    <row r="705" spans="2:56">
      <c r="B705" s="156"/>
      <c r="C705" s="200" t="s">
        <v>336</v>
      </c>
      <c r="D705">
        <f>D669+1</f>
        <v>15</v>
      </c>
      <c r="G705" s="200" t="s">
        <v>638</v>
      </c>
      <c r="H705">
        <f ca="1">LOOKUP(D708,$C$191:$C$196,$D$191:$D$196)</f>
        <v>0</v>
      </c>
      <c r="K705" s="200" t="s">
        <v>644</v>
      </c>
      <c r="L705">
        <f ca="1">L669-H710</f>
        <v>-13.362000000000004</v>
      </c>
      <c r="O705" s="200" t="s">
        <v>404</v>
      </c>
      <c r="P705">
        <f ca="1">IF(D707=1,SEAT_w_cushion_FC,IF(D707=2,SEAT_w_cushion_BC,IF(D707=3,SEAT_w_cushion_YC,0)))</f>
        <v>0.5</v>
      </c>
      <c r="S705" s="200" t="s">
        <v>647</v>
      </c>
      <c r="T705">
        <f ca="1">LOOKUP(D708,$C$191:$C$196,$E$191:$E$196)</f>
        <v>0</v>
      </c>
      <c r="W705" t="s">
        <v>130</v>
      </c>
      <c r="X705" t="str">
        <f ca="1">OFFSET(Fuselage!$B$275,D705,5)</f>
        <v>None</v>
      </c>
      <c r="AN705" s="200" t="s">
        <v>135</v>
      </c>
      <c r="AO705">
        <f ca="1">MAX(0,H710-MAX(T705,T707,T709,P706)-X706)</f>
        <v>0.37000000000000005</v>
      </c>
      <c r="BD705" s="157"/>
    </row>
    <row r="706" spans="2:56">
      <c r="B706" s="156"/>
      <c r="C706" s="200" t="s">
        <v>200</v>
      </c>
      <c r="D706">
        <f ca="1">OFFSET(Fuselage!$B$275,D705,0)</f>
        <v>14</v>
      </c>
      <c r="G706" s="200" t="s">
        <v>639</v>
      </c>
      <c r="H706">
        <f ca="1">LOOKUP(D709,$C$191:$C$196,$D$191:$D$196)</f>
        <v>0</v>
      </c>
      <c r="O706" s="200" t="s">
        <v>535</v>
      </c>
      <c r="P706">
        <f ca="1">IF(D707=1,SEAT_length_FC,IF(D707=2,SEAT_length_BC,IF(D707=3,SEAT_length_YC,0)))</f>
        <v>0.43</v>
      </c>
      <c r="S706" s="200" t="s">
        <v>648</v>
      </c>
      <c r="T706">
        <f ca="1">LOOKUP(D708,$C$191:$C$196,$F$191:$F$196)</f>
        <v>0</v>
      </c>
      <c r="W706" t="s">
        <v>131</v>
      </c>
      <c r="X706">
        <f ca="1">LOOKUP(X705,$I$191:$I$198,$J$191:$J$198)</f>
        <v>0</v>
      </c>
      <c r="BD706" s="157"/>
    </row>
    <row r="707" spans="2:56">
      <c r="B707" s="156"/>
      <c r="C707" s="200" t="s">
        <v>337</v>
      </c>
      <c r="D707">
        <f ca="1">OFFSET(Fuselage!$B$275,D705,4)</f>
        <v>3</v>
      </c>
      <c r="G707" s="200" t="s">
        <v>309</v>
      </c>
      <c r="H707">
        <f ca="1">LOOKUP(D710,$C$191:$C$196,$D$191:$D$196)</f>
        <v>0</v>
      </c>
      <c r="K707" s="200" t="s">
        <v>645</v>
      </c>
      <c r="L707">
        <f ca="1">IF(D707=1,FUSELAGE_nseats_left_FC,IF(D707=2,FUSELAGE_nseats_left_BC,IF(D707=3,FUSELAGE_nseats_left_YC,0)))</f>
        <v>2</v>
      </c>
      <c r="O707" s="200" t="s">
        <v>405</v>
      </c>
      <c r="P707">
        <f ca="1">IF(D707=1,SEAT_w_armrest_FC,IF(D707=2,SEAT_w_armrest_BC,IF(D707=3,SEAT_w_armrest_YC,0)))</f>
        <v>0.06</v>
      </c>
      <c r="S707" s="200" t="s">
        <v>652</v>
      </c>
      <c r="T707">
        <f ca="1">LOOKUP(D709,$C$191:$C$196,$E$191:$E$196)</f>
        <v>0</v>
      </c>
      <c r="W707" s="200" t="s">
        <v>393</v>
      </c>
      <c r="X707" t="b">
        <f ca="1">IF(OFFSET(Fuselage!$B$275,D705,6)="YES",TRUE(),FALSE())</f>
        <v>0</v>
      </c>
      <c r="BD707" s="157"/>
    </row>
    <row r="708" spans="2:56">
      <c r="B708" s="156"/>
      <c r="C708" s="200" t="s">
        <v>640</v>
      </c>
      <c r="D708" t="str">
        <f ca="1">OFFSET(Fuselage!$B$275,D705,1)</f>
        <v>None</v>
      </c>
      <c r="G708" s="200" t="s">
        <v>132</v>
      </c>
      <c r="H708">
        <f ca="1">IF(D707=1,SEAT_pitch_FC,IF(D707=2,SEAT_pitch_BC,IF(D707=3,SEAT_pitch_YC,0)))</f>
        <v>0.8</v>
      </c>
      <c r="K708" s="200" t="s">
        <v>646</v>
      </c>
      <c r="L708">
        <f ca="1">IF(D707=1,FUSELAGE_nseats_middle_FC,IF(D707=2,FUSELAGE_nseats_middle_BC,IF(D707=3,FUSELAGE_nseats_middle_YC,0)))</f>
        <v>0</v>
      </c>
      <c r="S708" s="200" t="s">
        <v>653</v>
      </c>
      <c r="T708">
        <f ca="1">LOOKUP(D709,$C$191:$C$196,$F$191:$F$196)</f>
        <v>0</v>
      </c>
      <c r="BD708" s="157"/>
    </row>
    <row r="709" spans="2:56">
      <c r="B709" s="156"/>
      <c r="C709" s="200" t="s">
        <v>642</v>
      </c>
      <c r="D709" t="str">
        <f ca="1">OFFSET(Fuselage!$B$275,D705,2)</f>
        <v>None</v>
      </c>
      <c r="G709" s="200" t="s">
        <v>129</v>
      </c>
      <c r="H709">
        <f ca="1">IF(OR(X705="Type A",X705="Type B"),MAX(H705:H708)+42*0.0254,IF(X705="Type C",MAX(H705:H708)+X706,IF(X705&lt;&gt;"None",24*0.0254,0)))</f>
        <v>0</v>
      </c>
      <c r="K709" s="200" t="s">
        <v>655</v>
      </c>
      <c r="L709">
        <f ca="1">IF(D707=1,FUSELAGE_nseats_right_FC,IF(D707=2,FUSELAGE_nseats_right_BC,IF(D707=3,FUSELAGE_nseats_right_YC,0)))</f>
        <v>2</v>
      </c>
      <c r="O709" s="200" t="s">
        <v>407</v>
      </c>
      <c r="P709">
        <f ca="1">($C$13-(L707+L708+L709)*(P705+P707)+(FUSELAGE_n_aisles-1)*P707)/FUSELAGE_n_aisles</f>
        <v>0.51999999999999957</v>
      </c>
      <c r="S709" s="200" t="s">
        <v>651</v>
      </c>
      <c r="T709">
        <f ca="1">LOOKUP(D710,$C$191:$C$196,$E$191:$E$196)</f>
        <v>0</v>
      </c>
      <c r="BD709" s="157"/>
    </row>
    <row r="710" spans="2:56">
      <c r="B710" s="156"/>
      <c r="C710" s="200" t="s">
        <v>641</v>
      </c>
      <c r="D710" t="str">
        <f ca="1">OFFSET(Fuselage!$B$275,D705,3)</f>
        <v>None</v>
      </c>
      <c r="G710" s="200" t="s">
        <v>643</v>
      </c>
      <c r="H710">
        <f ca="1">MAX(H705:H709)</f>
        <v>0.8</v>
      </c>
      <c r="S710" s="200" t="s">
        <v>654</v>
      </c>
      <c r="T710">
        <f ca="1">LOOKUP(D710,$C$191:$C$196,$F$191:$F$196)</f>
        <v>0</v>
      </c>
      <c r="BD710" s="157"/>
    </row>
    <row r="711" spans="2:56" ht="15" thickBot="1">
      <c r="B711" s="156"/>
      <c r="BD711" s="157"/>
    </row>
    <row r="712" spans="2:56" ht="15" thickBot="1">
      <c r="B712" s="156"/>
      <c r="C712" s="141">
        <f ca="1">L709</f>
        <v>2</v>
      </c>
      <c r="D712" s="197" t="str">
        <f ca="1">IF($D707=1,"FC",IF($D707=2,"BC",IF($D707=3,"YC","Nothing")))</f>
        <v>YC</v>
      </c>
      <c r="E712" s="198"/>
      <c r="G712" s="141">
        <f ca="1">L708</f>
        <v>0</v>
      </c>
      <c r="H712" s="197" t="str">
        <f ca="1">IF($D707=1,"FC",IF($D707=2,"BC",IF($D707=3,"YC","Nothing")))</f>
        <v>YC</v>
      </c>
      <c r="I712" s="198"/>
      <c r="K712" s="141">
        <f ca="1" xml:space="preserve"> L707</f>
        <v>2</v>
      </c>
      <c r="L712" s="197" t="str">
        <f ca="1">IF($D707=1,"FC",IF($D707=2,"BC",IF($D707=3,"YC","Nothing")))</f>
        <v>YC</v>
      </c>
      <c r="M712" s="198"/>
      <c r="O712" s="141">
        <f ca="1">IF($D710&lt;&gt;"None",1,0)</f>
        <v>0</v>
      </c>
      <c r="P712" s="326" t="s">
        <v>380</v>
      </c>
      <c r="Q712" s="327"/>
      <c r="S712" s="141">
        <f ca="1">IF($D709&lt;&gt;"None",1,0)</f>
        <v>0</v>
      </c>
      <c r="T712" s="326" t="s">
        <v>381</v>
      </c>
      <c r="U712" s="327"/>
      <c r="W712" s="141">
        <f ca="1">IF($D708&lt;&gt;"None",1,0)</f>
        <v>0</v>
      </c>
      <c r="X712" s="326" t="s">
        <v>382</v>
      </c>
      <c r="Y712" s="327"/>
      <c r="AA712" s="141">
        <f ca="1">IF($D710="None",1,0)</f>
        <v>1</v>
      </c>
      <c r="AB712" s="326" t="str">
        <f ca="1">IF(AA712,D712,$D710)</f>
        <v>YC</v>
      </c>
      <c r="AC712" s="327"/>
      <c r="AE712" s="141">
        <f ca="1">IF($D709="None",1,0)</f>
        <v>1</v>
      </c>
      <c r="AF712" s="326" t="str">
        <f ca="1">IF(AE712,H712,$D709)</f>
        <v>YC</v>
      </c>
      <c r="AG712" s="327"/>
      <c r="AI712" s="141">
        <f ca="1">IF($D708="None",1,0)</f>
        <v>1</v>
      </c>
      <c r="AJ712" s="326" t="str">
        <f ca="1">IF(AI712,L712,$D708)</f>
        <v>YC</v>
      </c>
      <c r="AK712" s="327"/>
      <c r="AM712" s="141">
        <f ca="1">IF($X705="None",0,1)</f>
        <v>0</v>
      </c>
      <c r="AN712" s="197" t="s">
        <v>133</v>
      </c>
      <c r="AO712" s="198"/>
      <c r="AQ712" s="141">
        <f ca="1">IF($X705="None",0,1)</f>
        <v>0</v>
      </c>
      <c r="AR712" s="197" t="s">
        <v>134</v>
      </c>
      <c r="AS712" s="198"/>
      <c r="BD712" s="157"/>
    </row>
    <row r="713" spans="2:56" ht="15" thickBot="1">
      <c r="B713" s="156"/>
      <c r="C713" s="136" t="s">
        <v>452</v>
      </c>
      <c r="D713" s="136" t="s">
        <v>384</v>
      </c>
      <c r="E713" s="138" t="s">
        <v>385</v>
      </c>
      <c r="G713" s="136" t="s">
        <v>452</v>
      </c>
      <c r="H713" s="136" t="s">
        <v>384</v>
      </c>
      <c r="I713" s="138" t="s">
        <v>385</v>
      </c>
      <c r="K713" s="193" t="s">
        <v>452</v>
      </c>
      <c r="L713" s="193" t="s">
        <v>384</v>
      </c>
      <c r="M713" s="194" t="s">
        <v>385</v>
      </c>
      <c r="O713" s="136" t="s">
        <v>452</v>
      </c>
      <c r="P713" s="136" t="s">
        <v>384</v>
      </c>
      <c r="Q713" s="138" t="s">
        <v>385</v>
      </c>
      <c r="S713" s="136" t="s">
        <v>452</v>
      </c>
      <c r="T713" s="136" t="s">
        <v>384</v>
      </c>
      <c r="U713" s="138" t="s">
        <v>385</v>
      </c>
      <c r="W713" s="136" t="s">
        <v>452</v>
      </c>
      <c r="X713" s="136" t="s">
        <v>384</v>
      </c>
      <c r="Y713" s="138" t="s">
        <v>385</v>
      </c>
      <c r="AA713" s="136" t="s">
        <v>452</v>
      </c>
      <c r="AB713" s="136" t="s">
        <v>384</v>
      </c>
      <c r="AC713" s="138" t="s">
        <v>385</v>
      </c>
      <c r="AE713" s="136" t="s">
        <v>452</v>
      </c>
      <c r="AF713" s="136" t="s">
        <v>384</v>
      </c>
      <c r="AG713" s="138" t="s">
        <v>385</v>
      </c>
      <c r="AI713" s="193" t="s">
        <v>452</v>
      </c>
      <c r="AJ713" s="193" t="s">
        <v>384</v>
      </c>
      <c r="AK713" s="194" t="s">
        <v>385</v>
      </c>
      <c r="AM713" s="193" t="s">
        <v>452</v>
      </c>
      <c r="AN713" s="193" t="s">
        <v>384</v>
      </c>
      <c r="AO713" s="194" t="s">
        <v>385</v>
      </c>
      <c r="AQ713" s="193" t="s">
        <v>452</v>
      </c>
      <c r="AR713" s="193" t="s">
        <v>384</v>
      </c>
      <c r="AS713" s="194" t="s">
        <v>385</v>
      </c>
      <c r="BD713" s="157"/>
    </row>
    <row r="714" spans="2:56">
      <c r="B714" s="156"/>
      <c r="C714" s="128" t="s">
        <v>396</v>
      </c>
      <c r="D714" s="158">
        <f ca="1">IF(C712&gt;=1,L705,8888)</f>
        <v>-13.362000000000004</v>
      </c>
      <c r="E714" s="160">
        <f ca="1">IF(C712&gt;=1,1/2*($C$13-P705-2*P707)+1/2*P705,8888)</f>
        <v>1.3199999999999998</v>
      </c>
      <c r="G714" s="128" t="s">
        <v>396</v>
      </c>
      <c r="H714" s="158">
        <f ca="1">IF(G712&gt;=1,L705,8888)</f>
        <v>8888</v>
      </c>
      <c r="I714" s="160">
        <f ca="1">IF(G712&gt;=1,E725-P709,8888)</f>
        <v>8888</v>
      </c>
      <c r="K714" s="128" t="s">
        <v>396</v>
      </c>
      <c r="L714" s="158">
        <f ca="1">IF(K712&gt;=1,L705,8888)</f>
        <v>-13.362000000000004</v>
      </c>
      <c r="M714" s="160">
        <f ca="1">IF(K712&gt;=1,IF(FUSELAGE_n_aisles=1,E725-P709,I737-P709),8888)</f>
        <v>-0.25999999999999979</v>
      </c>
      <c r="O714" s="128" t="s">
        <v>396</v>
      </c>
      <c r="P714" s="158">
        <f ca="1">IF(O712,$L705,8888)</f>
        <v>8888</v>
      </c>
      <c r="Q714" s="209">
        <f ca="1">IF(O712,FUSELAGE_y_position_of_left_seat_YC-(FUSELAGE_nseats_right_YC-1)*(SEAT_w_cushion_YC+SEAT_w_armrest_YC)/2+T710/2,8888)</f>
        <v>8888</v>
      </c>
      <c r="S714" s="128" t="s">
        <v>396</v>
      </c>
      <c r="T714" s="158">
        <f ca="1">IF(S712,$L705,8888)</f>
        <v>8888</v>
      </c>
      <c r="U714" s="160">
        <f ca="1">IF(S712,T708/2,8888)</f>
        <v>8888</v>
      </c>
      <c r="W714" s="128" t="s">
        <v>396</v>
      </c>
      <c r="X714" s="158">
        <f ca="1">IF(W712,$L705,8888)</f>
        <v>8888</v>
      </c>
      <c r="Y714" s="160">
        <f ca="1">IF(W712,-FUSELAGE_y_position_of_left_seat_YC+(FUSELAGE_nseats_left_YC-1)*(SEAT_w_cushion_YC+SEAT_w_armrest_YC)/2-T706/2,8888)</f>
        <v>8888</v>
      </c>
      <c r="AA714" s="128" t="s">
        <v>396</v>
      </c>
      <c r="AB714" s="158">
        <f ca="1">IF($AA712,D714,P714)</f>
        <v>-13.362000000000004</v>
      </c>
      <c r="AC714" s="174">
        <f ca="1">IF($AA712,E714,Q714)</f>
        <v>1.3199999999999998</v>
      </c>
      <c r="AE714" s="128" t="s">
        <v>396</v>
      </c>
      <c r="AF714" s="158">
        <f ca="1">IF($AE712,H714,T714)</f>
        <v>8888</v>
      </c>
      <c r="AG714" s="174">
        <f ca="1">IF($AE712,I714,U714)</f>
        <v>8888</v>
      </c>
      <c r="AI714" s="128" t="s">
        <v>396</v>
      </c>
      <c r="AJ714" s="158">
        <f ca="1">IF($AI712,L714,X714)</f>
        <v>-13.362000000000004</v>
      </c>
      <c r="AK714" s="174">
        <f ca="1">IF($AI712,M714,Y714)</f>
        <v>-0.25999999999999979</v>
      </c>
      <c r="AM714" s="128" t="s">
        <v>396</v>
      </c>
      <c r="AN714" s="158">
        <f ca="1">AN683</f>
        <v>-12.562000000000003</v>
      </c>
      <c r="AO714" s="174">
        <f ca="1">IF(AN714&gt;-Fuselage!$D$366,(FUSELAGE_a_ellipse)*SQRT(1-((AN714+Fuselage!$D$366)/(Fuselage!$K$364-FUSELAGE_t_fuselage))^2),IF(AN714&gt;$L$2505+Fuselage!$K$370,FUSELAGE_a_ellipse,(FUSELAGE_a_ellipse+FUSELAGE_t_fuselage-FUSELAGE_d_fo/4)/Fuselage!$K$368*(AN714-$L$2505-Fuselage!$K$370)+FUSELAGE_a_ellipse))</f>
        <v>1.4960570012328709</v>
      </c>
      <c r="AQ714" s="128" t="s">
        <v>396</v>
      </c>
      <c r="AR714" s="158">
        <f t="shared" ref="AR714:AR719" ca="1" si="94">AN714</f>
        <v>-12.562000000000003</v>
      </c>
      <c r="AS714" s="174">
        <f t="shared" ref="AS714:AS719" ca="1" si="95">-AO714</f>
        <v>-1.4960570012328709</v>
      </c>
      <c r="BD714" s="157"/>
    </row>
    <row r="715" spans="2:56">
      <c r="B715" s="156"/>
      <c r="C715" s="128" t="s">
        <v>213</v>
      </c>
      <c r="D715" s="128">
        <f ca="1">IF(X707,D714+P706/4,D714+P706)</f>
        <v>-12.932000000000004</v>
      </c>
      <c r="E715" s="139">
        <f ca="1">E714</f>
        <v>1.3199999999999998</v>
      </c>
      <c r="G715" s="128" t="s">
        <v>213</v>
      </c>
      <c r="H715" s="128">
        <f ca="1">H714+P706</f>
        <v>8888.43</v>
      </c>
      <c r="I715" s="139">
        <f ca="1">I714</f>
        <v>8888</v>
      </c>
      <c r="K715" s="128" t="s">
        <v>213</v>
      </c>
      <c r="L715" s="128">
        <f ca="1">IF(X707,IF(K712=1,L714+P706/4,L714+P706),L714+P706)</f>
        <v>-12.932000000000004</v>
      </c>
      <c r="M715" s="139">
        <f ca="1">M714</f>
        <v>-0.25999999999999979</v>
      </c>
      <c r="O715" s="128" t="s">
        <v>213</v>
      </c>
      <c r="P715" s="128">
        <f ca="1">P714+$T709</f>
        <v>8888</v>
      </c>
      <c r="Q715" s="139">
        <f ca="1">Q714</f>
        <v>8888</v>
      </c>
      <c r="S715" s="128" t="s">
        <v>213</v>
      </c>
      <c r="T715" s="128">
        <f ca="1">T714+$T707</f>
        <v>8888</v>
      </c>
      <c r="U715" s="139">
        <f ca="1">U714</f>
        <v>8888</v>
      </c>
      <c r="W715" s="128" t="s">
        <v>213</v>
      </c>
      <c r="X715" s="128">
        <f ca="1">X714+$T705</f>
        <v>8888</v>
      </c>
      <c r="Y715" s="139">
        <f ca="1">Y714</f>
        <v>8888</v>
      </c>
      <c r="AA715" s="143" t="s">
        <v>213</v>
      </c>
      <c r="AB715" s="128">
        <f ca="1">IF($AA712,D715,P715)</f>
        <v>-12.932000000000004</v>
      </c>
      <c r="AC715" s="129">
        <f ca="1">IF($AA712,E715,Q715)</f>
        <v>1.3199999999999998</v>
      </c>
      <c r="AE715" s="128" t="s">
        <v>213</v>
      </c>
      <c r="AF715" s="128">
        <f ca="1">IF($AE712,H715,T715)</f>
        <v>8888.43</v>
      </c>
      <c r="AG715" s="129">
        <f ca="1">IF($AE712,I715,U715)</f>
        <v>8888</v>
      </c>
      <c r="AI715" s="128" t="s">
        <v>213</v>
      </c>
      <c r="AJ715" s="128">
        <f ca="1">IF($AI712,L715,X715)</f>
        <v>-12.932000000000004</v>
      </c>
      <c r="AK715" s="129">
        <f ca="1">IF($AI712,M715,Y715)</f>
        <v>-0.25999999999999979</v>
      </c>
      <c r="AM715" s="128" t="s">
        <v>213</v>
      </c>
      <c r="AN715" s="128">
        <f ca="1">AN714-AO705/2</f>
        <v>-12.747000000000003</v>
      </c>
      <c r="AO715" s="129">
        <f ca="1">IF(AN715&gt;-Fuselage!$D$366,(FUSELAGE_a_ellipse)*SQRT(1-((AN715+Fuselage!$D$366)/(Fuselage!$K$364-FUSELAGE_t_fuselage))^2),IF(AN715&gt;$L$2505+Fuselage!$K$370,FUSELAGE_a_ellipse,(FUSELAGE_a_ellipse+FUSELAGE_t_fuselage-FUSELAGE_d_fo/4)/Fuselage!$K$368*(AN715-$L$2505-Fuselage!$K$370)+FUSELAGE_a_ellipse))</f>
        <v>1.4960570012328709</v>
      </c>
      <c r="AQ715" s="128" t="s">
        <v>213</v>
      </c>
      <c r="AR715" s="128">
        <f t="shared" ca="1" si="94"/>
        <v>-12.747000000000003</v>
      </c>
      <c r="AS715" s="129">
        <f t="shared" ca="1" si="95"/>
        <v>-1.4960570012328709</v>
      </c>
      <c r="BD715" s="157"/>
    </row>
    <row r="716" spans="2:56">
      <c r="B716" s="156"/>
      <c r="C716" s="128" t="s">
        <v>286</v>
      </c>
      <c r="D716" s="128">
        <f ca="1">D715</f>
        <v>-12.932000000000004</v>
      </c>
      <c r="E716" s="139">
        <f ca="1">E715-P705</f>
        <v>0.81999999999999984</v>
      </c>
      <c r="G716" s="128" t="s">
        <v>286</v>
      </c>
      <c r="H716" s="128">
        <f ca="1">H715</f>
        <v>8888.43</v>
      </c>
      <c r="I716" s="139">
        <f ca="1">I715-P705</f>
        <v>8887.5</v>
      </c>
      <c r="K716" s="128" t="s">
        <v>286</v>
      </c>
      <c r="L716" s="128">
        <f ca="1">L715</f>
        <v>-12.932000000000004</v>
      </c>
      <c r="M716" s="139">
        <f ca="1">M715-P705</f>
        <v>-0.75999999999999979</v>
      </c>
      <c r="O716" s="128" t="s">
        <v>286</v>
      </c>
      <c r="P716" s="128">
        <f ca="1">P715</f>
        <v>8888</v>
      </c>
      <c r="Q716" s="139">
        <f ca="1">Q715-$T710</f>
        <v>8888</v>
      </c>
      <c r="S716" s="128" t="s">
        <v>286</v>
      </c>
      <c r="T716" s="128">
        <f ca="1">T715</f>
        <v>8888</v>
      </c>
      <c r="U716" s="139">
        <f ca="1">U715-$T708</f>
        <v>8888</v>
      </c>
      <c r="W716" s="128" t="s">
        <v>286</v>
      </c>
      <c r="X716" s="128">
        <f ca="1">X715</f>
        <v>8888</v>
      </c>
      <c r="Y716" s="139">
        <f ca="1">Y715+$T706</f>
        <v>8888</v>
      </c>
      <c r="AA716" s="143" t="s">
        <v>286</v>
      </c>
      <c r="AB716" s="128">
        <f ca="1">IF($AA712,D716,P716)</f>
        <v>-12.932000000000004</v>
      </c>
      <c r="AC716" s="129">
        <f ca="1">IF($AA712,E716,Q716)</f>
        <v>0.81999999999999984</v>
      </c>
      <c r="AE716" s="128" t="s">
        <v>286</v>
      </c>
      <c r="AF716" s="128">
        <f ca="1">IF($AE712,H716,T716)</f>
        <v>8888.43</v>
      </c>
      <c r="AG716" s="129">
        <f ca="1">IF($AE712,I716,U716)</f>
        <v>8887.5</v>
      </c>
      <c r="AI716" s="128" t="s">
        <v>286</v>
      </c>
      <c r="AJ716" s="128">
        <f ca="1">IF($AI712,L716,X716)</f>
        <v>-12.932000000000004</v>
      </c>
      <c r="AK716" s="129">
        <f ca="1">IF($AI712,M716,Y716)</f>
        <v>-0.75999999999999979</v>
      </c>
      <c r="AM716" s="128" t="s">
        <v>286</v>
      </c>
      <c r="AN716" s="128">
        <f ca="1">AN715</f>
        <v>-12.747000000000003</v>
      </c>
      <c r="AO716" s="129">
        <f ca="1">IF(AN716&gt;-Fuselage!$D$366,IF(AM712,(FUSELAGE_a_ellipse+FUSELAGE_t_fuselage)*SQRT(1-((AN716+Fuselage!$D$366)/Fuselage!$K$364)^2),(FUSELAGE_a_ellipse)*SQRT(1-((AN716+Fuselage!$D$366)/Fuselage!$K$364)^2)),IF(AN716&gt;$L$2505+Fuselage!$K$370,(IF(AM712,FUSELAGE_a_ellipse+FUSELAGE_t_fuselage,FUSELAGE_a_ellipse)),IF(AM712,(FUSELAGE_a_ellipse+FUSELAGE_t_fuselage-FUSELAGE_d_fo/4)/Fuselage!$K$368*(AN716-$L$2505-Fuselage!$K$370)+FUSELAGE_a_ellipse+FUSELAGE_t_fuselage,(FUSELAGE_a_ellipse+FUSELAGE_t_fuselage-FUSELAGE_d_fo/4)/Fuselage!$K$368*(AN716-$L$2505-Fuselage!$K$370)+FUSELAGE_a_ellipse)))</f>
        <v>1.4960570012328709</v>
      </c>
      <c r="AQ716" s="128" t="s">
        <v>286</v>
      </c>
      <c r="AR716" s="128">
        <f t="shared" ca="1" si="94"/>
        <v>-12.747000000000003</v>
      </c>
      <c r="AS716" s="129">
        <f t="shared" ca="1" si="95"/>
        <v>-1.4960570012328709</v>
      </c>
      <c r="BD716" s="157"/>
    </row>
    <row r="717" spans="2:56">
      <c r="B717" s="156"/>
      <c r="C717" s="188" t="s">
        <v>522</v>
      </c>
      <c r="D717" s="188">
        <f ca="1">D714</f>
        <v>-13.362000000000004</v>
      </c>
      <c r="E717" s="189">
        <f ca="1">E716</f>
        <v>0.81999999999999984</v>
      </c>
      <c r="F717" s="157"/>
      <c r="G717" s="2" t="s">
        <v>522</v>
      </c>
      <c r="H717" s="128">
        <f ca="1">H714</f>
        <v>8888</v>
      </c>
      <c r="I717" s="139">
        <f ca="1">I716</f>
        <v>8887.5</v>
      </c>
      <c r="K717" s="128" t="s">
        <v>522</v>
      </c>
      <c r="L717" s="128">
        <f ca="1">L714</f>
        <v>-13.362000000000004</v>
      </c>
      <c r="M717" s="139">
        <f ca="1">M716</f>
        <v>-0.75999999999999979</v>
      </c>
      <c r="O717" s="188" t="s">
        <v>522</v>
      </c>
      <c r="P717" s="188">
        <f ca="1">P714</f>
        <v>8888</v>
      </c>
      <c r="Q717" s="189">
        <f ca="1">Q716</f>
        <v>8888</v>
      </c>
      <c r="S717" s="188" t="s">
        <v>522</v>
      </c>
      <c r="T717" s="188">
        <f ca="1">T714</f>
        <v>8888</v>
      </c>
      <c r="U717" s="189">
        <f ca="1">U716</f>
        <v>8888</v>
      </c>
      <c r="W717" s="188" t="s">
        <v>522</v>
      </c>
      <c r="X717" s="188">
        <f ca="1">X714</f>
        <v>8888</v>
      </c>
      <c r="Y717" s="189">
        <f ca="1">Y716</f>
        <v>8888</v>
      </c>
      <c r="AA717" s="195" t="s">
        <v>522</v>
      </c>
      <c r="AB717" s="128">
        <f ca="1">IF($AA712,D717,P717)</f>
        <v>-13.362000000000004</v>
      </c>
      <c r="AC717" s="129">
        <f ca="1">IF($AA712,E717,Q717)</f>
        <v>0.81999999999999984</v>
      </c>
      <c r="AD717" s="157"/>
      <c r="AE717" s="2" t="s">
        <v>522</v>
      </c>
      <c r="AF717" s="188">
        <f ca="1">IF($AE712,H717,T717)</f>
        <v>8888</v>
      </c>
      <c r="AG717" s="196">
        <f ca="1">IF($AE712,I717,U717)</f>
        <v>8887.5</v>
      </c>
      <c r="AI717" s="128" t="s">
        <v>522</v>
      </c>
      <c r="AJ717" s="188">
        <f ca="1">IF($AI712,L717,X717)</f>
        <v>-13.362000000000004</v>
      </c>
      <c r="AK717" s="196">
        <f ca="1">IF($AI712,M717,Y717)</f>
        <v>-0.75999999999999979</v>
      </c>
      <c r="AM717" s="128" t="s">
        <v>522</v>
      </c>
      <c r="AN717" s="128">
        <f ca="1">AN716-X706</f>
        <v>-12.747000000000003</v>
      </c>
      <c r="AO717" s="129">
        <f ca="1">IF(AN717&gt;-Fuselage!$D$366,IF(AM712,(FUSELAGE_a_ellipse+FUSELAGE_t_fuselage)*SQRT(1-((AN717+Fuselage!$D$366)/Fuselage!$K$364)^2),(FUSELAGE_a_ellipse)*SQRT(1-((AN717+Fuselage!$D$366)/Fuselage!$K$364)^2)),IF(AN717&gt;$L$2505+Fuselage!$K$370,(IF(AM712,FUSELAGE_a_ellipse+FUSELAGE_t_fuselage,FUSELAGE_a_ellipse)),IF(AM712,(FUSELAGE_a_ellipse+FUSELAGE_t_fuselage-FUSELAGE_d_fo/4)/Fuselage!$K$368*(AN717-$L$2505-Fuselage!$K$370)+FUSELAGE_a_ellipse+FUSELAGE_t_fuselage,(FUSELAGE_a_ellipse+FUSELAGE_t_fuselage-FUSELAGE_d_fo/4)/Fuselage!$K$368*(AN717-$L$2505-Fuselage!$K$370)+FUSELAGE_a_ellipse)))</f>
        <v>1.4960570012328709</v>
      </c>
      <c r="AQ717" s="128" t="s">
        <v>522</v>
      </c>
      <c r="AR717" s="128">
        <f t="shared" ca="1" si="94"/>
        <v>-12.747000000000003</v>
      </c>
      <c r="AS717" s="129">
        <f t="shared" ca="1" si="95"/>
        <v>-1.4960570012328709</v>
      </c>
      <c r="BD717" s="157"/>
    </row>
    <row r="718" spans="2:56" ht="15" thickBot="1">
      <c r="B718" s="156"/>
      <c r="C718" s="128" t="s">
        <v>49</v>
      </c>
      <c r="D718" s="128">
        <f ca="1">IF(C712&gt;=2,D714,D717)</f>
        <v>-13.362000000000004</v>
      </c>
      <c r="E718" s="139">
        <f ca="1">IF(C712&gt;=2,E717-P707,E717)</f>
        <v>0.75999999999999979</v>
      </c>
      <c r="F718" s="157"/>
      <c r="G718" s="192" t="s">
        <v>49</v>
      </c>
      <c r="H718" s="190">
        <f ca="1">IF(G712&gt;=2,H714,H717)</f>
        <v>8888</v>
      </c>
      <c r="I718" s="191">
        <f ca="1">IF(G712&gt;=2,I717-P707,I717)</f>
        <v>8887.5</v>
      </c>
      <c r="K718" s="190" t="s">
        <v>49</v>
      </c>
      <c r="L718" s="190">
        <f ca="1">IF(K712&gt;=2,L714,L717)</f>
        <v>-13.362000000000004</v>
      </c>
      <c r="M718" s="191">
        <f ca="1">IF(K712&gt;=2,M717-P707,M717)</f>
        <v>-0.81999999999999984</v>
      </c>
      <c r="O718" s="130" t="s">
        <v>396</v>
      </c>
      <c r="P718" s="130">
        <f ca="1">P714</f>
        <v>8888</v>
      </c>
      <c r="Q718" s="140">
        <f ca="1">Q714</f>
        <v>8888</v>
      </c>
      <c r="S718" s="130" t="s">
        <v>396</v>
      </c>
      <c r="T718" s="130">
        <f ca="1">T714</f>
        <v>8888</v>
      </c>
      <c r="U718" s="140">
        <f ca="1">U714</f>
        <v>8888</v>
      </c>
      <c r="W718" s="130" t="s">
        <v>396</v>
      </c>
      <c r="X718" s="130">
        <f ca="1">X714</f>
        <v>8888</v>
      </c>
      <c r="Y718" s="140">
        <f ca="1">Y714</f>
        <v>8888</v>
      </c>
      <c r="AA718" s="143" t="s">
        <v>49</v>
      </c>
      <c r="AB718" s="128">
        <f ca="1">IF($AA712,D718,P718)</f>
        <v>-13.362000000000004</v>
      </c>
      <c r="AC718" s="129">
        <f ca="1">IF($AA712,E718,Q718)</f>
        <v>0.75999999999999979</v>
      </c>
      <c r="AD718" s="157"/>
      <c r="AE718" s="192" t="s">
        <v>49</v>
      </c>
      <c r="AF718" s="128">
        <f ca="1">IF($AE712,H718,T718)</f>
        <v>8888</v>
      </c>
      <c r="AG718" s="129">
        <f ca="1">IF($AE712,I718,U718)</f>
        <v>8887.5</v>
      </c>
      <c r="AI718" s="190" t="s">
        <v>49</v>
      </c>
      <c r="AJ718" s="128">
        <f ca="1">IF($AI712,L718,X718)</f>
        <v>-13.362000000000004</v>
      </c>
      <c r="AK718" s="129">
        <f ca="1">IF($AI712,M718,Y718)</f>
        <v>-0.81999999999999984</v>
      </c>
      <c r="AM718" s="128" t="s">
        <v>49</v>
      </c>
      <c r="AN718" s="128">
        <f ca="1">AN717</f>
        <v>-12.747000000000003</v>
      </c>
      <c r="AO718" s="129">
        <f ca="1">IF(AN718&gt;-Fuselage!$D$366,(FUSELAGE_a_ellipse)*SQRT(1-((AN718+Fuselage!$D$366)/(Fuselage!$K$364-FUSELAGE_t_fuselage))^2),IF(AN718&gt;$L$2505+Fuselage!$K$370,FUSELAGE_a_ellipse,(FUSELAGE_a_ellipse+FUSELAGE_t_fuselage-FUSELAGE_d_fo/4)/Fuselage!$K$368*(AN718-$L$2505-Fuselage!$K$370)+FUSELAGE_a_ellipse))</f>
        <v>1.4960570012328709</v>
      </c>
      <c r="AQ718" s="128" t="s">
        <v>49</v>
      </c>
      <c r="AR718" s="128">
        <f t="shared" ca="1" si="94"/>
        <v>-12.747000000000003</v>
      </c>
      <c r="AS718" s="129">
        <f t="shared" ca="1" si="95"/>
        <v>-1.4960570012328709</v>
      </c>
      <c r="BD718" s="157"/>
    </row>
    <row r="719" spans="2:56">
      <c r="B719" s="156"/>
      <c r="C719" s="128" t="s">
        <v>453</v>
      </c>
      <c r="D719" s="128">
        <f ca="1">IF(C712&gt;=2,D714+P706,D717)</f>
        <v>-12.932000000000004</v>
      </c>
      <c r="E719" s="139">
        <f ca="1">E718</f>
        <v>0.75999999999999979</v>
      </c>
      <c r="F719" s="157"/>
      <c r="G719" s="2" t="s">
        <v>453</v>
      </c>
      <c r="H719" s="128">
        <f ca="1">IF(G712&gt;=2,H715,H717)</f>
        <v>8888</v>
      </c>
      <c r="I719" s="139">
        <f ca="1">IF(G712&gt;=2,I718,I717)</f>
        <v>8887.5</v>
      </c>
      <c r="K719" s="128" t="s">
        <v>453</v>
      </c>
      <c r="L719" s="128">
        <f ca="1">IF(K712&gt;=2,IF(X707,IF(K712=2,L714+P706/4,L714+P706),L714+P706),L717)</f>
        <v>-12.932000000000004</v>
      </c>
      <c r="M719" s="139">
        <f ca="1">IF(K712&gt;=2,M718,M717)</f>
        <v>-0.81999999999999984</v>
      </c>
      <c r="AA719" s="143" t="s">
        <v>453</v>
      </c>
      <c r="AB719" s="128">
        <f ca="1">IF($AA712,D719,AB718)</f>
        <v>-12.932000000000004</v>
      </c>
      <c r="AC719" s="129">
        <f ca="1">IF($AA712,E719,AC718)</f>
        <v>0.75999999999999979</v>
      </c>
      <c r="AD719" s="157"/>
      <c r="AE719" s="2" t="s">
        <v>453</v>
      </c>
      <c r="AF719" s="128">
        <f ca="1">IF($AE712,H719,AF718)</f>
        <v>8888</v>
      </c>
      <c r="AG719" s="129">
        <f ca="1">IF($AE712,I719,AG718)</f>
        <v>8887.5</v>
      </c>
      <c r="AI719" s="128" t="s">
        <v>453</v>
      </c>
      <c r="AJ719" s="128">
        <f ca="1">IF($AI712,L719,AJ718)</f>
        <v>-12.932000000000004</v>
      </c>
      <c r="AK719" s="129">
        <f ca="1">IF($AI712,M719,AK718)</f>
        <v>-0.81999999999999984</v>
      </c>
      <c r="AM719" s="128" t="s">
        <v>453</v>
      </c>
      <c r="AN719" s="128">
        <f ca="1">L705</f>
        <v>-13.362000000000004</v>
      </c>
      <c r="AO719" s="129">
        <f ca="1">IF(AN719&gt;-Fuselage!$D$366,(FUSELAGE_a_ellipse)*SQRT(1-((AN719+Fuselage!$D$366)/(Fuselage!$K$364-FUSELAGE_t_fuselage))^2),IF(AN719&gt;$L$2505+Fuselage!$K$370,FUSELAGE_a_ellipse,(FUSELAGE_a_ellipse+FUSELAGE_t_fuselage-FUSELAGE_d_fo/4)/Fuselage!$K$368*(AN719-$L$2505-Fuselage!$K$370)+FUSELAGE_a_ellipse))</f>
        <v>1.4960570012328709</v>
      </c>
      <c r="AQ719" s="128" t="s">
        <v>453</v>
      </c>
      <c r="AR719" s="128">
        <f t="shared" ca="1" si="94"/>
        <v>-13.362000000000004</v>
      </c>
      <c r="AS719" s="129">
        <f t="shared" ca="1" si="95"/>
        <v>-1.4960570012328709</v>
      </c>
      <c r="BD719" s="157"/>
    </row>
    <row r="720" spans="2:56">
      <c r="B720" s="156"/>
      <c r="C720" s="128" t="s">
        <v>394</v>
      </c>
      <c r="D720" s="128">
        <f ca="1">IF(C712&gt;=2,D719,D717)</f>
        <v>-12.932000000000004</v>
      </c>
      <c r="E720" s="139">
        <f ca="1">IF(C712&gt;=2,E718-P705,E717)</f>
        <v>0.25999999999999979</v>
      </c>
      <c r="F720" s="157"/>
      <c r="G720" s="2" t="s">
        <v>394</v>
      </c>
      <c r="H720" s="128">
        <f ca="1">IF(G712&gt;=2,H715,H717)</f>
        <v>8888</v>
      </c>
      <c r="I720" s="139">
        <f ca="1">IF(G712&gt;=2,I719-P705,I717)</f>
        <v>8887.5</v>
      </c>
      <c r="K720" s="128" t="s">
        <v>394</v>
      </c>
      <c r="L720" s="128">
        <f ca="1">L719</f>
        <v>-12.932000000000004</v>
      </c>
      <c r="M720" s="139">
        <f ca="1">IF(K712&gt;=2,M719-P705,M717)</f>
        <v>-1.3199999999999998</v>
      </c>
      <c r="AA720" s="143" t="s">
        <v>394</v>
      </c>
      <c r="AB720" s="128">
        <f ca="1">IF($AA712,D720,AB718)</f>
        <v>-12.932000000000004</v>
      </c>
      <c r="AC720" s="129">
        <f ca="1">IF($AA712,E720,AC718)</f>
        <v>0.25999999999999979</v>
      </c>
      <c r="AD720" s="157"/>
      <c r="AE720" s="2" t="s">
        <v>394</v>
      </c>
      <c r="AF720" s="128">
        <f ca="1">IF($AE712,H720,AF718)</f>
        <v>8888</v>
      </c>
      <c r="AG720" s="129">
        <f ca="1">IF($AE712,I720,AG718)</f>
        <v>8887.5</v>
      </c>
      <c r="AI720" s="128" t="s">
        <v>394</v>
      </c>
      <c r="AJ720" s="128">
        <f ca="1">IF($AI712,L720,AJ718)</f>
        <v>-12.932000000000004</v>
      </c>
      <c r="AK720" s="129">
        <f ca="1">IF($AI712,M720,AK718)</f>
        <v>-1.3199999999999998</v>
      </c>
      <c r="BD720" s="157"/>
    </row>
    <row r="721" spans="2:56">
      <c r="B721" s="156"/>
      <c r="C721" s="188" t="s">
        <v>454</v>
      </c>
      <c r="D721" s="188">
        <f ca="1">IF(C712&gt;=2,D714,D717)</f>
        <v>-13.362000000000004</v>
      </c>
      <c r="E721" s="189">
        <f ca="1">E720</f>
        <v>0.25999999999999979</v>
      </c>
      <c r="F721" s="157"/>
      <c r="G721" s="115" t="s">
        <v>454</v>
      </c>
      <c r="H721" s="188">
        <f ca="1">IF(G712&gt;=2,H714,H717)</f>
        <v>8888</v>
      </c>
      <c r="I721" s="189">
        <f ca="1">IF(G712&gt;=2,I720,I717)</f>
        <v>8887.5</v>
      </c>
      <c r="K721" s="188" t="s">
        <v>454</v>
      </c>
      <c r="L721" s="188">
        <f ca="1">IF(K712&gt;=2,L714,L717)</f>
        <v>-13.362000000000004</v>
      </c>
      <c r="M721" s="189">
        <f ca="1">IF(K712&gt;=2,M720,M717)</f>
        <v>-1.3199999999999998</v>
      </c>
      <c r="AA721" s="195" t="s">
        <v>454</v>
      </c>
      <c r="AB721" s="128">
        <f ca="1">IF($AA712,D721,AB718)</f>
        <v>-13.362000000000004</v>
      </c>
      <c r="AC721" s="129">
        <f ca="1">IF($AA712,E721,AC718)</f>
        <v>0.25999999999999979</v>
      </c>
      <c r="AD721" s="157"/>
      <c r="AE721" s="115" t="s">
        <v>454</v>
      </c>
      <c r="AF721" s="188">
        <f ca="1">IF($AE712,H721,AF718)</f>
        <v>8888</v>
      </c>
      <c r="AG721" s="196">
        <f ca="1">IF($AE712,I721,AG718)</f>
        <v>8887.5</v>
      </c>
      <c r="AI721" s="188" t="s">
        <v>454</v>
      </c>
      <c r="AJ721" s="188">
        <f ca="1">IF($AI712,L721,AJ718)</f>
        <v>-13.362000000000004</v>
      </c>
      <c r="AK721" s="196">
        <f ca="1">IF($AI712,M721,AK718)</f>
        <v>-1.3199999999999998</v>
      </c>
      <c r="BD721" s="157"/>
    </row>
    <row r="722" spans="2:56">
      <c r="B722" s="156"/>
      <c r="C722" s="128" t="s">
        <v>507</v>
      </c>
      <c r="D722" s="128">
        <f ca="1">IF(C712&gt;=3,D714,D721)</f>
        <v>-13.362000000000004</v>
      </c>
      <c r="E722" s="139">
        <f ca="1">IF(C712&gt;=3,E721-P707,E721)</f>
        <v>0.25999999999999979</v>
      </c>
      <c r="F722" s="157"/>
      <c r="G722" s="2" t="s">
        <v>507</v>
      </c>
      <c r="H722" s="128">
        <f ca="1">IF(G712&gt;=3,H714,H721)</f>
        <v>8888</v>
      </c>
      <c r="I722" s="139">
        <f ca="1">IF(G712&gt;=3,I721-P707,I721)</f>
        <v>8887.5</v>
      </c>
      <c r="K722" s="128" t="s">
        <v>507</v>
      </c>
      <c r="L722" s="128">
        <f ca="1">IF(K712&gt;=3,L714,L721)</f>
        <v>-13.362000000000004</v>
      </c>
      <c r="M722" s="139">
        <f ca="1">IF(K712&gt;=3,M721-P707,M721)</f>
        <v>-1.3199999999999998</v>
      </c>
      <c r="AA722" s="143" t="s">
        <v>507</v>
      </c>
      <c r="AB722" s="128">
        <f ca="1">IF($AA712,D722,AB718)</f>
        <v>-13.362000000000004</v>
      </c>
      <c r="AC722" s="129">
        <f ca="1">IF($AA712,E722,AC718)</f>
        <v>0.25999999999999979</v>
      </c>
      <c r="AD722" s="157"/>
      <c r="AE722" s="2" t="s">
        <v>507</v>
      </c>
      <c r="AF722" s="128">
        <f ca="1">IF($AE712,H722,AF718)</f>
        <v>8888</v>
      </c>
      <c r="AG722" s="129">
        <f ca="1">IF($AE712,I722,AG718)</f>
        <v>8887.5</v>
      </c>
      <c r="AI722" s="128" t="s">
        <v>507</v>
      </c>
      <c r="AJ722" s="128">
        <f ca="1">IF($AI712,L722,AJ718)</f>
        <v>-13.362000000000004</v>
      </c>
      <c r="AK722" s="129">
        <f ca="1">IF($AI712,M722,AK718)</f>
        <v>-1.3199999999999998</v>
      </c>
      <c r="BD722" s="157"/>
    </row>
    <row r="723" spans="2:56">
      <c r="B723" s="156"/>
      <c r="C723" s="128" t="s">
        <v>455</v>
      </c>
      <c r="D723" s="128">
        <f ca="1">IF(C712&gt;=3,D719,D721)</f>
        <v>-13.362000000000004</v>
      </c>
      <c r="E723" s="139">
        <f ca="1">E722</f>
        <v>0.25999999999999979</v>
      </c>
      <c r="F723" s="157"/>
      <c r="G723" s="2" t="s">
        <v>455</v>
      </c>
      <c r="H723" s="128">
        <f ca="1">IF(G712&gt;=3,H715,H721)</f>
        <v>8888</v>
      </c>
      <c r="I723" s="139">
        <f ca="1">IF(G712&gt;=3,I722,I721)</f>
        <v>8887.5</v>
      </c>
      <c r="K723" s="128" t="s">
        <v>455</v>
      </c>
      <c r="L723" s="128">
        <f ca="1">IF(K712&gt;=3,IF(X707,IF(K712=3,L714+P706/4,L714+P706),L714+P706),L717)</f>
        <v>-13.362000000000004</v>
      </c>
      <c r="M723" s="139">
        <f ca="1">IF(K712&gt;=3,M722,M721)</f>
        <v>-1.3199999999999998</v>
      </c>
      <c r="AA723" s="143" t="s">
        <v>455</v>
      </c>
      <c r="AB723" s="128">
        <f ca="1">IF($AA712,D723,AB718)</f>
        <v>-13.362000000000004</v>
      </c>
      <c r="AC723" s="129">
        <f ca="1">IF($AA712,E723,AC718)</f>
        <v>0.25999999999999979</v>
      </c>
      <c r="AD723" s="157"/>
      <c r="AE723" s="2" t="s">
        <v>455</v>
      </c>
      <c r="AF723" s="128">
        <f ca="1">IF($AE712,H723,AF718)</f>
        <v>8888</v>
      </c>
      <c r="AG723" s="129">
        <f ca="1">IF($AE712,I723,AG718)</f>
        <v>8887.5</v>
      </c>
      <c r="AI723" s="128" t="s">
        <v>455</v>
      </c>
      <c r="AJ723" s="128">
        <f ca="1">IF($AI712,L723,AJ718)</f>
        <v>-13.362000000000004</v>
      </c>
      <c r="AK723" s="129">
        <f ca="1">IF($AI712,M723,AK718)</f>
        <v>-1.3199999999999998</v>
      </c>
      <c r="AL723" s="156"/>
      <c r="BD723" s="157"/>
    </row>
    <row r="724" spans="2:56">
      <c r="B724" s="156"/>
      <c r="C724" s="128" t="s">
        <v>311</v>
      </c>
      <c r="D724" s="128">
        <f ca="1">IF(C712&gt;=3,D719,D721)</f>
        <v>-13.362000000000004</v>
      </c>
      <c r="E724" s="139">
        <f ca="1">IF(C712&gt;=3,E723-P705,E721)</f>
        <v>0.25999999999999979</v>
      </c>
      <c r="F724" s="157"/>
      <c r="G724" s="2" t="s">
        <v>311</v>
      </c>
      <c r="H724" s="128">
        <f ca="1">IF(G712&gt;=3,H715,H721)</f>
        <v>8888</v>
      </c>
      <c r="I724" s="139">
        <f ca="1">IF(G712&gt;=3,I723-P705,I721)</f>
        <v>8887.5</v>
      </c>
      <c r="K724" s="128" t="s">
        <v>311</v>
      </c>
      <c r="L724" s="128">
        <f ca="1">L723</f>
        <v>-13.362000000000004</v>
      </c>
      <c r="M724" s="139">
        <f ca="1">IF(K712&gt;=3,M723-P705,M721)</f>
        <v>-1.3199999999999998</v>
      </c>
      <c r="AA724" s="143" t="s">
        <v>311</v>
      </c>
      <c r="AB724" s="128">
        <f ca="1">IF($AA712,D724,AB718)</f>
        <v>-13.362000000000004</v>
      </c>
      <c r="AC724" s="129">
        <f ca="1">IF($AA712,E724,AC718)</f>
        <v>0.25999999999999979</v>
      </c>
      <c r="AD724" s="157"/>
      <c r="AE724" s="2" t="s">
        <v>311</v>
      </c>
      <c r="AF724" s="128">
        <f ca="1">IF($AE712,H724,AF718)</f>
        <v>8888</v>
      </c>
      <c r="AG724" s="129">
        <f ca="1">IF($AE712,I724,AG718)</f>
        <v>8887.5</v>
      </c>
      <c r="AI724" s="128" t="s">
        <v>311</v>
      </c>
      <c r="AJ724" s="128">
        <f ca="1">IF($AI712,L724,AJ718)</f>
        <v>-13.362000000000004</v>
      </c>
      <c r="AK724" s="129">
        <f ca="1">IF($AI712,M724,AK718)</f>
        <v>-1.3199999999999998</v>
      </c>
      <c r="AL724" s="156"/>
      <c r="BD724" s="157"/>
    </row>
    <row r="725" spans="2:56">
      <c r="B725" s="156"/>
      <c r="C725" s="188" t="s">
        <v>35</v>
      </c>
      <c r="D725" s="188">
        <f ca="1">IF(C712&gt;=3,D714,D721)</f>
        <v>-13.362000000000004</v>
      </c>
      <c r="E725" s="189">
        <f ca="1">E724</f>
        <v>0.25999999999999979</v>
      </c>
      <c r="F725" s="157"/>
      <c r="G725" s="2" t="s">
        <v>35</v>
      </c>
      <c r="H725" s="188">
        <f ca="1">IF(G712&gt;=3,H714,H721)</f>
        <v>8888</v>
      </c>
      <c r="I725" s="189">
        <f ca="1">IF(G712&gt;=3,I724,I721)</f>
        <v>8887.5</v>
      </c>
      <c r="K725" s="188" t="s">
        <v>35</v>
      </c>
      <c r="L725" s="188">
        <f ca="1">IF(K712&gt;=3,L714,L721)</f>
        <v>-13.362000000000004</v>
      </c>
      <c r="M725" s="189">
        <f ca="1">IF(K712&gt;=3,M724,M721)</f>
        <v>-1.3199999999999998</v>
      </c>
      <c r="AA725" s="143" t="s">
        <v>35</v>
      </c>
      <c r="AB725" s="128">
        <f ca="1">IF($AA712,D725,AB718)</f>
        <v>-13.362000000000004</v>
      </c>
      <c r="AC725" s="129">
        <f ca="1">IF($AA712,E725,AC718)</f>
        <v>0.25999999999999979</v>
      </c>
      <c r="AD725" s="157"/>
      <c r="AE725" s="2" t="s">
        <v>35</v>
      </c>
      <c r="AF725" s="188">
        <f ca="1">IF($AE712,H725,AF718)</f>
        <v>8888</v>
      </c>
      <c r="AG725" s="196">
        <f ca="1">IF($AE712,I725,AG718)</f>
        <v>8887.5</v>
      </c>
      <c r="AI725" s="128" t="s">
        <v>35</v>
      </c>
      <c r="AJ725" s="128">
        <f ca="1">IF($AI712,L725,AJ718)</f>
        <v>-13.362000000000004</v>
      </c>
      <c r="AK725" s="129">
        <f ca="1">IF($AI712,M725,AK718)</f>
        <v>-1.3199999999999998</v>
      </c>
      <c r="AL725" s="156"/>
      <c r="BD725" s="157"/>
    </row>
    <row r="726" spans="2:56" ht="15" thickBot="1">
      <c r="B726" s="156"/>
      <c r="C726" s="130" t="s">
        <v>396</v>
      </c>
      <c r="D726" s="130">
        <f ca="1">D714</f>
        <v>-13.362000000000004</v>
      </c>
      <c r="E726" s="140">
        <f ca="1">E714</f>
        <v>1.3199999999999998</v>
      </c>
      <c r="F726" s="157"/>
      <c r="G726" s="192" t="s">
        <v>312</v>
      </c>
      <c r="H726" s="128">
        <f ca="1">IF(G712&gt;=4,H714,H725)</f>
        <v>8888</v>
      </c>
      <c r="I726" s="139">
        <f ca="1">IF(G712&gt;=4,I725-P707,I725)</f>
        <v>8887.5</v>
      </c>
      <c r="K726" s="130" t="s">
        <v>396</v>
      </c>
      <c r="L726" s="130">
        <f ca="1">L714</f>
        <v>-13.362000000000004</v>
      </c>
      <c r="M726" s="140">
        <f ca="1">M714</f>
        <v>-0.25999999999999979</v>
      </c>
      <c r="AA726" s="144" t="s">
        <v>396</v>
      </c>
      <c r="AB726" s="130">
        <f ca="1">IF($AA712,D726,AB718)</f>
        <v>-13.362000000000004</v>
      </c>
      <c r="AC726" s="132">
        <f ca="1">IF($AA712,E726,AC718)</f>
        <v>1.3199999999999998</v>
      </c>
      <c r="AD726" s="157"/>
      <c r="AE726" s="192" t="s">
        <v>312</v>
      </c>
      <c r="AF726" s="128">
        <f ca="1">IF($AE712,H726,AF718)</f>
        <v>8888</v>
      </c>
      <c r="AG726" s="129">
        <f ca="1">IF($AE712,I726,AG718)</f>
        <v>8887.5</v>
      </c>
      <c r="AI726" s="130" t="s">
        <v>396</v>
      </c>
      <c r="AJ726" s="130">
        <f ca="1">IF($AI712,L726,AJ718)</f>
        <v>-13.362000000000004</v>
      </c>
      <c r="AK726" s="132">
        <f ca="1">IF($AI712,M726,AK718)</f>
        <v>-0.25999999999999979</v>
      </c>
      <c r="BD726" s="157"/>
    </row>
    <row r="727" spans="2:56">
      <c r="B727" s="156"/>
      <c r="F727" s="157"/>
      <c r="G727" s="2" t="s">
        <v>313</v>
      </c>
      <c r="H727" s="128">
        <f ca="1">IF(G712&gt;=4,H715,H725)</f>
        <v>8888</v>
      </c>
      <c r="I727" s="139">
        <f ca="1">IF(G712&gt;=4,I726,I725)</f>
        <v>8887.5</v>
      </c>
      <c r="AD727" s="157"/>
      <c r="AE727" s="2" t="s">
        <v>313</v>
      </c>
      <c r="AF727" s="128">
        <f ca="1">IF($AE712,H727,AF718)</f>
        <v>8888</v>
      </c>
      <c r="AG727" s="129">
        <f ca="1">IF($AE712,I727,AG718)</f>
        <v>8887.5</v>
      </c>
      <c r="BD727" s="157"/>
    </row>
    <row r="728" spans="2:56">
      <c r="B728" s="156"/>
      <c r="F728" s="157"/>
      <c r="G728" s="2" t="s">
        <v>7</v>
      </c>
      <c r="H728" s="128">
        <f ca="1">IF(G712&gt;=4,H715,H725)</f>
        <v>8888</v>
      </c>
      <c r="I728" s="139">
        <f ca="1">IF(G712&gt;=4,I727-P705,I725)</f>
        <v>8887.5</v>
      </c>
      <c r="AD728" s="157"/>
      <c r="AE728" s="2" t="s">
        <v>7</v>
      </c>
      <c r="AF728" s="128">
        <f ca="1">IF($AE712,H728,AF718)</f>
        <v>8888</v>
      </c>
      <c r="AG728" s="129">
        <f ca="1">IF($AE712,I728,AG718)</f>
        <v>8887.5</v>
      </c>
      <c r="BD728" s="157"/>
    </row>
    <row r="729" spans="2:56">
      <c r="B729" s="156"/>
      <c r="F729" s="157"/>
      <c r="G729" s="115" t="s">
        <v>8</v>
      </c>
      <c r="H729" s="188">
        <f ca="1">IF(G712&gt;=4,H714,H725)</f>
        <v>8888</v>
      </c>
      <c r="I729" s="189">
        <f ca="1">IF(G712&gt;=4,I728,I725)</f>
        <v>8887.5</v>
      </c>
      <c r="AD729" s="157"/>
      <c r="AE729" s="115" t="s">
        <v>8</v>
      </c>
      <c r="AF729" s="188">
        <f ca="1">IF($AE712,H729,AF718)</f>
        <v>8888</v>
      </c>
      <c r="AG729" s="196">
        <f ca="1">IF($AE712,I729,AG718)</f>
        <v>8887.5</v>
      </c>
      <c r="BD729" s="157"/>
    </row>
    <row r="730" spans="2:56">
      <c r="B730" s="156"/>
      <c r="F730" s="157"/>
      <c r="G730" s="2" t="s">
        <v>9</v>
      </c>
      <c r="H730" s="128">
        <f ca="1">IF(G712&gt;=5,H714,H729)</f>
        <v>8888</v>
      </c>
      <c r="I730" s="139">
        <f ca="1">IF(G712&gt;=5,I729-P707,I729)</f>
        <v>8887.5</v>
      </c>
      <c r="AD730" s="157"/>
      <c r="AE730" s="2" t="s">
        <v>9</v>
      </c>
      <c r="AF730" s="128">
        <f ca="1">IF($AE712,H730,AF718)</f>
        <v>8888</v>
      </c>
      <c r="AG730" s="129">
        <f ca="1">IF($AE712,I730,AG718)</f>
        <v>8887.5</v>
      </c>
      <c r="BD730" s="157"/>
    </row>
    <row r="731" spans="2:56">
      <c r="B731" s="156"/>
      <c r="F731" s="157"/>
      <c r="G731" s="2" t="s">
        <v>196</v>
      </c>
      <c r="H731" s="128">
        <f ca="1">IF(G712&gt;=5,H715,H729)</f>
        <v>8888</v>
      </c>
      <c r="I731" s="139">
        <f ca="1">IF(G712&gt;=5,I730,I729)</f>
        <v>8887.5</v>
      </c>
      <c r="AD731" s="157"/>
      <c r="AE731" s="2" t="s">
        <v>196</v>
      </c>
      <c r="AF731" s="128">
        <f ca="1">IF($AE712,H731,AF718)</f>
        <v>8888</v>
      </c>
      <c r="AG731" s="129">
        <f ca="1">IF($AE712,I731,AG718)</f>
        <v>8887.5</v>
      </c>
      <c r="BD731" s="157"/>
    </row>
    <row r="732" spans="2:56">
      <c r="B732" s="156"/>
      <c r="F732" s="157"/>
      <c r="G732" s="2" t="s">
        <v>10</v>
      </c>
      <c r="H732" s="128">
        <f ca="1">IF(G712&gt;=5,H715,H729)</f>
        <v>8888</v>
      </c>
      <c r="I732" s="139">
        <f ca="1">IF(G712&gt;=5,I731-P705,I729)</f>
        <v>8887.5</v>
      </c>
      <c r="AD732" s="157"/>
      <c r="AE732" s="2" t="s">
        <v>10</v>
      </c>
      <c r="AF732" s="128">
        <f ca="1">IF($AE712,H732,AF718)</f>
        <v>8888</v>
      </c>
      <c r="AG732" s="129">
        <f ca="1">IF($AE712,I732,AG718)</f>
        <v>8887.5</v>
      </c>
      <c r="BD732" s="157"/>
    </row>
    <row r="733" spans="2:56">
      <c r="B733" s="156"/>
      <c r="F733" s="157"/>
      <c r="G733" s="2" t="s">
        <v>161</v>
      </c>
      <c r="H733" s="188">
        <f ca="1">IF(G712&gt;=5,H714,H729)</f>
        <v>8888</v>
      </c>
      <c r="I733" s="189">
        <f ca="1">IF(G712&gt;=5,I732,I729)</f>
        <v>8887.5</v>
      </c>
      <c r="AD733" s="157"/>
      <c r="AE733" s="2" t="s">
        <v>161</v>
      </c>
      <c r="AF733" s="188">
        <f ca="1">IF($AE712,H733,AF718)</f>
        <v>8888</v>
      </c>
      <c r="AG733" s="196">
        <f ca="1">IF($AE712,I733,AG718)</f>
        <v>8887.5</v>
      </c>
      <c r="BD733" s="157"/>
    </row>
    <row r="734" spans="2:56">
      <c r="B734" s="156"/>
      <c r="F734" s="157"/>
      <c r="G734" s="192" t="s">
        <v>11</v>
      </c>
      <c r="H734" s="128">
        <f ca="1">IF(G712&gt;=6,H714,H733)</f>
        <v>8888</v>
      </c>
      <c r="I734" s="139">
        <f ca="1">IF(G712&gt;=6,I733-P707,I733)</f>
        <v>8887.5</v>
      </c>
      <c r="AD734" s="157"/>
      <c r="AE734" s="192" t="s">
        <v>11</v>
      </c>
      <c r="AF734" s="128">
        <f ca="1">IF($AE712,H734,AF718)</f>
        <v>8888</v>
      </c>
      <c r="AG734" s="129">
        <f ca="1">IF($AE712,I734,AG718)</f>
        <v>8887.5</v>
      </c>
      <c r="BD734" s="157"/>
    </row>
    <row r="735" spans="2:56">
      <c r="B735" s="156"/>
      <c r="F735" s="157"/>
      <c r="G735" s="2" t="s">
        <v>12</v>
      </c>
      <c r="H735" s="128">
        <f ca="1">IF(G712&gt;=6,H715,H733)</f>
        <v>8888</v>
      </c>
      <c r="I735" s="139">
        <f ca="1">IF(G712&gt;=6,I734,I733)</f>
        <v>8887.5</v>
      </c>
      <c r="AD735" s="157"/>
      <c r="AE735" s="2" t="s">
        <v>12</v>
      </c>
      <c r="AF735" s="128">
        <f ca="1">IF($AE712,H735,AF718)</f>
        <v>8888</v>
      </c>
      <c r="AG735" s="129">
        <f ca="1">IF($AE712,I735,AG718)</f>
        <v>8887.5</v>
      </c>
      <c r="BD735" s="157"/>
    </row>
    <row r="736" spans="2:56">
      <c r="B736" s="156"/>
      <c r="F736" s="157"/>
      <c r="G736" s="2" t="s">
        <v>13</v>
      </c>
      <c r="H736" s="128">
        <f ca="1">IF(G712&gt;=6,H715,H733)</f>
        <v>8888</v>
      </c>
      <c r="I736" s="139">
        <f ca="1">IF(G712&gt;=6,I735-P705,I733)</f>
        <v>8887.5</v>
      </c>
      <c r="AD736" s="157"/>
      <c r="AE736" s="2" t="s">
        <v>13</v>
      </c>
      <c r="AF736" s="128">
        <f ca="1">IF($AE712,H736,AF718)</f>
        <v>8888</v>
      </c>
      <c r="AG736" s="129">
        <f ca="1">IF($AE712,I736,AG718)</f>
        <v>8887.5</v>
      </c>
      <c r="BD736" s="157"/>
    </row>
    <row r="737" spans="2:56">
      <c r="B737" s="156"/>
      <c r="F737" s="157"/>
      <c r="G737" s="115" t="s">
        <v>14</v>
      </c>
      <c r="H737" s="188">
        <f ca="1">IF(G712&gt;=6,H714,H733)</f>
        <v>8888</v>
      </c>
      <c r="I737" s="189">
        <f ca="1">IF(G712&gt;=6,I736,I733)</f>
        <v>8887.5</v>
      </c>
      <c r="AD737" s="157"/>
      <c r="AE737" s="115" t="s">
        <v>14</v>
      </c>
      <c r="AF737" s="188">
        <f ca="1">IF($AE712,H737,AF718)</f>
        <v>8888</v>
      </c>
      <c r="AG737" s="196">
        <f ca="1">IF($AE712,I737,AG718)</f>
        <v>8887.5</v>
      </c>
      <c r="BD737" s="157"/>
    </row>
    <row r="738" spans="2:56" ht="15" thickBot="1">
      <c r="B738" s="156"/>
      <c r="G738" s="130" t="s">
        <v>396</v>
      </c>
      <c r="H738" s="130">
        <f ca="1">H714</f>
        <v>8888</v>
      </c>
      <c r="I738" s="140">
        <f ca="1">I714</f>
        <v>8888</v>
      </c>
      <c r="AE738" s="130" t="s">
        <v>396</v>
      </c>
      <c r="AF738" s="130">
        <f ca="1">IF($AE712,H738,AF718)</f>
        <v>8888</v>
      </c>
      <c r="AG738" s="132">
        <f ca="1">IF($AE712,I738,AG718)</f>
        <v>8888</v>
      </c>
      <c r="BD738" s="157"/>
    </row>
    <row r="739" spans="2:56">
      <c r="B739" s="156"/>
      <c r="BD739" s="157"/>
    </row>
    <row r="740" spans="2:56">
      <c r="B740" s="156"/>
      <c r="BD740" s="157"/>
    </row>
    <row r="741" spans="2:56">
      <c r="B741" s="156"/>
      <c r="C741" s="200" t="s">
        <v>336</v>
      </c>
      <c r="D741">
        <f>D705+1</f>
        <v>16</v>
      </c>
      <c r="G741" s="200" t="s">
        <v>638</v>
      </c>
      <c r="H741">
        <f ca="1">LOOKUP(D744,$C$191:$C$196,$D$191:$D$196)</f>
        <v>0</v>
      </c>
      <c r="K741" s="200" t="s">
        <v>644</v>
      </c>
      <c r="L741">
        <f ca="1">L705-H746</f>
        <v>-14.162000000000004</v>
      </c>
      <c r="O741" s="200" t="s">
        <v>404</v>
      </c>
      <c r="P741">
        <f ca="1">IF(D743=1,SEAT_w_cushion_FC,IF(D743=2,SEAT_w_cushion_BC,IF(D743=3,SEAT_w_cushion_YC,0)))</f>
        <v>0.5</v>
      </c>
      <c r="S741" s="200" t="s">
        <v>647</v>
      </c>
      <c r="T741">
        <f ca="1">LOOKUP(D744,$C$191:$C$196,$E$191:$E$196)</f>
        <v>0</v>
      </c>
      <c r="W741" t="s">
        <v>130</v>
      </c>
      <c r="X741" t="str">
        <f ca="1">OFFSET(Fuselage!$B$275,D741,5)</f>
        <v>Type III</v>
      </c>
      <c r="AN741" s="200" t="s">
        <v>135</v>
      </c>
      <c r="AO741">
        <f ca="1">MAX(0,H746-MAX(T741,T743,T745,P742)-X742)</f>
        <v>0</v>
      </c>
      <c r="BD741" s="157"/>
    </row>
    <row r="742" spans="2:56">
      <c r="B742" s="156"/>
      <c r="C742" s="200" t="s">
        <v>200</v>
      </c>
      <c r="D742">
        <f ca="1">OFFSET(Fuselage!$B$275,D741,0)</f>
        <v>15</v>
      </c>
      <c r="G742" s="200" t="s">
        <v>639</v>
      </c>
      <c r="H742">
        <f ca="1">LOOKUP(D745,$C$191:$C$196,$D$191:$D$196)</f>
        <v>0</v>
      </c>
      <c r="O742" s="200" t="s">
        <v>535</v>
      </c>
      <c r="P742">
        <f ca="1">IF(D743=1,SEAT_length_FC,IF(D743=2,SEAT_length_BC,IF(D743=3,SEAT_length_YC,0)))</f>
        <v>0.43</v>
      </c>
      <c r="S742" s="200" t="s">
        <v>648</v>
      </c>
      <c r="T742">
        <f ca="1">LOOKUP(D744,$C$191:$C$196,$F$191:$F$196)</f>
        <v>0</v>
      </c>
      <c r="W742" t="s">
        <v>131</v>
      </c>
      <c r="X742">
        <f ca="1">LOOKUP(X741,$I$191:$I$198,$J$191:$J$198)</f>
        <v>0.50800000000000001</v>
      </c>
      <c r="BD742" s="157"/>
    </row>
    <row r="743" spans="2:56">
      <c r="B743" s="156"/>
      <c r="C743" s="200" t="s">
        <v>337</v>
      </c>
      <c r="D743">
        <f ca="1">OFFSET(Fuselage!$B$275,D741,4)</f>
        <v>3</v>
      </c>
      <c r="G743" s="200" t="s">
        <v>309</v>
      </c>
      <c r="H743">
        <f ca="1">LOOKUP(D746,$C$191:$C$196,$D$191:$D$196)</f>
        <v>0</v>
      </c>
      <c r="K743" s="200" t="s">
        <v>645</v>
      </c>
      <c r="L743">
        <f ca="1">IF(D743=1,FUSELAGE_nseats_left_FC,IF(D743=2,FUSELAGE_nseats_left_BC,IF(D743=3,FUSELAGE_nseats_left_YC,0)))</f>
        <v>2</v>
      </c>
      <c r="O743" s="200" t="s">
        <v>405</v>
      </c>
      <c r="P743">
        <f ca="1">IF(D743=1,SEAT_w_armrest_FC,IF(D743=2,SEAT_w_armrest_BC,IF(D743=3,SEAT_w_armrest_YC,0)))</f>
        <v>0.06</v>
      </c>
      <c r="S743" s="200" t="s">
        <v>652</v>
      </c>
      <c r="T743">
        <f ca="1">LOOKUP(D745,$C$191:$C$196,$E$191:$E$196)</f>
        <v>0</v>
      </c>
      <c r="W743" s="200" t="s">
        <v>393</v>
      </c>
      <c r="X743" t="b">
        <f ca="1">IF(OFFSET(Fuselage!$B$275,D741,6)="YES",TRUE(),FALSE())</f>
        <v>0</v>
      </c>
      <c r="BD743" s="157"/>
    </row>
    <row r="744" spans="2:56">
      <c r="B744" s="156"/>
      <c r="C744" s="200" t="s">
        <v>640</v>
      </c>
      <c r="D744" t="str">
        <f ca="1">OFFSET(Fuselage!$B$275,D741,1)</f>
        <v>None</v>
      </c>
      <c r="G744" s="200" t="s">
        <v>132</v>
      </c>
      <c r="H744">
        <f ca="1">IF(D743=1,SEAT_pitch_FC,IF(D743=2,SEAT_pitch_BC,IF(D743=3,SEAT_pitch_YC,0)))</f>
        <v>0.8</v>
      </c>
      <c r="K744" s="200" t="s">
        <v>646</v>
      </c>
      <c r="L744">
        <f ca="1">IF(D743=1,FUSELAGE_nseats_middle_FC,IF(D743=2,FUSELAGE_nseats_middle_BC,IF(D743=3,FUSELAGE_nseats_middle_YC,0)))</f>
        <v>0</v>
      </c>
      <c r="S744" s="200" t="s">
        <v>653</v>
      </c>
      <c r="T744">
        <f ca="1">LOOKUP(D745,$C$191:$C$196,$F$191:$F$196)</f>
        <v>0</v>
      </c>
      <c r="BD744" s="157"/>
    </row>
    <row r="745" spans="2:56">
      <c r="B745" s="156"/>
      <c r="C745" s="200" t="s">
        <v>642</v>
      </c>
      <c r="D745" t="str">
        <f ca="1">OFFSET(Fuselage!$B$275,D741,2)</f>
        <v>None</v>
      </c>
      <c r="G745" s="200" t="s">
        <v>129</v>
      </c>
      <c r="H745">
        <f ca="1">IF(OR(X741="Type A",X741="Type B"),MAX(H741:H744)+42*0.0254,IF(X741="Type C",MAX(H741:H744)+X742,IF(X741&lt;&gt;"None",24*0.0254,0)))</f>
        <v>0.60959999999999992</v>
      </c>
      <c r="K745" s="200" t="s">
        <v>655</v>
      </c>
      <c r="L745">
        <f ca="1">IF(D743=1,FUSELAGE_nseats_right_FC,IF(D743=2,FUSELAGE_nseats_right_BC,IF(D743=3,FUSELAGE_nseats_right_YC,0)))</f>
        <v>2</v>
      </c>
      <c r="O745" s="200" t="s">
        <v>407</v>
      </c>
      <c r="P745">
        <f ca="1">($C$13-(L743+L744+L745)*(P741+P743)+(FUSELAGE_n_aisles-1)*P743)/FUSELAGE_n_aisles</f>
        <v>0.51999999999999957</v>
      </c>
      <c r="S745" s="200" t="s">
        <v>651</v>
      </c>
      <c r="T745">
        <f ca="1">LOOKUP(D746,$C$191:$C$196,$E$191:$E$196)</f>
        <v>0</v>
      </c>
      <c r="BD745" s="157"/>
    </row>
    <row r="746" spans="2:56">
      <c r="B746" s="156"/>
      <c r="C746" s="200" t="s">
        <v>641</v>
      </c>
      <c r="D746" t="str">
        <f ca="1">OFFSET(Fuselage!$B$275,D741,3)</f>
        <v>None</v>
      </c>
      <c r="G746" s="200" t="s">
        <v>643</v>
      </c>
      <c r="H746">
        <f ca="1">MAX(H741:H745)</f>
        <v>0.8</v>
      </c>
      <c r="S746" s="200" t="s">
        <v>654</v>
      </c>
      <c r="T746">
        <f ca="1">LOOKUP(D746,$C$191:$C$196,$F$191:$F$196)</f>
        <v>0</v>
      </c>
      <c r="BD746" s="157"/>
    </row>
    <row r="747" spans="2:56" ht="15" thickBot="1">
      <c r="B747" s="156"/>
      <c r="BD747" s="157"/>
    </row>
    <row r="748" spans="2:56" ht="15" thickBot="1">
      <c r="B748" s="156"/>
      <c r="C748" s="141">
        <f ca="1">L745</f>
        <v>2</v>
      </c>
      <c r="D748" s="197" t="str">
        <f ca="1">IF($D743=1,"FC",IF($D743=2,"BC",IF($D743=3,"YC","Nothing")))</f>
        <v>YC</v>
      </c>
      <c r="E748" s="198"/>
      <c r="G748" s="141">
        <f ca="1">L744</f>
        <v>0</v>
      </c>
      <c r="H748" s="197" t="str">
        <f ca="1">IF($D743=1,"FC",IF($D743=2,"BC",IF($D743=3,"YC","Nothing")))</f>
        <v>YC</v>
      </c>
      <c r="I748" s="198"/>
      <c r="K748" s="141">
        <f ca="1" xml:space="preserve"> L743</f>
        <v>2</v>
      </c>
      <c r="L748" s="197" t="str">
        <f ca="1">IF($D743=1,"FC",IF($D743=2,"BC",IF($D743=3,"YC","Nothing")))</f>
        <v>YC</v>
      </c>
      <c r="M748" s="198"/>
      <c r="O748" s="141">
        <f ca="1">IF($D746&lt;&gt;"None",1,0)</f>
        <v>0</v>
      </c>
      <c r="P748" s="326" t="s">
        <v>380</v>
      </c>
      <c r="Q748" s="327"/>
      <c r="S748" s="141">
        <f ca="1">IF($D745&lt;&gt;"None",1,0)</f>
        <v>0</v>
      </c>
      <c r="T748" s="326" t="s">
        <v>381</v>
      </c>
      <c r="U748" s="327"/>
      <c r="W748" s="141">
        <f ca="1">IF($D744&lt;&gt;"None",1,0)</f>
        <v>0</v>
      </c>
      <c r="X748" s="326" t="s">
        <v>382</v>
      </c>
      <c r="Y748" s="327"/>
      <c r="AA748" s="141">
        <f ca="1">IF($D746="None",1,0)</f>
        <v>1</v>
      </c>
      <c r="AB748" s="326" t="str">
        <f ca="1">IF(AA748,D748,$D746)</f>
        <v>YC</v>
      </c>
      <c r="AC748" s="327"/>
      <c r="AE748" s="141">
        <f ca="1">IF($D745="None",1,0)</f>
        <v>1</v>
      </c>
      <c r="AF748" s="326" t="str">
        <f ca="1">IF(AE748,H748,$D745)</f>
        <v>YC</v>
      </c>
      <c r="AG748" s="327"/>
      <c r="AI748" s="141">
        <f ca="1">IF($D744="None",1,0)</f>
        <v>1</v>
      </c>
      <c r="AJ748" s="326" t="str">
        <f ca="1">IF(AI748,L748,$D744)</f>
        <v>YC</v>
      </c>
      <c r="AK748" s="327"/>
      <c r="AM748" s="141">
        <f ca="1">IF($X741="None",0,1)</f>
        <v>1</v>
      </c>
      <c r="AN748" s="197" t="s">
        <v>133</v>
      </c>
      <c r="AO748" s="198"/>
      <c r="AQ748" s="141">
        <f ca="1">IF($X741="None",0,1)</f>
        <v>1</v>
      </c>
      <c r="AR748" s="197" t="s">
        <v>134</v>
      </c>
      <c r="AS748" s="198"/>
      <c r="BD748" s="157"/>
    </row>
    <row r="749" spans="2:56" ht="15" thickBot="1">
      <c r="B749" s="156"/>
      <c r="C749" s="136" t="s">
        <v>452</v>
      </c>
      <c r="D749" s="136" t="s">
        <v>384</v>
      </c>
      <c r="E749" s="138" t="s">
        <v>385</v>
      </c>
      <c r="G749" s="136" t="s">
        <v>452</v>
      </c>
      <c r="H749" s="136" t="s">
        <v>384</v>
      </c>
      <c r="I749" s="138" t="s">
        <v>385</v>
      </c>
      <c r="K749" s="193" t="s">
        <v>452</v>
      </c>
      <c r="L749" s="193" t="s">
        <v>384</v>
      </c>
      <c r="M749" s="194" t="s">
        <v>385</v>
      </c>
      <c r="O749" s="136" t="s">
        <v>452</v>
      </c>
      <c r="P749" s="136" t="s">
        <v>384</v>
      </c>
      <c r="Q749" s="138" t="s">
        <v>385</v>
      </c>
      <c r="S749" s="136" t="s">
        <v>452</v>
      </c>
      <c r="T749" s="136" t="s">
        <v>384</v>
      </c>
      <c r="U749" s="138" t="s">
        <v>385</v>
      </c>
      <c r="W749" s="136" t="s">
        <v>452</v>
      </c>
      <c r="X749" s="136" t="s">
        <v>384</v>
      </c>
      <c r="Y749" s="138" t="s">
        <v>385</v>
      </c>
      <c r="AA749" s="136" t="s">
        <v>452</v>
      </c>
      <c r="AB749" s="136" t="s">
        <v>384</v>
      </c>
      <c r="AC749" s="138" t="s">
        <v>385</v>
      </c>
      <c r="AE749" s="136" t="s">
        <v>452</v>
      </c>
      <c r="AF749" s="136" t="s">
        <v>384</v>
      </c>
      <c r="AG749" s="138" t="s">
        <v>385</v>
      </c>
      <c r="AI749" s="193" t="s">
        <v>452</v>
      </c>
      <c r="AJ749" s="193" t="s">
        <v>384</v>
      </c>
      <c r="AK749" s="194" t="s">
        <v>385</v>
      </c>
      <c r="AM749" s="193" t="s">
        <v>452</v>
      </c>
      <c r="AN749" s="193" t="s">
        <v>384</v>
      </c>
      <c r="AO749" s="194" t="s">
        <v>385</v>
      </c>
      <c r="AQ749" s="193" t="s">
        <v>452</v>
      </c>
      <c r="AR749" s="193" t="s">
        <v>384</v>
      </c>
      <c r="AS749" s="194" t="s">
        <v>385</v>
      </c>
      <c r="BD749" s="157"/>
    </row>
    <row r="750" spans="2:56">
      <c r="B750" s="156"/>
      <c r="C750" s="128" t="s">
        <v>396</v>
      </c>
      <c r="D750" s="158">
        <f ca="1">IF(C748&gt;=1,L741,8888)</f>
        <v>-14.162000000000004</v>
      </c>
      <c r="E750" s="160">
        <f ca="1">IF(C748&gt;=1,1/2*($C$13-P741-2*P743)+1/2*P741,8888)</f>
        <v>1.3199999999999998</v>
      </c>
      <c r="G750" s="128" t="s">
        <v>396</v>
      </c>
      <c r="H750" s="158">
        <f ca="1">IF(G748&gt;=1,L741,8888)</f>
        <v>8888</v>
      </c>
      <c r="I750" s="160">
        <f ca="1">IF(G748&gt;=1,E761-P745,8888)</f>
        <v>8888</v>
      </c>
      <c r="K750" s="128" t="s">
        <v>396</v>
      </c>
      <c r="L750" s="158">
        <f ca="1">IF(K748&gt;=1,L741,8888)</f>
        <v>-14.162000000000004</v>
      </c>
      <c r="M750" s="160">
        <f ca="1">IF(K748&gt;=1,IF(FUSELAGE_n_aisles=1,E761-P745,I773-P745),8888)</f>
        <v>-0.25999999999999979</v>
      </c>
      <c r="O750" s="128" t="s">
        <v>396</v>
      </c>
      <c r="P750" s="158">
        <f ca="1">IF(O748,$L741,8888)</f>
        <v>8888</v>
      </c>
      <c r="Q750" s="209">
        <f ca="1">IF(O748,FUSELAGE_y_position_of_left_seat_YC-(FUSELAGE_nseats_right_YC-1)*(SEAT_w_cushion_YC+SEAT_w_armrest_YC)/2+T746/2,8888)</f>
        <v>8888</v>
      </c>
      <c r="S750" s="128" t="s">
        <v>396</v>
      </c>
      <c r="T750" s="158">
        <f ca="1">IF(S748,$L741,8888)</f>
        <v>8888</v>
      </c>
      <c r="U750" s="160">
        <f ca="1">IF(S748,T744/2,8888)</f>
        <v>8888</v>
      </c>
      <c r="W750" s="128" t="s">
        <v>396</v>
      </c>
      <c r="X750" s="158">
        <f ca="1">IF(W748,$L741,8888)</f>
        <v>8888</v>
      </c>
      <c r="Y750" s="160">
        <f ca="1">IF(W748,-FUSELAGE_y_position_of_left_seat_YC+(FUSELAGE_nseats_left_YC-1)*(SEAT_w_cushion_YC+SEAT_w_armrest_YC)/2-T742/2,8888)</f>
        <v>8888</v>
      </c>
      <c r="AA750" s="128" t="s">
        <v>396</v>
      </c>
      <c r="AB750" s="158">
        <f ca="1">IF($AA748,D750,P750)</f>
        <v>-14.162000000000004</v>
      </c>
      <c r="AC750" s="174">
        <f ca="1">IF($AA748,E750,Q750)</f>
        <v>1.3199999999999998</v>
      </c>
      <c r="AE750" s="128" t="s">
        <v>396</v>
      </c>
      <c r="AF750" s="158">
        <f ca="1">IF($AE748,H750,T750)</f>
        <v>8888</v>
      </c>
      <c r="AG750" s="174">
        <f ca="1">IF($AE748,I750,U750)</f>
        <v>8888</v>
      </c>
      <c r="AI750" s="128" t="s">
        <v>396</v>
      </c>
      <c r="AJ750" s="158">
        <f ca="1">IF($AI748,L750,X750)</f>
        <v>-14.162000000000004</v>
      </c>
      <c r="AK750" s="174">
        <f ca="1">IF($AI748,M750,Y750)</f>
        <v>-0.25999999999999979</v>
      </c>
      <c r="AM750" s="128" t="s">
        <v>396</v>
      </c>
      <c r="AN750" s="158">
        <f ca="1">AN719</f>
        <v>-13.362000000000004</v>
      </c>
      <c r="AO750" s="174">
        <f ca="1">IF(AN750&gt;-Fuselage!$D$366,(FUSELAGE_a_ellipse)*SQRT(1-((AN750+Fuselage!$D$366)/(Fuselage!$K$364-FUSELAGE_t_fuselage))^2),IF(AN750&gt;$L$2505+Fuselage!$K$370,FUSELAGE_a_ellipse,(FUSELAGE_a_ellipse+FUSELAGE_t_fuselage-FUSELAGE_d_fo/4)/Fuselage!$K$368*(AN750-$L$2505-Fuselage!$K$370)+FUSELAGE_a_ellipse))</f>
        <v>1.4960570012328709</v>
      </c>
      <c r="AQ750" s="128" t="s">
        <v>396</v>
      </c>
      <c r="AR750" s="158">
        <f t="shared" ref="AR750:AR755" ca="1" si="96">AN750</f>
        <v>-13.362000000000004</v>
      </c>
      <c r="AS750" s="174">
        <f t="shared" ref="AS750:AS755" ca="1" si="97">-AO750</f>
        <v>-1.4960570012328709</v>
      </c>
      <c r="BD750" s="157"/>
    </row>
    <row r="751" spans="2:56">
      <c r="B751" s="156"/>
      <c r="C751" s="128" t="s">
        <v>213</v>
      </c>
      <c r="D751" s="128">
        <f ca="1">IF(X743,D750+P742/4,D750+P742)</f>
        <v>-13.732000000000005</v>
      </c>
      <c r="E751" s="139">
        <f ca="1">E750</f>
        <v>1.3199999999999998</v>
      </c>
      <c r="G751" s="128" t="s">
        <v>213</v>
      </c>
      <c r="H751" s="128">
        <f ca="1">H750+P742</f>
        <v>8888.43</v>
      </c>
      <c r="I751" s="139">
        <f ca="1">I750</f>
        <v>8888</v>
      </c>
      <c r="K751" s="128" t="s">
        <v>213</v>
      </c>
      <c r="L751" s="128">
        <f ca="1">IF(X743,IF(K748=1,L750+P742/4,L750+P742),L750+P742)</f>
        <v>-13.732000000000005</v>
      </c>
      <c r="M751" s="139">
        <f ca="1">M750</f>
        <v>-0.25999999999999979</v>
      </c>
      <c r="O751" s="128" t="s">
        <v>213</v>
      </c>
      <c r="P751" s="128">
        <f ca="1">P750+$T745</f>
        <v>8888</v>
      </c>
      <c r="Q751" s="139">
        <f ca="1">Q750</f>
        <v>8888</v>
      </c>
      <c r="S751" s="128" t="s">
        <v>213</v>
      </c>
      <c r="T751" s="128">
        <f ca="1">T750+$T743</f>
        <v>8888</v>
      </c>
      <c r="U751" s="139">
        <f ca="1">U750</f>
        <v>8888</v>
      </c>
      <c r="W751" s="128" t="s">
        <v>213</v>
      </c>
      <c r="X751" s="128">
        <f ca="1">X750+$T741</f>
        <v>8888</v>
      </c>
      <c r="Y751" s="139">
        <f ca="1">Y750</f>
        <v>8888</v>
      </c>
      <c r="AA751" s="143" t="s">
        <v>213</v>
      </c>
      <c r="AB751" s="128">
        <f ca="1">IF($AA748,D751,P751)</f>
        <v>-13.732000000000005</v>
      </c>
      <c r="AC751" s="129">
        <f ca="1">IF($AA748,E751,Q751)</f>
        <v>1.3199999999999998</v>
      </c>
      <c r="AE751" s="128" t="s">
        <v>213</v>
      </c>
      <c r="AF751" s="128">
        <f ca="1">IF($AE748,H751,T751)</f>
        <v>8888.43</v>
      </c>
      <c r="AG751" s="129">
        <f ca="1">IF($AE748,I751,U751)</f>
        <v>8888</v>
      </c>
      <c r="AI751" s="128" t="s">
        <v>213</v>
      </c>
      <c r="AJ751" s="128">
        <f ca="1">IF($AI748,L751,X751)</f>
        <v>-13.732000000000005</v>
      </c>
      <c r="AK751" s="129">
        <f ca="1">IF($AI748,M751,Y751)</f>
        <v>-0.25999999999999979</v>
      </c>
      <c r="AM751" s="128" t="s">
        <v>213</v>
      </c>
      <c r="AN751" s="128">
        <f ca="1">AN750-AO741/2</f>
        <v>-13.362000000000004</v>
      </c>
      <c r="AO751" s="129">
        <f ca="1">IF(AN751&gt;-Fuselage!$D$366,(FUSELAGE_a_ellipse)*SQRT(1-((AN751+Fuselage!$D$366)/(Fuselage!$K$364-FUSELAGE_t_fuselage))^2),IF(AN751&gt;$L$2505+Fuselage!$K$370,FUSELAGE_a_ellipse,(FUSELAGE_a_ellipse+FUSELAGE_t_fuselage-FUSELAGE_d_fo/4)/Fuselage!$K$368*(AN751-$L$2505-Fuselage!$K$370)+FUSELAGE_a_ellipse))</f>
        <v>1.4960570012328709</v>
      </c>
      <c r="AQ751" s="128" t="s">
        <v>213</v>
      </c>
      <c r="AR751" s="128">
        <f t="shared" ca="1" si="96"/>
        <v>-13.362000000000004</v>
      </c>
      <c r="AS751" s="129">
        <f t="shared" ca="1" si="97"/>
        <v>-1.4960570012328709</v>
      </c>
      <c r="BD751" s="157"/>
    </row>
    <row r="752" spans="2:56">
      <c r="B752" s="156"/>
      <c r="C752" s="128" t="s">
        <v>286</v>
      </c>
      <c r="D752" s="128">
        <f ca="1">D751</f>
        <v>-13.732000000000005</v>
      </c>
      <c r="E752" s="139">
        <f ca="1">E751-P741</f>
        <v>0.81999999999999984</v>
      </c>
      <c r="G752" s="128" t="s">
        <v>286</v>
      </c>
      <c r="H752" s="128">
        <f ca="1">H751</f>
        <v>8888.43</v>
      </c>
      <c r="I752" s="139">
        <f ca="1">I751-P741</f>
        <v>8887.5</v>
      </c>
      <c r="K752" s="128" t="s">
        <v>286</v>
      </c>
      <c r="L752" s="128">
        <f ca="1">L751</f>
        <v>-13.732000000000005</v>
      </c>
      <c r="M752" s="139">
        <f ca="1">M751-P741</f>
        <v>-0.75999999999999979</v>
      </c>
      <c r="O752" s="128" t="s">
        <v>286</v>
      </c>
      <c r="P752" s="128">
        <f ca="1">P751</f>
        <v>8888</v>
      </c>
      <c r="Q752" s="139">
        <f ca="1">Q751-$T746</f>
        <v>8888</v>
      </c>
      <c r="S752" s="128" t="s">
        <v>286</v>
      </c>
      <c r="T752" s="128">
        <f ca="1">T751</f>
        <v>8888</v>
      </c>
      <c r="U752" s="139">
        <f ca="1">U751-$T744</f>
        <v>8888</v>
      </c>
      <c r="W752" s="128" t="s">
        <v>286</v>
      </c>
      <c r="X752" s="128">
        <f ca="1">X751</f>
        <v>8888</v>
      </c>
      <c r="Y752" s="139">
        <f ca="1">Y751+$T742</f>
        <v>8888</v>
      </c>
      <c r="AA752" s="143" t="s">
        <v>286</v>
      </c>
      <c r="AB752" s="128">
        <f ca="1">IF($AA748,D752,P752)</f>
        <v>-13.732000000000005</v>
      </c>
      <c r="AC752" s="129">
        <f ca="1">IF($AA748,E752,Q752)</f>
        <v>0.81999999999999984</v>
      </c>
      <c r="AE752" s="128" t="s">
        <v>286</v>
      </c>
      <c r="AF752" s="128">
        <f ca="1">IF($AE748,H752,T752)</f>
        <v>8888.43</v>
      </c>
      <c r="AG752" s="129">
        <f ca="1">IF($AE748,I752,U752)</f>
        <v>8887.5</v>
      </c>
      <c r="AI752" s="128" t="s">
        <v>286</v>
      </c>
      <c r="AJ752" s="128">
        <f ca="1">IF($AI748,L752,X752)</f>
        <v>-13.732000000000005</v>
      </c>
      <c r="AK752" s="129">
        <f ca="1">IF($AI748,M752,Y752)</f>
        <v>-0.75999999999999979</v>
      </c>
      <c r="AM752" s="128" t="s">
        <v>286</v>
      </c>
      <c r="AN752" s="128">
        <f ca="1">AN751</f>
        <v>-13.362000000000004</v>
      </c>
      <c r="AO752" s="129">
        <f ca="1">IF(AN752&gt;-Fuselage!$D$366,IF(AM748,(FUSELAGE_a_ellipse+FUSELAGE_t_fuselage)*SQRT(1-((AN752+Fuselage!$D$366)/Fuselage!$K$364)^2),(FUSELAGE_a_ellipse)*SQRT(1-((AN752+Fuselage!$D$366)/Fuselage!$K$364)^2)),IF(AN752&gt;$L$2505+Fuselage!$K$370,(IF(AM748,FUSELAGE_a_ellipse+FUSELAGE_t_fuselage,FUSELAGE_a_ellipse)),IF(AM748,(FUSELAGE_a_ellipse+FUSELAGE_t_fuselage-FUSELAGE_d_fo/4)/Fuselage!$K$368*(AN752-$L$2505-Fuselage!$K$370)+FUSELAGE_a_ellipse+FUSELAGE_t_fuselage,(FUSELAGE_a_ellipse+FUSELAGE_t_fuselage-FUSELAGE_d_fo/4)/Fuselage!$K$368*(AN752-$L$2505-Fuselage!$K$370)+FUSELAGE_a_ellipse)))</f>
        <v>1.6053795662883501</v>
      </c>
      <c r="AQ752" s="128" t="s">
        <v>286</v>
      </c>
      <c r="AR752" s="128">
        <f t="shared" ca="1" si="96"/>
        <v>-13.362000000000004</v>
      </c>
      <c r="AS752" s="129">
        <f t="shared" ca="1" si="97"/>
        <v>-1.6053795662883501</v>
      </c>
      <c r="BD752" s="157"/>
    </row>
    <row r="753" spans="2:56">
      <c r="B753" s="156"/>
      <c r="C753" s="188" t="s">
        <v>522</v>
      </c>
      <c r="D753" s="188">
        <f ca="1">D750</f>
        <v>-14.162000000000004</v>
      </c>
      <c r="E753" s="189">
        <f ca="1">E752</f>
        <v>0.81999999999999984</v>
      </c>
      <c r="F753" s="157"/>
      <c r="G753" s="2" t="s">
        <v>522</v>
      </c>
      <c r="H753" s="128">
        <f ca="1">H750</f>
        <v>8888</v>
      </c>
      <c r="I753" s="139">
        <f ca="1">I752</f>
        <v>8887.5</v>
      </c>
      <c r="K753" s="128" t="s">
        <v>522</v>
      </c>
      <c r="L753" s="128">
        <f ca="1">L750</f>
        <v>-14.162000000000004</v>
      </c>
      <c r="M753" s="139">
        <f ca="1">M752</f>
        <v>-0.75999999999999979</v>
      </c>
      <c r="O753" s="188" t="s">
        <v>522</v>
      </c>
      <c r="P753" s="188">
        <f ca="1">P750</f>
        <v>8888</v>
      </c>
      <c r="Q753" s="189">
        <f ca="1">Q752</f>
        <v>8888</v>
      </c>
      <c r="S753" s="188" t="s">
        <v>522</v>
      </c>
      <c r="T753" s="188">
        <f ca="1">T750</f>
        <v>8888</v>
      </c>
      <c r="U753" s="189">
        <f ca="1">U752</f>
        <v>8888</v>
      </c>
      <c r="W753" s="188" t="s">
        <v>522</v>
      </c>
      <c r="X753" s="188">
        <f ca="1">X750</f>
        <v>8888</v>
      </c>
      <c r="Y753" s="189">
        <f ca="1">Y752</f>
        <v>8888</v>
      </c>
      <c r="AA753" s="195" t="s">
        <v>522</v>
      </c>
      <c r="AB753" s="128">
        <f ca="1">IF($AA748,D753,P753)</f>
        <v>-14.162000000000004</v>
      </c>
      <c r="AC753" s="129">
        <f ca="1">IF($AA748,E753,Q753)</f>
        <v>0.81999999999999984</v>
      </c>
      <c r="AD753" s="157"/>
      <c r="AE753" s="2" t="s">
        <v>522</v>
      </c>
      <c r="AF753" s="188">
        <f ca="1">IF($AE748,H753,T753)</f>
        <v>8888</v>
      </c>
      <c r="AG753" s="196">
        <f ca="1">IF($AE748,I753,U753)</f>
        <v>8887.5</v>
      </c>
      <c r="AI753" s="128" t="s">
        <v>522</v>
      </c>
      <c r="AJ753" s="188">
        <f ca="1">IF($AI748,L753,X753)</f>
        <v>-14.162000000000004</v>
      </c>
      <c r="AK753" s="196">
        <f ca="1">IF($AI748,M753,Y753)</f>
        <v>-0.75999999999999979</v>
      </c>
      <c r="AM753" s="128" t="s">
        <v>522</v>
      </c>
      <c r="AN753" s="128">
        <f ca="1">AN752-X742</f>
        <v>-13.870000000000005</v>
      </c>
      <c r="AO753" s="129">
        <f ca="1">IF(AN753&gt;-Fuselage!$D$366,IF(AM748,(FUSELAGE_a_ellipse+FUSELAGE_t_fuselage)*SQRT(1-((AN753+Fuselage!$D$366)/Fuselage!$K$364)^2),(FUSELAGE_a_ellipse)*SQRT(1-((AN753+Fuselage!$D$366)/Fuselage!$K$364)^2)),IF(AN753&gt;$L$2505+Fuselage!$K$370,(IF(AM748,FUSELAGE_a_ellipse+FUSELAGE_t_fuselage,FUSELAGE_a_ellipse)),IF(AM748,(FUSELAGE_a_ellipse+FUSELAGE_t_fuselage-FUSELAGE_d_fo/4)/Fuselage!$K$368*(AN753-$L$2505-Fuselage!$K$370)+FUSELAGE_a_ellipse+FUSELAGE_t_fuselage,(FUSELAGE_a_ellipse+FUSELAGE_t_fuselage-FUSELAGE_d_fo/4)/Fuselage!$K$368*(AN753-$L$2505-Fuselage!$K$370)+FUSELAGE_a_ellipse)))</f>
        <v>1.6053795662883501</v>
      </c>
      <c r="AQ753" s="128" t="s">
        <v>522</v>
      </c>
      <c r="AR753" s="128">
        <f t="shared" ca="1" si="96"/>
        <v>-13.870000000000005</v>
      </c>
      <c r="AS753" s="129">
        <f t="shared" ca="1" si="97"/>
        <v>-1.6053795662883501</v>
      </c>
      <c r="BD753" s="157"/>
    </row>
    <row r="754" spans="2:56" ht="15" thickBot="1">
      <c r="B754" s="156"/>
      <c r="C754" s="128" t="s">
        <v>49</v>
      </c>
      <c r="D754" s="128">
        <f ca="1">IF(C748&gt;=2,D750,D753)</f>
        <v>-14.162000000000004</v>
      </c>
      <c r="E754" s="139">
        <f ca="1">IF(C748&gt;=2,E753-P743,E753)</f>
        <v>0.75999999999999979</v>
      </c>
      <c r="F754" s="157"/>
      <c r="G754" s="192" t="s">
        <v>49</v>
      </c>
      <c r="H754" s="190">
        <f ca="1">IF(G748&gt;=2,H750,H753)</f>
        <v>8888</v>
      </c>
      <c r="I754" s="191">
        <f ca="1">IF(G748&gt;=2,I753-P743,I753)</f>
        <v>8887.5</v>
      </c>
      <c r="K754" s="190" t="s">
        <v>49</v>
      </c>
      <c r="L754" s="190">
        <f ca="1">IF(K748&gt;=2,L750,L753)</f>
        <v>-14.162000000000004</v>
      </c>
      <c r="M754" s="191">
        <f ca="1">IF(K748&gt;=2,M753-P743,M753)</f>
        <v>-0.81999999999999984</v>
      </c>
      <c r="O754" s="130" t="s">
        <v>396</v>
      </c>
      <c r="P754" s="130">
        <f ca="1">P750</f>
        <v>8888</v>
      </c>
      <c r="Q754" s="140">
        <f ca="1">Q750</f>
        <v>8888</v>
      </c>
      <c r="S754" s="130" t="s">
        <v>396</v>
      </c>
      <c r="T754" s="130">
        <f ca="1">T750</f>
        <v>8888</v>
      </c>
      <c r="U754" s="140">
        <f ca="1">U750</f>
        <v>8888</v>
      </c>
      <c r="W754" s="130" t="s">
        <v>396</v>
      </c>
      <c r="X754" s="130">
        <f ca="1">X750</f>
        <v>8888</v>
      </c>
      <c r="Y754" s="140">
        <f ca="1">Y750</f>
        <v>8888</v>
      </c>
      <c r="AA754" s="143" t="s">
        <v>49</v>
      </c>
      <c r="AB754" s="128">
        <f ca="1">IF($AA748,D754,P754)</f>
        <v>-14.162000000000004</v>
      </c>
      <c r="AC754" s="129">
        <f ca="1">IF($AA748,E754,Q754)</f>
        <v>0.75999999999999979</v>
      </c>
      <c r="AD754" s="157"/>
      <c r="AE754" s="192" t="s">
        <v>49</v>
      </c>
      <c r="AF754" s="128">
        <f ca="1">IF($AE748,H754,T754)</f>
        <v>8888</v>
      </c>
      <c r="AG754" s="129">
        <f ca="1">IF($AE748,I754,U754)</f>
        <v>8887.5</v>
      </c>
      <c r="AI754" s="190" t="s">
        <v>49</v>
      </c>
      <c r="AJ754" s="128">
        <f ca="1">IF($AI748,L754,X754)</f>
        <v>-14.162000000000004</v>
      </c>
      <c r="AK754" s="129">
        <f ca="1">IF($AI748,M754,Y754)</f>
        <v>-0.81999999999999984</v>
      </c>
      <c r="AM754" s="128" t="s">
        <v>49</v>
      </c>
      <c r="AN754" s="128">
        <f ca="1">AN753</f>
        <v>-13.870000000000005</v>
      </c>
      <c r="AO754" s="129">
        <f ca="1">IF(AN754&gt;-Fuselage!$D$366,(FUSELAGE_a_ellipse)*SQRT(1-((AN754+Fuselage!$D$366)/(Fuselage!$K$364-FUSELAGE_t_fuselage))^2),IF(AN754&gt;$L$2505+Fuselage!$K$370,FUSELAGE_a_ellipse,(FUSELAGE_a_ellipse+FUSELAGE_t_fuselage-FUSELAGE_d_fo/4)/Fuselage!$K$368*(AN754-$L$2505-Fuselage!$K$370)+FUSELAGE_a_ellipse))</f>
        <v>1.4960570012328709</v>
      </c>
      <c r="AQ754" s="128" t="s">
        <v>49</v>
      </c>
      <c r="AR754" s="128">
        <f t="shared" ca="1" si="96"/>
        <v>-13.870000000000005</v>
      </c>
      <c r="AS754" s="129">
        <f t="shared" ca="1" si="97"/>
        <v>-1.4960570012328709</v>
      </c>
      <c r="BD754" s="157"/>
    </row>
    <row r="755" spans="2:56">
      <c r="B755" s="156"/>
      <c r="C755" s="128" t="s">
        <v>453</v>
      </c>
      <c r="D755" s="128">
        <f ca="1">IF(C748&gt;=2,D750+P742,D753)</f>
        <v>-13.732000000000005</v>
      </c>
      <c r="E755" s="139">
        <f ca="1">E754</f>
        <v>0.75999999999999979</v>
      </c>
      <c r="F755" s="157"/>
      <c r="G755" s="2" t="s">
        <v>453</v>
      </c>
      <c r="H755" s="128">
        <f ca="1">IF(G748&gt;=2,H751,H753)</f>
        <v>8888</v>
      </c>
      <c r="I755" s="139">
        <f ca="1">IF(G748&gt;=2,I754,I753)</f>
        <v>8887.5</v>
      </c>
      <c r="K755" s="128" t="s">
        <v>453</v>
      </c>
      <c r="L755" s="128">
        <f ca="1">IF(K748&gt;=2,IF(X743,IF(K748=2,L750+P742/4,L750+P742),L750+P742),L753)</f>
        <v>-13.732000000000005</v>
      </c>
      <c r="M755" s="139">
        <f ca="1">IF(K748&gt;=2,M754,M753)</f>
        <v>-0.81999999999999984</v>
      </c>
      <c r="AA755" s="143" t="s">
        <v>453</v>
      </c>
      <c r="AB755" s="128">
        <f ca="1">IF($AA748,D755,AB754)</f>
        <v>-13.732000000000005</v>
      </c>
      <c r="AC755" s="129">
        <f ca="1">IF($AA748,E755,AC754)</f>
        <v>0.75999999999999979</v>
      </c>
      <c r="AD755" s="157"/>
      <c r="AE755" s="2" t="s">
        <v>453</v>
      </c>
      <c r="AF755" s="128">
        <f ca="1">IF($AE748,H755,AF754)</f>
        <v>8888</v>
      </c>
      <c r="AG755" s="129">
        <f ca="1">IF($AE748,I755,AG754)</f>
        <v>8887.5</v>
      </c>
      <c r="AI755" s="128" t="s">
        <v>453</v>
      </c>
      <c r="AJ755" s="128">
        <f ca="1">IF($AI748,L755,AJ754)</f>
        <v>-13.732000000000005</v>
      </c>
      <c r="AK755" s="129">
        <f ca="1">IF($AI748,M755,AK754)</f>
        <v>-0.81999999999999984</v>
      </c>
      <c r="AM755" s="128" t="s">
        <v>453</v>
      </c>
      <c r="AN755" s="128">
        <f ca="1">L741</f>
        <v>-14.162000000000004</v>
      </c>
      <c r="AO755" s="129">
        <f ca="1">IF(AN755&gt;-Fuselage!$D$366,(FUSELAGE_a_ellipse)*SQRT(1-((AN755+Fuselage!$D$366)/(Fuselage!$K$364-FUSELAGE_t_fuselage))^2),IF(AN755&gt;$L$2505+Fuselage!$K$370,FUSELAGE_a_ellipse,(FUSELAGE_a_ellipse+FUSELAGE_t_fuselage-FUSELAGE_d_fo/4)/Fuselage!$K$368*(AN755-$L$2505-Fuselage!$K$370)+FUSELAGE_a_ellipse))</f>
        <v>1.4960570012328709</v>
      </c>
      <c r="AQ755" s="128" t="s">
        <v>453</v>
      </c>
      <c r="AR755" s="128">
        <f t="shared" ca="1" si="96"/>
        <v>-14.162000000000004</v>
      </c>
      <c r="AS755" s="129">
        <f t="shared" ca="1" si="97"/>
        <v>-1.4960570012328709</v>
      </c>
      <c r="BD755" s="157"/>
    </row>
    <row r="756" spans="2:56">
      <c r="B756" s="156"/>
      <c r="C756" s="128" t="s">
        <v>394</v>
      </c>
      <c r="D756" s="128">
        <f ca="1">IF(C748&gt;=2,D755,D753)</f>
        <v>-13.732000000000005</v>
      </c>
      <c r="E756" s="139">
        <f ca="1">IF(C748&gt;=2,E754-P741,E753)</f>
        <v>0.25999999999999979</v>
      </c>
      <c r="F756" s="157"/>
      <c r="G756" s="2" t="s">
        <v>394</v>
      </c>
      <c r="H756" s="128">
        <f ca="1">IF(G748&gt;=2,H751,H753)</f>
        <v>8888</v>
      </c>
      <c r="I756" s="139">
        <f ca="1">IF(G748&gt;=2,I755-P741,I753)</f>
        <v>8887.5</v>
      </c>
      <c r="K756" s="128" t="s">
        <v>394</v>
      </c>
      <c r="L756" s="128">
        <f ca="1">L755</f>
        <v>-13.732000000000005</v>
      </c>
      <c r="M756" s="139">
        <f ca="1">IF(K748&gt;=2,M755-P741,M753)</f>
        <v>-1.3199999999999998</v>
      </c>
      <c r="AA756" s="143" t="s">
        <v>394</v>
      </c>
      <c r="AB756" s="128">
        <f ca="1">IF($AA748,D756,AB754)</f>
        <v>-13.732000000000005</v>
      </c>
      <c r="AC756" s="129">
        <f ca="1">IF($AA748,E756,AC754)</f>
        <v>0.25999999999999979</v>
      </c>
      <c r="AD756" s="157"/>
      <c r="AE756" s="2" t="s">
        <v>394</v>
      </c>
      <c r="AF756" s="128">
        <f ca="1">IF($AE748,H756,AF754)</f>
        <v>8888</v>
      </c>
      <c r="AG756" s="129">
        <f ca="1">IF($AE748,I756,AG754)</f>
        <v>8887.5</v>
      </c>
      <c r="AI756" s="128" t="s">
        <v>394</v>
      </c>
      <c r="AJ756" s="128">
        <f ca="1">IF($AI748,L756,AJ754)</f>
        <v>-13.732000000000005</v>
      </c>
      <c r="AK756" s="129">
        <f ca="1">IF($AI748,M756,AK754)</f>
        <v>-1.3199999999999998</v>
      </c>
      <c r="BD756" s="157"/>
    </row>
    <row r="757" spans="2:56">
      <c r="B757" s="156"/>
      <c r="C757" s="188" t="s">
        <v>454</v>
      </c>
      <c r="D757" s="188">
        <f ca="1">IF(C748&gt;=2,D750,D753)</f>
        <v>-14.162000000000004</v>
      </c>
      <c r="E757" s="189">
        <f ca="1">E756</f>
        <v>0.25999999999999979</v>
      </c>
      <c r="F757" s="157"/>
      <c r="G757" s="115" t="s">
        <v>454</v>
      </c>
      <c r="H757" s="188">
        <f ca="1">IF(G748&gt;=2,H750,H753)</f>
        <v>8888</v>
      </c>
      <c r="I757" s="189">
        <f ca="1">IF(G748&gt;=2,I756,I753)</f>
        <v>8887.5</v>
      </c>
      <c r="K757" s="188" t="s">
        <v>454</v>
      </c>
      <c r="L757" s="188">
        <f ca="1">IF(K748&gt;=2,L750,L753)</f>
        <v>-14.162000000000004</v>
      </c>
      <c r="M757" s="189">
        <f ca="1">IF(K748&gt;=2,M756,M753)</f>
        <v>-1.3199999999999998</v>
      </c>
      <c r="AA757" s="195" t="s">
        <v>454</v>
      </c>
      <c r="AB757" s="128">
        <f ca="1">IF($AA748,D757,AB754)</f>
        <v>-14.162000000000004</v>
      </c>
      <c r="AC757" s="129">
        <f ca="1">IF($AA748,E757,AC754)</f>
        <v>0.25999999999999979</v>
      </c>
      <c r="AD757" s="157"/>
      <c r="AE757" s="115" t="s">
        <v>454</v>
      </c>
      <c r="AF757" s="188">
        <f ca="1">IF($AE748,H757,AF754)</f>
        <v>8888</v>
      </c>
      <c r="AG757" s="196">
        <f ca="1">IF($AE748,I757,AG754)</f>
        <v>8887.5</v>
      </c>
      <c r="AI757" s="188" t="s">
        <v>454</v>
      </c>
      <c r="AJ757" s="188">
        <f ca="1">IF($AI748,L757,AJ754)</f>
        <v>-14.162000000000004</v>
      </c>
      <c r="AK757" s="196">
        <f ca="1">IF($AI748,M757,AK754)</f>
        <v>-1.3199999999999998</v>
      </c>
      <c r="BD757" s="157"/>
    </row>
    <row r="758" spans="2:56">
      <c r="B758" s="156"/>
      <c r="C758" s="128" t="s">
        <v>507</v>
      </c>
      <c r="D758" s="128">
        <f ca="1">IF(C748&gt;=3,D750,D757)</f>
        <v>-14.162000000000004</v>
      </c>
      <c r="E758" s="139">
        <f ca="1">IF(C748&gt;=3,E757-P743,E757)</f>
        <v>0.25999999999999979</v>
      </c>
      <c r="F758" s="157"/>
      <c r="G758" s="2" t="s">
        <v>507</v>
      </c>
      <c r="H758" s="128">
        <f ca="1">IF(G748&gt;=3,H750,H757)</f>
        <v>8888</v>
      </c>
      <c r="I758" s="139">
        <f ca="1">IF(G748&gt;=3,I757-P743,I757)</f>
        <v>8887.5</v>
      </c>
      <c r="K758" s="128" t="s">
        <v>507</v>
      </c>
      <c r="L758" s="128">
        <f ca="1">IF(K748&gt;=3,L750,L757)</f>
        <v>-14.162000000000004</v>
      </c>
      <c r="M758" s="139">
        <f ca="1">IF(K748&gt;=3,M757-P743,M757)</f>
        <v>-1.3199999999999998</v>
      </c>
      <c r="AA758" s="143" t="s">
        <v>507</v>
      </c>
      <c r="AB758" s="128">
        <f ca="1">IF($AA748,D758,AB754)</f>
        <v>-14.162000000000004</v>
      </c>
      <c r="AC758" s="129">
        <f ca="1">IF($AA748,E758,AC754)</f>
        <v>0.25999999999999979</v>
      </c>
      <c r="AD758" s="157"/>
      <c r="AE758" s="2" t="s">
        <v>507</v>
      </c>
      <c r="AF758" s="128">
        <f ca="1">IF($AE748,H758,AF754)</f>
        <v>8888</v>
      </c>
      <c r="AG758" s="129">
        <f ca="1">IF($AE748,I758,AG754)</f>
        <v>8887.5</v>
      </c>
      <c r="AI758" s="128" t="s">
        <v>507</v>
      </c>
      <c r="AJ758" s="128">
        <f ca="1">IF($AI748,L758,AJ754)</f>
        <v>-14.162000000000004</v>
      </c>
      <c r="AK758" s="129">
        <f ca="1">IF($AI748,M758,AK754)</f>
        <v>-1.3199999999999998</v>
      </c>
      <c r="BD758" s="157"/>
    </row>
    <row r="759" spans="2:56">
      <c r="B759" s="156"/>
      <c r="C759" s="128" t="s">
        <v>455</v>
      </c>
      <c r="D759" s="128">
        <f ca="1">IF(C748&gt;=3,D755,D757)</f>
        <v>-14.162000000000004</v>
      </c>
      <c r="E759" s="139">
        <f ca="1">E758</f>
        <v>0.25999999999999979</v>
      </c>
      <c r="F759" s="157"/>
      <c r="G759" s="2" t="s">
        <v>455</v>
      </c>
      <c r="H759" s="128">
        <f ca="1">IF(G748&gt;=3,H751,H757)</f>
        <v>8888</v>
      </c>
      <c r="I759" s="139">
        <f ca="1">IF(G748&gt;=3,I758,I757)</f>
        <v>8887.5</v>
      </c>
      <c r="K759" s="128" t="s">
        <v>455</v>
      </c>
      <c r="L759" s="128">
        <f ca="1">IF(K748&gt;=3,IF(X743,IF(K748=3,L750+P742/4,L750+P742),L750+P742),L753)</f>
        <v>-14.162000000000004</v>
      </c>
      <c r="M759" s="139">
        <f ca="1">IF(K748&gt;=3,M758,M757)</f>
        <v>-1.3199999999999998</v>
      </c>
      <c r="AA759" s="143" t="s">
        <v>455</v>
      </c>
      <c r="AB759" s="128">
        <f ca="1">IF($AA748,D759,AB754)</f>
        <v>-14.162000000000004</v>
      </c>
      <c r="AC759" s="129">
        <f ca="1">IF($AA748,E759,AC754)</f>
        <v>0.25999999999999979</v>
      </c>
      <c r="AD759" s="157"/>
      <c r="AE759" s="2" t="s">
        <v>455</v>
      </c>
      <c r="AF759" s="128">
        <f ca="1">IF($AE748,H759,AF754)</f>
        <v>8888</v>
      </c>
      <c r="AG759" s="129">
        <f ca="1">IF($AE748,I759,AG754)</f>
        <v>8887.5</v>
      </c>
      <c r="AI759" s="128" t="s">
        <v>455</v>
      </c>
      <c r="AJ759" s="128">
        <f ca="1">IF($AI748,L759,AJ754)</f>
        <v>-14.162000000000004</v>
      </c>
      <c r="AK759" s="129">
        <f ca="1">IF($AI748,M759,AK754)</f>
        <v>-1.3199999999999998</v>
      </c>
      <c r="AL759" s="156"/>
      <c r="BD759" s="157"/>
    </row>
    <row r="760" spans="2:56">
      <c r="B760" s="156"/>
      <c r="C760" s="128" t="s">
        <v>311</v>
      </c>
      <c r="D760" s="128">
        <f ca="1">IF(C748&gt;=3,D755,D757)</f>
        <v>-14.162000000000004</v>
      </c>
      <c r="E760" s="139">
        <f ca="1">IF(C748&gt;=3,E759-P741,E757)</f>
        <v>0.25999999999999979</v>
      </c>
      <c r="F760" s="157"/>
      <c r="G760" s="2" t="s">
        <v>311</v>
      </c>
      <c r="H760" s="128">
        <f ca="1">IF(G748&gt;=3,H751,H757)</f>
        <v>8888</v>
      </c>
      <c r="I760" s="139">
        <f ca="1">IF(G748&gt;=3,I759-P741,I757)</f>
        <v>8887.5</v>
      </c>
      <c r="K760" s="128" t="s">
        <v>311</v>
      </c>
      <c r="L760" s="128">
        <f ca="1">L759</f>
        <v>-14.162000000000004</v>
      </c>
      <c r="M760" s="139">
        <f ca="1">IF(K748&gt;=3,M759-P741,M757)</f>
        <v>-1.3199999999999998</v>
      </c>
      <c r="AA760" s="143" t="s">
        <v>311</v>
      </c>
      <c r="AB760" s="128">
        <f ca="1">IF($AA748,D760,AB754)</f>
        <v>-14.162000000000004</v>
      </c>
      <c r="AC760" s="129">
        <f ca="1">IF($AA748,E760,AC754)</f>
        <v>0.25999999999999979</v>
      </c>
      <c r="AD760" s="157"/>
      <c r="AE760" s="2" t="s">
        <v>311</v>
      </c>
      <c r="AF760" s="128">
        <f ca="1">IF($AE748,H760,AF754)</f>
        <v>8888</v>
      </c>
      <c r="AG760" s="129">
        <f ca="1">IF($AE748,I760,AG754)</f>
        <v>8887.5</v>
      </c>
      <c r="AI760" s="128" t="s">
        <v>311</v>
      </c>
      <c r="AJ760" s="128">
        <f ca="1">IF($AI748,L760,AJ754)</f>
        <v>-14.162000000000004</v>
      </c>
      <c r="AK760" s="129">
        <f ca="1">IF($AI748,M760,AK754)</f>
        <v>-1.3199999999999998</v>
      </c>
      <c r="AL760" s="156"/>
      <c r="BD760" s="157"/>
    </row>
    <row r="761" spans="2:56">
      <c r="B761" s="156"/>
      <c r="C761" s="188" t="s">
        <v>35</v>
      </c>
      <c r="D761" s="188">
        <f ca="1">IF(C748&gt;=3,D750,D757)</f>
        <v>-14.162000000000004</v>
      </c>
      <c r="E761" s="189">
        <f ca="1">E760</f>
        <v>0.25999999999999979</v>
      </c>
      <c r="F761" s="157"/>
      <c r="G761" s="2" t="s">
        <v>35</v>
      </c>
      <c r="H761" s="188">
        <f ca="1">IF(G748&gt;=3,H750,H757)</f>
        <v>8888</v>
      </c>
      <c r="I761" s="189">
        <f ca="1">IF(G748&gt;=3,I760,I757)</f>
        <v>8887.5</v>
      </c>
      <c r="K761" s="188" t="s">
        <v>35</v>
      </c>
      <c r="L761" s="188">
        <f ca="1">IF(K748&gt;=3,L750,L757)</f>
        <v>-14.162000000000004</v>
      </c>
      <c r="M761" s="189">
        <f ca="1">IF(K748&gt;=3,M760,M757)</f>
        <v>-1.3199999999999998</v>
      </c>
      <c r="AA761" s="143" t="s">
        <v>35</v>
      </c>
      <c r="AB761" s="128">
        <f ca="1">IF($AA748,D761,AB754)</f>
        <v>-14.162000000000004</v>
      </c>
      <c r="AC761" s="129">
        <f ca="1">IF($AA748,E761,AC754)</f>
        <v>0.25999999999999979</v>
      </c>
      <c r="AD761" s="157"/>
      <c r="AE761" s="2" t="s">
        <v>35</v>
      </c>
      <c r="AF761" s="188">
        <f ca="1">IF($AE748,H761,AF754)</f>
        <v>8888</v>
      </c>
      <c r="AG761" s="196">
        <f ca="1">IF($AE748,I761,AG754)</f>
        <v>8887.5</v>
      </c>
      <c r="AI761" s="128" t="s">
        <v>35</v>
      </c>
      <c r="AJ761" s="128">
        <f ca="1">IF($AI748,L761,AJ754)</f>
        <v>-14.162000000000004</v>
      </c>
      <c r="AK761" s="129">
        <f ca="1">IF($AI748,M761,AK754)</f>
        <v>-1.3199999999999998</v>
      </c>
      <c r="AL761" s="156"/>
      <c r="BD761" s="157"/>
    </row>
    <row r="762" spans="2:56" ht="15" thickBot="1">
      <c r="B762" s="156"/>
      <c r="C762" s="130" t="s">
        <v>396</v>
      </c>
      <c r="D762" s="130">
        <f ca="1">D750</f>
        <v>-14.162000000000004</v>
      </c>
      <c r="E762" s="140">
        <f ca="1">E750</f>
        <v>1.3199999999999998</v>
      </c>
      <c r="F762" s="157"/>
      <c r="G762" s="192" t="s">
        <v>312</v>
      </c>
      <c r="H762" s="128">
        <f ca="1">IF(G748&gt;=4,H750,H761)</f>
        <v>8888</v>
      </c>
      <c r="I762" s="139">
        <f ca="1">IF(G748&gt;=4,I761-P743,I761)</f>
        <v>8887.5</v>
      </c>
      <c r="K762" s="130" t="s">
        <v>396</v>
      </c>
      <c r="L762" s="130">
        <f ca="1">L750</f>
        <v>-14.162000000000004</v>
      </c>
      <c r="M762" s="140">
        <f ca="1">M750</f>
        <v>-0.25999999999999979</v>
      </c>
      <c r="AA762" s="144" t="s">
        <v>396</v>
      </c>
      <c r="AB762" s="130">
        <f ca="1">IF($AA748,D762,AB754)</f>
        <v>-14.162000000000004</v>
      </c>
      <c r="AC762" s="132">
        <f ca="1">IF($AA748,E762,AC754)</f>
        <v>1.3199999999999998</v>
      </c>
      <c r="AD762" s="157"/>
      <c r="AE762" s="192" t="s">
        <v>312</v>
      </c>
      <c r="AF762" s="128">
        <f ca="1">IF($AE748,H762,AF754)</f>
        <v>8888</v>
      </c>
      <c r="AG762" s="129">
        <f ca="1">IF($AE748,I762,AG754)</f>
        <v>8887.5</v>
      </c>
      <c r="AI762" s="130" t="s">
        <v>396</v>
      </c>
      <c r="AJ762" s="130">
        <f ca="1">IF($AI748,L762,AJ754)</f>
        <v>-14.162000000000004</v>
      </c>
      <c r="AK762" s="132">
        <f ca="1">IF($AI748,M762,AK754)</f>
        <v>-0.25999999999999979</v>
      </c>
      <c r="BD762" s="157"/>
    </row>
    <row r="763" spans="2:56">
      <c r="B763" s="156"/>
      <c r="F763" s="157"/>
      <c r="G763" s="2" t="s">
        <v>313</v>
      </c>
      <c r="H763" s="128">
        <f ca="1">IF(G748&gt;=4,H751,H761)</f>
        <v>8888</v>
      </c>
      <c r="I763" s="139">
        <f ca="1">IF(G748&gt;=4,I762,I761)</f>
        <v>8887.5</v>
      </c>
      <c r="AD763" s="157"/>
      <c r="AE763" s="2" t="s">
        <v>313</v>
      </c>
      <c r="AF763" s="128">
        <f ca="1">IF($AE748,H763,AF754)</f>
        <v>8888</v>
      </c>
      <c r="AG763" s="129">
        <f ca="1">IF($AE748,I763,AG754)</f>
        <v>8887.5</v>
      </c>
      <c r="BD763" s="157"/>
    </row>
    <row r="764" spans="2:56">
      <c r="B764" s="156"/>
      <c r="F764" s="157"/>
      <c r="G764" s="2" t="s">
        <v>7</v>
      </c>
      <c r="H764" s="128">
        <f ca="1">IF(G748&gt;=4,H751,H761)</f>
        <v>8888</v>
      </c>
      <c r="I764" s="139">
        <f ca="1">IF(G748&gt;=4,I763-P741,I761)</f>
        <v>8887.5</v>
      </c>
      <c r="AD764" s="157"/>
      <c r="AE764" s="2" t="s">
        <v>7</v>
      </c>
      <c r="AF764" s="128">
        <f ca="1">IF($AE748,H764,AF754)</f>
        <v>8888</v>
      </c>
      <c r="AG764" s="129">
        <f ca="1">IF($AE748,I764,AG754)</f>
        <v>8887.5</v>
      </c>
      <c r="BD764" s="157"/>
    </row>
    <row r="765" spans="2:56">
      <c r="B765" s="156"/>
      <c r="F765" s="157"/>
      <c r="G765" s="115" t="s">
        <v>8</v>
      </c>
      <c r="H765" s="188">
        <f ca="1">IF(G748&gt;=4,H750,H761)</f>
        <v>8888</v>
      </c>
      <c r="I765" s="189">
        <f ca="1">IF(G748&gt;=4,I764,I761)</f>
        <v>8887.5</v>
      </c>
      <c r="AD765" s="157"/>
      <c r="AE765" s="115" t="s">
        <v>8</v>
      </c>
      <c r="AF765" s="188">
        <f ca="1">IF($AE748,H765,AF754)</f>
        <v>8888</v>
      </c>
      <c r="AG765" s="196">
        <f ca="1">IF($AE748,I765,AG754)</f>
        <v>8887.5</v>
      </c>
      <c r="BD765" s="157"/>
    </row>
    <row r="766" spans="2:56">
      <c r="B766" s="156"/>
      <c r="F766" s="157"/>
      <c r="G766" s="2" t="s">
        <v>9</v>
      </c>
      <c r="H766" s="128">
        <f ca="1">IF(G748&gt;=5,H750,H765)</f>
        <v>8888</v>
      </c>
      <c r="I766" s="139">
        <f ca="1">IF(G748&gt;=5,I765-P743,I765)</f>
        <v>8887.5</v>
      </c>
      <c r="AD766" s="157"/>
      <c r="AE766" s="2" t="s">
        <v>9</v>
      </c>
      <c r="AF766" s="128">
        <f ca="1">IF($AE748,H766,AF754)</f>
        <v>8888</v>
      </c>
      <c r="AG766" s="129">
        <f ca="1">IF($AE748,I766,AG754)</f>
        <v>8887.5</v>
      </c>
      <c r="BD766" s="157"/>
    </row>
    <row r="767" spans="2:56">
      <c r="B767" s="156"/>
      <c r="F767" s="157"/>
      <c r="G767" s="2" t="s">
        <v>196</v>
      </c>
      <c r="H767" s="128">
        <f ca="1">IF(G748&gt;=5,H751,H765)</f>
        <v>8888</v>
      </c>
      <c r="I767" s="139">
        <f ca="1">IF(G748&gt;=5,I766,I765)</f>
        <v>8887.5</v>
      </c>
      <c r="AD767" s="157"/>
      <c r="AE767" s="2" t="s">
        <v>196</v>
      </c>
      <c r="AF767" s="128">
        <f ca="1">IF($AE748,H767,AF754)</f>
        <v>8888</v>
      </c>
      <c r="AG767" s="129">
        <f ca="1">IF($AE748,I767,AG754)</f>
        <v>8887.5</v>
      </c>
      <c r="BD767" s="157"/>
    </row>
    <row r="768" spans="2:56">
      <c r="B768" s="156"/>
      <c r="F768" s="157"/>
      <c r="G768" s="2" t="s">
        <v>10</v>
      </c>
      <c r="H768" s="128">
        <f ca="1">IF(G748&gt;=5,H751,H765)</f>
        <v>8888</v>
      </c>
      <c r="I768" s="139">
        <f ca="1">IF(G748&gt;=5,I767-P741,I765)</f>
        <v>8887.5</v>
      </c>
      <c r="AD768" s="157"/>
      <c r="AE768" s="2" t="s">
        <v>10</v>
      </c>
      <c r="AF768" s="128">
        <f ca="1">IF($AE748,H768,AF754)</f>
        <v>8888</v>
      </c>
      <c r="AG768" s="129">
        <f ca="1">IF($AE748,I768,AG754)</f>
        <v>8887.5</v>
      </c>
      <c r="BD768" s="157"/>
    </row>
    <row r="769" spans="2:56">
      <c r="B769" s="156"/>
      <c r="F769" s="157"/>
      <c r="G769" s="2" t="s">
        <v>161</v>
      </c>
      <c r="H769" s="188">
        <f ca="1">IF(G748&gt;=5,H750,H765)</f>
        <v>8888</v>
      </c>
      <c r="I769" s="189">
        <f ca="1">IF(G748&gt;=5,I768,I765)</f>
        <v>8887.5</v>
      </c>
      <c r="AD769" s="157"/>
      <c r="AE769" s="2" t="s">
        <v>161</v>
      </c>
      <c r="AF769" s="188">
        <f ca="1">IF($AE748,H769,AF754)</f>
        <v>8888</v>
      </c>
      <c r="AG769" s="196">
        <f ca="1">IF($AE748,I769,AG754)</f>
        <v>8887.5</v>
      </c>
      <c r="BD769" s="157"/>
    </row>
    <row r="770" spans="2:56">
      <c r="B770" s="156"/>
      <c r="F770" s="157"/>
      <c r="G770" s="192" t="s">
        <v>11</v>
      </c>
      <c r="H770" s="128">
        <f ca="1">IF(G748&gt;=6,H750,H769)</f>
        <v>8888</v>
      </c>
      <c r="I770" s="139">
        <f ca="1">IF(G748&gt;=6,I769-P743,I769)</f>
        <v>8887.5</v>
      </c>
      <c r="AD770" s="157"/>
      <c r="AE770" s="192" t="s">
        <v>11</v>
      </c>
      <c r="AF770" s="128">
        <f ca="1">IF($AE748,H770,AF754)</f>
        <v>8888</v>
      </c>
      <c r="AG770" s="129">
        <f ca="1">IF($AE748,I770,AG754)</f>
        <v>8887.5</v>
      </c>
      <c r="BD770" s="157"/>
    </row>
    <row r="771" spans="2:56">
      <c r="B771" s="156"/>
      <c r="F771" s="157"/>
      <c r="G771" s="2" t="s">
        <v>12</v>
      </c>
      <c r="H771" s="128">
        <f ca="1">IF(G748&gt;=6,H751,H769)</f>
        <v>8888</v>
      </c>
      <c r="I771" s="139">
        <f ca="1">IF(G748&gt;=6,I770,I769)</f>
        <v>8887.5</v>
      </c>
      <c r="AD771" s="157"/>
      <c r="AE771" s="2" t="s">
        <v>12</v>
      </c>
      <c r="AF771" s="128">
        <f ca="1">IF($AE748,H771,AF754)</f>
        <v>8888</v>
      </c>
      <c r="AG771" s="129">
        <f ca="1">IF($AE748,I771,AG754)</f>
        <v>8887.5</v>
      </c>
      <c r="BD771" s="157"/>
    </row>
    <row r="772" spans="2:56">
      <c r="B772" s="156"/>
      <c r="F772" s="157"/>
      <c r="G772" s="2" t="s">
        <v>13</v>
      </c>
      <c r="H772" s="128">
        <f ca="1">IF(G748&gt;=6,H751,H769)</f>
        <v>8888</v>
      </c>
      <c r="I772" s="139">
        <f ca="1">IF(G748&gt;=6,I771-P741,I769)</f>
        <v>8887.5</v>
      </c>
      <c r="AD772" s="157"/>
      <c r="AE772" s="2" t="s">
        <v>13</v>
      </c>
      <c r="AF772" s="128">
        <f ca="1">IF($AE748,H772,AF754)</f>
        <v>8888</v>
      </c>
      <c r="AG772" s="129">
        <f ca="1">IF($AE748,I772,AG754)</f>
        <v>8887.5</v>
      </c>
      <c r="BD772" s="157"/>
    </row>
    <row r="773" spans="2:56">
      <c r="B773" s="156"/>
      <c r="F773" s="157"/>
      <c r="G773" s="115" t="s">
        <v>14</v>
      </c>
      <c r="H773" s="188">
        <f ca="1">IF(G748&gt;=6,H750,H769)</f>
        <v>8888</v>
      </c>
      <c r="I773" s="189">
        <f ca="1">IF(G748&gt;=6,I772,I769)</f>
        <v>8887.5</v>
      </c>
      <c r="AD773" s="157"/>
      <c r="AE773" s="115" t="s">
        <v>14</v>
      </c>
      <c r="AF773" s="188">
        <f ca="1">IF($AE748,H773,AF754)</f>
        <v>8888</v>
      </c>
      <c r="AG773" s="196">
        <f ca="1">IF($AE748,I773,AG754)</f>
        <v>8887.5</v>
      </c>
      <c r="BD773" s="157"/>
    </row>
    <row r="774" spans="2:56" ht="15" thickBot="1">
      <c r="B774" s="156"/>
      <c r="G774" s="130" t="s">
        <v>396</v>
      </c>
      <c r="H774" s="130">
        <f ca="1">H750</f>
        <v>8888</v>
      </c>
      <c r="I774" s="140">
        <f ca="1">I750</f>
        <v>8888</v>
      </c>
      <c r="AE774" s="130" t="s">
        <v>396</v>
      </c>
      <c r="AF774" s="130">
        <f ca="1">IF($AE748,H774,AF754)</f>
        <v>8888</v>
      </c>
      <c r="AG774" s="132">
        <f ca="1">IF($AE748,I774,AG754)</f>
        <v>8888</v>
      </c>
      <c r="BD774" s="157"/>
    </row>
    <row r="775" spans="2:56">
      <c r="B775" s="156"/>
      <c r="BD775" s="157"/>
    </row>
    <row r="776" spans="2:56">
      <c r="B776" s="156"/>
      <c r="BD776" s="157"/>
    </row>
    <row r="777" spans="2:56">
      <c r="B777" s="156"/>
      <c r="C777" s="200" t="s">
        <v>336</v>
      </c>
      <c r="D777">
        <f>D741+1</f>
        <v>17</v>
      </c>
      <c r="G777" s="200" t="s">
        <v>638</v>
      </c>
      <c r="H777">
        <f ca="1">LOOKUP(D780,$C$191:$C$196,$D$191:$D$196)</f>
        <v>0</v>
      </c>
      <c r="K777" s="200" t="s">
        <v>644</v>
      </c>
      <c r="L777">
        <f ca="1">L741-H782</f>
        <v>-14.962000000000005</v>
      </c>
      <c r="O777" s="200" t="s">
        <v>404</v>
      </c>
      <c r="P777">
        <f ca="1">IF(D779=1,SEAT_w_cushion_FC,IF(D779=2,SEAT_w_cushion_BC,IF(D779=3,SEAT_w_cushion_YC,0)))</f>
        <v>0.5</v>
      </c>
      <c r="S777" s="200" t="s">
        <v>647</v>
      </c>
      <c r="T777">
        <f ca="1">LOOKUP(D780,$C$191:$C$196,$E$191:$E$196)</f>
        <v>0</v>
      </c>
      <c r="W777" t="s">
        <v>130</v>
      </c>
      <c r="X777" t="str">
        <f ca="1">OFFSET(Fuselage!$B$275,D777,5)</f>
        <v>None</v>
      </c>
      <c r="AN777" s="200" t="s">
        <v>135</v>
      </c>
      <c r="AO777">
        <f ca="1">MAX(0,H782-MAX(T777,T779,T781,P778)-X778)</f>
        <v>0.37000000000000005</v>
      </c>
      <c r="BD777" s="157"/>
    </row>
    <row r="778" spans="2:56">
      <c r="B778" s="156"/>
      <c r="C778" s="200" t="s">
        <v>200</v>
      </c>
      <c r="D778">
        <f ca="1">OFFSET(Fuselage!$B$275,D777,0)</f>
        <v>16</v>
      </c>
      <c r="G778" s="200" t="s">
        <v>639</v>
      </c>
      <c r="H778">
        <f ca="1">LOOKUP(D781,$C$191:$C$196,$D$191:$D$196)</f>
        <v>0</v>
      </c>
      <c r="O778" s="200" t="s">
        <v>535</v>
      </c>
      <c r="P778">
        <f ca="1">IF(D779=1,SEAT_length_FC,IF(D779=2,SEAT_length_BC,IF(D779=3,SEAT_length_YC,0)))</f>
        <v>0.43</v>
      </c>
      <c r="S778" s="200" t="s">
        <v>648</v>
      </c>
      <c r="T778">
        <f ca="1">LOOKUP(D780,$C$191:$C$196,$F$191:$F$196)</f>
        <v>0</v>
      </c>
      <c r="W778" t="s">
        <v>131</v>
      </c>
      <c r="X778">
        <f ca="1">LOOKUP(X777,$I$191:$I$198,$J$191:$J$198)</f>
        <v>0</v>
      </c>
      <c r="BD778" s="157"/>
    </row>
    <row r="779" spans="2:56">
      <c r="B779" s="156"/>
      <c r="C779" s="200" t="s">
        <v>337</v>
      </c>
      <c r="D779">
        <f ca="1">OFFSET(Fuselage!$B$275,D777,4)</f>
        <v>3</v>
      </c>
      <c r="G779" s="200" t="s">
        <v>309</v>
      </c>
      <c r="H779">
        <f ca="1">LOOKUP(D782,$C$191:$C$196,$D$191:$D$196)</f>
        <v>0</v>
      </c>
      <c r="K779" s="200" t="s">
        <v>645</v>
      </c>
      <c r="L779">
        <f ca="1">IF(D779=1,FUSELAGE_nseats_left_FC,IF(D779=2,FUSELAGE_nseats_left_BC,IF(D779=3,FUSELAGE_nseats_left_YC,0)))</f>
        <v>2</v>
      </c>
      <c r="O779" s="200" t="s">
        <v>405</v>
      </c>
      <c r="P779">
        <f ca="1">IF(D779=1,SEAT_w_armrest_FC,IF(D779=2,SEAT_w_armrest_BC,IF(D779=3,SEAT_w_armrest_YC,0)))</f>
        <v>0.06</v>
      </c>
      <c r="S779" s="200" t="s">
        <v>652</v>
      </c>
      <c r="T779">
        <f ca="1">LOOKUP(D781,$C$191:$C$196,$E$191:$E$196)</f>
        <v>0</v>
      </c>
      <c r="W779" s="200" t="s">
        <v>393</v>
      </c>
      <c r="X779" t="b">
        <f ca="1">IF(OFFSET(Fuselage!$B$275,D777,6)="YES",TRUE(),FALSE())</f>
        <v>0</v>
      </c>
      <c r="BD779" s="157"/>
    </row>
    <row r="780" spans="2:56">
      <c r="B780" s="156"/>
      <c r="C780" s="200" t="s">
        <v>640</v>
      </c>
      <c r="D780" t="str">
        <f ca="1">OFFSET(Fuselage!$B$275,D777,1)</f>
        <v>None</v>
      </c>
      <c r="G780" s="200" t="s">
        <v>132</v>
      </c>
      <c r="H780">
        <f ca="1">IF(D779=1,SEAT_pitch_FC,IF(D779=2,SEAT_pitch_BC,IF(D779=3,SEAT_pitch_YC,0)))</f>
        <v>0.8</v>
      </c>
      <c r="K780" s="200" t="s">
        <v>646</v>
      </c>
      <c r="L780">
        <f ca="1">IF(D779=1,FUSELAGE_nseats_middle_FC,IF(D779=2,FUSELAGE_nseats_middle_BC,IF(D779=3,FUSELAGE_nseats_middle_YC,0)))</f>
        <v>0</v>
      </c>
      <c r="S780" s="200" t="s">
        <v>653</v>
      </c>
      <c r="T780">
        <f ca="1">LOOKUP(D781,$C$191:$C$196,$F$191:$F$196)</f>
        <v>0</v>
      </c>
      <c r="BD780" s="157"/>
    </row>
    <row r="781" spans="2:56">
      <c r="B781" s="156"/>
      <c r="C781" s="200" t="s">
        <v>642</v>
      </c>
      <c r="D781" t="str">
        <f ca="1">OFFSET(Fuselage!$B$275,D777,2)</f>
        <v>None</v>
      </c>
      <c r="G781" s="200" t="s">
        <v>129</v>
      </c>
      <c r="H781">
        <f ca="1">IF(OR(X777="Type A",X777="Type B"),MAX(H777:H780)+42*0.0254,IF(X777="Type C",MAX(H777:H780)+X778,IF(X777&lt;&gt;"None",24*0.0254,0)))</f>
        <v>0</v>
      </c>
      <c r="K781" s="200" t="s">
        <v>655</v>
      </c>
      <c r="L781">
        <f ca="1">IF(D779=1,FUSELAGE_nseats_right_FC,IF(D779=2,FUSELAGE_nseats_right_BC,IF(D779=3,FUSELAGE_nseats_right_YC,0)))</f>
        <v>2</v>
      </c>
      <c r="O781" s="200" t="s">
        <v>407</v>
      </c>
      <c r="P781">
        <f ca="1">($C$13-(L779+L780+L781)*(P777+P779)+(FUSELAGE_n_aisles-1)*P779)/FUSELAGE_n_aisles</f>
        <v>0.51999999999999957</v>
      </c>
      <c r="S781" s="200" t="s">
        <v>651</v>
      </c>
      <c r="T781">
        <f ca="1">LOOKUP(D782,$C$191:$C$196,$E$191:$E$196)</f>
        <v>0</v>
      </c>
      <c r="BD781" s="157"/>
    </row>
    <row r="782" spans="2:56">
      <c r="B782" s="156"/>
      <c r="C782" s="200" t="s">
        <v>641</v>
      </c>
      <c r="D782" t="str">
        <f ca="1">OFFSET(Fuselage!$B$275,D777,3)</f>
        <v>None</v>
      </c>
      <c r="G782" s="200" t="s">
        <v>643</v>
      </c>
      <c r="H782">
        <f ca="1">MAX(H777:H781)</f>
        <v>0.8</v>
      </c>
      <c r="S782" s="200" t="s">
        <v>654</v>
      </c>
      <c r="T782">
        <f ca="1">LOOKUP(D782,$C$191:$C$196,$F$191:$F$196)</f>
        <v>0</v>
      </c>
      <c r="BD782" s="157"/>
    </row>
    <row r="783" spans="2:56" ht="15" thickBot="1">
      <c r="B783" s="156"/>
      <c r="BD783" s="157"/>
    </row>
    <row r="784" spans="2:56" ht="15" thickBot="1">
      <c r="B784" s="156"/>
      <c r="C784" s="141">
        <f ca="1">L781</f>
        <v>2</v>
      </c>
      <c r="D784" s="197" t="str">
        <f ca="1">IF($D779=1,"FC",IF($D779=2,"BC",IF($D779=3,"YC","Nothing")))</f>
        <v>YC</v>
      </c>
      <c r="E784" s="198"/>
      <c r="G784" s="141">
        <f ca="1">L780</f>
        <v>0</v>
      </c>
      <c r="H784" s="197" t="str">
        <f ca="1">IF($D779=1,"FC",IF($D779=2,"BC",IF($D779=3,"YC","Nothing")))</f>
        <v>YC</v>
      </c>
      <c r="I784" s="198"/>
      <c r="K784" s="141">
        <f ca="1" xml:space="preserve"> L779</f>
        <v>2</v>
      </c>
      <c r="L784" s="197" t="str">
        <f ca="1">IF($D779=1,"FC",IF($D779=2,"BC",IF($D779=3,"YC","Nothing")))</f>
        <v>YC</v>
      </c>
      <c r="M784" s="198"/>
      <c r="O784" s="141">
        <f ca="1">IF($D782&lt;&gt;"None",1,0)</f>
        <v>0</v>
      </c>
      <c r="P784" s="326" t="s">
        <v>380</v>
      </c>
      <c r="Q784" s="327"/>
      <c r="S784" s="141">
        <f ca="1">IF($D781&lt;&gt;"None",1,0)</f>
        <v>0</v>
      </c>
      <c r="T784" s="326" t="s">
        <v>381</v>
      </c>
      <c r="U784" s="327"/>
      <c r="W784" s="141">
        <f ca="1">IF($D780&lt;&gt;"None",1,0)</f>
        <v>0</v>
      </c>
      <c r="X784" s="326" t="s">
        <v>382</v>
      </c>
      <c r="Y784" s="327"/>
      <c r="AA784" s="141">
        <f ca="1">IF($D782="None",1,0)</f>
        <v>1</v>
      </c>
      <c r="AB784" s="326" t="str">
        <f ca="1">IF(AA784,D784,$D782)</f>
        <v>YC</v>
      </c>
      <c r="AC784" s="327"/>
      <c r="AE784" s="141">
        <f ca="1">IF($D781="None",1,0)</f>
        <v>1</v>
      </c>
      <c r="AF784" s="326" t="str">
        <f ca="1">IF(AE784,H784,$D781)</f>
        <v>YC</v>
      </c>
      <c r="AG784" s="327"/>
      <c r="AI784" s="141">
        <f ca="1">IF($D780="None",1,0)</f>
        <v>1</v>
      </c>
      <c r="AJ784" s="326" t="str">
        <f ca="1">IF(AI784,L784,$D780)</f>
        <v>YC</v>
      </c>
      <c r="AK784" s="327"/>
      <c r="AM784" s="141">
        <f ca="1">IF($X777="None",0,1)</f>
        <v>0</v>
      </c>
      <c r="AN784" s="197" t="s">
        <v>133</v>
      </c>
      <c r="AO784" s="198"/>
      <c r="AQ784" s="141">
        <f ca="1">IF($X777="None",0,1)</f>
        <v>0</v>
      </c>
      <c r="AR784" s="197" t="s">
        <v>134</v>
      </c>
      <c r="AS784" s="198"/>
      <c r="BD784" s="157"/>
    </row>
    <row r="785" spans="2:56" ht="15" thickBot="1">
      <c r="B785" s="156"/>
      <c r="C785" s="136" t="s">
        <v>452</v>
      </c>
      <c r="D785" s="136" t="s">
        <v>384</v>
      </c>
      <c r="E785" s="138" t="s">
        <v>385</v>
      </c>
      <c r="G785" s="136" t="s">
        <v>452</v>
      </c>
      <c r="H785" s="136" t="s">
        <v>384</v>
      </c>
      <c r="I785" s="138" t="s">
        <v>385</v>
      </c>
      <c r="K785" s="193" t="s">
        <v>452</v>
      </c>
      <c r="L785" s="193" t="s">
        <v>384</v>
      </c>
      <c r="M785" s="194" t="s">
        <v>385</v>
      </c>
      <c r="O785" s="136" t="s">
        <v>452</v>
      </c>
      <c r="P785" s="136" t="s">
        <v>384</v>
      </c>
      <c r="Q785" s="138" t="s">
        <v>385</v>
      </c>
      <c r="S785" s="136" t="s">
        <v>452</v>
      </c>
      <c r="T785" s="136" t="s">
        <v>384</v>
      </c>
      <c r="U785" s="138" t="s">
        <v>385</v>
      </c>
      <c r="W785" s="136" t="s">
        <v>452</v>
      </c>
      <c r="X785" s="136" t="s">
        <v>384</v>
      </c>
      <c r="Y785" s="138" t="s">
        <v>385</v>
      </c>
      <c r="AA785" s="136" t="s">
        <v>452</v>
      </c>
      <c r="AB785" s="136" t="s">
        <v>384</v>
      </c>
      <c r="AC785" s="138" t="s">
        <v>385</v>
      </c>
      <c r="AE785" s="136" t="s">
        <v>452</v>
      </c>
      <c r="AF785" s="136" t="s">
        <v>384</v>
      </c>
      <c r="AG785" s="138" t="s">
        <v>385</v>
      </c>
      <c r="AI785" s="193" t="s">
        <v>452</v>
      </c>
      <c r="AJ785" s="193" t="s">
        <v>384</v>
      </c>
      <c r="AK785" s="194" t="s">
        <v>385</v>
      </c>
      <c r="AM785" s="193" t="s">
        <v>452</v>
      </c>
      <c r="AN785" s="193" t="s">
        <v>384</v>
      </c>
      <c r="AO785" s="194" t="s">
        <v>385</v>
      </c>
      <c r="AQ785" s="193" t="s">
        <v>452</v>
      </c>
      <c r="AR785" s="193" t="s">
        <v>384</v>
      </c>
      <c r="AS785" s="194" t="s">
        <v>385</v>
      </c>
      <c r="BD785" s="157"/>
    </row>
    <row r="786" spans="2:56">
      <c r="B786" s="156"/>
      <c r="C786" s="128" t="s">
        <v>396</v>
      </c>
      <c r="D786" s="158">
        <f ca="1">IF(C784&gt;=1,L777,8888)</f>
        <v>-14.962000000000005</v>
      </c>
      <c r="E786" s="160">
        <f ca="1">IF(C784&gt;=1,1/2*($C$13-P777-2*P779)+1/2*P777,8888)</f>
        <v>1.3199999999999998</v>
      </c>
      <c r="G786" s="128" t="s">
        <v>396</v>
      </c>
      <c r="H786" s="158">
        <f ca="1">IF(G784&gt;=1,L777,8888)</f>
        <v>8888</v>
      </c>
      <c r="I786" s="160">
        <f ca="1">IF(G784&gt;=1,E797-P781,8888)</f>
        <v>8888</v>
      </c>
      <c r="K786" s="128" t="s">
        <v>396</v>
      </c>
      <c r="L786" s="158">
        <f ca="1">IF(K784&gt;=1,L777,8888)</f>
        <v>-14.962000000000005</v>
      </c>
      <c r="M786" s="160">
        <f ca="1">IF(K784&gt;=1,IF(FUSELAGE_n_aisles=1,E797-P781,I809-P781),8888)</f>
        <v>-0.25999999999999979</v>
      </c>
      <c r="O786" s="128" t="s">
        <v>396</v>
      </c>
      <c r="P786" s="158">
        <f ca="1">IF(O784,$L777,8888)</f>
        <v>8888</v>
      </c>
      <c r="Q786" s="209">
        <f ca="1">IF(O784,FUSELAGE_y_position_of_left_seat_YC-(FUSELAGE_nseats_right_YC-1)*(SEAT_w_cushion_YC+SEAT_w_armrest_YC)/2+T782/2,8888)</f>
        <v>8888</v>
      </c>
      <c r="S786" s="128" t="s">
        <v>396</v>
      </c>
      <c r="T786" s="158">
        <f ca="1">IF(S784,$L777,8888)</f>
        <v>8888</v>
      </c>
      <c r="U786" s="160">
        <f ca="1">IF(S784,T780/2,8888)</f>
        <v>8888</v>
      </c>
      <c r="W786" s="128" t="s">
        <v>396</v>
      </c>
      <c r="X786" s="158">
        <f ca="1">IF(W784,$L777,8888)</f>
        <v>8888</v>
      </c>
      <c r="Y786" s="160">
        <f ca="1">IF(W784,-FUSELAGE_y_position_of_left_seat_YC+(FUSELAGE_nseats_left_YC-1)*(SEAT_w_cushion_YC+SEAT_w_armrest_YC)/2-T778/2,8888)</f>
        <v>8888</v>
      </c>
      <c r="AA786" s="128" t="s">
        <v>396</v>
      </c>
      <c r="AB786" s="158">
        <f ca="1">IF($AA784,D786,P786)</f>
        <v>-14.962000000000005</v>
      </c>
      <c r="AC786" s="174">
        <f ca="1">IF($AA784,E786,Q786)</f>
        <v>1.3199999999999998</v>
      </c>
      <c r="AE786" s="128" t="s">
        <v>396</v>
      </c>
      <c r="AF786" s="158">
        <f ca="1">IF($AE784,H786,T786)</f>
        <v>8888</v>
      </c>
      <c r="AG786" s="174">
        <f ca="1">IF($AE784,I786,U786)</f>
        <v>8888</v>
      </c>
      <c r="AI786" s="128" t="s">
        <v>396</v>
      </c>
      <c r="AJ786" s="158">
        <f ca="1">IF($AI784,L786,X786)</f>
        <v>-14.962000000000005</v>
      </c>
      <c r="AK786" s="174">
        <f ca="1">IF($AI784,M786,Y786)</f>
        <v>-0.25999999999999979</v>
      </c>
      <c r="AM786" s="128" t="s">
        <v>396</v>
      </c>
      <c r="AN786" s="158">
        <f ca="1">AN755</f>
        <v>-14.162000000000004</v>
      </c>
      <c r="AO786" s="174">
        <f ca="1">IF(AN786&gt;-Fuselage!$D$366,(FUSELAGE_a_ellipse)*SQRT(1-((AN786+Fuselage!$D$366)/(Fuselage!$K$364-FUSELAGE_t_fuselage))^2),IF(AN786&gt;$L$2505+Fuselage!$K$370,FUSELAGE_a_ellipse,(FUSELAGE_a_ellipse+FUSELAGE_t_fuselage-FUSELAGE_d_fo/4)/Fuselage!$K$368*(AN786-$L$2505-Fuselage!$K$370)+FUSELAGE_a_ellipse))</f>
        <v>1.4960570012328709</v>
      </c>
      <c r="AQ786" s="128" t="s">
        <v>396</v>
      </c>
      <c r="AR786" s="158">
        <f t="shared" ref="AR786:AR791" ca="1" si="98">AN786</f>
        <v>-14.162000000000004</v>
      </c>
      <c r="AS786" s="174">
        <f t="shared" ref="AS786:AS791" ca="1" si="99">-AO786</f>
        <v>-1.4960570012328709</v>
      </c>
      <c r="BD786" s="157"/>
    </row>
    <row r="787" spans="2:56">
      <c r="B787" s="156"/>
      <c r="C787" s="128" t="s">
        <v>213</v>
      </c>
      <c r="D787" s="128">
        <f ca="1">IF(X779,D786+P778/4,D786+P778)</f>
        <v>-14.532000000000005</v>
      </c>
      <c r="E787" s="139">
        <f ca="1">E786</f>
        <v>1.3199999999999998</v>
      </c>
      <c r="G787" s="128" t="s">
        <v>213</v>
      </c>
      <c r="H787" s="128">
        <f ca="1">H786+P778</f>
        <v>8888.43</v>
      </c>
      <c r="I787" s="139">
        <f ca="1">I786</f>
        <v>8888</v>
      </c>
      <c r="K787" s="128" t="s">
        <v>213</v>
      </c>
      <c r="L787" s="128">
        <f ca="1">IF(X779,IF(K784=1,L786+P778/4,L786+P778),L786+P778)</f>
        <v>-14.532000000000005</v>
      </c>
      <c r="M787" s="139">
        <f ca="1">M786</f>
        <v>-0.25999999999999979</v>
      </c>
      <c r="O787" s="128" t="s">
        <v>213</v>
      </c>
      <c r="P787" s="128">
        <f ca="1">P786+$T781</f>
        <v>8888</v>
      </c>
      <c r="Q787" s="139">
        <f ca="1">Q786</f>
        <v>8888</v>
      </c>
      <c r="S787" s="128" t="s">
        <v>213</v>
      </c>
      <c r="T787" s="128">
        <f ca="1">T786+$T779</f>
        <v>8888</v>
      </c>
      <c r="U787" s="139">
        <f ca="1">U786</f>
        <v>8888</v>
      </c>
      <c r="W787" s="128" t="s">
        <v>213</v>
      </c>
      <c r="X787" s="128">
        <f ca="1">X786+$T777</f>
        <v>8888</v>
      </c>
      <c r="Y787" s="139">
        <f ca="1">Y786</f>
        <v>8888</v>
      </c>
      <c r="AA787" s="143" t="s">
        <v>213</v>
      </c>
      <c r="AB787" s="128">
        <f ca="1">IF($AA784,D787,P787)</f>
        <v>-14.532000000000005</v>
      </c>
      <c r="AC787" s="129">
        <f ca="1">IF($AA784,E787,Q787)</f>
        <v>1.3199999999999998</v>
      </c>
      <c r="AE787" s="128" t="s">
        <v>213</v>
      </c>
      <c r="AF787" s="128">
        <f ca="1">IF($AE784,H787,T787)</f>
        <v>8888.43</v>
      </c>
      <c r="AG787" s="129">
        <f ca="1">IF($AE784,I787,U787)</f>
        <v>8888</v>
      </c>
      <c r="AI787" s="128" t="s">
        <v>213</v>
      </c>
      <c r="AJ787" s="128">
        <f ca="1">IF($AI784,L787,X787)</f>
        <v>-14.532000000000005</v>
      </c>
      <c r="AK787" s="129">
        <f ca="1">IF($AI784,M787,Y787)</f>
        <v>-0.25999999999999979</v>
      </c>
      <c r="AM787" s="128" t="s">
        <v>213</v>
      </c>
      <c r="AN787" s="128">
        <f ca="1">AN786-AO777/2</f>
        <v>-14.347000000000005</v>
      </c>
      <c r="AO787" s="129">
        <f ca="1">IF(AN787&gt;-Fuselage!$D$366,(FUSELAGE_a_ellipse)*SQRT(1-((AN787+Fuselage!$D$366)/(Fuselage!$K$364-FUSELAGE_t_fuselage))^2),IF(AN787&gt;$L$2505+Fuselage!$K$370,FUSELAGE_a_ellipse,(FUSELAGE_a_ellipse+FUSELAGE_t_fuselage-FUSELAGE_d_fo/4)/Fuselage!$K$368*(AN787-$L$2505-Fuselage!$K$370)+FUSELAGE_a_ellipse))</f>
        <v>1.4960570012328709</v>
      </c>
      <c r="AQ787" s="128" t="s">
        <v>213</v>
      </c>
      <c r="AR787" s="128">
        <f t="shared" ca="1" si="98"/>
        <v>-14.347000000000005</v>
      </c>
      <c r="AS787" s="129">
        <f t="shared" ca="1" si="99"/>
        <v>-1.4960570012328709</v>
      </c>
      <c r="BD787" s="157"/>
    </row>
    <row r="788" spans="2:56">
      <c r="B788" s="156"/>
      <c r="C788" s="128" t="s">
        <v>286</v>
      </c>
      <c r="D788" s="128">
        <f ca="1">D787</f>
        <v>-14.532000000000005</v>
      </c>
      <c r="E788" s="139">
        <f ca="1">E787-P777</f>
        <v>0.81999999999999984</v>
      </c>
      <c r="G788" s="128" t="s">
        <v>286</v>
      </c>
      <c r="H788" s="128">
        <f ca="1">H787</f>
        <v>8888.43</v>
      </c>
      <c r="I788" s="139">
        <f ca="1">I787-P777</f>
        <v>8887.5</v>
      </c>
      <c r="K788" s="128" t="s">
        <v>286</v>
      </c>
      <c r="L788" s="128">
        <f ca="1">L787</f>
        <v>-14.532000000000005</v>
      </c>
      <c r="M788" s="139">
        <f ca="1">M787-P777</f>
        <v>-0.75999999999999979</v>
      </c>
      <c r="O788" s="128" t="s">
        <v>286</v>
      </c>
      <c r="P788" s="128">
        <f ca="1">P787</f>
        <v>8888</v>
      </c>
      <c r="Q788" s="139">
        <f ca="1">Q787-$T782</f>
        <v>8888</v>
      </c>
      <c r="S788" s="128" t="s">
        <v>286</v>
      </c>
      <c r="T788" s="128">
        <f ca="1">T787</f>
        <v>8888</v>
      </c>
      <c r="U788" s="139">
        <f ca="1">U787-$T780</f>
        <v>8888</v>
      </c>
      <c r="W788" s="128" t="s">
        <v>286</v>
      </c>
      <c r="X788" s="128">
        <f ca="1">X787</f>
        <v>8888</v>
      </c>
      <c r="Y788" s="139">
        <f ca="1">Y787+$T778</f>
        <v>8888</v>
      </c>
      <c r="AA788" s="143" t="s">
        <v>286</v>
      </c>
      <c r="AB788" s="128">
        <f ca="1">IF($AA784,D788,P788)</f>
        <v>-14.532000000000005</v>
      </c>
      <c r="AC788" s="129">
        <f ca="1">IF($AA784,E788,Q788)</f>
        <v>0.81999999999999984</v>
      </c>
      <c r="AE788" s="128" t="s">
        <v>286</v>
      </c>
      <c r="AF788" s="128">
        <f ca="1">IF($AE784,H788,T788)</f>
        <v>8888.43</v>
      </c>
      <c r="AG788" s="129">
        <f ca="1">IF($AE784,I788,U788)</f>
        <v>8887.5</v>
      </c>
      <c r="AI788" s="128" t="s">
        <v>286</v>
      </c>
      <c r="AJ788" s="128">
        <f ca="1">IF($AI784,L788,X788)</f>
        <v>-14.532000000000005</v>
      </c>
      <c r="AK788" s="129">
        <f ca="1">IF($AI784,M788,Y788)</f>
        <v>-0.75999999999999979</v>
      </c>
      <c r="AM788" s="128" t="s">
        <v>286</v>
      </c>
      <c r="AN788" s="128">
        <f ca="1">AN787</f>
        <v>-14.347000000000005</v>
      </c>
      <c r="AO788" s="129">
        <f ca="1">IF(AN788&gt;-Fuselage!$D$366,IF(AM784,(FUSELAGE_a_ellipse+FUSELAGE_t_fuselage)*SQRT(1-((AN788+Fuselage!$D$366)/Fuselage!$K$364)^2),(FUSELAGE_a_ellipse)*SQRT(1-((AN788+Fuselage!$D$366)/Fuselage!$K$364)^2)),IF(AN788&gt;$L$2505+Fuselage!$K$370,(IF(AM784,FUSELAGE_a_ellipse+FUSELAGE_t_fuselage,FUSELAGE_a_ellipse)),IF(AM784,(FUSELAGE_a_ellipse+FUSELAGE_t_fuselage-FUSELAGE_d_fo/4)/Fuselage!$K$368*(AN788-$L$2505-Fuselage!$K$370)+FUSELAGE_a_ellipse+FUSELAGE_t_fuselage,(FUSELAGE_a_ellipse+FUSELAGE_t_fuselage-FUSELAGE_d_fo/4)/Fuselage!$K$368*(AN788-$L$2505-Fuselage!$K$370)+FUSELAGE_a_ellipse)))</f>
        <v>1.4960570012328709</v>
      </c>
      <c r="AQ788" s="128" t="s">
        <v>286</v>
      </c>
      <c r="AR788" s="128">
        <f t="shared" ca="1" si="98"/>
        <v>-14.347000000000005</v>
      </c>
      <c r="AS788" s="129">
        <f t="shared" ca="1" si="99"/>
        <v>-1.4960570012328709</v>
      </c>
      <c r="BD788" s="157"/>
    </row>
    <row r="789" spans="2:56">
      <c r="B789" s="156"/>
      <c r="C789" s="188" t="s">
        <v>522</v>
      </c>
      <c r="D789" s="188">
        <f ca="1">D786</f>
        <v>-14.962000000000005</v>
      </c>
      <c r="E789" s="189">
        <f ca="1">E788</f>
        <v>0.81999999999999984</v>
      </c>
      <c r="F789" s="157"/>
      <c r="G789" s="2" t="s">
        <v>522</v>
      </c>
      <c r="H789" s="128">
        <f ca="1">H786</f>
        <v>8888</v>
      </c>
      <c r="I789" s="139">
        <f ca="1">I788</f>
        <v>8887.5</v>
      </c>
      <c r="K789" s="128" t="s">
        <v>522</v>
      </c>
      <c r="L789" s="128">
        <f ca="1">L786</f>
        <v>-14.962000000000005</v>
      </c>
      <c r="M789" s="139">
        <f ca="1">M788</f>
        <v>-0.75999999999999979</v>
      </c>
      <c r="O789" s="188" t="s">
        <v>522</v>
      </c>
      <c r="P789" s="188">
        <f ca="1">P786</f>
        <v>8888</v>
      </c>
      <c r="Q789" s="189">
        <f ca="1">Q788</f>
        <v>8888</v>
      </c>
      <c r="S789" s="188" t="s">
        <v>522</v>
      </c>
      <c r="T789" s="188">
        <f ca="1">T786</f>
        <v>8888</v>
      </c>
      <c r="U789" s="189">
        <f ca="1">U788</f>
        <v>8888</v>
      </c>
      <c r="W789" s="188" t="s">
        <v>522</v>
      </c>
      <c r="X789" s="188">
        <f ca="1">X786</f>
        <v>8888</v>
      </c>
      <c r="Y789" s="189">
        <f ca="1">Y788</f>
        <v>8888</v>
      </c>
      <c r="AA789" s="195" t="s">
        <v>522</v>
      </c>
      <c r="AB789" s="128">
        <f ca="1">IF($AA784,D789,P789)</f>
        <v>-14.962000000000005</v>
      </c>
      <c r="AC789" s="129">
        <f ca="1">IF($AA784,E789,Q789)</f>
        <v>0.81999999999999984</v>
      </c>
      <c r="AD789" s="157"/>
      <c r="AE789" s="2" t="s">
        <v>522</v>
      </c>
      <c r="AF789" s="188">
        <f ca="1">IF($AE784,H789,T789)</f>
        <v>8888</v>
      </c>
      <c r="AG789" s="196">
        <f ca="1">IF($AE784,I789,U789)</f>
        <v>8887.5</v>
      </c>
      <c r="AI789" s="128" t="s">
        <v>522</v>
      </c>
      <c r="AJ789" s="188">
        <f ca="1">IF($AI784,L789,X789)</f>
        <v>-14.962000000000005</v>
      </c>
      <c r="AK789" s="196">
        <f ca="1">IF($AI784,M789,Y789)</f>
        <v>-0.75999999999999979</v>
      </c>
      <c r="AM789" s="128" t="s">
        <v>522</v>
      </c>
      <c r="AN789" s="128">
        <f ca="1">AN788-X778</f>
        <v>-14.347000000000005</v>
      </c>
      <c r="AO789" s="129">
        <f ca="1">IF(AN789&gt;-Fuselage!$D$366,IF(AM784,(FUSELAGE_a_ellipse+FUSELAGE_t_fuselage)*SQRT(1-((AN789+Fuselage!$D$366)/Fuselage!$K$364)^2),(FUSELAGE_a_ellipse)*SQRT(1-((AN789+Fuselage!$D$366)/Fuselage!$K$364)^2)),IF(AN789&gt;$L$2505+Fuselage!$K$370,(IF(AM784,FUSELAGE_a_ellipse+FUSELAGE_t_fuselage,FUSELAGE_a_ellipse)),IF(AM784,(FUSELAGE_a_ellipse+FUSELAGE_t_fuselage-FUSELAGE_d_fo/4)/Fuselage!$K$368*(AN789-$L$2505-Fuselage!$K$370)+FUSELAGE_a_ellipse+FUSELAGE_t_fuselage,(FUSELAGE_a_ellipse+FUSELAGE_t_fuselage-FUSELAGE_d_fo/4)/Fuselage!$K$368*(AN789-$L$2505-Fuselage!$K$370)+FUSELAGE_a_ellipse)))</f>
        <v>1.4960570012328709</v>
      </c>
      <c r="AQ789" s="128" t="s">
        <v>522</v>
      </c>
      <c r="AR789" s="128">
        <f t="shared" ca="1" si="98"/>
        <v>-14.347000000000005</v>
      </c>
      <c r="AS789" s="129">
        <f t="shared" ca="1" si="99"/>
        <v>-1.4960570012328709</v>
      </c>
      <c r="BD789" s="157"/>
    </row>
    <row r="790" spans="2:56" ht="15" thickBot="1">
      <c r="B790" s="156"/>
      <c r="C790" s="128" t="s">
        <v>49</v>
      </c>
      <c r="D790" s="128">
        <f ca="1">IF(C784&gt;=2,D786,D789)</f>
        <v>-14.962000000000005</v>
      </c>
      <c r="E790" s="139">
        <f ca="1">IF(C784&gt;=2,E789-P779,E789)</f>
        <v>0.75999999999999979</v>
      </c>
      <c r="F790" s="157"/>
      <c r="G790" s="192" t="s">
        <v>49</v>
      </c>
      <c r="H790" s="190">
        <f ca="1">IF(G784&gt;=2,H786,H789)</f>
        <v>8888</v>
      </c>
      <c r="I790" s="191">
        <f ca="1">IF(G784&gt;=2,I789-P779,I789)</f>
        <v>8887.5</v>
      </c>
      <c r="K790" s="190" t="s">
        <v>49</v>
      </c>
      <c r="L790" s="190">
        <f ca="1">IF(K784&gt;=2,L786,L789)</f>
        <v>-14.962000000000005</v>
      </c>
      <c r="M790" s="191">
        <f ca="1">IF(K784&gt;=2,M789-P779,M789)</f>
        <v>-0.81999999999999984</v>
      </c>
      <c r="O790" s="130" t="s">
        <v>396</v>
      </c>
      <c r="P790" s="130">
        <f ca="1">P786</f>
        <v>8888</v>
      </c>
      <c r="Q790" s="140">
        <f ca="1">Q786</f>
        <v>8888</v>
      </c>
      <c r="S790" s="130" t="s">
        <v>396</v>
      </c>
      <c r="T790" s="130">
        <f ca="1">T786</f>
        <v>8888</v>
      </c>
      <c r="U790" s="140">
        <f ca="1">U786</f>
        <v>8888</v>
      </c>
      <c r="W790" s="130" t="s">
        <v>396</v>
      </c>
      <c r="X790" s="130">
        <f ca="1">X786</f>
        <v>8888</v>
      </c>
      <c r="Y790" s="140">
        <f ca="1">Y786</f>
        <v>8888</v>
      </c>
      <c r="AA790" s="143" t="s">
        <v>49</v>
      </c>
      <c r="AB790" s="128">
        <f ca="1">IF($AA784,D790,P790)</f>
        <v>-14.962000000000005</v>
      </c>
      <c r="AC790" s="129">
        <f ca="1">IF($AA784,E790,Q790)</f>
        <v>0.75999999999999979</v>
      </c>
      <c r="AD790" s="157"/>
      <c r="AE790" s="192" t="s">
        <v>49</v>
      </c>
      <c r="AF790" s="128">
        <f ca="1">IF($AE784,H790,T790)</f>
        <v>8888</v>
      </c>
      <c r="AG790" s="129">
        <f ca="1">IF($AE784,I790,U790)</f>
        <v>8887.5</v>
      </c>
      <c r="AI790" s="190" t="s">
        <v>49</v>
      </c>
      <c r="AJ790" s="128">
        <f ca="1">IF($AI784,L790,X790)</f>
        <v>-14.962000000000005</v>
      </c>
      <c r="AK790" s="129">
        <f ca="1">IF($AI784,M790,Y790)</f>
        <v>-0.81999999999999984</v>
      </c>
      <c r="AM790" s="128" t="s">
        <v>49</v>
      </c>
      <c r="AN790" s="128">
        <f ca="1">AN789</f>
        <v>-14.347000000000005</v>
      </c>
      <c r="AO790" s="129">
        <f ca="1">IF(AN790&gt;-Fuselage!$D$366,(FUSELAGE_a_ellipse)*SQRT(1-((AN790+Fuselage!$D$366)/(Fuselage!$K$364-FUSELAGE_t_fuselage))^2),IF(AN790&gt;$L$2505+Fuselage!$K$370,FUSELAGE_a_ellipse,(FUSELAGE_a_ellipse+FUSELAGE_t_fuselage-FUSELAGE_d_fo/4)/Fuselage!$K$368*(AN790-$L$2505-Fuselage!$K$370)+FUSELAGE_a_ellipse))</f>
        <v>1.4960570012328709</v>
      </c>
      <c r="AQ790" s="128" t="s">
        <v>49</v>
      </c>
      <c r="AR790" s="128">
        <f t="shared" ca="1" si="98"/>
        <v>-14.347000000000005</v>
      </c>
      <c r="AS790" s="129">
        <f t="shared" ca="1" si="99"/>
        <v>-1.4960570012328709</v>
      </c>
      <c r="BD790" s="157"/>
    </row>
    <row r="791" spans="2:56">
      <c r="B791" s="156"/>
      <c r="C791" s="128" t="s">
        <v>453</v>
      </c>
      <c r="D791" s="128">
        <f ca="1">IF(C784&gt;=2,D786+P778,D789)</f>
        <v>-14.532000000000005</v>
      </c>
      <c r="E791" s="139">
        <f ca="1">E790</f>
        <v>0.75999999999999979</v>
      </c>
      <c r="F791" s="157"/>
      <c r="G791" s="2" t="s">
        <v>453</v>
      </c>
      <c r="H791" s="128">
        <f ca="1">IF(G784&gt;=2,H787,H789)</f>
        <v>8888</v>
      </c>
      <c r="I791" s="139">
        <f ca="1">IF(G784&gt;=2,I790,I789)</f>
        <v>8887.5</v>
      </c>
      <c r="K791" s="128" t="s">
        <v>453</v>
      </c>
      <c r="L791" s="128">
        <f ca="1">IF(K784&gt;=2,IF(X779,IF(K784=2,L786+P778/4,L786+P778),L786+P778),L789)</f>
        <v>-14.532000000000005</v>
      </c>
      <c r="M791" s="139">
        <f ca="1">IF(K784&gt;=2,M790,M789)</f>
        <v>-0.81999999999999984</v>
      </c>
      <c r="AA791" s="143" t="s">
        <v>453</v>
      </c>
      <c r="AB791" s="128">
        <f ca="1">IF($AA784,D791,AB790)</f>
        <v>-14.532000000000005</v>
      </c>
      <c r="AC791" s="129">
        <f ca="1">IF($AA784,E791,AC790)</f>
        <v>0.75999999999999979</v>
      </c>
      <c r="AD791" s="157"/>
      <c r="AE791" s="2" t="s">
        <v>453</v>
      </c>
      <c r="AF791" s="128">
        <f ca="1">IF($AE784,H791,AF790)</f>
        <v>8888</v>
      </c>
      <c r="AG791" s="129">
        <f ca="1">IF($AE784,I791,AG790)</f>
        <v>8887.5</v>
      </c>
      <c r="AI791" s="128" t="s">
        <v>453</v>
      </c>
      <c r="AJ791" s="128">
        <f ca="1">IF($AI784,L791,AJ790)</f>
        <v>-14.532000000000005</v>
      </c>
      <c r="AK791" s="129">
        <f ca="1">IF($AI784,M791,AK790)</f>
        <v>-0.81999999999999984</v>
      </c>
      <c r="AM791" s="128" t="s">
        <v>453</v>
      </c>
      <c r="AN791" s="128">
        <f ca="1">L777</f>
        <v>-14.962000000000005</v>
      </c>
      <c r="AO791" s="129">
        <f ca="1">IF(AN791&gt;-Fuselage!$D$366,(FUSELAGE_a_ellipse)*SQRT(1-((AN791+Fuselage!$D$366)/(Fuselage!$K$364-FUSELAGE_t_fuselage))^2),IF(AN791&gt;$L$2505+Fuselage!$K$370,FUSELAGE_a_ellipse,(FUSELAGE_a_ellipse+FUSELAGE_t_fuselage-FUSELAGE_d_fo/4)/Fuselage!$K$368*(AN791-$L$2505-Fuselage!$K$370)+FUSELAGE_a_ellipse))</f>
        <v>1.4960570012328709</v>
      </c>
      <c r="AQ791" s="128" t="s">
        <v>453</v>
      </c>
      <c r="AR791" s="128">
        <f t="shared" ca="1" si="98"/>
        <v>-14.962000000000005</v>
      </c>
      <c r="AS791" s="129">
        <f t="shared" ca="1" si="99"/>
        <v>-1.4960570012328709</v>
      </c>
      <c r="BD791" s="157"/>
    </row>
    <row r="792" spans="2:56">
      <c r="B792" s="156"/>
      <c r="C792" s="128" t="s">
        <v>394</v>
      </c>
      <c r="D792" s="128">
        <f ca="1">IF(C784&gt;=2,D791,D789)</f>
        <v>-14.532000000000005</v>
      </c>
      <c r="E792" s="139">
        <f ca="1">IF(C784&gt;=2,E790-P777,E789)</f>
        <v>0.25999999999999979</v>
      </c>
      <c r="F792" s="157"/>
      <c r="G792" s="2" t="s">
        <v>394</v>
      </c>
      <c r="H792" s="128">
        <f ca="1">IF(G784&gt;=2,H787,H789)</f>
        <v>8888</v>
      </c>
      <c r="I792" s="139">
        <f ca="1">IF(G784&gt;=2,I791-P777,I789)</f>
        <v>8887.5</v>
      </c>
      <c r="K792" s="128" t="s">
        <v>394</v>
      </c>
      <c r="L792" s="128">
        <f ca="1">L791</f>
        <v>-14.532000000000005</v>
      </c>
      <c r="M792" s="139">
        <f ca="1">IF(K784&gt;=2,M791-P777,M789)</f>
        <v>-1.3199999999999998</v>
      </c>
      <c r="AA792" s="143" t="s">
        <v>394</v>
      </c>
      <c r="AB792" s="128">
        <f ca="1">IF($AA784,D792,AB790)</f>
        <v>-14.532000000000005</v>
      </c>
      <c r="AC792" s="129">
        <f ca="1">IF($AA784,E792,AC790)</f>
        <v>0.25999999999999979</v>
      </c>
      <c r="AD792" s="157"/>
      <c r="AE792" s="2" t="s">
        <v>394</v>
      </c>
      <c r="AF792" s="128">
        <f ca="1">IF($AE784,H792,AF790)</f>
        <v>8888</v>
      </c>
      <c r="AG792" s="129">
        <f ca="1">IF($AE784,I792,AG790)</f>
        <v>8887.5</v>
      </c>
      <c r="AI792" s="128" t="s">
        <v>394</v>
      </c>
      <c r="AJ792" s="128">
        <f ca="1">IF($AI784,L792,AJ790)</f>
        <v>-14.532000000000005</v>
      </c>
      <c r="AK792" s="129">
        <f ca="1">IF($AI784,M792,AK790)</f>
        <v>-1.3199999999999998</v>
      </c>
      <c r="BD792" s="157"/>
    </row>
    <row r="793" spans="2:56">
      <c r="B793" s="156"/>
      <c r="C793" s="188" t="s">
        <v>454</v>
      </c>
      <c r="D793" s="188">
        <f ca="1">IF(C784&gt;=2,D786,D789)</f>
        <v>-14.962000000000005</v>
      </c>
      <c r="E793" s="189">
        <f ca="1">E792</f>
        <v>0.25999999999999979</v>
      </c>
      <c r="F793" s="157"/>
      <c r="G793" s="115" t="s">
        <v>454</v>
      </c>
      <c r="H793" s="188">
        <f ca="1">IF(G784&gt;=2,H786,H789)</f>
        <v>8888</v>
      </c>
      <c r="I793" s="189">
        <f ca="1">IF(G784&gt;=2,I792,I789)</f>
        <v>8887.5</v>
      </c>
      <c r="K793" s="188" t="s">
        <v>454</v>
      </c>
      <c r="L793" s="188">
        <f ca="1">IF(K784&gt;=2,L786,L789)</f>
        <v>-14.962000000000005</v>
      </c>
      <c r="M793" s="189">
        <f ca="1">IF(K784&gt;=2,M792,M789)</f>
        <v>-1.3199999999999998</v>
      </c>
      <c r="AA793" s="195" t="s">
        <v>454</v>
      </c>
      <c r="AB793" s="128">
        <f ca="1">IF($AA784,D793,AB790)</f>
        <v>-14.962000000000005</v>
      </c>
      <c r="AC793" s="129">
        <f ca="1">IF($AA784,E793,AC790)</f>
        <v>0.25999999999999979</v>
      </c>
      <c r="AD793" s="157"/>
      <c r="AE793" s="115" t="s">
        <v>454</v>
      </c>
      <c r="AF793" s="188">
        <f ca="1">IF($AE784,H793,AF790)</f>
        <v>8888</v>
      </c>
      <c r="AG793" s="196">
        <f ca="1">IF($AE784,I793,AG790)</f>
        <v>8887.5</v>
      </c>
      <c r="AI793" s="188" t="s">
        <v>454</v>
      </c>
      <c r="AJ793" s="188">
        <f ca="1">IF($AI784,L793,AJ790)</f>
        <v>-14.962000000000005</v>
      </c>
      <c r="AK793" s="196">
        <f ca="1">IF($AI784,M793,AK790)</f>
        <v>-1.3199999999999998</v>
      </c>
      <c r="BD793" s="157"/>
    </row>
    <row r="794" spans="2:56">
      <c r="B794" s="156"/>
      <c r="C794" s="128" t="s">
        <v>507</v>
      </c>
      <c r="D794" s="128">
        <f ca="1">IF(C784&gt;=3,D786,D793)</f>
        <v>-14.962000000000005</v>
      </c>
      <c r="E794" s="139">
        <f ca="1">IF(C784&gt;=3,E793-P779,E793)</f>
        <v>0.25999999999999979</v>
      </c>
      <c r="F794" s="157"/>
      <c r="G794" s="2" t="s">
        <v>507</v>
      </c>
      <c r="H794" s="128">
        <f ca="1">IF(G784&gt;=3,H786,H793)</f>
        <v>8888</v>
      </c>
      <c r="I794" s="139">
        <f ca="1">IF(G784&gt;=3,I793-P779,I793)</f>
        <v>8887.5</v>
      </c>
      <c r="K794" s="128" t="s">
        <v>507</v>
      </c>
      <c r="L794" s="128">
        <f ca="1">IF(K784&gt;=3,L786,L793)</f>
        <v>-14.962000000000005</v>
      </c>
      <c r="M794" s="139">
        <f ca="1">IF(K784&gt;=3,M793-P779,M793)</f>
        <v>-1.3199999999999998</v>
      </c>
      <c r="AA794" s="143" t="s">
        <v>507</v>
      </c>
      <c r="AB794" s="128">
        <f ca="1">IF($AA784,D794,AB790)</f>
        <v>-14.962000000000005</v>
      </c>
      <c r="AC794" s="129">
        <f ca="1">IF($AA784,E794,AC790)</f>
        <v>0.25999999999999979</v>
      </c>
      <c r="AD794" s="157"/>
      <c r="AE794" s="2" t="s">
        <v>507</v>
      </c>
      <c r="AF794" s="128">
        <f ca="1">IF($AE784,H794,AF790)</f>
        <v>8888</v>
      </c>
      <c r="AG794" s="129">
        <f ca="1">IF($AE784,I794,AG790)</f>
        <v>8887.5</v>
      </c>
      <c r="AI794" s="128" t="s">
        <v>507</v>
      </c>
      <c r="AJ794" s="128">
        <f ca="1">IF($AI784,L794,AJ790)</f>
        <v>-14.962000000000005</v>
      </c>
      <c r="AK794" s="129">
        <f ca="1">IF($AI784,M794,AK790)</f>
        <v>-1.3199999999999998</v>
      </c>
      <c r="BD794" s="157"/>
    </row>
    <row r="795" spans="2:56">
      <c r="B795" s="156"/>
      <c r="C795" s="128" t="s">
        <v>455</v>
      </c>
      <c r="D795" s="128">
        <f ca="1">IF(C784&gt;=3,D791,D793)</f>
        <v>-14.962000000000005</v>
      </c>
      <c r="E795" s="139">
        <f ca="1">E794</f>
        <v>0.25999999999999979</v>
      </c>
      <c r="F795" s="157"/>
      <c r="G795" s="2" t="s">
        <v>455</v>
      </c>
      <c r="H795" s="128">
        <f ca="1">IF(G784&gt;=3,H787,H793)</f>
        <v>8888</v>
      </c>
      <c r="I795" s="139">
        <f ca="1">IF(G784&gt;=3,I794,I793)</f>
        <v>8887.5</v>
      </c>
      <c r="K795" s="128" t="s">
        <v>455</v>
      </c>
      <c r="L795" s="128">
        <f ca="1">IF(K784&gt;=3,IF(X779,IF(K784=3,L786+P778/4,L786+P778),L786+P778),L789)</f>
        <v>-14.962000000000005</v>
      </c>
      <c r="M795" s="139">
        <f ca="1">IF(K784&gt;=3,M794,M793)</f>
        <v>-1.3199999999999998</v>
      </c>
      <c r="AA795" s="143" t="s">
        <v>455</v>
      </c>
      <c r="AB795" s="128">
        <f ca="1">IF($AA784,D795,AB790)</f>
        <v>-14.962000000000005</v>
      </c>
      <c r="AC795" s="129">
        <f ca="1">IF($AA784,E795,AC790)</f>
        <v>0.25999999999999979</v>
      </c>
      <c r="AD795" s="157"/>
      <c r="AE795" s="2" t="s">
        <v>455</v>
      </c>
      <c r="AF795" s="128">
        <f ca="1">IF($AE784,H795,AF790)</f>
        <v>8888</v>
      </c>
      <c r="AG795" s="129">
        <f ca="1">IF($AE784,I795,AG790)</f>
        <v>8887.5</v>
      </c>
      <c r="AI795" s="128" t="s">
        <v>455</v>
      </c>
      <c r="AJ795" s="128">
        <f ca="1">IF($AI784,L795,AJ790)</f>
        <v>-14.962000000000005</v>
      </c>
      <c r="AK795" s="129">
        <f ca="1">IF($AI784,M795,AK790)</f>
        <v>-1.3199999999999998</v>
      </c>
      <c r="AL795" s="156"/>
      <c r="BD795" s="157"/>
    </row>
    <row r="796" spans="2:56">
      <c r="B796" s="156"/>
      <c r="C796" s="128" t="s">
        <v>311</v>
      </c>
      <c r="D796" s="128">
        <f ca="1">IF(C784&gt;=3,D791,D793)</f>
        <v>-14.962000000000005</v>
      </c>
      <c r="E796" s="139">
        <f ca="1">IF(C784&gt;=3,E795-P777,E793)</f>
        <v>0.25999999999999979</v>
      </c>
      <c r="F796" s="157"/>
      <c r="G796" s="2" t="s">
        <v>311</v>
      </c>
      <c r="H796" s="128">
        <f ca="1">IF(G784&gt;=3,H787,H793)</f>
        <v>8888</v>
      </c>
      <c r="I796" s="139">
        <f ca="1">IF(G784&gt;=3,I795-P777,I793)</f>
        <v>8887.5</v>
      </c>
      <c r="K796" s="128" t="s">
        <v>311</v>
      </c>
      <c r="L796" s="128">
        <f ca="1">L795</f>
        <v>-14.962000000000005</v>
      </c>
      <c r="M796" s="139">
        <f ca="1">IF(K784&gt;=3,M795-P777,M793)</f>
        <v>-1.3199999999999998</v>
      </c>
      <c r="AA796" s="143" t="s">
        <v>311</v>
      </c>
      <c r="AB796" s="128">
        <f ca="1">IF($AA784,D796,AB790)</f>
        <v>-14.962000000000005</v>
      </c>
      <c r="AC796" s="129">
        <f ca="1">IF($AA784,E796,AC790)</f>
        <v>0.25999999999999979</v>
      </c>
      <c r="AD796" s="157"/>
      <c r="AE796" s="2" t="s">
        <v>311</v>
      </c>
      <c r="AF796" s="128">
        <f ca="1">IF($AE784,H796,AF790)</f>
        <v>8888</v>
      </c>
      <c r="AG796" s="129">
        <f ca="1">IF($AE784,I796,AG790)</f>
        <v>8887.5</v>
      </c>
      <c r="AI796" s="128" t="s">
        <v>311</v>
      </c>
      <c r="AJ796" s="128">
        <f ca="1">IF($AI784,L796,AJ790)</f>
        <v>-14.962000000000005</v>
      </c>
      <c r="AK796" s="129">
        <f ca="1">IF($AI784,M796,AK790)</f>
        <v>-1.3199999999999998</v>
      </c>
      <c r="AL796" s="156"/>
      <c r="BD796" s="157"/>
    </row>
    <row r="797" spans="2:56">
      <c r="B797" s="156"/>
      <c r="C797" s="188" t="s">
        <v>35</v>
      </c>
      <c r="D797" s="188">
        <f ca="1">IF(C784&gt;=3,D786,D793)</f>
        <v>-14.962000000000005</v>
      </c>
      <c r="E797" s="189">
        <f ca="1">E796</f>
        <v>0.25999999999999979</v>
      </c>
      <c r="F797" s="157"/>
      <c r="G797" s="2" t="s">
        <v>35</v>
      </c>
      <c r="H797" s="188">
        <f ca="1">IF(G784&gt;=3,H786,H793)</f>
        <v>8888</v>
      </c>
      <c r="I797" s="189">
        <f ca="1">IF(G784&gt;=3,I796,I793)</f>
        <v>8887.5</v>
      </c>
      <c r="K797" s="188" t="s">
        <v>35</v>
      </c>
      <c r="L797" s="188">
        <f ca="1">IF(K784&gt;=3,L786,L793)</f>
        <v>-14.962000000000005</v>
      </c>
      <c r="M797" s="189">
        <f ca="1">IF(K784&gt;=3,M796,M793)</f>
        <v>-1.3199999999999998</v>
      </c>
      <c r="AA797" s="143" t="s">
        <v>35</v>
      </c>
      <c r="AB797" s="128">
        <f ca="1">IF($AA784,D797,AB790)</f>
        <v>-14.962000000000005</v>
      </c>
      <c r="AC797" s="129">
        <f ca="1">IF($AA784,E797,AC790)</f>
        <v>0.25999999999999979</v>
      </c>
      <c r="AD797" s="157"/>
      <c r="AE797" s="2" t="s">
        <v>35</v>
      </c>
      <c r="AF797" s="188">
        <f ca="1">IF($AE784,H797,AF790)</f>
        <v>8888</v>
      </c>
      <c r="AG797" s="196">
        <f ca="1">IF($AE784,I797,AG790)</f>
        <v>8887.5</v>
      </c>
      <c r="AI797" s="128" t="s">
        <v>35</v>
      </c>
      <c r="AJ797" s="128">
        <f ca="1">IF($AI784,L797,AJ790)</f>
        <v>-14.962000000000005</v>
      </c>
      <c r="AK797" s="129">
        <f ca="1">IF($AI784,M797,AK790)</f>
        <v>-1.3199999999999998</v>
      </c>
      <c r="AL797" s="156"/>
      <c r="BD797" s="157"/>
    </row>
    <row r="798" spans="2:56" ht="15" thickBot="1">
      <c r="B798" s="156"/>
      <c r="C798" s="130" t="s">
        <v>396</v>
      </c>
      <c r="D798" s="130">
        <f ca="1">D786</f>
        <v>-14.962000000000005</v>
      </c>
      <c r="E798" s="140">
        <f ca="1">E786</f>
        <v>1.3199999999999998</v>
      </c>
      <c r="F798" s="157"/>
      <c r="G798" s="192" t="s">
        <v>312</v>
      </c>
      <c r="H798" s="128">
        <f ca="1">IF(G784&gt;=4,H786,H797)</f>
        <v>8888</v>
      </c>
      <c r="I798" s="139">
        <f ca="1">IF(G784&gt;=4,I797-P779,I797)</f>
        <v>8887.5</v>
      </c>
      <c r="K798" s="130" t="s">
        <v>396</v>
      </c>
      <c r="L798" s="130">
        <f ca="1">L786</f>
        <v>-14.962000000000005</v>
      </c>
      <c r="M798" s="140">
        <f ca="1">M786</f>
        <v>-0.25999999999999979</v>
      </c>
      <c r="AA798" s="144" t="s">
        <v>396</v>
      </c>
      <c r="AB798" s="130">
        <f ca="1">IF($AA784,D798,AB790)</f>
        <v>-14.962000000000005</v>
      </c>
      <c r="AC798" s="132">
        <f ca="1">IF($AA784,E798,AC790)</f>
        <v>1.3199999999999998</v>
      </c>
      <c r="AD798" s="157"/>
      <c r="AE798" s="192" t="s">
        <v>312</v>
      </c>
      <c r="AF798" s="128">
        <f ca="1">IF($AE784,H798,AF790)</f>
        <v>8888</v>
      </c>
      <c r="AG798" s="129">
        <f ca="1">IF($AE784,I798,AG790)</f>
        <v>8887.5</v>
      </c>
      <c r="AI798" s="130" t="s">
        <v>396</v>
      </c>
      <c r="AJ798" s="130">
        <f ca="1">IF($AI784,L798,AJ790)</f>
        <v>-14.962000000000005</v>
      </c>
      <c r="AK798" s="132">
        <f ca="1">IF($AI784,M798,AK790)</f>
        <v>-0.25999999999999979</v>
      </c>
      <c r="BD798" s="157"/>
    </row>
    <row r="799" spans="2:56">
      <c r="B799" s="156"/>
      <c r="F799" s="157"/>
      <c r="G799" s="2" t="s">
        <v>313</v>
      </c>
      <c r="H799" s="128">
        <f ca="1">IF(G784&gt;=4,H787,H797)</f>
        <v>8888</v>
      </c>
      <c r="I799" s="139">
        <f ca="1">IF(G784&gt;=4,I798,I797)</f>
        <v>8887.5</v>
      </c>
      <c r="AD799" s="157"/>
      <c r="AE799" s="2" t="s">
        <v>313</v>
      </c>
      <c r="AF799" s="128">
        <f ca="1">IF($AE784,H799,AF790)</f>
        <v>8888</v>
      </c>
      <c r="AG799" s="129">
        <f ca="1">IF($AE784,I799,AG790)</f>
        <v>8887.5</v>
      </c>
      <c r="BD799" s="157"/>
    </row>
    <row r="800" spans="2:56">
      <c r="B800" s="156"/>
      <c r="F800" s="157"/>
      <c r="G800" s="2" t="s">
        <v>7</v>
      </c>
      <c r="H800" s="128">
        <f ca="1">IF(G784&gt;=4,H787,H797)</f>
        <v>8888</v>
      </c>
      <c r="I800" s="139">
        <f ca="1">IF(G784&gt;=4,I799-P777,I797)</f>
        <v>8887.5</v>
      </c>
      <c r="AD800" s="157"/>
      <c r="AE800" s="2" t="s">
        <v>7</v>
      </c>
      <c r="AF800" s="128">
        <f ca="1">IF($AE784,H800,AF790)</f>
        <v>8888</v>
      </c>
      <c r="AG800" s="129">
        <f ca="1">IF($AE784,I800,AG790)</f>
        <v>8887.5</v>
      </c>
      <c r="BD800" s="157"/>
    </row>
    <row r="801" spans="2:56">
      <c r="B801" s="156"/>
      <c r="F801" s="157"/>
      <c r="G801" s="115" t="s">
        <v>8</v>
      </c>
      <c r="H801" s="188">
        <f ca="1">IF(G784&gt;=4,H786,H797)</f>
        <v>8888</v>
      </c>
      <c r="I801" s="189">
        <f ca="1">IF(G784&gt;=4,I800,I797)</f>
        <v>8887.5</v>
      </c>
      <c r="AD801" s="157"/>
      <c r="AE801" s="115" t="s">
        <v>8</v>
      </c>
      <c r="AF801" s="188">
        <f ca="1">IF($AE784,H801,AF790)</f>
        <v>8888</v>
      </c>
      <c r="AG801" s="196">
        <f ca="1">IF($AE784,I801,AG790)</f>
        <v>8887.5</v>
      </c>
      <c r="BD801" s="157"/>
    </row>
    <row r="802" spans="2:56">
      <c r="B802" s="156"/>
      <c r="F802" s="157"/>
      <c r="G802" s="2" t="s">
        <v>9</v>
      </c>
      <c r="H802" s="128">
        <f ca="1">IF(G784&gt;=5,H786,H801)</f>
        <v>8888</v>
      </c>
      <c r="I802" s="139">
        <f ca="1">IF(G784&gt;=5,I801-P779,I801)</f>
        <v>8887.5</v>
      </c>
      <c r="AD802" s="157"/>
      <c r="AE802" s="2" t="s">
        <v>9</v>
      </c>
      <c r="AF802" s="128">
        <f ca="1">IF($AE784,H802,AF790)</f>
        <v>8888</v>
      </c>
      <c r="AG802" s="129">
        <f ca="1">IF($AE784,I802,AG790)</f>
        <v>8887.5</v>
      </c>
      <c r="BD802" s="157"/>
    </row>
    <row r="803" spans="2:56">
      <c r="B803" s="156"/>
      <c r="F803" s="157"/>
      <c r="G803" s="2" t="s">
        <v>196</v>
      </c>
      <c r="H803" s="128">
        <f ca="1">IF(G784&gt;=5,H787,H801)</f>
        <v>8888</v>
      </c>
      <c r="I803" s="139">
        <f ca="1">IF(G784&gt;=5,I802,I801)</f>
        <v>8887.5</v>
      </c>
      <c r="AD803" s="157"/>
      <c r="AE803" s="2" t="s">
        <v>196</v>
      </c>
      <c r="AF803" s="128">
        <f ca="1">IF($AE784,H803,AF790)</f>
        <v>8888</v>
      </c>
      <c r="AG803" s="129">
        <f ca="1">IF($AE784,I803,AG790)</f>
        <v>8887.5</v>
      </c>
      <c r="BD803" s="157"/>
    </row>
    <row r="804" spans="2:56">
      <c r="B804" s="156"/>
      <c r="F804" s="157"/>
      <c r="G804" s="2" t="s">
        <v>10</v>
      </c>
      <c r="H804" s="128">
        <f ca="1">IF(G784&gt;=5,H787,H801)</f>
        <v>8888</v>
      </c>
      <c r="I804" s="139">
        <f ca="1">IF(G784&gt;=5,I803-P777,I801)</f>
        <v>8887.5</v>
      </c>
      <c r="AD804" s="157"/>
      <c r="AE804" s="2" t="s">
        <v>10</v>
      </c>
      <c r="AF804" s="128">
        <f ca="1">IF($AE784,H804,AF790)</f>
        <v>8888</v>
      </c>
      <c r="AG804" s="129">
        <f ca="1">IF($AE784,I804,AG790)</f>
        <v>8887.5</v>
      </c>
      <c r="BD804" s="157"/>
    </row>
    <row r="805" spans="2:56">
      <c r="B805" s="156"/>
      <c r="F805" s="157"/>
      <c r="G805" s="2" t="s">
        <v>161</v>
      </c>
      <c r="H805" s="188">
        <f ca="1">IF(G784&gt;=5,H786,H801)</f>
        <v>8888</v>
      </c>
      <c r="I805" s="189">
        <f ca="1">IF(G784&gt;=5,I804,I801)</f>
        <v>8887.5</v>
      </c>
      <c r="AD805" s="157"/>
      <c r="AE805" s="2" t="s">
        <v>161</v>
      </c>
      <c r="AF805" s="188">
        <f ca="1">IF($AE784,H805,AF790)</f>
        <v>8888</v>
      </c>
      <c r="AG805" s="196">
        <f ca="1">IF($AE784,I805,AG790)</f>
        <v>8887.5</v>
      </c>
      <c r="BD805" s="157"/>
    </row>
    <row r="806" spans="2:56">
      <c r="B806" s="156"/>
      <c r="F806" s="157"/>
      <c r="G806" s="192" t="s">
        <v>11</v>
      </c>
      <c r="H806" s="128">
        <f ca="1">IF(G784&gt;=6,H786,H805)</f>
        <v>8888</v>
      </c>
      <c r="I806" s="139">
        <f ca="1">IF(G784&gt;=6,I805-P779,I805)</f>
        <v>8887.5</v>
      </c>
      <c r="AD806" s="157"/>
      <c r="AE806" s="192" t="s">
        <v>11</v>
      </c>
      <c r="AF806" s="128">
        <f ca="1">IF($AE784,H806,AF790)</f>
        <v>8888</v>
      </c>
      <c r="AG806" s="129">
        <f ca="1">IF($AE784,I806,AG790)</f>
        <v>8887.5</v>
      </c>
      <c r="BD806" s="157"/>
    </row>
    <row r="807" spans="2:56">
      <c r="B807" s="156"/>
      <c r="F807" s="157"/>
      <c r="G807" s="2" t="s">
        <v>12</v>
      </c>
      <c r="H807" s="128">
        <f ca="1">IF(G784&gt;=6,H787,H805)</f>
        <v>8888</v>
      </c>
      <c r="I807" s="139">
        <f ca="1">IF(G784&gt;=6,I806,I805)</f>
        <v>8887.5</v>
      </c>
      <c r="AD807" s="157"/>
      <c r="AE807" s="2" t="s">
        <v>12</v>
      </c>
      <c r="AF807" s="128">
        <f ca="1">IF($AE784,H807,AF790)</f>
        <v>8888</v>
      </c>
      <c r="AG807" s="129">
        <f ca="1">IF($AE784,I807,AG790)</f>
        <v>8887.5</v>
      </c>
      <c r="BD807" s="157"/>
    </row>
    <row r="808" spans="2:56">
      <c r="B808" s="156"/>
      <c r="F808" s="157"/>
      <c r="G808" s="2" t="s">
        <v>13</v>
      </c>
      <c r="H808" s="128">
        <f ca="1">IF(G784&gt;=6,H787,H805)</f>
        <v>8888</v>
      </c>
      <c r="I808" s="139">
        <f ca="1">IF(G784&gt;=6,I807-P777,I805)</f>
        <v>8887.5</v>
      </c>
      <c r="AD808" s="157"/>
      <c r="AE808" s="2" t="s">
        <v>13</v>
      </c>
      <c r="AF808" s="128">
        <f ca="1">IF($AE784,H808,AF790)</f>
        <v>8888</v>
      </c>
      <c r="AG808" s="129">
        <f ca="1">IF($AE784,I808,AG790)</f>
        <v>8887.5</v>
      </c>
      <c r="BD808" s="157"/>
    </row>
    <row r="809" spans="2:56">
      <c r="B809" s="156"/>
      <c r="F809" s="157"/>
      <c r="G809" s="115" t="s">
        <v>14</v>
      </c>
      <c r="H809" s="188">
        <f ca="1">IF(G784&gt;=6,H786,H805)</f>
        <v>8888</v>
      </c>
      <c r="I809" s="189">
        <f ca="1">IF(G784&gt;=6,I808,I805)</f>
        <v>8887.5</v>
      </c>
      <c r="AD809" s="157"/>
      <c r="AE809" s="115" t="s">
        <v>14</v>
      </c>
      <c r="AF809" s="188">
        <f ca="1">IF($AE784,H809,AF790)</f>
        <v>8888</v>
      </c>
      <c r="AG809" s="196">
        <f ca="1">IF($AE784,I809,AG790)</f>
        <v>8887.5</v>
      </c>
      <c r="BD809" s="157"/>
    </row>
    <row r="810" spans="2:56" ht="15" thickBot="1">
      <c r="B810" s="156"/>
      <c r="G810" s="130" t="s">
        <v>396</v>
      </c>
      <c r="H810" s="130">
        <f ca="1">H786</f>
        <v>8888</v>
      </c>
      <c r="I810" s="140">
        <f ca="1">I786</f>
        <v>8888</v>
      </c>
      <c r="AE810" s="130" t="s">
        <v>396</v>
      </c>
      <c r="AF810" s="130">
        <f ca="1">IF($AE784,H810,AF790)</f>
        <v>8888</v>
      </c>
      <c r="AG810" s="132">
        <f ca="1">IF($AE784,I810,AG790)</f>
        <v>8888</v>
      </c>
      <c r="BD810" s="157"/>
    </row>
    <row r="811" spans="2:56">
      <c r="B811" s="156"/>
      <c r="BD811" s="157"/>
    </row>
    <row r="812" spans="2:56">
      <c r="B812" s="156"/>
      <c r="BD812" s="157"/>
    </row>
    <row r="813" spans="2:56">
      <c r="B813" s="156"/>
      <c r="C813" s="200" t="s">
        <v>336</v>
      </c>
      <c r="D813">
        <f>D777+1</f>
        <v>18</v>
      </c>
      <c r="G813" s="200" t="s">
        <v>638</v>
      </c>
      <c r="H813">
        <f ca="1">LOOKUP(D816,$C$191:$C$196,$D$191:$D$196)</f>
        <v>0</v>
      </c>
      <c r="K813" s="200" t="s">
        <v>644</v>
      </c>
      <c r="L813">
        <f ca="1">L777-H818</f>
        <v>-15.762000000000006</v>
      </c>
      <c r="O813" s="200" t="s">
        <v>404</v>
      </c>
      <c r="P813">
        <f ca="1">IF(D815=1,SEAT_w_cushion_FC,IF(D815=2,SEAT_w_cushion_BC,IF(D815=3,SEAT_w_cushion_YC,0)))</f>
        <v>0.5</v>
      </c>
      <c r="S813" s="200" t="s">
        <v>647</v>
      </c>
      <c r="T813">
        <f ca="1">LOOKUP(D816,$C$191:$C$196,$E$191:$E$196)</f>
        <v>0</v>
      </c>
      <c r="W813" t="s">
        <v>130</v>
      </c>
      <c r="X813" t="str">
        <f ca="1">OFFSET(Fuselage!$B$275,D813,5)</f>
        <v>None</v>
      </c>
      <c r="AN813" s="200" t="s">
        <v>135</v>
      </c>
      <c r="AO813">
        <f ca="1">MAX(0,H818-MAX(T813,T815,T817,P814)-X814)</f>
        <v>0.37000000000000005</v>
      </c>
      <c r="BD813" s="157"/>
    </row>
    <row r="814" spans="2:56">
      <c r="B814" s="156"/>
      <c r="C814" s="200" t="s">
        <v>200</v>
      </c>
      <c r="D814">
        <f ca="1">OFFSET(Fuselage!$B$275,D813,0)</f>
        <v>17</v>
      </c>
      <c r="G814" s="200" t="s">
        <v>639</v>
      </c>
      <c r="H814">
        <f ca="1">LOOKUP(D817,$C$191:$C$196,$D$191:$D$196)</f>
        <v>0</v>
      </c>
      <c r="O814" s="200" t="s">
        <v>535</v>
      </c>
      <c r="P814">
        <f ca="1">IF(D815=1,SEAT_length_FC,IF(D815=2,SEAT_length_BC,IF(D815=3,SEAT_length_YC,0)))</f>
        <v>0.43</v>
      </c>
      <c r="S814" s="200" t="s">
        <v>648</v>
      </c>
      <c r="T814">
        <f ca="1">LOOKUP(D816,$C$191:$C$196,$F$191:$F$196)</f>
        <v>0</v>
      </c>
      <c r="W814" t="s">
        <v>131</v>
      </c>
      <c r="X814">
        <f ca="1">LOOKUP(X813,$I$191:$I$198,$J$191:$J$198)</f>
        <v>0</v>
      </c>
      <c r="BD814" s="157"/>
    </row>
    <row r="815" spans="2:56">
      <c r="B815" s="156"/>
      <c r="C815" s="200" t="s">
        <v>337</v>
      </c>
      <c r="D815">
        <f ca="1">OFFSET(Fuselage!$B$275,D813,4)</f>
        <v>3</v>
      </c>
      <c r="G815" s="200" t="s">
        <v>309</v>
      </c>
      <c r="H815">
        <f ca="1">LOOKUP(D818,$C$191:$C$196,$D$191:$D$196)</f>
        <v>0</v>
      </c>
      <c r="K815" s="200" t="s">
        <v>645</v>
      </c>
      <c r="L815">
        <f ca="1">IF(D815=1,FUSELAGE_nseats_left_FC,IF(D815=2,FUSELAGE_nseats_left_BC,IF(D815=3,FUSELAGE_nseats_left_YC,0)))</f>
        <v>2</v>
      </c>
      <c r="O815" s="200" t="s">
        <v>405</v>
      </c>
      <c r="P815">
        <f ca="1">IF(D815=1,SEAT_w_armrest_FC,IF(D815=2,SEAT_w_armrest_BC,IF(D815=3,SEAT_w_armrest_YC,0)))</f>
        <v>0.06</v>
      </c>
      <c r="S815" s="200" t="s">
        <v>652</v>
      </c>
      <c r="T815">
        <f ca="1">LOOKUP(D817,$C$191:$C$196,$E$191:$E$196)</f>
        <v>0</v>
      </c>
      <c r="W815" s="200" t="s">
        <v>393</v>
      </c>
      <c r="X815" t="b">
        <f ca="1">IF(OFFSET(Fuselage!$B$275,D813,6)="YES",TRUE(),FALSE())</f>
        <v>0</v>
      </c>
      <c r="BD815" s="157"/>
    </row>
    <row r="816" spans="2:56">
      <c r="B816" s="156"/>
      <c r="C816" s="200" t="s">
        <v>640</v>
      </c>
      <c r="D816" t="str">
        <f ca="1">OFFSET(Fuselage!$B$275,D813,1)</f>
        <v>None</v>
      </c>
      <c r="G816" s="200" t="s">
        <v>132</v>
      </c>
      <c r="H816">
        <f ca="1">IF(D815=1,SEAT_pitch_FC,IF(D815=2,SEAT_pitch_BC,IF(D815=3,SEAT_pitch_YC,0)))</f>
        <v>0.8</v>
      </c>
      <c r="K816" s="200" t="s">
        <v>646</v>
      </c>
      <c r="L816">
        <f ca="1">IF(D815=1,FUSELAGE_nseats_middle_FC,IF(D815=2,FUSELAGE_nseats_middle_BC,IF(D815=3,FUSELAGE_nseats_middle_YC,0)))</f>
        <v>0</v>
      </c>
      <c r="S816" s="200" t="s">
        <v>653</v>
      </c>
      <c r="T816">
        <f ca="1">LOOKUP(D817,$C$191:$C$196,$F$191:$F$196)</f>
        <v>0</v>
      </c>
      <c r="BD816" s="157"/>
    </row>
    <row r="817" spans="2:56">
      <c r="B817" s="156"/>
      <c r="C817" s="200" t="s">
        <v>642</v>
      </c>
      <c r="D817" t="str">
        <f ca="1">OFFSET(Fuselage!$B$275,D813,2)</f>
        <v>None</v>
      </c>
      <c r="G817" s="200" t="s">
        <v>129</v>
      </c>
      <c r="H817">
        <f ca="1">IF(OR(X813="Type A",X813="Type B"),MAX(H813:H816)+42*0.0254,IF(X813="Type C",MAX(H813:H816)+X814,IF(X813&lt;&gt;"None",24*0.0254,0)))</f>
        <v>0</v>
      </c>
      <c r="K817" s="200" t="s">
        <v>655</v>
      </c>
      <c r="L817">
        <f ca="1">IF(D815=1,FUSELAGE_nseats_right_FC,IF(D815=2,FUSELAGE_nseats_right_BC,IF(D815=3,FUSELAGE_nseats_right_YC,0)))</f>
        <v>2</v>
      </c>
      <c r="O817" s="200" t="s">
        <v>407</v>
      </c>
      <c r="P817">
        <f ca="1">($C$13-(L815+L816+L817)*(P813+P815)+(FUSELAGE_n_aisles-1)*P815)/FUSELAGE_n_aisles</f>
        <v>0.51999999999999957</v>
      </c>
      <c r="S817" s="200" t="s">
        <v>651</v>
      </c>
      <c r="T817">
        <f ca="1">LOOKUP(D818,$C$191:$C$196,$E$191:$E$196)</f>
        <v>0</v>
      </c>
      <c r="BD817" s="157"/>
    </row>
    <row r="818" spans="2:56">
      <c r="B818" s="156"/>
      <c r="C818" s="200" t="s">
        <v>641</v>
      </c>
      <c r="D818" t="str">
        <f ca="1">OFFSET(Fuselage!$B$275,D813,3)</f>
        <v>None</v>
      </c>
      <c r="G818" s="200" t="s">
        <v>643</v>
      </c>
      <c r="H818">
        <f ca="1">MAX(H813:H817)</f>
        <v>0.8</v>
      </c>
      <c r="S818" s="200" t="s">
        <v>654</v>
      </c>
      <c r="T818">
        <f ca="1">LOOKUP(D818,$C$191:$C$196,$F$191:$F$196)</f>
        <v>0</v>
      </c>
      <c r="BD818" s="157"/>
    </row>
    <row r="819" spans="2:56" ht="15" thickBot="1">
      <c r="B819" s="156"/>
      <c r="BD819" s="157"/>
    </row>
    <row r="820" spans="2:56" ht="15" thickBot="1">
      <c r="B820" s="156"/>
      <c r="C820" s="141">
        <f ca="1">L817</f>
        <v>2</v>
      </c>
      <c r="D820" s="197" t="str">
        <f ca="1">IF($D815=1,"FC",IF($D815=2,"BC",IF($D815=3,"YC","Nothing")))</f>
        <v>YC</v>
      </c>
      <c r="E820" s="198"/>
      <c r="G820" s="141">
        <f ca="1">L816</f>
        <v>0</v>
      </c>
      <c r="H820" s="197" t="str">
        <f ca="1">IF($D815=1,"FC",IF($D815=2,"BC",IF($D815=3,"YC","Nothing")))</f>
        <v>YC</v>
      </c>
      <c r="I820" s="198"/>
      <c r="K820" s="141">
        <f ca="1" xml:space="preserve"> L815</f>
        <v>2</v>
      </c>
      <c r="L820" s="197" t="str">
        <f ca="1">IF($D815=1,"FC",IF($D815=2,"BC",IF($D815=3,"YC","Nothing")))</f>
        <v>YC</v>
      </c>
      <c r="M820" s="198"/>
      <c r="O820" s="141">
        <f ca="1">IF($D818&lt;&gt;"None",1,0)</f>
        <v>0</v>
      </c>
      <c r="P820" s="326" t="s">
        <v>380</v>
      </c>
      <c r="Q820" s="327"/>
      <c r="S820" s="141">
        <f ca="1">IF($D817&lt;&gt;"None",1,0)</f>
        <v>0</v>
      </c>
      <c r="T820" s="326" t="s">
        <v>381</v>
      </c>
      <c r="U820" s="327"/>
      <c r="W820" s="141">
        <f ca="1">IF($D816&lt;&gt;"None",1,0)</f>
        <v>0</v>
      </c>
      <c r="X820" s="326" t="s">
        <v>382</v>
      </c>
      <c r="Y820" s="327"/>
      <c r="AA820" s="141">
        <f ca="1">IF($D818="None",1,0)</f>
        <v>1</v>
      </c>
      <c r="AB820" s="326" t="str">
        <f ca="1">IF(AA820,D820,$D818)</f>
        <v>YC</v>
      </c>
      <c r="AC820" s="327"/>
      <c r="AE820" s="141">
        <f ca="1">IF($D817="None",1,0)</f>
        <v>1</v>
      </c>
      <c r="AF820" s="326" t="str">
        <f ca="1">IF(AE820,H820,$D817)</f>
        <v>YC</v>
      </c>
      <c r="AG820" s="327"/>
      <c r="AI820" s="141">
        <f ca="1">IF($D816="None",1,0)</f>
        <v>1</v>
      </c>
      <c r="AJ820" s="326" t="str">
        <f ca="1">IF(AI820,L820,$D816)</f>
        <v>YC</v>
      </c>
      <c r="AK820" s="327"/>
      <c r="AM820" s="141">
        <f ca="1">IF($X813="None",0,1)</f>
        <v>0</v>
      </c>
      <c r="AN820" s="197" t="s">
        <v>133</v>
      </c>
      <c r="AO820" s="198"/>
      <c r="AQ820" s="141">
        <f ca="1">IF($X813="None",0,1)</f>
        <v>0</v>
      </c>
      <c r="AR820" s="197" t="s">
        <v>134</v>
      </c>
      <c r="AS820" s="198"/>
      <c r="BD820" s="157"/>
    </row>
    <row r="821" spans="2:56" ht="15" thickBot="1">
      <c r="B821" s="156"/>
      <c r="C821" s="136" t="s">
        <v>452</v>
      </c>
      <c r="D821" s="136" t="s">
        <v>384</v>
      </c>
      <c r="E821" s="138" t="s">
        <v>385</v>
      </c>
      <c r="G821" s="136" t="s">
        <v>452</v>
      </c>
      <c r="H821" s="136" t="s">
        <v>384</v>
      </c>
      <c r="I821" s="138" t="s">
        <v>385</v>
      </c>
      <c r="K821" s="193" t="s">
        <v>452</v>
      </c>
      <c r="L821" s="193" t="s">
        <v>384</v>
      </c>
      <c r="M821" s="194" t="s">
        <v>385</v>
      </c>
      <c r="O821" s="136" t="s">
        <v>452</v>
      </c>
      <c r="P821" s="136" t="s">
        <v>384</v>
      </c>
      <c r="Q821" s="138" t="s">
        <v>385</v>
      </c>
      <c r="S821" s="136" t="s">
        <v>452</v>
      </c>
      <c r="T821" s="136" t="s">
        <v>384</v>
      </c>
      <c r="U821" s="138" t="s">
        <v>385</v>
      </c>
      <c r="W821" s="136" t="s">
        <v>452</v>
      </c>
      <c r="X821" s="136" t="s">
        <v>384</v>
      </c>
      <c r="Y821" s="138" t="s">
        <v>385</v>
      </c>
      <c r="AA821" s="136" t="s">
        <v>452</v>
      </c>
      <c r="AB821" s="136" t="s">
        <v>384</v>
      </c>
      <c r="AC821" s="138" t="s">
        <v>385</v>
      </c>
      <c r="AE821" s="136" t="s">
        <v>452</v>
      </c>
      <c r="AF821" s="136" t="s">
        <v>384</v>
      </c>
      <c r="AG821" s="138" t="s">
        <v>385</v>
      </c>
      <c r="AI821" s="193" t="s">
        <v>452</v>
      </c>
      <c r="AJ821" s="193" t="s">
        <v>384</v>
      </c>
      <c r="AK821" s="194" t="s">
        <v>385</v>
      </c>
      <c r="AM821" s="193" t="s">
        <v>452</v>
      </c>
      <c r="AN821" s="193" t="s">
        <v>384</v>
      </c>
      <c r="AO821" s="194" t="s">
        <v>385</v>
      </c>
      <c r="AQ821" s="193" t="s">
        <v>452</v>
      </c>
      <c r="AR821" s="193" t="s">
        <v>384</v>
      </c>
      <c r="AS821" s="194" t="s">
        <v>385</v>
      </c>
      <c r="BD821" s="157"/>
    </row>
    <row r="822" spans="2:56">
      <c r="B822" s="156"/>
      <c r="C822" s="128" t="s">
        <v>396</v>
      </c>
      <c r="D822" s="158">
        <f ca="1">IF(C820&gt;=1,L813,8888)</f>
        <v>-15.762000000000006</v>
      </c>
      <c r="E822" s="160">
        <f ca="1">IF(C820&gt;=1,1/2*($C$13-P813-2*P815)+1/2*P813,8888)</f>
        <v>1.3199999999999998</v>
      </c>
      <c r="G822" s="128" t="s">
        <v>396</v>
      </c>
      <c r="H822" s="158">
        <f ca="1">IF(G820&gt;=1,L813,8888)</f>
        <v>8888</v>
      </c>
      <c r="I822" s="160">
        <f ca="1">IF(G820&gt;=1,E833-P817,8888)</f>
        <v>8888</v>
      </c>
      <c r="K822" s="128" t="s">
        <v>396</v>
      </c>
      <c r="L822" s="158">
        <f ca="1">IF(K820&gt;=1,L813,8888)</f>
        <v>-15.762000000000006</v>
      </c>
      <c r="M822" s="160">
        <f ca="1">IF(K820&gt;=1,IF(FUSELAGE_n_aisles=1,E833-P817,I845-P817),8888)</f>
        <v>-0.25999999999999979</v>
      </c>
      <c r="O822" s="128" t="s">
        <v>396</v>
      </c>
      <c r="P822" s="158">
        <f ca="1">IF(O820,$L813,8888)</f>
        <v>8888</v>
      </c>
      <c r="Q822" s="209">
        <f ca="1">IF(O820,FUSELAGE_y_position_of_left_seat_YC-(FUSELAGE_nseats_right_YC-1)*(SEAT_w_cushion_YC+SEAT_w_armrest_YC)/2+T818/2,8888)</f>
        <v>8888</v>
      </c>
      <c r="S822" s="128" t="s">
        <v>396</v>
      </c>
      <c r="T822" s="158">
        <f ca="1">IF(S820,$L813,8888)</f>
        <v>8888</v>
      </c>
      <c r="U822" s="160">
        <f ca="1">IF(S820,T816/2,8888)</f>
        <v>8888</v>
      </c>
      <c r="W822" s="128" t="s">
        <v>396</v>
      </c>
      <c r="X822" s="158">
        <f ca="1">IF(W820,$L813,8888)</f>
        <v>8888</v>
      </c>
      <c r="Y822" s="160">
        <f ca="1">IF(W820,-FUSELAGE_y_position_of_left_seat_YC+(FUSELAGE_nseats_left_YC-1)*(SEAT_w_cushion_YC+SEAT_w_armrest_YC)/2-T814/2,8888)</f>
        <v>8888</v>
      </c>
      <c r="AA822" s="128" t="s">
        <v>396</v>
      </c>
      <c r="AB822" s="158">
        <f ca="1">IF($AA820,D822,P822)</f>
        <v>-15.762000000000006</v>
      </c>
      <c r="AC822" s="174">
        <f ca="1">IF($AA820,E822,Q822)</f>
        <v>1.3199999999999998</v>
      </c>
      <c r="AE822" s="128" t="s">
        <v>396</v>
      </c>
      <c r="AF822" s="158">
        <f ca="1">IF($AE820,H822,T822)</f>
        <v>8888</v>
      </c>
      <c r="AG822" s="174">
        <f ca="1">IF($AE820,I822,U822)</f>
        <v>8888</v>
      </c>
      <c r="AI822" s="128" t="s">
        <v>396</v>
      </c>
      <c r="AJ822" s="158">
        <f ca="1">IF($AI820,L822,X822)</f>
        <v>-15.762000000000006</v>
      </c>
      <c r="AK822" s="174">
        <f ca="1">IF($AI820,M822,Y822)</f>
        <v>-0.25999999999999979</v>
      </c>
      <c r="AM822" s="128" t="s">
        <v>396</v>
      </c>
      <c r="AN822" s="158">
        <f ca="1">AN791</f>
        <v>-14.962000000000005</v>
      </c>
      <c r="AO822" s="174">
        <f ca="1">IF(AN822&gt;-Fuselage!$D$366,(FUSELAGE_a_ellipse)*SQRT(1-((AN822+Fuselage!$D$366)/(Fuselage!$K$364-FUSELAGE_t_fuselage))^2),IF(AN822&gt;$L$2505+Fuselage!$K$370,FUSELAGE_a_ellipse,(FUSELAGE_a_ellipse+FUSELAGE_t_fuselage-FUSELAGE_d_fo/4)/Fuselage!$K$368*(AN822-$L$2505-Fuselage!$K$370)+FUSELAGE_a_ellipse))</f>
        <v>1.4960570012328709</v>
      </c>
      <c r="AQ822" s="128" t="s">
        <v>396</v>
      </c>
      <c r="AR822" s="158">
        <f t="shared" ref="AR822:AR827" ca="1" si="100">AN822</f>
        <v>-14.962000000000005</v>
      </c>
      <c r="AS822" s="174">
        <f t="shared" ref="AS822:AS827" ca="1" si="101">-AO822</f>
        <v>-1.4960570012328709</v>
      </c>
      <c r="BD822" s="157"/>
    </row>
    <row r="823" spans="2:56">
      <c r="B823" s="156"/>
      <c r="C823" s="128" t="s">
        <v>213</v>
      </c>
      <c r="D823" s="128">
        <f ca="1">IF(X815,D822+P814/4,D822+P814)</f>
        <v>-15.332000000000006</v>
      </c>
      <c r="E823" s="139">
        <f ca="1">E822</f>
        <v>1.3199999999999998</v>
      </c>
      <c r="G823" s="128" t="s">
        <v>213</v>
      </c>
      <c r="H823" s="128">
        <f ca="1">H822+P814</f>
        <v>8888.43</v>
      </c>
      <c r="I823" s="139">
        <f ca="1">I822</f>
        <v>8888</v>
      </c>
      <c r="K823" s="128" t="s">
        <v>213</v>
      </c>
      <c r="L823" s="128">
        <f ca="1">IF(X815,IF(K820=1,L822+P814/4,L822+P814),L822+P814)</f>
        <v>-15.332000000000006</v>
      </c>
      <c r="M823" s="139">
        <f ca="1">M822</f>
        <v>-0.25999999999999979</v>
      </c>
      <c r="O823" s="128" t="s">
        <v>213</v>
      </c>
      <c r="P823" s="128">
        <f ca="1">P822+$T817</f>
        <v>8888</v>
      </c>
      <c r="Q823" s="139">
        <f ca="1">Q822</f>
        <v>8888</v>
      </c>
      <c r="S823" s="128" t="s">
        <v>213</v>
      </c>
      <c r="T823" s="128">
        <f ca="1">T822+$T815</f>
        <v>8888</v>
      </c>
      <c r="U823" s="139">
        <f ca="1">U822</f>
        <v>8888</v>
      </c>
      <c r="W823" s="128" t="s">
        <v>213</v>
      </c>
      <c r="X823" s="128">
        <f ca="1">X822+$T813</f>
        <v>8888</v>
      </c>
      <c r="Y823" s="139">
        <f ca="1">Y822</f>
        <v>8888</v>
      </c>
      <c r="AA823" s="143" t="s">
        <v>213</v>
      </c>
      <c r="AB823" s="128">
        <f ca="1">IF($AA820,D823,P823)</f>
        <v>-15.332000000000006</v>
      </c>
      <c r="AC823" s="129">
        <f ca="1">IF($AA820,E823,Q823)</f>
        <v>1.3199999999999998</v>
      </c>
      <c r="AE823" s="128" t="s">
        <v>213</v>
      </c>
      <c r="AF823" s="128">
        <f ca="1">IF($AE820,H823,T823)</f>
        <v>8888.43</v>
      </c>
      <c r="AG823" s="129">
        <f ca="1">IF($AE820,I823,U823)</f>
        <v>8888</v>
      </c>
      <c r="AI823" s="128" t="s">
        <v>213</v>
      </c>
      <c r="AJ823" s="128">
        <f ca="1">IF($AI820,L823,X823)</f>
        <v>-15.332000000000006</v>
      </c>
      <c r="AK823" s="129">
        <f ca="1">IF($AI820,M823,Y823)</f>
        <v>-0.25999999999999979</v>
      </c>
      <c r="AM823" s="128" t="s">
        <v>213</v>
      </c>
      <c r="AN823" s="128">
        <f ca="1">AN822-AO813/2</f>
        <v>-15.147000000000006</v>
      </c>
      <c r="AO823" s="129">
        <f ca="1">IF(AN823&gt;-Fuselage!$D$366,(FUSELAGE_a_ellipse)*SQRT(1-((AN823+Fuselage!$D$366)/(Fuselage!$K$364-FUSELAGE_t_fuselage))^2),IF(AN823&gt;$L$2505+Fuselage!$K$370,FUSELAGE_a_ellipse,(FUSELAGE_a_ellipse+FUSELAGE_t_fuselage-FUSELAGE_d_fo/4)/Fuselage!$K$368*(AN823-$L$2505-Fuselage!$K$370)+FUSELAGE_a_ellipse))</f>
        <v>1.4960570012328709</v>
      </c>
      <c r="AQ823" s="128" t="s">
        <v>213</v>
      </c>
      <c r="AR823" s="128">
        <f t="shared" ca="1" si="100"/>
        <v>-15.147000000000006</v>
      </c>
      <c r="AS823" s="129">
        <f t="shared" ca="1" si="101"/>
        <v>-1.4960570012328709</v>
      </c>
      <c r="BD823" s="157"/>
    </row>
    <row r="824" spans="2:56">
      <c r="B824" s="156"/>
      <c r="C824" s="128" t="s">
        <v>286</v>
      </c>
      <c r="D824" s="128">
        <f ca="1">D823</f>
        <v>-15.332000000000006</v>
      </c>
      <c r="E824" s="139">
        <f ca="1">E823-P813</f>
        <v>0.81999999999999984</v>
      </c>
      <c r="G824" s="128" t="s">
        <v>286</v>
      </c>
      <c r="H824" s="128">
        <f ca="1">H823</f>
        <v>8888.43</v>
      </c>
      <c r="I824" s="139">
        <f ca="1">I823-P813</f>
        <v>8887.5</v>
      </c>
      <c r="K824" s="128" t="s">
        <v>286</v>
      </c>
      <c r="L824" s="128">
        <f ca="1">L823</f>
        <v>-15.332000000000006</v>
      </c>
      <c r="M824" s="139">
        <f ca="1">M823-P813</f>
        <v>-0.75999999999999979</v>
      </c>
      <c r="O824" s="128" t="s">
        <v>286</v>
      </c>
      <c r="P824" s="128">
        <f ca="1">P823</f>
        <v>8888</v>
      </c>
      <c r="Q824" s="139">
        <f ca="1">Q823-$T818</f>
        <v>8888</v>
      </c>
      <c r="S824" s="128" t="s">
        <v>286</v>
      </c>
      <c r="T824" s="128">
        <f ca="1">T823</f>
        <v>8888</v>
      </c>
      <c r="U824" s="139">
        <f ca="1">U823-$T816</f>
        <v>8888</v>
      </c>
      <c r="W824" s="128" t="s">
        <v>286</v>
      </c>
      <c r="X824" s="128">
        <f ca="1">X823</f>
        <v>8888</v>
      </c>
      <c r="Y824" s="139">
        <f ca="1">Y823+$T814</f>
        <v>8888</v>
      </c>
      <c r="AA824" s="143" t="s">
        <v>286</v>
      </c>
      <c r="AB824" s="128">
        <f ca="1">IF($AA820,D824,P824)</f>
        <v>-15.332000000000006</v>
      </c>
      <c r="AC824" s="129">
        <f ca="1">IF($AA820,E824,Q824)</f>
        <v>0.81999999999999984</v>
      </c>
      <c r="AE824" s="128" t="s">
        <v>286</v>
      </c>
      <c r="AF824" s="128">
        <f ca="1">IF($AE820,H824,T824)</f>
        <v>8888.43</v>
      </c>
      <c r="AG824" s="129">
        <f ca="1">IF($AE820,I824,U824)</f>
        <v>8887.5</v>
      </c>
      <c r="AI824" s="128" t="s">
        <v>286</v>
      </c>
      <c r="AJ824" s="128">
        <f ca="1">IF($AI820,L824,X824)</f>
        <v>-15.332000000000006</v>
      </c>
      <c r="AK824" s="129">
        <f ca="1">IF($AI820,M824,Y824)</f>
        <v>-0.75999999999999979</v>
      </c>
      <c r="AM824" s="128" t="s">
        <v>286</v>
      </c>
      <c r="AN824" s="128">
        <f ca="1">AN823</f>
        <v>-15.147000000000006</v>
      </c>
      <c r="AO824" s="129">
        <f ca="1">IF(AN824&gt;-Fuselage!$D$366,IF(AM820,(FUSELAGE_a_ellipse+FUSELAGE_t_fuselage)*SQRT(1-((AN824+Fuselage!$D$366)/Fuselage!$K$364)^2),(FUSELAGE_a_ellipse)*SQRT(1-((AN824+Fuselage!$D$366)/Fuselage!$K$364)^2)),IF(AN824&gt;$L$2505+Fuselage!$K$370,(IF(AM820,FUSELAGE_a_ellipse+FUSELAGE_t_fuselage,FUSELAGE_a_ellipse)),IF(AM820,(FUSELAGE_a_ellipse+FUSELAGE_t_fuselage-FUSELAGE_d_fo/4)/Fuselage!$K$368*(AN824-$L$2505-Fuselage!$K$370)+FUSELAGE_a_ellipse+FUSELAGE_t_fuselage,(FUSELAGE_a_ellipse+FUSELAGE_t_fuselage-FUSELAGE_d_fo/4)/Fuselage!$K$368*(AN824-$L$2505-Fuselage!$K$370)+FUSELAGE_a_ellipse)))</f>
        <v>1.4960570012328709</v>
      </c>
      <c r="AQ824" s="128" t="s">
        <v>286</v>
      </c>
      <c r="AR824" s="128">
        <f t="shared" ca="1" si="100"/>
        <v>-15.147000000000006</v>
      </c>
      <c r="AS824" s="129">
        <f t="shared" ca="1" si="101"/>
        <v>-1.4960570012328709</v>
      </c>
      <c r="BD824" s="157"/>
    </row>
    <row r="825" spans="2:56">
      <c r="B825" s="156"/>
      <c r="C825" s="188" t="s">
        <v>522</v>
      </c>
      <c r="D825" s="188">
        <f ca="1">D822</f>
        <v>-15.762000000000006</v>
      </c>
      <c r="E825" s="189">
        <f ca="1">E824</f>
        <v>0.81999999999999984</v>
      </c>
      <c r="F825" s="157"/>
      <c r="G825" s="2" t="s">
        <v>522</v>
      </c>
      <c r="H825" s="128">
        <f ca="1">H822</f>
        <v>8888</v>
      </c>
      <c r="I825" s="139">
        <f ca="1">I824</f>
        <v>8887.5</v>
      </c>
      <c r="K825" s="128" t="s">
        <v>522</v>
      </c>
      <c r="L825" s="128">
        <f ca="1">L822</f>
        <v>-15.762000000000006</v>
      </c>
      <c r="M825" s="139">
        <f ca="1">M824</f>
        <v>-0.75999999999999979</v>
      </c>
      <c r="O825" s="188" t="s">
        <v>522</v>
      </c>
      <c r="P825" s="188">
        <f ca="1">P822</f>
        <v>8888</v>
      </c>
      <c r="Q825" s="189">
        <f ca="1">Q824</f>
        <v>8888</v>
      </c>
      <c r="S825" s="188" t="s">
        <v>522</v>
      </c>
      <c r="T825" s="188">
        <f ca="1">T822</f>
        <v>8888</v>
      </c>
      <c r="U825" s="189">
        <f ca="1">U824</f>
        <v>8888</v>
      </c>
      <c r="W825" s="188" t="s">
        <v>522</v>
      </c>
      <c r="X825" s="188">
        <f ca="1">X822</f>
        <v>8888</v>
      </c>
      <c r="Y825" s="189">
        <f ca="1">Y824</f>
        <v>8888</v>
      </c>
      <c r="AA825" s="195" t="s">
        <v>522</v>
      </c>
      <c r="AB825" s="128">
        <f ca="1">IF($AA820,D825,P825)</f>
        <v>-15.762000000000006</v>
      </c>
      <c r="AC825" s="129">
        <f ca="1">IF($AA820,E825,Q825)</f>
        <v>0.81999999999999984</v>
      </c>
      <c r="AD825" s="157"/>
      <c r="AE825" s="2" t="s">
        <v>522</v>
      </c>
      <c r="AF825" s="188">
        <f ca="1">IF($AE820,H825,T825)</f>
        <v>8888</v>
      </c>
      <c r="AG825" s="196">
        <f ca="1">IF($AE820,I825,U825)</f>
        <v>8887.5</v>
      </c>
      <c r="AI825" s="128" t="s">
        <v>522</v>
      </c>
      <c r="AJ825" s="188">
        <f ca="1">IF($AI820,L825,X825)</f>
        <v>-15.762000000000006</v>
      </c>
      <c r="AK825" s="196">
        <f ca="1">IF($AI820,M825,Y825)</f>
        <v>-0.75999999999999979</v>
      </c>
      <c r="AM825" s="128" t="s">
        <v>522</v>
      </c>
      <c r="AN825" s="128">
        <f ca="1">AN824-X814</f>
        <v>-15.147000000000006</v>
      </c>
      <c r="AO825" s="129">
        <f ca="1">IF(AN825&gt;-Fuselage!$D$366,IF(AM820,(FUSELAGE_a_ellipse+FUSELAGE_t_fuselage)*SQRT(1-((AN825+Fuselage!$D$366)/Fuselage!$K$364)^2),(FUSELAGE_a_ellipse)*SQRT(1-((AN825+Fuselage!$D$366)/Fuselage!$K$364)^2)),IF(AN825&gt;$L$2505+Fuselage!$K$370,(IF(AM820,FUSELAGE_a_ellipse+FUSELAGE_t_fuselage,FUSELAGE_a_ellipse)),IF(AM820,(FUSELAGE_a_ellipse+FUSELAGE_t_fuselage-FUSELAGE_d_fo/4)/Fuselage!$K$368*(AN825-$L$2505-Fuselage!$K$370)+FUSELAGE_a_ellipse+FUSELAGE_t_fuselage,(FUSELAGE_a_ellipse+FUSELAGE_t_fuselage-FUSELAGE_d_fo/4)/Fuselage!$K$368*(AN825-$L$2505-Fuselage!$K$370)+FUSELAGE_a_ellipse)))</f>
        <v>1.4960570012328709</v>
      </c>
      <c r="AQ825" s="128" t="s">
        <v>522</v>
      </c>
      <c r="AR825" s="128">
        <f t="shared" ca="1" si="100"/>
        <v>-15.147000000000006</v>
      </c>
      <c r="AS825" s="129">
        <f t="shared" ca="1" si="101"/>
        <v>-1.4960570012328709</v>
      </c>
      <c r="BD825" s="157"/>
    </row>
    <row r="826" spans="2:56" ht="15" thickBot="1">
      <c r="B826" s="156"/>
      <c r="C826" s="128" t="s">
        <v>49</v>
      </c>
      <c r="D826" s="128">
        <f ca="1">IF(C820&gt;=2,D822,D825)</f>
        <v>-15.762000000000006</v>
      </c>
      <c r="E826" s="139">
        <f ca="1">IF(C820&gt;=2,E825-P815,E825)</f>
        <v>0.75999999999999979</v>
      </c>
      <c r="F826" s="157"/>
      <c r="G826" s="192" t="s">
        <v>49</v>
      </c>
      <c r="H826" s="190">
        <f ca="1">IF(G820&gt;=2,H822,H825)</f>
        <v>8888</v>
      </c>
      <c r="I826" s="191">
        <f ca="1">IF(G820&gt;=2,I825-P815,I825)</f>
        <v>8887.5</v>
      </c>
      <c r="K826" s="190" t="s">
        <v>49</v>
      </c>
      <c r="L826" s="190">
        <f ca="1">IF(K820&gt;=2,L822,L825)</f>
        <v>-15.762000000000006</v>
      </c>
      <c r="M826" s="191">
        <f ca="1">IF(K820&gt;=2,M825-P815,M825)</f>
        <v>-0.81999999999999984</v>
      </c>
      <c r="O826" s="130" t="s">
        <v>396</v>
      </c>
      <c r="P826" s="130">
        <f ca="1">P822</f>
        <v>8888</v>
      </c>
      <c r="Q826" s="140">
        <f ca="1">Q822</f>
        <v>8888</v>
      </c>
      <c r="S826" s="130" t="s">
        <v>396</v>
      </c>
      <c r="T826" s="130">
        <f ca="1">T822</f>
        <v>8888</v>
      </c>
      <c r="U826" s="140">
        <f ca="1">U822</f>
        <v>8888</v>
      </c>
      <c r="W826" s="130" t="s">
        <v>396</v>
      </c>
      <c r="X826" s="130">
        <f ca="1">X822</f>
        <v>8888</v>
      </c>
      <c r="Y826" s="140">
        <f ca="1">Y822</f>
        <v>8888</v>
      </c>
      <c r="AA826" s="143" t="s">
        <v>49</v>
      </c>
      <c r="AB826" s="128">
        <f ca="1">IF($AA820,D826,P826)</f>
        <v>-15.762000000000006</v>
      </c>
      <c r="AC826" s="129">
        <f ca="1">IF($AA820,E826,Q826)</f>
        <v>0.75999999999999979</v>
      </c>
      <c r="AD826" s="157"/>
      <c r="AE826" s="192" t="s">
        <v>49</v>
      </c>
      <c r="AF826" s="128">
        <f ca="1">IF($AE820,H826,T826)</f>
        <v>8888</v>
      </c>
      <c r="AG826" s="129">
        <f ca="1">IF($AE820,I826,U826)</f>
        <v>8887.5</v>
      </c>
      <c r="AI826" s="190" t="s">
        <v>49</v>
      </c>
      <c r="AJ826" s="128">
        <f ca="1">IF($AI820,L826,X826)</f>
        <v>-15.762000000000006</v>
      </c>
      <c r="AK826" s="129">
        <f ca="1">IF($AI820,M826,Y826)</f>
        <v>-0.81999999999999984</v>
      </c>
      <c r="AM826" s="128" t="s">
        <v>49</v>
      </c>
      <c r="AN826" s="128">
        <f ca="1">AN825</f>
        <v>-15.147000000000006</v>
      </c>
      <c r="AO826" s="129">
        <f ca="1">IF(AN826&gt;-Fuselage!$D$366,(FUSELAGE_a_ellipse)*SQRT(1-((AN826+Fuselage!$D$366)/(Fuselage!$K$364-FUSELAGE_t_fuselage))^2),IF(AN826&gt;$L$2505+Fuselage!$K$370,FUSELAGE_a_ellipse,(FUSELAGE_a_ellipse+FUSELAGE_t_fuselage-FUSELAGE_d_fo/4)/Fuselage!$K$368*(AN826-$L$2505-Fuselage!$K$370)+FUSELAGE_a_ellipse))</f>
        <v>1.4960570012328709</v>
      </c>
      <c r="AQ826" s="128" t="s">
        <v>49</v>
      </c>
      <c r="AR826" s="128">
        <f t="shared" ca="1" si="100"/>
        <v>-15.147000000000006</v>
      </c>
      <c r="AS826" s="129">
        <f t="shared" ca="1" si="101"/>
        <v>-1.4960570012328709</v>
      </c>
      <c r="BD826" s="157"/>
    </row>
    <row r="827" spans="2:56">
      <c r="B827" s="156"/>
      <c r="C827" s="128" t="s">
        <v>453</v>
      </c>
      <c r="D827" s="128">
        <f ca="1">IF(C820&gt;=2,D822+P814,D825)</f>
        <v>-15.332000000000006</v>
      </c>
      <c r="E827" s="139">
        <f ca="1">E826</f>
        <v>0.75999999999999979</v>
      </c>
      <c r="F827" s="157"/>
      <c r="G827" s="2" t="s">
        <v>453</v>
      </c>
      <c r="H827" s="128">
        <f ca="1">IF(G820&gt;=2,H823,H825)</f>
        <v>8888</v>
      </c>
      <c r="I827" s="139">
        <f ca="1">IF(G820&gt;=2,I826,I825)</f>
        <v>8887.5</v>
      </c>
      <c r="K827" s="128" t="s">
        <v>453</v>
      </c>
      <c r="L827" s="128">
        <f ca="1">IF(K820&gt;=2,IF(X815,IF(K820=2,L822+P814/4,L822+P814),L822+P814),L825)</f>
        <v>-15.332000000000006</v>
      </c>
      <c r="M827" s="139">
        <f ca="1">IF(K820&gt;=2,M826,M825)</f>
        <v>-0.81999999999999984</v>
      </c>
      <c r="AA827" s="143" t="s">
        <v>453</v>
      </c>
      <c r="AB827" s="128">
        <f ca="1">IF($AA820,D827,AB826)</f>
        <v>-15.332000000000006</v>
      </c>
      <c r="AC827" s="129">
        <f ca="1">IF($AA820,E827,AC826)</f>
        <v>0.75999999999999979</v>
      </c>
      <c r="AD827" s="157"/>
      <c r="AE827" s="2" t="s">
        <v>453</v>
      </c>
      <c r="AF827" s="128">
        <f ca="1">IF($AE820,H827,AF826)</f>
        <v>8888</v>
      </c>
      <c r="AG827" s="129">
        <f ca="1">IF($AE820,I827,AG826)</f>
        <v>8887.5</v>
      </c>
      <c r="AI827" s="128" t="s">
        <v>453</v>
      </c>
      <c r="AJ827" s="128">
        <f ca="1">IF($AI820,L827,AJ826)</f>
        <v>-15.332000000000006</v>
      </c>
      <c r="AK827" s="129">
        <f ca="1">IF($AI820,M827,AK826)</f>
        <v>-0.81999999999999984</v>
      </c>
      <c r="AM827" s="128" t="s">
        <v>453</v>
      </c>
      <c r="AN827" s="128">
        <f ca="1">L813</f>
        <v>-15.762000000000006</v>
      </c>
      <c r="AO827" s="129">
        <f ca="1">IF(AN827&gt;-Fuselage!$D$366,(FUSELAGE_a_ellipse)*SQRT(1-((AN827+Fuselage!$D$366)/(Fuselage!$K$364-FUSELAGE_t_fuselage))^2),IF(AN827&gt;$L$2505+Fuselage!$K$370,FUSELAGE_a_ellipse,(FUSELAGE_a_ellipse+FUSELAGE_t_fuselage-FUSELAGE_d_fo/4)/Fuselage!$K$368*(AN827-$L$2505-Fuselage!$K$370)+FUSELAGE_a_ellipse))</f>
        <v>1.4960570012328709</v>
      </c>
      <c r="AQ827" s="128" t="s">
        <v>453</v>
      </c>
      <c r="AR827" s="128">
        <f t="shared" ca="1" si="100"/>
        <v>-15.762000000000006</v>
      </c>
      <c r="AS827" s="129">
        <f t="shared" ca="1" si="101"/>
        <v>-1.4960570012328709</v>
      </c>
      <c r="BD827" s="157"/>
    </row>
    <row r="828" spans="2:56">
      <c r="B828" s="156"/>
      <c r="C828" s="128" t="s">
        <v>394</v>
      </c>
      <c r="D828" s="128">
        <f ca="1">IF(C820&gt;=2,D827,D825)</f>
        <v>-15.332000000000006</v>
      </c>
      <c r="E828" s="139">
        <f ca="1">IF(C820&gt;=2,E826-P813,E825)</f>
        <v>0.25999999999999979</v>
      </c>
      <c r="F828" s="157"/>
      <c r="G828" s="2" t="s">
        <v>394</v>
      </c>
      <c r="H828" s="128">
        <f ca="1">IF(G820&gt;=2,H823,H825)</f>
        <v>8888</v>
      </c>
      <c r="I828" s="139">
        <f ca="1">IF(G820&gt;=2,I827-P813,I825)</f>
        <v>8887.5</v>
      </c>
      <c r="K828" s="128" t="s">
        <v>394</v>
      </c>
      <c r="L828" s="128">
        <f ca="1">L827</f>
        <v>-15.332000000000006</v>
      </c>
      <c r="M828" s="139">
        <f ca="1">IF(K820&gt;=2,M827-P813,M825)</f>
        <v>-1.3199999999999998</v>
      </c>
      <c r="AA828" s="143" t="s">
        <v>394</v>
      </c>
      <c r="AB828" s="128">
        <f ca="1">IF($AA820,D828,AB826)</f>
        <v>-15.332000000000006</v>
      </c>
      <c r="AC828" s="129">
        <f ca="1">IF($AA820,E828,AC826)</f>
        <v>0.25999999999999979</v>
      </c>
      <c r="AD828" s="157"/>
      <c r="AE828" s="2" t="s">
        <v>394</v>
      </c>
      <c r="AF828" s="128">
        <f ca="1">IF($AE820,H828,AF826)</f>
        <v>8888</v>
      </c>
      <c r="AG828" s="129">
        <f ca="1">IF($AE820,I828,AG826)</f>
        <v>8887.5</v>
      </c>
      <c r="AI828" s="128" t="s">
        <v>394</v>
      </c>
      <c r="AJ828" s="128">
        <f ca="1">IF($AI820,L828,AJ826)</f>
        <v>-15.332000000000006</v>
      </c>
      <c r="AK828" s="129">
        <f ca="1">IF($AI820,M828,AK826)</f>
        <v>-1.3199999999999998</v>
      </c>
      <c r="BD828" s="157"/>
    </row>
    <row r="829" spans="2:56">
      <c r="B829" s="156"/>
      <c r="C829" s="188" t="s">
        <v>454</v>
      </c>
      <c r="D829" s="188">
        <f ca="1">IF(C820&gt;=2,D822,D825)</f>
        <v>-15.762000000000006</v>
      </c>
      <c r="E829" s="189">
        <f ca="1">E828</f>
        <v>0.25999999999999979</v>
      </c>
      <c r="F829" s="157"/>
      <c r="G829" s="115" t="s">
        <v>454</v>
      </c>
      <c r="H829" s="188">
        <f ca="1">IF(G820&gt;=2,H822,H825)</f>
        <v>8888</v>
      </c>
      <c r="I829" s="189">
        <f ca="1">IF(G820&gt;=2,I828,I825)</f>
        <v>8887.5</v>
      </c>
      <c r="K829" s="188" t="s">
        <v>454</v>
      </c>
      <c r="L829" s="188">
        <f ca="1">IF(K820&gt;=2,L822,L825)</f>
        <v>-15.762000000000006</v>
      </c>
      <c r="M829" s="189">
        <f ca="1">IF(K820&gt;=2,M828,M825)</f>
        <v>-1.3199999999999998</v>
      </c>
      <c r="AA829" s="195" t="s">
        <v>454</v>
      </c>
      <c r="AB829" s="128">
        <f ca="1">IF($AA820,D829,AB826)</f>
        <v>-15.762000000000006</v>
      </c>
      <c r="AC829" s="129">
        <f ca="1">IF($AA820,E829,AC826)</f>
        <v>0.25999999999999979</v>
      </c>
      <c r="AD829" s="157"/>
      <c r="AE829" s="115" t="s">
        <v>454</v>
      </c>
      <c r="AF829" s="188">
        <f ca="1">IF($AE820,H829,AF826)</f>
        <v>8888</v>
      </c>
      <c r="AG829" s="196">
        <f ca="1">IF($AE820,I829,AG826)</f>
        <v>8887.5</v>
      </c>
      <c r="AI829" s="188" t="s">
        <v>454</v>
      </c>
      <c r="AJ829" s="188">
        <f ca="1">IF($AI820,L829,AJ826)</f>
        <v>-15.762000000000006</v>
      </c>
      <c r="AK829" s="196">
        <f ca="1">IF($AI820,M829,AK826)</f>
        <v>-1.3199999999999998</v>
      </c>
      <c r="BD829" s="157"/>
    </row>
    <row r="830" spans="2:56">
      <c r="B830" s="156"/>
      <c r="C830" s="128" t="s">
        <v>507</v>
      </c>
      <c r="D830" s="128">
        <f ca="1">IF(C820&gt;=3,D822,D829)</f>
        <v>-15.762000000000006</v>
      </c>
      <c r="E830" s="139">
        <f ca="1">IF(C820&gt;=3,E829-P815,E829)</f>
        <v>0.25999999999999979</v>
      </c>
      <c r="F830" s="157"/>
      <c r="G830" s="2" t="s">
        <v>507</v>
      </c>
      <c r="H830" s="128">
        <f ca="1">IF(G820&gt;=3,H822,H829)</f>
        <v>8888</v>
      </c>
      <c r="I830" s="139">
        <f ca="1">IF(G820&gt;=3,I829-P815,I829)</f>
        <v>8887.5</v>
      </c>
      <c r="K830" s="128" t="s">
        <v>507</v>
      </c>
      <c r="L830" s="128">
        <f ca="1">IF(K820&gt;=3,L822,L829)</f>
        <v>-15.762000000000006</v>
      </c>
      <c r="M830" s="139">
        <f ca="1">IF(K820&gt;=3,M829-P815,M829)</f>
        <v>-1.3199999999999998</v>
      </c>
      <c r="AA830" s="143" t="s">
        <v>507</v>
      </c>
      <c r="AB830" s="128">
        <f ca="1">IF($AA820,D830,AB826)</f>
        <v>-15.762000000000006</v>
      </c>
      <c r="AC830" s="129">
        <f ca="1">IF($AA820,E830,AC826)</f>
        <v>0.25999999999999979</v>
      </c>
      <c r="AD830" s="157"/>
      <c r="AE830" s="2" t="s">
        <v>507</v>
      </c>
      <c r="AF830" s="128">
        <f ca="1">IF($AE820,H830,AF826)</f>
        <v>8888</v>
      </c>
      <c r="AG830" s="129">
        <f ca="1">IF($AE820,I830,AG826)</f>
        <v>8887.5</v>
      </c>
      <c r="AI830" s="128" t="s">
        <v>507</v>
      </c>
      <c r="AJ830" s="128">
        <f ca="1">IF($AI820,L830,AJ826)</f>
        <v>-15.762000000000006</v>
      </c>
      <c r="AK830" s="129">
        <f ca="1">IF($AI820,M830,AK826)</f>
        <v>-1.3199999999999998</v>
      </c>
      <c r="BD830" s="157"/>
    </row>
    <row r="831" spans="2:56">
      <c r="B831" s="156"/>
      <c r="C831" s="128" t="s">
        <v>455</v>
      </c>
      <c r="D831" s="128">
        <f ca="1">IF(C820&gt;=3,D827,D829)</f>
        <v>-15.762000000000006</v>
      </c>
      <c r="E831" s="139">
        <f ca="1">E830</f>
        <v>0.25999999999999979</v>
      </c>
      <c r="F831" s="157"/>
      <c r="G831" s="2" t="s">
        <v>455</v>
      </c>
      <c r="H831" s="128">
        <f ca="1">IF(G820&gt;=3,H823,H829)</f>
        <v>8888</v>
      </c>
      <c r="I831" s="139">
        <f ca="1">IF(G820&gt;=3,I830,I829)</f>
        <v>8887.5</v>
      </c>
      <c r="K831" s="128" t="s">
        <v>455</v>
      </c>
      <c r="L831" s="128">
        <f ca="1">IF(K820&gt;=3,IF(X815,IF(K820=3,L822+P814/4,L822+P814),L822+P814),L825)</f>
        <v>-15.762000000000006</v>
      </c>
      <c r="M831" s="139">
        <f ca="1">IF(K820&gt;=3,M830,M829)</f>
        <v>-1.3199999999999998</v>
      </c>
      <c r="AA831" s="143" t="s">
        <v>455</v>
      </c>
      <c r="AB831" s="128">
        <f ca="1">IF($AA820,D831,AB826)</f>
        <v>-15.762000000000006</v>
      </c>
      <c r="AC831" s="129">
        <f ca="1">IF($AA820,E831,AC826)</f>
        <v>0.25999999999999979</v>
      </c>
      <c r="AD831" s="157"/>
      <c r="AE831" s="2" t="s">
        <v>455</v>
      </c>
      <c r="AF831" s="128">
        <f ca="1">IF($AE820,H831,AF826)</f>
        <v>8888</v>
      </c>
      <c r="AG831" s="129">
        <f ca="1">IF($AE820,I831,AG826)</f>
        <v>8887.5</v>
      </c>
      <c r="AI831" s="128" t="s">
        <v>455</v>
      </c>
      <c r="AJ831" s="128">
        <f ca="1">IF($AI820,L831,AJ826)</f>
        <v>-15.762000000000006</v>
      </c>
      <c r="AK831" s="129">
        <f ca="1">IF($AI820,M831,AK826)</f>
        <v>-1.3199999999999998</v>
      </c>
      <c r="AL831" s="156"/>
      <c r="BD831" s="157"/>
    </row>
    <row r="832" spans="2:56">
      <c r="B832" s="156"/>
      <c r="C832" s="128" t="s">
        <v>311</v>
      </c>
      <c r="D832" s="128">
        <f ca="1">IF(C820&gt;=3,D827,D829)</f>
        <v>-15.762000000000006</v>
      </c>
      <c r="E832" s="139">
        <f ca="1">IF(C820&gt;=3,E831-P813,E829)</f>
        <v>0.25999999999999979</v>
      </c>
      <c r="F832" s="157"/>
      <c r="G832" s="2" t="s">
        <v>311</v>
      </c>
      <c r="H832" s="128">
        <f ca="1">IF(G820&gt;=3,H823,H829)</f>
        <v>8888</v>
      </c>
      <c r="I832" s="139">
        <f ca="1">IF(G820&gt;=3,I831-P813,I829)</f>
        <v>8887.5</v>
      </c>
      <c r="K832" s="128" t="s">
        <v>311</v>
      </c>
      <c r="L832" s="128">
        <f ca="1">L831</f>
        <v>-15.762000000000006</v>
      </c>
      <c r="M832" s="139">
        <f ca="1">IF(K820&gt;=3,M831-P813,M829)</f>
        <v>-1.3199999999999998</v>
      </c>
      <c r="AA832" s="143" t="s">
        <v>311</v>
      </c>
      <c r="AB832" s="128">
        <f ca="1">IF($AA820,D832,AB826)</f>
        <v>-15.762000000000006</v>
      </c>
      <c r="AC832" s="129">
        <f ca="1">IF($AA820,E832,AC826)</f>
        <v>0.25999999999999979</v>
      </c>
      <c r="AD832" s="157"/>
      <c r="AE832" s="2" t="s">
        <v>311</v>
      </c>
      <c r="AF832" s="128">
        <f ca="1">IF($AE820,H832,AF826)</f>
        <v>8888</v>
      </c>
      <c r="AG832" s="129">
        <f ca="1">IF($AE820,I832,AG826)</f>
        <v>8887.5</v>
      </c>
      <c r="AI832" s="128" t="s">
        <v>311</v>
      </c>
      <c r="AJ832" s="128">
        <f ca="1">IF($AI820,L832,AJ826)</f>
        <v>-15.762000000000006</v>
      </c>
      <c r="AK832" s="129">
        <f ca="1">IF($AI820,M832,AK826)</f>
        <v>-1.3199999999999998</v>
      </c>
      <c r="AL832" s="156"/>
      <c r="BD832" s="157"/>
    </row>
    <row r="833" spans="2:56">
      <c r="B833" s="156"/>
      <c r="C833" s="188" t="s">
        <v>35</v>
      </c>
      <c r="D833" s="188">
        <f ca="1">IF(C820&gt;=3,D822,D829)</f>
        <v>-15.762000000000006</v>
      </c>
      <c r="E833" s="189">
        <f ca="1">E832</f>
        <v>0.25999999999999979</v>
      </c>
      <c r="F833" s="157"/>
      <c r="G833" s="2" t="s">
        <v>35</v>
      </c>
      <c r="H833" s="188">
        <f ca="1">IF(G820&gt;=3,H822,H829)</f>
        <v>8888</v>
      </c>
      <c r="I833" s="189">
        <f ca="1">IF(G820&gt;=3,I832,I829)</f>
        <v>8887.5</v>
      </c>
      <c r="K833" s="188" t="s">
        <v>35</v>
      </c>
      <c r="L833" s="188">
        <f ca="1">IF(K820&gt;=3,L822,L829)</f>
        <v>-15.762000000000006</v>
      </c>
      <c r="M833" s="189">
        <f ca="1">IF(K820&gt;=3,M832,M829)</f>
        <v>-1.3199999999999998</v>
      </c>
      <c r="AA833" s="143" t="s">
        <v>35</v>
      </c>
      <c r="AB833" s="128">
        <f ca="1">IF($AA820,D833,AB826)</f>
        <v>-15.762000000000006</v>
      </c>
      <c r="AC833" s="129">
        <f ca="1">IF($AA820,E833,AC826)</f>
        <v>0.25999999999999979</v>
      </c>
      <c r="AD833" s="157"/>
      <c r="AE833" s="2" t="s">
        <v>35</v>
      </c>
      <c r="AF833" s="188">
        <f ca="1">IF($AE820,H833,AF826)</f>
        <v>8888</v>
      </c>
      <c r="AG833" s="196">
        <f ca="1">IF($AE820,I833,AG826)</f>
        <v>8887.5</v>
      </c>
      <c r="AI833" s="128" t="s">
        <v>35</v>
      </c>
      <c r="AJ833" s="128">
        <f ca="1">IF($AI820,L833,AJ826)</f>
        <v>-15.762000000000006</v>
      </c>
      <c r="AK833" s="129">
        <f ca="1">IF($AI820,M833,AK826)</f>
        <v>-1.3199999999999998</v>
      </c>
      <c r="AL833" s="156"/>
      <c r="BD833" s="157"/>
    </row>
    <row r="834" spans="2:56" ht="15" thickBot="1">
      <c r="B834" s="156"/>
      <c r="C834" s="130" t="s">
        <v>396</v>
      </c>
      <c r="D834" s="130">
        <f ca="1">D822</f>
        <v>-15.762000000000006</v>
      </c>
      <c r="E834" s="140">
        <f ca="1">E822</f>
        <v>1.3199999999999998</v>
      </c>
      <c r="F834" s="157"/>
      <c r="G834" s="192" t="s">
        <v>312</v>
      </c>
      <c r="H834" s="128">
        <f ca="1">IF(G820&gt;=4,H822,H833)</f>
        <v>8888</v>
      </c>
      <c r="I834" s="139">
        <f ca="1">IF(G820&gt;=4,I833-P815,I833)</f>
        <v>8887.5</v>
      </c>
      <c r="K834" s="130" t="s">
        <v>396</v>
      </c>
      <c r="L834" s="130">
        <f ca="1">L822</f>
        <v>-15.762000000000006</v>
      </c>
      <c r="M834" s="140">
        <f ca="1">M822</f>
        <v>-0.25999999999999979</v>
      </c>
      <c r="AA834" s="144" t="s">
        <v>396</v>
      </c>
      <c r="AB834" s="130">
        <f ca="1">IF($AA820,D834,AB826)</f>
        <v>-15.762000000000006</v>
      </c>
      <c r="AC834" s="132">
        <f ca="1">IF($AA820,E834,AC826)</f>
        <v>1.3199999999999998</v>
      </c>
      <c r="AD834" s="157"/>
      <c r="AE834" s="192" t="s">
        <v>312</v>
      </c>
      <c r="AF834" s="128">
        <f ca="1">IF($AE820,H834,AF826)</f>
        <v>8888</v>
      </c>
      <c r="AG834" s="129">
        <f ca="1">IF($AE820,I834,AG826)</f>
        <v>8887.5</v>
      </c>
      <c r="AI834" s="130" t="s">
        <v>396</v>
      </c>
      <c r="AJ834" s="130">
        <f ca="1">IF($AI820,L834,AJ826)</f>
        <v>-15.762000000000006</v>
      </c>
      <c r="AK834" s="132">
        <f ca="1">IF($AI820,M834,AK826)</f>
        <v>-0.25999999999999979</v>
      </c>
      <c r="BD834" s="157"/>
    </row>
    <row r="835" spans="2:56">
      <c r="B835" s="156"/>
      <c r="F835" s="157"/>
      <c r="G835" s="2" t="s">
        <v>313</v>
      </c>
      <c r="H835" s="128">
        <f ca="1">IF(G820&gt;=4,H823,H833)</f>
        <v>8888</v>
      </c>
      <c r="I835" s="139">
        <f ca="1">IF(G820&gt;=4,I834,I833)</f>
        <v>8887.5</v>
      </c>
      <c r="AD835" s="157"/>
      <c r="AE835" s="2" t="s">
        <v>313</v>
      </c>
      <c r="AF835" s="128">
        <f ca="1">IF($AE820,H835,AF826)</f>
        <v>8888</v>
      </c>
      <c r="AG835" s="129">
        <f ca="1">IF($AE820,I835,AG826)</f>
        <v>8887.5</v>
      </c>
      <c r="BD835" s="157"/>
    </row>
    <row r="836" spans="2:56">
      <c r="B836" s="156"/>
      <c r="F836" s="157"/>
      <c r="G836" s="2" t="s">
        <v>7</v>
      </c>
      <c r="H836" s="128">
        <f ca="1">IF(G820&gt;=4,H823,H833)</f>
        <v>8888</v>
      </c>
      <c r="I836" s="139">
        <f ca="1">IF(G820&gt;=4,I835-P813,I833)</f>
        <v>8887.5</v>
      </c>
      <c r="AD836" s="157"/>
      <c r="AE836" s="2" t="s">
        <v>7</v>
      </c>
      <c r="AF836" s="128">
        <f ca="1">IF($AE820,H836,AF826)</f>
        <v>8888</v>
      </c>
      <c r="AG836" s="129">
        <f ca="1">IF($AE820,I836,AG826)</f>
        <v>8887.5</v>
      </c>
      <c r="BD836" s="157"/>
    </row>
    <row r="837" spans="2:56">
      <c r="B837" s="156"/>
      <c r="F837" s="157"/>
      <c r="G837" s="115" t="s">
        <v>8</v>
      </c>
      <c r="H837" s="188">
        <f ca="1">IF(G820&gt;=4,H822,H833)</f>
        <v>8888</v>
      </c>
      <c r="I837" s="189">
        <f ca="1">IF(G820&gt;=4,I836,I833)</f>
        <v>8887.5</v>
      </c>
      <c r="AD837" s="157"/>
      <c r="AE837" s="115" t="s">
        <v>8</v>
      </c>
      <c r="AF837" s="188">
        <f ca="1">IF($AE820,H837,AF826)</f>
        <v>8888</v>
      </c>
      <c r="AG837" s="196">
        <f ca="1">IF($AE820,I837,AG826)</f>
        <v>8887.5</v>
      </c>
      <c r="BD837" s="157"/>
    </row>
    <row r="838" spans="2:56">
      <c r="B838" s="156"/>
      <c r="F838" s="157"/>
      <c r="G838" s="2" t="s">
        <v>9</v>
      </c>
      <c r="H838" s="128">
        <f ca="1">IF(G820&gt;=5,H822,H837)</f>
        <v>8888</v>
      </c>
      <c r="I838" s="139">
        <f ca="1">IF(G820&gt;=5,I837-P815,I837)</f>
        <v>8887.5</v>
      </c>
      <c r="AD838" s="157"/>
      <c r="AE838" s="2" t="s">
        <v>9</v>
      </c>
      <c r="AF838" s="128">
        <f ca="1">IF($AE820,H838,AF826)</f>
        <v>8888</v>
      </c>
      <c r="AG838" s="129">
        <f ca="1">IF($AE820,I838,AG826)</f>
        <v>8887.5</v>
      </c>
      <c r="BD838" s="157"/>
    </row>
    <row r="839" spans="2:56">
      <c r="B839" s="156"/>
      <c r="F839" s="157"/>
      <c r="G839" s="2" t="s">
        <v>196</v>
      </c>
      <c r="H839" s="128">
        <f ca="1">IF(G820&gt;=5,H823,H837)</f>
        <v>8888</v>
      </c>
      <c r="I839" s="139">
        <f ca="1">IF(G820&gt;=5,I838,I837)</f>
        <v>8887.5</v>
      </c>
      <c r="AD839" s="157"/>
      <c r="AE839" s="2" t="s">
        <v>196</v>
      </c>
      <c r="AF839" s="128">
        <f ca="1">IF($AE820,H839,AF826)</f>
        <v>8888</v>
      </c>
      <c r="AG839" s="129">
        <f ca="1">IF($AE820,I839,AG826)</f>
        <v>8887.5</v>
      </c>
      <c r="BD839" s="157"/>
    </row>
    <row r="840" spans="2:56">
      <c r="B840" s="156"/>
      <c r="F840" s="157"/>
      <c r="G840" s="2" t="s">
        <v>10</v>
      </c>
      <c r="H840" s="128">
        <f ca="1">IF(G820&gt;=5,H823,H837)</f>
        <v>8888</v>
      </c>
      <c r="I840" s="139">
        <f ca="1">IF(G820&gt;=5,I839-P813,I837)</f>
        <v>8887.5</v>
      </c>
      <c r="AD840" s="157"/>
      <c r="AE840" s="2" t="s">
        <v>10</v>
      </c>
      <c r="AF840" s="128">
        <f ca="1">IF($AE820,H840,AF826)</f>
        <v>8888</v>
      </c>
      <c r="AG840" s="129">
        <f ca="1">IF($AE820,I840,AG826)</f>
        <v>8887.5</v>
      </c>
      <c r="BD840" s="157"/>
    </row>
    <row r="841" spans="2:56">
      <c r="B841" s="156"/>
      <c r="F841" s="157"/>
      <c r="G841" s="2" t="s">
        <v>161</v>
      </c>
      <c r="H841" s="188">
        <f ca="1">IF(G820&gt;=5,H822,H837)</f>
        <v>8888</v>
      </c>
      <c r="I841" s="189">
        <f ca="1">IF(G820&gt;=5,I840,I837)</f>
        <v>8887.5</v>
      </c>
      <c r="AD841" s="157"/>
      <c r="AE841" s="2" t="s">
        <v>161</v>
      </c>
      <c r="AF841" s="188">
        <f ca="1">IF($AE820,H841,AF826)</f>
        <v>8888</v>
      </c>
      <c r="AG841" s="196">
        <f ca="1">IF($AE820,I841,AG826)</f>
        <v>8887.5</v>
      </c>
      <c r="BD841" s="157"/>
    </row>
    <row r="842" spans="2:56">
      <c r="B842" s="156"/>
      <c r="F842" s="157"/>
      <c r="G842" s="192" t="s">
        <v>11</v>
      </c>
      <c r="H842" s="128">
        <f ca="1">IF(G820&gt;=6,H822,H841)</f>
        <v>8888</v>
      </c>
      <c r="I842" s="139">
        <f ca="1">IF(G820&gt;=6,I841-P815,I841)</f>
        <v>8887.5</v>
      </c>
      <c r="AD842" s="157"/>
      <c r="AE842" s="192" t="s">
        <v>11</v>
      </c>
      <c r="AF842" s="128">
        <f ca="1">IF($AE820,H842,AF826)</f>
        <v>8888</v>
      </c>
      <c r="AG842" s="129">
        <f ca="1">IF($AE820,I842,AG826)</f>
        <v>8887.5</v>
      </c>
      <c r="BD842" s="157"/>
    </row>
    <row r="843" spans="2:56">
      <c r="B843" s="156"/>
      <c r="F843" s="157"/>
      <c r="G843" s="2" t="s">
        <v>12</v>
      </c>
      <c r="H843" s="128">
        <f ca="1">IF(G820&gt;=6,H823,H841)</f>
        <v>8888</v>
      </c>
      <c r="I843" s="139">
        <f ca="1">IF(G820&gt;=6,I842,I841)</f>
        <v>8887.5</v>
      </c>
      <c r="AD843" s="157"/>
      <c r="AE843" s="2" t="s">
        <v>12</v>
      </c>
      <c r="AF843" s="128">
        <f ca="1">IF($AE820,H843,AF826)</f>
        <v>8888</v>
      </c>
      <c r="AG843" s="129">
        <f ca="1">IF($AE820,I843,AG826)</f>
        <v>8887.5</v>
      </c>
      <c r="BD843" s="157"/>
    </row>
    <row r="844" spans="2:56">
      <c r="B844" s="156"/>
      <c r="F844" s="157"/>
      <c r="G844" s="2" t="s">
        <v>13</v>
      </c>
      <c r="H844" s="128">
        <f ca="1">IF(G820&gt;=6,H823,H841)</f>
        <v>8888</v>
      </c>
      <c r="I844" s="139">
        <f ca="1">IF(G820&gt;=6,I843-P813,I841)</f>
        <v>8887.5</v>
      </c>
      <c r="AD844" s="157"/>
      <c r="AE844" s="2" t="s">
        <v>13</v>
      </c>
      <c r="AF844" s="128">
        <f ca="1">IF($AE820,H844,AF826)</f>
        <v>8888</v>
      </c>
      <c r="AG844" s="129">
        <f ca="1">IF($AE820,I844,AG826)</f>
        <v>8887.5</v>
      </c>
      <c r="BD844" s="157"/>
    </row>
    <row r="845" spans="2:56">
      <c r="B845" s="156"/>
      <c r="F845" s="157"/>
      <c r="G845" s="115" t="s">
        <v>14</v>
      </c>
      <c r="H845" s="188">
        <f ca="1">IF(G820&gt;=6,H822,H841)</f>
        <v>8888</v>
      </c>
      <c r="I845" s="189">
        <f ca="1">IF(G820&gt;=6,I844,I841)</f>
        <v>8887.5</v>
      </c>
      <c r="AD845" s="157"/>
      <c r="AE845" s="115" t="s">
        <v>14</v>
      </c>
      <c r="AF845" s="188">
        <f ca="1">IF($AE820,H845,AF826)</f>
        <v>8888</v>
      </c>
      <c r="AG845" s="196">
        <f ca="1">IF($AE820,I845,AG826)</f>
        <v>8887.5</v>
      </c>
      <c r="BD845" s="157"/>
    </row>
    <row r="846" spans="2:56" ht="15" thickBot="1">
      <c r="B846" s="156"/>
      <c r="G846" s="130" t="s">
        <v>396</v>
      </c>
      <c r="H846" s="130">
        <f ca="1">H822</f>
        <v>8888</v>
      </c>
      <c r="I846" s="140">
        <f ca="1">I822</f>
        <v>8888</v>
      </c>
      <c r="AE846" s="130" t="s">
        <v>396</v>
      </c>
      <c r="AF846" s="130">
        <f ca="1">IF($AE820,H846,AF826)</f>
        <v>8888</v>
      </c>
      <c r="AG846" s="132">
        <f ca="1">IF($AE820,I846,AG826)</f>
        <v>8888</v>
      </c>
      <c r="BD846" s="157"/>
    </row>
    <row r="847" spans="2:56">
      <c r="B847" s="156"/>
      <c r="BD847" s="157"/>
    </row>
    <row r="848" spans="2:56">
      <c r="B848" s="156"/>
      <c r="BD848" s="157"/>
    </row>
    <row r="849" spans="2:56">
      <c r="B849" s="156"/>
      <c r="C849" s="200" t="s">
        <v>336</v>
      </c>
      <c r="D849">
        <f>D813+1</f>
        <v>19</v>
      </c>
      <c r="G849" s="200" t="s">
        <v>638</v>
      </c>
      <c r="H849">
        <f ca="1">LOOKUP(D852,$C$191:$C$196,$D$191:$D$196)</f>
        <v>0</v>
      </c>
      <c r="K849" s="200" t="s">
        <v>644</v>
      </c>
      <c r="L849">
        <f ca="1">L813-H854</f>
        <v>-16.562000000000005</v>
      </c>
      <c r="O849" s="200" t="s">
        <v>404</v>
      </c>
      <c r="P849">
        <f ca="1">IF(D851=1,SEAT_w_cushion_FC,IF(D851=2,SEAT_w_cushion_BC,IF(D851=3,SEAT_w_cushion_YC,0)))</f>
        <v>0.5</v>
      </c>
      <c r="S849" s="200" t="s">
        <v>647</v>
      </c>
      <c r="T849">
        <f ca="1">LOOKUP(D852,$C$191:$C$196,$E$191:$E$196)</f>
        <v>0</v>
      </c>
      <c r="W849" t="s">
        <v>130</v>
      </c>
      <c r="X849" t="str">
        <f ca="1">OFFSET(Fuselage!$B$275,D849,5)</f>
        <v>None</v>
      </c>
      <c r="AN849" s="200" t="s">
        <v>135</v>
      </c>
      <c r="AO849">
        <f ca="1">MAX(0,H854-MAX(T849,T851,T853,P850)-X850)</f>
        <v>0.37000000000000005</v>
      </c>
      <c r="BD849" s="157"/>
    </row>
    <row r="850" spans="2:56">
      <c r="B850" s="156"/>
      <c r="C850" s="200" t="s">
        <v>200</v>
      </c>
      <c r="D850">
        <f ca="1">OFFSET(Fuselage!$B$275,D849,0)</f>
        <v>18</v>
      </c>
      <c r="G850" s="200" t="s">
        <v>639</v>
      </c>
      <c r="H850">
        <f ca="1">LOOKUP(D853,$C$191:$C$196,$D$191:$D$196)</f>
        <v>0</v>
      </c>
      <c r="O850" s="200" t="s">
        <v>535</v>
      </c>
      <c r="P850">
        <f ca="1">IF(D851=1,SEAT_length_FC,IF(D851=2,SEAT_length_BC,IF(D851=3,SEAT_length_YC,0)))</f>
        <v>0.43</v>
      </c>
      <c r="S850" s="200" t="s">
        <v>648</v>
      </c>
      <c r="T850">
        <f ca="1">LOOKUP(D852,$C$191:$C$196,$F$191:$F$196)</f>
        <v>0</v>
      </c>
      <c r="W850" t="s">
        <v>131</v>
      </c>
      <c r="X850">
        <f ca="1">LOOKUP(X849,$I$191:$I$198,$J$191:$J$198)</f>
        <v>0</v>
      </c>
      <c r="BD850" s="157"/>
    </row>
    <row r="851" spans="2:56">
      <c r="B851" s="156"/>
      <c r="C851" s="200" t="s">
        <v>337</v>
      </c>
      <c r="D851">
        <f ca="1">OFFSET(Fuselage!$B$275,D849,4)</f>
        <v>3</v>
      </c>
      <c r="G851" s="200" t="s">
        <v>309</v>
      </c>
      <c r="H851">
        <f ca="1">LOOKUP(D854,$C$191:$C$196,$D$191:$D$196)</f>
        <v>0</v>
      </c>
      <c r="K851" s="200" t="s">
        <v>645</v>
      </c>
      <c r="L851">
        <f ca="1">IF(D851=1,FUSELAGE_nseats_left_FC,IF(D851=2,FUSELAGE_nseats_left_BC,IF(D851=3,FUSELAGE_nseats_left_YC,0)))</f>
        <v>2</v>
      </c>
      <c r="O851" s="200" t="s">
        <v>405</v>
      </c>
      <c r="P851">
        <f ca="1">IF(D851=1,SEAT_w_armrest_FC,IF(D851=2,SEAT_w_armrest_BC,IF(D851=3,SEAT_w_armrest_YC,0)))</f>
        <v>0.06</v>
      </c>
      <c r="S851" s="200" t="s">
        <v>652</v>
      </c>
      <c r="T851">
        <f ca="1">LOOKUP(D853,$C$191:$C$196,$E$191:$E$196)</f>
        <v>0</v>
      </c>
      <c r="W851" s="200" t="s">
        <v>393</v>
      </c>
      <c r="X851" t="b">
        <f ca="1">IF(OFFSET(Fuselage!$B$275,D849,6)="YES",TRUE(),FALSE())</f>
        <v>0</v>
      </c>
      <c r="BD851" s="157"/>
    </row>
    <row r="852" spans="2:56">
      <c r="B852" s="156"/>
      <c r="C852" s="200" t="s">
        <v>640</v>
      </c>
      <c r="D852" t="str">
        <f ca="1">OFFSET(Fuselage!$B$275,D849,1)</f>
        <v>None</v>
      </c>
      <c r="G852" s="200" t="s">
        <v>132</v>
      </c>
      <c r="H852">
        <f ca="1">IF(D851=1,SEAT_pitch_FC,IF(D851=2,SEAT_pitch_BC,IF(D851=3,SEAT_pitch_YC,0)))</f>
        <v>0.8</v>
      </c>
      <c r="K852" s="200" t="s">
        <v>646</v>
      </c>
      <c r="L852">
        <f ca="1">IF(D851=1,FUSELAGE_nseats_middle_FC,IF(D851=2,FUSELAGE_nseats_middle_BC,IF(D851=3,FUSELAGE_nseats_middle_YC,0)))</f>
        <v>0</v>
      </c>
      <c r="S852" s="200" t="s">
        <v>653</v>
      </c>
      <c r="T852">
        <f ca="1">LOOKUP(D853,$C$191:$C$196,$F$191:$F$196)</f>
        <v>0</v>
      </c>
      <c r="BD852" s="157"/>
    </row>
    <row r="853" spans="2:56">
      <c r="B853" s="156"/>
      <c r="C853" s="200" t="s">
        <v>642</v>
      </c>
      <c r="D853" t="str">
        <f ca="1">OFFSET(Fuselage!$B$275,D849,2)</f>
        <v>None</v>
      </c>
      <c r="G853" s="200" t="s">
        <v>129</v>
      </c>
      <c r="H853">
        <f ca="1">IF(OR(X849="Type A",X849="Type B"),MAX(H849:H852)+42*0.0254,IF(X849="Type C",MAX(H849:H852)+X850,IF(X849&lt;&gt;"None",24*0.0254,0)))</f>
        <v>0</v>
      </c>
      <c r="K853" s="200" t="s">
        <v>655</v>
      </c>
      <c r="L853">
        <f ca="1">IF(D851=1,FUSELAGE_nseats_right_FC,IF(D851=2,FUSELAGE_nseats_right_BC,IF(D851=3,FUSELAGE_nseats_right_YC,0)))</f>
        <v>2</v>
      </c>
      <c r="O853" s="200" t="s">
        <v>407</v>
      </c>
      <c r="P853">
        <f ca="1">($C$13-(L851+L852+L853)*(P849+P851)+(FUSELAGE_n_aisles-1)*P851)/FUSELAGE_n_aisles</f>
        <v>0.51999999999999957</v>
      </c>
      <c r="S853" s="200" t="s">
        <v>651</v>
      </c>
      <c r="T853">
        <f ca="1">LOOKUP(D854,$C$191:$C$196,$E$191:$E$196)</f>
        <v>0</v>
      </c>
      <c r="BD853" s="157"/>
    </row>
    <row r="854" spans="2:56">
      <c r="B854" s="156"/>
      <c r="C854" s="200" t="s">
        <v>641</v>
      </c>
      <c r="D854" t="str">
        <f ca="1">OFFSET(Fuselage!$B$275,D849,3)</f>
        <v>None</v>
      </c>
      <c r="G854" s="200" t="s">
        <v>643</v>
      </c>
      <c r="H854">
        <f ca="1">MAX(H849:H853)</f>
        <v>0.8</v>
      </c>
      <c r="S854" s="200" t="s">
        <v>654</v>
      </c>
      <c r="T854">
        <f ca="1">LOOKUP(D854,$C$191:$C$196,$F$191:$F$196)</f>
        <v>0</v>
      </c>
      <c r="BD854" s="157"/>
    </row>
    <row r="855" spans="2:56" ht="15" thickBot="1">
      <c r="B855" s="156"/>
      <c r="BD855" s="157"/>
    </row>
    <row r="856" spans="2:56" ht="15" thickBot="1">
      <c r="B856" s="156"/>
      <c r="C856" s="141">
        <f ca="1">L853</f>
        <v>2</v>
      </c>
      <c r="D856" s="197" t="str">
        <f ca="1">IF($D851=1,"FC",IF($D851=2,"BC",IF($D851=3,"YC","Nothing")))</f>
        <v>YC</v>
      </c>
      <c r="E856" s="198"/>
      <c r="G856" s="141">
        <f ca="1">L852</f>
        <v>0</v>
      </c>
      <c r="H856" s="197" t="str">
        <f ca="1">IF($D851=1,"FC",IF($D851=2,"BC",IF($D851=3,"YC","Nothing")))</f>
        <v>YC</v>
      </c>
      <c r="I856" s="198"/>
      <c r="K856" s="141">
        <f ca="1" xml:space="preserve"> L851</f>
        <v>2</v>
      </c>
      <c r="L856" s="197" t="str">
        <f ca="1">IF($D851=1,"FC",IF($D851=2,"BC",IF($D851=3,"YC","Nothing")))</f>
        <v>YC</v>
      </c>
      <c r="M856" s="198"/>
      <c r="O856" s="141">
        <f ca="1">IF($D854&lt;&gt;"None",1,0)</f>
        <v>0</v>
      </c>
      <c r="P856" s="326" t="s">
        <v>380</v>
      </c>
      <c r="Q856" s="327"/>
      <c r="S856" s="141">
        <f ca="1">IF($D853&lt;&gt;"None",1,0)</f>
        <v>0</v>
      </c>
      <c r="T856" s="326" t="s">
        <v>381</v>
      </c>
      <c r="U856" s="327"/>
      <c r="W856" s="141">
        <f ca="1">IF($D852&lt;&gt;"None",1,0)</f>
        <v>0</v>
      </c>
      <c r="X856" s="326" t="s">
        <v>382</v>
      </c>
      <c r="Y856" s="327"/>
      <c r="AA856" s="141">
        <f ca="1">IF($D854="None",1,0)</f>
        <v>1</v>
      </c>
      <c r="AB856" s="326" t="str">
        <f ca="1">IF(AA856,D856,$D854)</f>
        <v>YC</v>
      </c>
      <c r="AC856" s="327"/>
      <c r="AE856" s="141">
        <f ca="1">IF($D853="None",1,0)</f>
        <v>1</v>
      </c>
      <c r="AF856" s="326" t="str">
        <f ca="1">IF(AE856,H856,$D853)</f>
        <v>YC</v>
      </c>
      <c r="AG856" s="327"/>
      <c r="AI856" s="141">
        <f ca="1">IF($D852="None",1,0)</f>
        <v>1</v>
      </c>
      <c r="AJ856" s="326" t="str">
        <f ca="1">IF(AI856,L856,$D852)</f>
        <v>YC</v>
      </c>
      <c r="AK856" s="327"/>
      <c r="AM856" s="141">
        <f ca="1">IF($X849="None",0,1)</f>
        <v>0</v>
      </c>
      <c r="AN856" s="197" t="s">
        <v>133</v>
      </c>
      <c r="AO856" s="198"/>
      <c r="AQ856" s="141">
        <f ca="1">IF($X849="None",0,1)</f>
        <v>0</v>
      </c>
      <c r="AR856" s="197" t="s">
        <v>134</v>
      </c>
      <c r="AS856" s="198"/>
      <c r="BD856" s="157"/>
    </row>
    <row r="857" spans="2:56" ht="15" thickBot="1">
      <c r="B857" s="156"/>
      <c r="C857" s="136" t="s">
        <v>452</v>
      </c>
      <c r="D857" s="136" t="s">
        <v>384</v>
      </c>
      <c r="E857" s="138" t="s">
        <v>385</v>
      </c>
      <c r="G857" s="136" t="s">
        <v>452</v>
      </c>
      <c r="H857" s="136" t="s">
        <v>384</v>
      </c>
      <c r="I857" s="138" t="s">
        <v>385</v>
      </c>
      <c r="K857" s="193" t="s">
        <v>452</v>
      </c>
      <c r="L857" s="193" t="s">
        <v>384</v>
      </c>
      <c r="M857" s="194" t="s">
        <v>385</v>
      </c>
      <c r="O857" s="136" t="s">
        <v>452</v>
      </c>
      <c r="P857" s="136" t="s">
        <v>384</v>
      </c>
      <c r="Q857" s="138" t="s">
        <v>385</v>
      </c>
      <c r="S857" s="136" t="s">
        <v>452</v>
      </c>
      <c r="T857" s="136" t="s">
        <v>384</v>
      </c>
      <c r="U857" s="138" t="s">
        <v>385</v>
      </c>
      <c r="W857" s="136" t="s">
        <v>452</v>
      </c>
      <c r="X857" s="136" t="s">
        <v>384</v>
      </c>
      <c r="Y857" s="138" t="s">
        <v>385</v>
      </c>
      <c r="AA857" s="136" t="s">
        <v>452</v>
      </c>
      <c r="AB857" s="136" t="s">
        <v>384</v>
      </c>
      <c r="AC857" s="138" t="s">
        <v>385</v>
      </c>
      <c r="AE857" s="136" t="s">
        <v>452</v>
      </c>
      <c r="AF857" s="136" t="s">
        <v>384</v>
      </c>
      <c r="AG857" s="138" t="s">
        <v>385</v>
      </c>
      <c r="AI857" s="193" t="s">
        <v>452</v>
      </c>
      <c r="AJ857" s="193" t="s">
        <v>384</v>
      </c>
      <c r="AK857" s="194" t="s">
        <v>385</v>
      </c>
      <c r="AM857" s="193" t="s">
        <v>452</v>
      </c>
      <c r="AN857" s="193" t="s">
        <v>384</v>
      </c>
      <c r="AO857" s="194" t="s">
        <v>385</v>
      </c>
      <c r="AQ857" s="193" t="s">
        <v>452</v>
      </c>
      <c r="AR857" s="193" t="s">
        <v>384</v>
      </c>
      <c r="AS857" s="194" t="s">
        <v>385</v>
      </c>
      <c r="BD857" s="157"/>
    </row>
    <row r="858" spans="2:56">
      <c r="B858" s="156"/>
      <c r="C858" s="128" t="s">
        <v>396</v>
      </c>
      <c r="D858" s="158">
        <f ca="1">IF(C856&gt;=1,L849,8888)</f>
        <v>-16.562000000000005</v>
      </c>
      <c r="E858" s="160">
        <f ca="1">IF(C856&gt;=1,1/2*($C$13-P849-2*P851)+1/2*P849,8888)</f>
        <v>1.3199999999999998</v>
      </c>
      <c r="G858" s="128" t="s">
        <v>396</v>
      </c>
      <c r="H858" s="158">
        <f ca="1">IF(G856&gt;=1,L849,8888)</f>
        <v>8888</v>
      </c>
      <c r="I858" s="160">
        <f ca="1">IF(G856&gt;=1,E869-P853,8888)</f>
        <v>8888</v>
      </c>
      <c r="K858" s="128" t="s">
        <v>396</v>
      </c>
      <c r="L858" s="158">
        <f ca="1">IF(K856&gt;=1,L849,8888)</f>
        <v>-16.562000000000005</v>
      </c>
      <c r="M858" s="160">
        <f ca="1">IF(K856&gt;=1,IF(FUSELAGE_n_aisles=1,E869-P853,I881-P853),8888)</f>
        <v>-0.25999999999999979</v>
      </c>
      <c r="O858" s="128" t="s">
        <v>396</v>
      </c>
      <c r="P858" s="158">
        <f ca="1">IF(O856,$L849,8888)</f>
        <v>8888</v>
      </c>
      <c r="Q858" s="209">
        <f ca="1">IF(O856,FUSELAGE_y_position_of_left_seat_YC-(FUSELAGE_nseats_right_YC-1)*(SEAT_w_cushion_YC+SEAT_w_armrest_YC)/2+T854/2,8888)</f>
        <v>8888</v>
      </c>
      <c r="S858" s="128" t="s">
        <v>396</v>
      </c>
      <c r="T858" s="158">
        <f ca="1">IF(S856,$L849,8888)</f>
        <v>8888</v>
      </c>
      <c r="U858" s="160">
        <f ca="1">IF(S856,T852/2,8888)</f>
        <v>8888</v>
      </c>
      <c r="W858" s="128" t="s">
        <v>396</v>
      </c>
      <c r="X858" s="158">
        <f ca="1">IF(W856,$L849,8888)</f>
        <v>8888</v>
      </c>
      <c r="Y858" s="160">
        <f ca="1">IF(W856,-FUSELAGE_y_position_of_left_seat_YC+(FUSELAGE_nseats_left_YC-1)*(SEAT_w_cushion_YC+SEAT_w_armrest_YC)/2-T850/2,8888)</f>
        <v>8888</v>
      </c>
      <c r="AA858" s="128" t="s">
        <v>396</v>
      </c>
      <c r="AB858" s="158">
        <f ca="1">IF($AA856,D858,P858)</f>
        <v>-16.562000000000005</v>
      </c>
      <c r="AC858" s="174">
        <f ca="1">IF($AA856,E858,Q858)</f>
        <v>1.3199999999999998</v>
      </c>
      <c r="AE858" s="128" t="s">
        <v>396</v>
      </c>
      <c r="AF858" s="158">
        <f ca="1">IF($AE856,H858,T858)</f>
        <v>8888</v>
      </c>
      <c r="AG858" s="174">
        <f ca="1">IF($AE856,I858,U858)</f>
        <v>8888</v>
      </c>
      <c r="AI858" s="128" t="s">
        <v>396</v>
      </c>
      <c r="AJ858" s="158">
        <f ca="1">IF($AI856,L858,X858)</f>
        <v>-16.562000000000005</v>
      </c>
      <c r="AK858" s="174">
        <f ca="1">IF($AI856,M858,Y858)</f>
        <v>-0.25999999999999979</v>
      </c>
      <c r="AM858" s="128" t="s">
        <v>396</v>
      </c>
      <c r="AN858" s="158">
        <f ca="1">AN827</f>
        <v>-15.762000000000006</v>
      </c>
      <c r="AO858" s="174">
        <f ca="1">IF(AN858&gt;-Fuselage!$D$366,(FUSELAGE_a_ellipse)*SQRT(1-((AN858+Fuselage!$D$366)/(Fuselage!$K$364-FUSELAGE_t_fuselage))^2),IF(AN858&gt;$L$2505+Fuselage!$K$370,FUSELAGE_a_ellipse,(FUSELAGE_a_ellipse+FUSELAGE_t_fuselage-FUSELAGE_d_fo/4)/Fuselage!$K$368*(AN858-$L$2505-Fuselage!$K$370)+FUSELAGE_a_ellipse))</f>
        <v>1.4960570012328709</v>
      </c>
      <c r="AQ858" s="128" t="s">
        <v>396</v>
      </c>
      <c r="AR858" s="158">
        <f t="shared" ref="AR858:AR863" ca="1" si="102">AN858</f>
        <v>-15.762000000000006</v>
      </c>
      <c r="AS858" s="174">
        <f t="shared" ref="AS858:AS863" ca="1" si="103">-AO858</f>
        <v>-1.4960570012328709</v>
      </c>
      <c r="BD858" s="157"/>
    </row>
    <row r="859" spans="2:56">
      <c r="B859" s="156"/>
      <c r="C859" s="128" t="s">
        <v>213</v>
      </c>
      <c r="D859" s="128">
        <f ca="1">IF(X851,D858+P850/4,D858+P850)</f>
        <v>-16.132000000000005</v>
      </c>
      <c r="E859" s="139">
        <f ca="1">E858</f>
        <v>1.3199999999999998</v>
      </c>
      <c r="G859" s="128" t="s">
        <v>213</v>
      </c>
      <c r="H859" s="128">
        <f ca="1">H858+P850</f>
        <v>8888.43</v>
      </c>
      <c r="I859" s="139">
        <f ca="1">I858</f>
        <v>8888</v>
      </c>
      <c r="K859" s="128" t="s">
        <v>213</v>
      </c>
      <c r="L859" s="128">
        <f ca="1">IF(X851,IF(K856=1,L858+P850/4,L858+P850),L858+P850)</f>
        <v>-16.132000000000005</v>
      </c>
      <c r="M859" s="139">
        <f ca="1">M858</f>
        <v>-0.25999999999999979</v>
      </c>
      <c r="O859" s="128" t="s">
        <v>213</v>
      </c>
      <c r="P859" s="128">
        <f ca="1">P858+$T853</f>
        <v>8888</v>
      </c>
      <c r="Q859" s="139">
        <f ca="1">Q858</f>
        <v>8888</v>
      </c>
      <c r="S859" s="128" t="s">
        <v>213</v>
      </c>
      <c r="T859" s="128">
        <f ca="1">T858+$T851</f>
        <v>8888</v>
      </c>
      <c r="U859" s="139">
        <f ca="1">U858</f>
        <v>8888</v>
      </c>
      <c r="W859" s="128" t="s">
        <v>213</v>
      </c>
      <c r="X859" s="128">
        <f ca="1">X858+$T849</f>
        <v>8888</v>
      </c>
      <c r="Y859" s="139">
        <f ca="1">Y858</f>
        <v>8888</v>
      </c>
      <c r="AA859" s="143" t="s">
        <v>213</v>
      </c>
      <c r="AB859" s="128">
        <f ca="1">IF($AA856,D859,P859)</f>
        <v>-16.132000000000005</v>
      </c>
      <c r="AC859" s="129">
        <f ca="1">IF($AA856,E859,Q859)</f>
        <v>1.3199999999999998</v>
      </c>
      <c r="AE859" s="128" t="s">
        <v>213</v>
      </c>
      <c r="AF859" s="128">
        <f ca="1">IF($AE856,H859,T859)</f>
        <v>8888.43</v>
      </c>
      <c r="AG859" s="129">
        <f ca="1">IF($AE856,I859,U859)</f>
        <v>8888</v>
      </c>
      <c r="AI859" s="128" t="s">
        <v>213</v>
      </c>
      <c r="AJ859" s="128">
        <f ca="1">IF($AI856,L859,X859)</f>
        <v>-16.132000000000005</v>
      </c>
      <c r="AK859" s="129">
        <f ca="1">IF($AI856,M859,Y859)</f>
        <v>-0.25999999999999979</v>
      </c>
      <c r="AM859" s="128" t="s">
        <v>213</v>
      </c>
      <c r="AN859" s="128">
        <f ca="1">AN858-AO849/2</f>
        <v>-15.947000000000006</v>
      </c>
      <c r="AO859" s="129">
        <f ca="1">IF(AN859&gt;-Fuselage!$D$366,(FUSELAGE_a_ellipse)*SQRT(1-((AN859+Fuselage!$D$366)/(Fuselage!$K$364-FUSELAGE_t_fuselage))^2),IF(AN859&gt;$L$2505+Fuselage!$K$370,FUSELAGE_a_ellipse,(FUSELAGE_a_ellipse+FUSELAGE_t_fuselage-FUSELAGE_d_fo/4)/Fuselage!$K$368*(AN859-$L$2505-Fuselage!$K$370)+FUSELAGE_a_ellipse))</f>
        <v>1.4960570012328709</v>
      </c>
      <c r="AQ859" s="128" t="s">
        <v>213</v>
      </c>
      <c r="AR859" s="128">
        <f t="shared" ca="1" si="102"/>
        <v>-15.947000000000006</v>
      </c>
      <c r="AS859" s="129">
        <f t="shared" ca="1" si="103"/>
        <v>-1.4960570012328709</v>
      </c>
      <c r="BD859" s="157"/>
    </row>
    <row r="860" spans="2:56">
      <c r="B860" s="156"/>
      <c r="C860" s="128" t="s">
        <v>286</v>
      </c>
      <c r="D860" s="128">
        <f ca="1">D859</f>
        <v>-16.132000000000005</v>
      </c>
      <c r="E860" s="139">
        <f ca="1">E859-P849</f>
        <v>0.81999999999999984</v>
      </c>
      <c r="G860" s="128" t="s">
        <v>286</v>
      </c>
      <c r="H860" s="128">
        <f ca="1">H859</f>
        <v>8888.43</v>
      </c>
      <c r="I860" s="139">
        <f ca="1">I859-P849</f>
        <v>8887.5</v>
      </c>
      <c r="K860" s="128" t="s">
        <v>286</v>
      </c>
      <c r="L860" s="128">
        <f ca="1">L859</f>
        <v>-16.132000000000005</v>
      </c>
      <c r="M860" s="139">
        <f ca="1">M859-P849</f>
        <v>-0.75999999999999979</v>
      </c>
      <c r="O860" s="128" t="s">
        <v>286</v>
      </c>
      <c r="P860" s="128">
        <f ca="1">P859</f>
        <v>8888</v>
      </c>
      <c r="Q860" s="139">
        <f ca="1">Q859-$T854</f>
        <v>8888</v>
      </c>
      <c r="S860" s="128" t="s">
        <v>286</v>
      </c>
      <c r="T860" s="128">
        <f ca="1">T859</f>
        <v>8888</v>
      </c>
      <c r="U860" s="139">
        <f ca="1">U859-$T852</f>
        <v>8888</v>
      </c>
      <c r="W860" s="128" t="s">
        <v>286</v>
      </c>
      <c r="X860" s="128">
        <f ca="1">X859</f>
        <v>8888</v>
      </c>
      <c r="Y860" s="139">
        <f ca="1">Y859+$T850</f>
        <v>8888</v>
      </c>
      <c r="AA860" s="143" t="s">
        <v>286</v>
      </c>
      <c r="AB860" s="128">
        <f ca="1">IF($AA856,D860,P860)</f>
        <v>-16.132000000000005</v>
      </c>
      <c r="AC860" s="129">
        <f ca="1">IF($AA856,E860,Q860)</f>
        <v>0.81999999999999984</v>
      </c>
      <c r="AE860" s="128" t="s">
        <v>286</v>
      </c>
      <c r="AF860" s="128">
        <f ca="1">IF($AE856,H860,T860)</f>
        <v>8888.43</v>
      </c>
      <c r="AG860" s="129">
        <f ca="1">IF($AE856,I860,U860)</f>
        <v>8887.5</v>
      </c>
      <c r="AI860" s="128" t="s">
        <v>286</v>
      </c>
      <c r="AJ860" s="128">
        <f ca="1">IF($AI856,L860,X860)</f>
        <v>-16.132000000000005</v>
      </c>
      <c r="AK860" s="129">
        <f ca="1">IF($AI856,M860,Y860)</f>
        <v>-0.75999999999999979</v>
      </c>
      <c r="AM860" s="128" t="s">
        <v>286</v>
      </c>
      <c r="AN860" s="128">
        <f ca="1">AN859</f>
        <v>-15.947000000000006</v>
      </c>
      <c r="AO860" s="129">
        <f ca="1">IF(AN860&gt;-Fuselage!$D$366,IF(AM856,(FUSELAGE_a_ellipse+FUSELAGE_t_fuselage)*SQRT(1-((AN860+Fuselage!$D$366)/Fuselage!$K$364)^2),(FUSELAGE_a_ellipse)*SQRT(1-((AN860+Fuselage!$D$366)/Fuselage!$K$364)^2)),IF(AN860&gt;$L$2505+Fuselage!$K$370,(IF(AM856,FUSELAGE_a_ellipse+FUSELAGE_t_fuselage,FUSELAGE_a_ellipse)),IF(AM856,(FUSELAGE_a_ellipse+FUSELAGE_t_fuselage-FUSELAGE_d_fo/4)/Fuselage!$K$368*(AN860-$L$2505-Fuselage!$K$370)+FUSELAGE_a_ellipse+FUSELAGE_t_fuselage,(FUSELAGE_a_ellipse+FUSELAGE_t_fuselage-FUSELAGE_d_fo/4)/Fuselage!$K$368*(AN860-$L$2505-Fuselage!$K$370)+FUSELAGE_a_ellipse)))</f>
        <v>1.4960570012328709</v>
      </c>
      <c r="AQ860" s="128" t="s">
        <v>286</v>
      </c>
      <c r="AR860" s="128">
        <f t="shared" ca="1" si="102"/>
        <v>-15.947000000000006</v>
      </c>
      <c r="AS860" s="129">
        <f t="shared" ca="1" si="103"/>
        <v>-1.4960570012328709</v>
      </c>
      <c r="BD860" s="157"/>
    </row>
    <row r="861" spans="2:56">
      <c r="B861" s="156"/>
      <c r="C861" s="188" t="s">
        <v>522</v>
      </c>
      <c r="D861" s="188">
        <f ca="1">D858</f>
        <v>-16.562000000000005</v>
      </c>
      <c r="E861" s="189">
        <f ca="1">E860</f>
        <v>0.81999999999999984</v>
      </c>
      <c r="F861" s="157"/>
      <c r="G861" s="2" t="s">
        <v>522</v>
      </c>
      <c r="H861" s="128">
        <f ca="1">H858</f>
        <v>8888</v>
      </c>
      <c r="I861" s="139">
        <f ca="1">I860</f>
        <v>8887.5</v>
      </c>
      <c r="K861" s="128" t="s">
        <v>522</v>
      </c>
      <c r="L861" s="128">
        <f ca="1">L858</f>
        <v>-16.562000000000005</v>
      </c>
      <c r="M861" s="139">
        <f ca="1">M860</f>
        <v>-0.75999999999999979</v>
      </c>
      <c r="O861" s="188" t="s">
        <v>522</v>
      </c>
      <c r="P861" s="188">
        <f ca="1">P858</f>
        <v>8888</v>
      </c>
      <c r="Q861" s="189">
        <f ca="1">Q860</f>
        <v>8888</v>
      </c>
      <c r="S861" s="188" t="s">
        <v>522</v>
      </c>
      <c r="T861" s="188">
        <f ca="1">T858</f>
        <v>8888</v>
      </c>
      <c r="U861" s="189">
        <f ca="1">U860</f>
        <v>8888</v>
      </c>
      <c r="W861" s="188" t="s">
        <v>522</v>
      </c>
      <c r="X861" s="188">
        <f ca="1">X858</f>
        <v>8888</v>
      </c>
      <c r="Y861" s="189">
        <f ca="1">Y860</f>
        <v>8888</v>
      </c>
      <c r="AA861" s="195" t="s">
        <v>522</v>
      </c>
      <c r="AB861" s="128">
        <f ca="1">IF($AA856,D861,P861)</f>
        <v>-16.562000000000005</v>
      </c>
      <c r="AC861" s="129">
        <f ca="1">IF($AA856,E861,Q861)</f>
        <v>0.81999999999999984</v>
      </c>
      <c r="AD861" s="157"/>
      <c r="AE861" s="2" t="s">
        <v>522</v>
      </c>
      <c r="AF861" s="188">
        <f ca="1">IF($AE856,H861,T861)</f>
        <v>8888</v>
      </c>
      <c r="AG861" s="196">
        <f ca="1">IF($AE856,I861,U861)</f>
        <v>8887.5</v>
      </c>
      <c r="AI861" s="128" t="s">
        <v>522</v>
      </c>
      <c r="AJ861" s="188">
        <f ca="1">IF($AI856,L861,X861)</f>
        <v>-16.562000000000005</v>
      </c>
      <c r="AK861" s="196">
        <f ca="1">IF($AI856,M861,Y861)</f>
        <v>-0.75999999999999979</v>
      </c>
      <c r="AM861" s="128" t="s">
        <v>522</v>
      </c>
      <c r="AN861" s="128">
        <f ca="1">AN860-X850</f>
        <v>-15.947000000000006</v>
      </c>
      <c r="AO861" s="129">
        <f ca="1">IF(AN861&gt;-Fuselage!$D$366,IF(AM856,(FUSELAGE_a_ellipse+FUSELAGE_t_fuselage)*SQRT(1-((AN861+Fuselage!$D$366)/Fuselage!$K$364)^2),(FUSELAGE_a_ellipse)*SQRT(1-((AN861+Fuselage!$D$366)/Fuselage!$K$364)^2)),IF(AN861&gt;$L$2505+Fuselage!$K$370,(IF(AM856,FUSELAGE_a_ellipse+FUSELAGE_t_fuselage,FUSELAGE_a_ellipse)),IF(AM856,(FUSELAGE_a_ellipse+FUSELAGE_t_fuselage-FUSELAGE_d_fo/4)/Fuselage!$K$368*(AN861-$L$2505-Fuselage!$K$370)+FUSELAGE_a_ellipse+FUSELAGE_t_fuselage,(FUSELAGE_a_ellipse+FUSELAGE_t_fuselage-FUSELAGE_d_fo/4)/Fuselage!$K$368*(AN861-$L$2505-Fuselage!$K$370)+FUSELAGE_a_ellipse)))</f>
        <v>1.4960570012328709</v>
      </c>
      <c r="AQ861" s="128" t="s">
        <v>522</v>
      </c>
      <c r="AR861" s="128">
        <f t="shared" ca="1" si="102"/>
        <v>-15.947000000000006</v>
      </c>
      <c r="AS861" s="129">
        <f t="shared" ca="1" si="103"/>
        <v>-1.4960570012328709</v>
      </c>
      <c r="BD861" s="157"/>
    </row>
    <row r="862" spans="2:56" ht="15" thickBot="1">
      <c r="B862" s="156"/>
      <c r="C862" s="128" t="s">
        <v>49</v>
      </c>
      <c r="D862" s="128">
        <f ca="1">IF(C856&gt;=2,D858,D861)</f>
        <v>-16.562000000000005</v>
      </c>
      <c r="E862" s="139">
        <f ca="1">IF(C856&gt;=2,E861-P851,E861)</f>
        <v>0.75999999999999979</v>
      </c>
      <c r="F862" s="157"/>
      <c r="G862" s="192" t="s">
        <v>49</v>
      </c>
      <c r="H862" s="190">
        <f ca="1">IF(G856&gt;=2,H858,H861)</f>
        <v>8888</v>
      </c>
      <c r="I862" s="191">
        <f ca="1">IF(G856&gt;=2,I861-P851,I861)</f>
        <v>8887.5</v>
      </c>
      <c r="K862" s="190" t="s">
        <v>49</v>
      </c>
      <c r="L862" s="190">
        <f ca="1">IF(K856&gt;=2,L858,L861)</f>
        <v>-16.562000000000005</v>
      </c>
      <c r="M862" s="191">
        <f ca="1">IF(K856&gt;=2,M861-P851,M861)</f>
        <v>-0.81999999999999984</v>
      </c>
      <c r="O862" s="130" t="s">
        <v>396</v>
      </c>
      <c r="P862" s="130">
        <f ca="1">P858</f>
        <v>8888</v>
      </c>
      <c r="Q862" s="140">
        <f ca="1">Q858</f>
        <v>8888</v>
      </c>
      <c r="S862" s="130" t="s">
        <v>396</v>
      </c>
      <c r="T862" s="130">
        <f ca="1">T858</f>
        <v>8888</v>
      </c>
      <c r="U862" s="140">
        <f ca="1">U858</f>
        <v>8888</v>
      </c>
      <c r="W862" s="130" t="s">
        <v>396</v>
      </c>
      <c r="X862" s="130">
        <f ca="1">X858</f>
        <v>8888</v>
      </c>
      <c r="Y862" s="140">
        <f ca="1">Y858</f>
        <v>8888</v>
      </c>
      <c r="AA862" s="143" t="s">
        <v>49</v>
      </c>
      <c r="AB862" s="128">
        <f ca="1">IF($AA856,D862,P862)</f>
        <v>-16.562000000000005</v>
      </c>
      <c r="AC862" s="129">
        <f ca="1">IF($AA856,E862,Q862)</f>
        <v>0.75999999999999979</v>
      </c>
      <c r="AD862" s="157"/>
      <c r="AE862" s="192" t="s">
        <v>49</v>
      </c>
      <c r="AF862" s="128">
        <f ca="1">IF($AE856,H862,T862)</f>
        <v>8888</v>
      </c>
      <c r="AG862" s="129">
        <f ca="1">IF($AE856,I862,U862)</f>
        <v>8887.5</v>
      </c>
      <c r="AI862" s="190" t="s">
        <v>49</v>
      </c>
      <c r="AJ862" s="128">
        <f ca="1">IF($AI856,L862,X862)</f>
        <v>-16.562000000000005</v>
      </c>
      <c r="AK862" s="129">
        <f ca="1">IF($AI856,M862,Y862)</f>
        <v>-0.81999999999999984</v>
      </c>
      <c r="AM862" s="128" t="s">
        <v>49</v>
      </c>
      <c r="AN862" s="128">
        <f ca="1">AN861</f>
        <v>-15.947000000000006</v>
      </c>
      <c r="AO862" s="129">
        <f ca="1">IF(AN862&gt;-Fuselage!$D$366,(FUSELAGE_a_ellipse)*SQRT(1-((AN862+Fuselage!$D$366)/(Fuselage!$K$364-FUSELAGE_t_fuselage))^2),IF(AN862&gt;$L$2505+Fuselage!$K$370,FUSELAGE_a_ellipse,(FUSELAGE_a_ellipse+FUSELAGE_t_fuselage-FUSELAGE_d_fo/4)/Fuselage!$K$368*(AN862-$L$2505-Fuselage!$K$370)+FUSELAGE_a_ellipse))</f>
        <v>1.4960570012328709</v>
      </c>
      <c r="AQ862" s="128" t="s">
        <v>49</v>
      </c>
      <c r="AR862" s="128">
        <f t="shared" ca="1" si="102"/>
        <v>-15.947000000000006</v>
      </c>
      <c r="AS862" s="129">
        <f t="shared" ca="1" si="103"/>
        <v>-1.4960570012328709</v>
      </c>
      <c r="BD862" s="157"/>
    </row>
    <row r="863" spans="2:56">
      <c r="B863" s="156"/>
      <c r="C863" s="128" t="s">
        <v>453</v>
      </c>
      <c r="D863" s="128">
        <f ca="1">IF(C856&gt;=2,D858+P850,D861)</f>
        <v>-16.132000000000005</v>
      </c>
      <c r="E863" s="139">
        <f ca="1">E862</f>
        <v>0.75999999999999979</v>
      </c>
      <c r="F863" s="157"/>
      <c r="G863" s="2" t="s">
        <v>453</v>
      </c>
      <c r="H863" s="128">
        <f ca="1">IF(G856&gt;=2,H859,H861)</f>
        <v>8888</v>
      </c>
      <c r="I863" s="139">
        <f ca="1">IF(G856&gt;=2,I862,I861)</f>
        <v>8887.5</v>
      </c>
      <c r="K863" s="128" t="s">
        <v>453</v>
      </c>
      <c r="L863" s="128">
        <f ca="1">IF(K856&gt;=2,IF(X851,IF(K856=2,L858+P850/4,L858+P850),L858+P850),L861)</f>
        <v>-16.132000000000005</v>
      </c>
      <c r="M863" s="139">
        <f ca="1">IF(K856&gt;=2,M862,M861)</f>
        <v>-0.81999999999999984</v>
      </c>
      <c r="AA863" s="143" t="s">
        <v>453</v>
      </c>
      <c r="AB863" s="128">
        <f ca="1">IF($AA856,D863,AB862)</f>
        <v>-16.132000000000005</v>
      </c>
      <c r="AC863" s="129">
        <f ca="1">IF($AA856,E863,AC862)</f>
        <v>0.75999999999999979</v>
      </c>
      <c r="AD863" s="157"/>
      <c r="AE863" s="2" t="s">
        <v>453</v>
      </c>
      <c r="AF863" s="128">
        <f ca="1">IF($AE856,H863,AF862)</f>
        <v>8888</v>
      </c>
      <c r="AG863" s="129">
        <f ca="1">IF($AE856,I863,AG862)</f>
        <v>8887.5</v>
      </c>
      <c r="AI863" s="128" t="s">
        <v>453</v>
      </c>
      <c r="AJ863" s="128">
        <f ca="1">IF($AI856,L863,AJ862)</f>
        <v>-16.132000000000005</v>
      </c>
      <c r="AK863" s="129">
        <f ca="1">IF($AI856,M863,AK862)</f>
        <v>-0.81999999999999984</v>
      </c>
      <c r="AM863" s="128" t="s">
        <v>453</v>
      </c>
      <c r="AN863" s="128">
        <f ca="1">L849</f>
        <v>-16.562000000000005</v>
      </c>
      <c r="AO863" s="129">
        <f ca="1">IF(AN863&gt;-Fuselage!$D$366,(FUSELAGE_a_ellipse)*SQRT(1-((AN863+Fuselage!$D$366)/(Fuselage!$K$364-FUSELAGE_t_fuselage))^2),IF(AN863&gt;$L$2505+Fuselage!$K$370,FUSELAGE_a_ellipse,(FUSELAGE_a_ellipse+FUSELAGE_t_fuselage-FUSELAGE_d_fo/4)/Fuselage!$K$368*(AN863-$L$2505-Fuselage!$K$370)+FUSELAGE_a_ellipse))</f>
        <v>1.4960570012328709</v>
      </c>
      <c r="AQ863" s="128" t="s">
        <v>453</v>
      </c>
      <c r="AR863" s="128">
        <f t="shared" ca="1" si="102"/>
        <v>-16.562000000000005</v>
      </c>
      <c r="AS863" s="129">
        <f t="shared" ca="1" si="103"/>
        <v>-1.4960570012328709</v>
      </c>
      <c r="BD863" s="157"/>
    </row>
    <row r="864" spans="2:56">
      <c r="B864" s="156"/>
      <c r="C864" s="128" t="s">
        <v>394</v>
      </c>
      <c r="D864" s="128">
        <f ca="1">IF(C856&gt;=2,D863,D861)</f>
        <v>-16.132000000000005</v>
      </c>
      <c r="E864" s="139">
        <f ca="1">IF(C856&gt;=2,E862-P849,E861)</f>
        <v>0.25999999999999979</v>
      </c>
      <c r="F864" s="157"/>
      <c r="G864" s="2" t="s">
        <v>394</v>
      </c>
      <c r="H864" s="128">
        <f ca="1">IF(G856&gt;=2,H859,H861)</f>
        <v>8888</v>
      </c>
      <c r="I864" s="139">
        <f ca="1">IF(G856&gt;=2,I863-P849,I861)</f>
        <v>8887.5</v>
      </c>
      <c r="K864" s="128" t="s">
        <v>394</v>
      </c>
      <c r="L864" s="128">
        <f ca="1">L863</f>
        <v>-16.132000000000005</v>
      </c>
      <c r="M864" s="139">
        <f ca="1">IF(K856&gt;=2,M863-P849,M861)</f>
        <v>-1.3199999999999998</v>
      </c>
      <c r="AA864" s="143" t="s">
        <v>394</v>
      </c>
      <c r="AB864" s="128">
        <f ca="1">IF($AA856,D864,AB862)</f>
        <v>-16.132000000000005</v>
      </c>
      <c r="AC864" s="129">
        <f ca="1">IF($AA856,E864,AC862)</f>
        <v>0.25999999999999979</v>
      </c>
      <c r="AD864" s="157"/>
      <c r="AE864" s="2" t="s">
        <v>394</v>
      </c>
      <c r="AF864" s="128">
        <f ca="1">IF($AE856,H864,AF862)</f>
        <v>8888</v>
      </c>
      <c r="AG864" s="129">
        <f ca="1">IF($AE856,I864,AG862)</f>
        <v>8887.5</v>
      </c>
      <c r="AI864" s="128" t="s">
        <v>394</v>
      </c>
      <c r="AJ864" s="128">
        <f ca="1">IF($AI856,L864,AJ862)</f>
        <v>-16.132000000000005</v>
      </c>
      <c r="AK864" s="129">
        <f ca="1">IF($AI856,M864,AK862)</f>
        <v>-1.3199999999999998</v>
      </c>
      <c r="BD864" s="157"/>
    </row>
    <row r="865" spans="2:56">
      <c r="B865" s="156"/>
      <c r="C865" s="188" t="s">
        <v>454</v>
      </c>
      <c r="D865" s="188">
        <f ca="1">IF(C856&gt;=2,D858,D861)</f>
        <v>-16.562000000000005</v>
      </c>
      <c r="E865" s="189">
        <f ca="1">E864</f>
        <v>0.25999999999999979</v>
      </c>
      <c r="F865" s="157"/>
      <c r="G865" s="115" t="s">
        <v>454</v>
      </c>
      <c r="H865" s="188">
        <f ca="1">IF(G856&gt;=2,H858,H861)</f>
        <v>8888</v>
      </c>
      <c r="I865" s="189">
        <f ca="1">IF(G856&gt;=2,I864,I861)</f>
        <v>8887.5</v>
      </c>
      <c r="K865" s="188" t="s">
        <v>454</v>
      </c>
      <c r="L865" s="188">
        <f ca="1">IF(K856&gt;=2,L858,L861)</f>
        <v>-16.562000000000005</v>
      </c>
      <c r="M865" s="189">
        <f ca="1">IF(K856&gt;=2,M864,M861)</f>
        <v>-1.3199999999999998</v>
      </c>
      <c r="AA865" s="195" t="s">
        <v>454</v>
      </c>
      <c r="AB865" s="128">
        <f ca="1">IF($AA856,D865,AB862)</f>
        <v>-16.562000000000005</v>
      </c>
      <c r="AC865" s="129">
        <f ca="1">IF($AA856,E865,AC862)</f>
        <v>0.25999999999999979</v>
      </c>
      <c r="AD865" s="157"/>
      <c r="AE865" s="115" t="s">
        <v>454</v>
      </c>
      <c r="AF865" s="188">
        <f ca="1">IF($AE856,H865,AF862)</f>
        <v>8888</v>
      </c>
      <c r="AG865" s="196">
        <f ca="1">IF($AE856,I865,AG862)</f>
        <v>8887.5</v>
      </c>
      <c r="AI865" s="188" t="s">
        <v>454</v>
      </c>
      <c r="AJ865" s="188">
        <f ca="1">IF($AI856,L865,AJ862)</f>
        <v>-16.562000000000005</v>
      </c>
      <c r="AK865" s="196">
        <f ca="1">IF($AI856,M865,AK862)</f>
        <v>-1.3199999999999998</v>
      </c>
      <c r="BD865" s="157"/>
    </row>
    <row r="866" spans="2:56">
      <c r="B866" s="156"/>
      <c r="C866" s="128" t="s">
        <v>507</v>
      </c>
      <c r="D866" s="128">
        <f ca="1">IF(C856&gt;=3,D858,D865)</f>
        <v>-16.562000000000005</v>
      </c>
      <c r="E866" s="139">
        <f ca="1">IF(C856&gt;=3,E865-P851,E865)</f>
        <v>0.25999999999999979</v>
      </c>
      <c r="F866" s="157"/>
      <c r="G866" s="2" t="s">
        <v>507</v>
      </c>
      <c r="H866" s="128">
        <f ca="1">IF(G856&gt;=3,H858,H865)</f>
        <v>8888</v>
      </c>
      <c r="I866" s="139">
        <f ca="1">IF(G856&gt;=3,I865-P851,I865)</f>
        <v>8887.5</v>
      </c>
      <c r="K866" s="128" t="s">
        <v>507</v>
      </c>
      <c r="L866" s="128">
        <f ca="1">IF(K856&gt;=3,L858,L865)</f>
        <v>-16.562000000000005</v>
      </c>
      <c r="M866" s="139">
        <f ca="1">IF(K856&gt;=3,M865-P851,M865)</f>
        <v>-1.3199999999999998</v>
      </c>
      <c r="AA866" s="143" t="s">
        <v>507</v>
      </c>
      <c r="AB866" s="128">
        <f ca="1">IF($AA856,D866,AB862)</f>
        <v>-16.562000000000005</v>
      </c>
      <c r="AC866" s="129">
        <f ca="1">IF($AA856,E866,AC862)</f>
        <v>0.25999999999999979</v>
      </c>
      <c r="AD866" s="157"/>
      <c r="AE866" s="2" t="s">
        <v>507</v>
      </c>
      <c r="AF866" s="128">
        <f ca="1">IF($AE856,H866,AF862)</f>
        <v>8888</v>
      </c>
      <c r="AG866" s="129">
        <f ca="1">IF($AE856,I866,AG862)</f>
        <v>8887.5</v>
      </c>
      <c r="AI866" s="128" t="s">
        <v>507</v>
      </c>
      <c r="AJ866" s="128">
        <f ca="1">IF($AI856,L866,AJ862)</f>
        <v>-16.562000000000005</v>
      </c>
      <c r="AK866" s="129">
        <f ca="1">IF($AI856,M866,AK862)</f>
        <v>-1.3199999999999998</v>
      </c>
      <c r="BD866" s="157"/>
    </row>
    <row r="867" spans="2:56">
      <c r="B867" s="156"/>
      <c r="C867" s="128" t="s">
        <v>455</v>
      </c>
      <c r="D867" s="128">
        <f ca="1">IF(C856&gt;=3,D863,D865)</f>
        <v>-16.562000000000005</v>
      </c>
      <c r="E867" s="139">
        <f ca="1">E866</f>
        <v>0.25999999999999979</v>
      </c>
      <c r="F867" s="157"/>
      <c r="G867" s="2" t="s">
        <v>455</v>
      </c>
      <c r="H867" s="128">
        <f ca="1">IF(G856&gt;=3,H859,H865)</f>
        <v>8888</v>
      </c>
      <c r="I867" s="139">
        <f ca="1">IF(G856&gt;=3,I866,I865)</f>
        <v>8887.5</v>
      </c>
      <c r="K867" s="128" t="s">
        <v>455</v>
      </c>
      <c r="L867" s="128">
        <f ca="1">IF(K856&gt;=3,IF(X851,IF(K856=3,L858+P850/4,L858+P850),L858+P850),L861)</f>
        <v>-16.562000000000005</v>
      </c>
      <c r="M867" s="139">
        <f ca="1">IF(K856&gt;=3,M866,M865)</f>
        <v>-1.3199999999999998</v>
      </c>
      <c r="AA867" s="143" t="s">
        <v>455</v>
      </c>
      <c r="AB867" s="128">
        <f ca="1">IF($AA856,D867,AB862)</f>
        <v>-16.562000000000005</v>
      </c>
      <c r="AC867" s="129">
        <f ca="1">IF($AA856,E867,AC862)</f>
        <v>0.25999999999999979</v>
      </c>
      <c r="AD867" s="157"/>
      <c r="AE867" s="2" t="s">
        <v>455</v>
      </c>
      <c r="AF867" s="128">
        <f ca="1">IF($AE856,H867,AF862)</f>
        <v>8888</v>
      </c>
      <c r="AG867" s="129">
        <f ca="1">IF($AE856,I867,AG862)</f>
        <v>8887.5</v>
      </c>
      <c r="AI867" s="128" t="s">
        <v>455</v>
      </c>
      <c r="AJ867" s="128">
        <f ca="1">IF($AI856,L867,AJ862)</f>
        <v>-16.562000000000005</v>
      </c>
      <c r="AK867" s="129">
        <f ca="1">IF($AI856,M867,AK862)</f>
        <v>-1.3199999999999998</v>
      </c>
      <c r="AL867" s="156"/>
      <c r="BD867" s="157"/>
    </row>
    <row r="868" spans="2:56">
      <c r="B868" s="156"/>
      <c r="C868" s="128" t="s">
        <v>311</v>
      </c>
      <c r="D868" s="128">
        <f ca="1">IF(C856&gt;=3,D863,D865)</f>
        <v>-16.562000000000005</v>
      </c>
      <c r="E868" s="139">
        <f ca="1">IF(C856&gt;=3,E867-P849,E865)</f>
        <v>0.25999999999999979</v>
      </c>
      <c r="F868" s="157"/>
      <c r="G868" s="2" t="s">
        <v>311</v>
      </c>
      <c r="H868" s="128">
        <f ca="1">IF(G856&gt;=3,H859,H865)</f>
        <v>8888</v>
      </c>
      <c r="I868" s="139">
        <f ca="1">IF(G856&gt;=3,I867-P849,I865)</f>
        <v>8887.5</v>
      </c>
      <c r="K868" s="128" t="s">
        <v>311</v>
      </c>
      <c r="L868" s="128">
        <f ca="1">L867</f>
        <v>-16.562000000000005</v>
      </c>
      <c r="M868" s="139">
        <f ca="1">IF(K856&gt;=3,M867-P849,M865)</f>
        <v>-1.3199999999999998</v>
      </c>
      <c r="AA868" s="143" t="s">
        <v>311</v>
      </c>
      <c r="AB868" s="128">
        <f ca="1">IF($AA856,D868,AB862)</f>
        <v>-16.562000000000005</v>
      </c>
      <c r="AC868" s="129">
        <f ca="1">IF($AA856,E868,AC862)</f>
        <v>0.25999999999999979</v>
      </c>
      <c r="AD868" s="157"/>
      <c r="AE868" s="2" t="s">
        <v>311</v>
      </c>
      <c r="AF868" s="128">
        <f ca="1">IF($AE856,H868,AF862)</f>
        <v>8888</v>
      </c>
      <c r="AG868" s="129">
        <f ca="1">IF($AE856,I868,AG862)</f>
        <v>8887.5</v>
      </c>
      <c r="AI868" s="128" t="s">
        <v>311</v>
      </c>
      <c r="AJ868" s="128">
        <f ca="1">IF($AI856,L868,AJ862)</f>
        <v>-16.562000000000005</v>
      </c>
      <c r="AK868" s="129">
        <f ca="1">IF($AI856,M868,AK862)</f>
        <v>-1.3199999999999998</v>
      </c>
      <c r="AL868" s="156"/>
      <c r="BD868" s="157"/>
    </row>
    <row r="869" spans="2:56">
      <c r="B869" s="156"/>
      <c r="C869" s="188" t="s">
        <v>35</v>
      </c>
      <c r="D869" s="188">
        <f ca="1">IF(C856&gt;=3,D858,D865)</f>
        <v>-16.562000000000005</v>
      </c>
      <c r="E869" s="189">
        <f ca="1">E868</f>
        <v>0.25999999999999979</v>
      </c>
      <c r="F869" s="157"/>
      <c r="G869" s="2" t="s">
        <v>35</v>
      </c>
      <c r="H869" s="188">
        <f ca="1">IF(G856&gt;=3,H858,H865)</f>
        <v>8888</v>
      </c>
      <c r="I869" s="189">
        <f ca="1">IF(G856&gt;=3,I868,I865)</f>
        <v>8887.5</v>
      </c>
      <c r="K869" s="188" t="s">
        <v>35</v>
      </c>
      <c r="L869" s="188">
        <f ca="1">IF(K856&gt;=3,L858,L865)</f>
        <v>-16.562000000000005</v>
      </c>
      <c r="M869" s="189">
        <f ca="1">IF(K856&gt;=3,M868,M865)</f>
        <v>-1.3199999999999998</v>
      </c>
      <c r="AA869" s="143" t="s">
        <v>35</v>
      </c>
      <c r="AB869" s="128">
        <f ca="1">IF($AA856,D869,AB862)</f>
        <v>-16.562000000000005</v>
      </c>
      <c r="AC869" s="129">
        <f ca="1">IF($AA856,E869,AC862)</f>
        <v>0.25999999999999979</v>
      </c>
      <c r="AD869" s="157"/>
      <c r="AE869" s="2" t="s">
        <v>35</v>
      </c>
      <c r="AF869" s="188">
        <f ca="1">IF($AE856,H869,AF862)</f>
        <v>8888</v>
      </c>
      <c r="AG869" s="196">
        <f ca="1">IF($AE856,I869,AG862)</f>
        <v>8887.5</v>
      </c>
      <c r="AI869" s="128" t="s">
        <v>35</v>
      </c>
      <c r="AJ869" s="128">
        <f ca="1">IF($AI856,L869,AJ862)</f>
        <v>-16.562000000000005</v>
      </c>
      <c r="AK869" s="129">
        <f ca="1">IF($AI856,M869,AK862)</f>
        <v>-1.3199999999999998</v>
      </c>
      <c r="AL869" s="156"/>
      <c r="BD869" s="157"/>
    </row>
    <row r="870" spans="2:56" ht="15" thickBot="1">
      <c r="B870" s="156"/>
      <c r="C870" s="130" t="s">
        <v>396</v>
      </c>
      <c r="D870" s="130">
        <f ca="1">D858</f>
        <v>-16.562000000000005</v>
      </c>
      <c r="E870" s="140">
        <f ca="1">E858</f>
        <v>1.3199999999999998</v>
      </c>
      <c r="F870" s="157"/>
      <c r="G870" s="192" t="s">
        <v>312</v>
      </c>
      <c r="H870" s="128">
        <f ca="1">IF(G856&gt;=4,H858,H869)</f>
        <v>8888</v>
      </c>
      <c r="I870" s="139">
        <f ca="1">IF(G856&gt;=4,I869-P851,I869)</f>
        <v>8887.5</v>
      </c>
      <c r="K870" s="130" t="s">
        <v>396</v>
      </c>
      <c r="L870" s="130">
        <f ca="1">L858</f>
        <v>-16.562000000000005</v>
      </c>
      <c r="M870" s="140">
        <f ca="1">M858</f>
        <v>-0.25999999999999979</v>
      </c>
      <c r="AA870" s="144" t="s">
        <v>396</v>
      </c>
      <c r="AB870" s="130">
        <f ca="1">IF($AA856,D870,AB862)</f>
        <v>-16.562000000000005</v>
      </c>
      <c r="AC870" s="132">
        <f ca="1">IF($AA856,E870,AC862)</f>
        <v>1.3199999999999998</v>
      </c>
      <c r="AD870" s="157"/>
      <c r="AE870" s="192" t="s">
        <v>312</v>
      </c>
      <c r="AF870" s="128">
        <f ca="1">IF($AE856,H870,AF862)</f>
        <v>8888</v>
      </c>
      <c r="AG870" s="129">
        <f ca="1">IF($AE856,I870,AG862)</f>
        <v>8887.5</v>
      </c>
      <c r="AI870" s="130" t="s">
        <v>396</v>
      </c>
      <c r="AJ870" s="130">
        <f ca="1">IF($AI856,L870,AJ862)</f>
        <v>-16.562000000000005</v>
      </c>
      <c r="AK870" s="132">
        <f ca="1">IF($AI856,M870,AK862)</f>
        <v>-0.25999999999999979</v>
      </c>
      <c r="BD870" s="157"/>
    </row>
    <row r="871" spans="2:56">
      <c r="B871" s="156"/>
      <c r="F871" s="157"/>
      <c r="G871" s="2" t="s">
        <v>313</v>
      </c>
      <c r="H871" s="128">
        <f ca="1">IF(G856&gt;=4,H859,H869)</f>
        <v>8888</v>
      </c>
      <c r="I871" s="139">
        <f ca="1">IF(G856&gt;=4,I870,I869)</f>
        <v>8887.5</v>
      </c>
      <c r="AD871" s="157"/>
      <c r="AE871" s="2" t="s">
        <v>313</v>
      </c>
      <c r="AF871" s="128">
        <f ca="1">IF($AE856,H871,AF862)</f>
        <v>8888</v>
      </c>
      <c r="AG871" s="129">
        <f ca="1">IF($AE856,I871,AG862)</f>
        <v>8887.5</v>
      </c>
      <c r="BD871" s="157"/>
    </row>
    <row r="872" spans="2:56">
      <c r="B872" s="156"/>
      <c r="F872" s="157"/>
      <c r="G872" s="2" t="s">
        <v>7</v>
      </c>
      <c r="H872" s="128">
        <f ca="1">IF(G856&gt;=4,H859,H869)</f>
        <v>8888</v>
      </c>
      <c r="I872" s="139">
        <f ca="1">IF(G856&gt;=4,I871-P849,I869)</f>
        <v>8887.5</v>
      </c>
      <c r="AD872" s="157"/>
      <c r="AE872" s="2" t="s">
        <v>7</v>
      </c>
      <c r="AF872" s="128">
        <f ca="1">IF($AE856,H872,AF862)</f>
        <v>8888</v>
      </c>
      <c r="AG872" s="129">
        <f ca="1">IF($AE856,I872,AG862)</f>
        <v>8887.5</v>
      </c>
      <c r="BD872" s="157"/>
    </row>
    <row r="873" spans="2:56">
      <c r="B873" s="156"/>
      <c r="F873" s="157"/>
      <c r="G873" s="115" t="s">
        <v>8</v>
      </c>
      <c r="H873" s="188">
        <f ca="1">IF(G856&gt;=4,H858,H869)</f>
        <v>8888</v>
      </c>
      <c r="I873" s="189">
        <f ca="1">IF(G856&gt;=4,I872,I869)</f>
        <v>8887.5</v>
      </c>
      <c r="AD873" s="157"/>
      <c r="AE873" s="115" t="s">
        <v>8</v>
      </c>
      <c r="AF873" s="188">
        <f ca="1">IF($AE856,H873,AF862)</f>
        <v>8888</v>
      </c>
      <c r="AG873" s="196">
        <f ca="1">IF($AE856,I873,AG862)</f>
        <v>8887.5</v>
      </c>
      <c r="BD873" s="157"/>
    </row>
    <row r="874" spans="2:56">
      <c r="B874" s="156"/>
      <c r="F874" s="157"/>
      <c r="G874" s="2" t="s">
        <v>9</v>
      </c>
      <c r="H874" s="128">
        <f ca="1">IF(G856&gt;=5,H858,H873)</f>
        <v>8888</v>
      </c>
      <c r="I874" s="139">
        <f ca="1">IF(G856&gt;=5,I873-P851,I873)</f>
        <v>8887.5</v>
      </c>
      <c r="AD874" s="157"/>
      <c r="AE874" s="2" t="s">
        <v>9</v>
      </c>
      <c r="AF874" s="128">
        <f ca="1">IF($AE856,H874,AF862)</f>
        <v>8888</v>
      </c>
      <c r="AG874" s="129">
        <f ca="1">IF($AE856,I874,AG862)</f>
        <v>8887.5</v>
      </c>
      <c r="BD874" s="157"/>
    </row>
    <row r="875" spans="2:56">
      <c r="B875" s="156"/>
      <c r="F875" s="157"/>
      <c r="G875" s="2" t="s">
        <v>196</v>
      </c>
      <c r="H875" s="128">
        <f ca="1">IF(G856&gt;=5,H859,H873)</f>
        <v>8888</v>
      </c>
      <c r="I875" s="139">
        <f ca="1">IF(G856&gt;=5,I874,I873)</f>
        <v>8887.5</v>
      </c>
      <c r="AD875" s="157"/>
      <c r="AE875" s="2" t="s">
        <v>196</v>
      </c>
      <c r="AF875" s="128">
        <f ca="1">IF($AE856,H875,AF862)</f>
        <v>8888</v>
      </c>
      <c r="AG875" s="129">
        <f ca="1">IF($AE856,I875,AG862)</f>
        <v>8887.5</v>
      </c>
      <c r="BD875" s="157"/>
    </row>
    <row r="876" spans="2:56">
      <c r="B876" s="156"/>
      <c r="F876" s="157"/>
      <c r="G876" s="2" t="s">
        <v>10</v>
      </c>
      <c r="H876" s="128">
        <f ca="1">IF(G856&gt;=5,H859,H873)</f>
        <v>8888</v>
      </c>
      <c r="I876" s="139">
        <f ca="1">IF(G856&gt;=5,I875-P849,I873)</f>
        <v>8887.5</v>
      </c>
      <c r="AD876" s="157"/>
      <c r="AE876" s="2" t="s">
        <v>10</v>
      </c>
      <c r="AF876" s="128">
        <f ca="1">IF($AE856,H876,AF862)</f>
        <v>8888</v>
      </c>
      <c r="AG876" s="129">
        <f ca="1">IF($AE856,I876,AG862)</f>
        <v>8887.5</v>
      </c>
      <c r="BD876" s="157"/>
    </row>
    <row r="877" spans="2:56">
      <c r="B877" s="156"/>
      <c r="F877" s="157"/>
      <c r="G877" s="2" t="s">
        <v>161</v>
      </c>
      <c r="H877" s="188">
        <f ca="1">IF(G856&gt;=5,H858,H873)</f>
        <v>8888</v>
      </c>
      <c r="I877" s="189">
        <f ca="1">IF(G856&gt;=5,I876,I873)</f>
        <v>8887.5</v>
      </c>
      <c r="AD877" s="157"/>
      <c r="AE877" s="2" t="s">
        <v>161</v>
      </c>
      <c r="AF877" s="188">
        <f ca="1">IF($AE856,H877,AF862)</f>
        <v>8888</v>
      </c>
      <c r="AG877" s="196">
        <f ca="1">IF($AE856,I877,AG862)</f>
        <v>8887.5</v>
      </c>
      <c r="BD877" s="157"/>
    </row>
    <row r="878" spans="2:56">
      <c r="B878" s="156"/>
      <c r="F878" s="157"/>
      <c r="G878" s="192" t="s">
        <v>11</v>
      </c>
      <c r="H878" s="128">
        <f ca="1">IF(G856&gt;=6,H858,H877)</f>
        <v>8888</v>
      </c>
      <c r="I878" s="139">
        <f ca="1">IF(G856&gt;=6,I877-P851,I877)</f>
        <v>8887.5</v>
      </c>
      <c r="AD878" s="157"/>
      <c r="AE878" s="192" t="s">
        <v>11</v>
      </c>
      <c r="AF878" s="128">
        <f ca="1">IF($AE856,H878,AF862)</f>
        <v>8888</v>
      </c>
      <c r="AG878" s="129">
        <f ca="1">IF($AE856,I878,AG862)</f>
        <v>8887.5</v>
      </c>
      <c r="BD878" s="157"/>
    </row>
    <row r="879" spans="2:56">
      <c r="B879" s="156"/>
      <c r="F879" s="157"/>
      <c r="G879" s="2" t="s">
        <v>12</v>
      </c>
      <c r="H879" s="128">
        <f ca="1">IF(G856&gt;=6,H859,H877)</f>
        <v>8888</v>
      </c>
      <c r="I879" s="139">
        <f ca="1">IF(G856&gt;=6,I878,I877)</f>
        <v>8887.5</v>
      </c>
      <c r="AD879" s="157"/>
      <c r="AE879" s="2" t="s">
        <v>12</v>
      </c>
      <c r="AF879" s="128">
        <f ca="1">IF($AE856,H879,AF862)</f>
        <v>8888</v>
      </c>
      <c r="AG879" s="129">
        <f ca="1">IF($AE856,I879,AG862)</f>
        <v>8887.5</v>
      </c>
      <c r="BD879" s="157"/>
    </row>
    <row r="880" spans="2:56">
      <c r="B880" s="156"/>
      <c r="F880" s="157"/>
      <c r="G880" s="2" t="s">
        <v>13</v>
      </c>
      <c r="H880" s="128">
        <f ca="1">IF(G856&gt;=6,H859,H877)</f>
        <v>8888</v>
      </c>
      <c r="I880" s="139">
        <f ca="1">IF(G856&gt;=6,I879-P849,I877)</f>
        <v>8887.5</v>
      </c>
      <c r="AD880" s="157"/>
      <c r="AE880" s="2" t="s">
        <v>13</v>
      </c>
      <c r="AF880" s="128">
        <f ca="1">IF($AE856,H880,AF862)</f>
        <v>8888</v>
      </c>
      <c r="AG880" s="129">
        <f ca="1">IF($AE856,I880,AG862)</f>
        <v>8887.5</v>
      </c>
      <c r="BD880" s="157"/>
    </row>
    <row r="881" spans="2:56">
      <c r="B881" s="156"/>
      <c r="F881" s="157"/>
      <c r="G881" s="115" t="s">
        <v>14</v>
      </c>
      <c r="H881" s="188">
        <f ca="1">IF(G856&gt;=6,H858,H877)</f>
        <v>8888</v>
      </c>
      <c r="I881" s="189">
        <f ca="1">IF(G856&gt;=6,I880,I877)</f>
        <v>8887.5</v>
      </c>
      <c r="AD881" s="157"/>
      <c r="AE881" s="115" t="s">
        <v>14</v>
      </c>
      <c r="AF881" s="188">
        <f ca="1">IF($AE856,H881,AF862)</f>
        <v>8888</v>
      </c>
      <c r="AG881" s="196">
        <f ca="1">IF($AE856,I881,AG862)</f>
        <v>8887.5</v>
      </c>
      <c r="BD881" s="157"/>
    </row>
    <row r="882" spans="2:56" ht="15" thickBot="1">
      <c r="B882" s="156"/>
      <c r="G882" s="130" t="s">
        <v>396</v>
      </c>
      <c r="H882" s="130">
        <f ca="1">H858</f>
        <v>8888</v>
      </c>
      <c r="I882" s="140">
        <f ca="1">I858</f>
        <v>8888</v>
      </c>
      <c r="AE882" s="130" t="s">
        <v>396</v>
      </c>
      <c r="AF882" s="130">
        <f ca="1">IF($AE856,H882,AF862)</f>
        <v>8888</v>
      </c>
      <c r="AG882" s="132">
        <f ca="1">IF($AE856,I882,AG862)</f>
        <v>8888</v>
      </c>
      <c r="BD882" s="157"/>
    </row>
    <row r="883" spans="2:56">
      <c r="B883" s="156"/>
      <c r="BD883" s="157"/>
    </row>
    <row r="884" spans="2:56">
      <c r="B884" s="156"/>
      <c r="BD884" s="157"/>
    </row>
    <row r="885" spans="2:56">
      <c r="B885" s="156"/>
      <c r="C885" s="200" t="s">
        <v>336</v>
      </c>
      <c r="D885">
        <f>D849+1</f>
        <v>20</v>
      </c>
      <c r="G885" s="200" t="s">
        <v>638</v>
      </c>
      <c r="H885">
        <f ca="1">LOOKUP(D888,$C$191:$C$196,$D$191:$D$196)</f>
        <v>0</v>
      </c>
      <c r="K885" s="200" t="s">
        <v>644</v>
      </c>
      <c r="L885">
        <f ca="1">L849-H890</f>
        <v>-16.562000000000005</v>
      </c>
      <c r="O885" s="200" t="s">
        <v>404</v>
      </c>
      <c r="P885">
        <f ca="1">IF(D887=1,SEAT_w_cushion_FC,IF(D887=2,SEAT_w_cushion_BC,IF(D887=3,SEAT_w_cushion_YC,0)))</f>
        <v>0</v>
      </c>
      <c r="S885" s="200" t="s">
        <v>647</v>
      </c>
      <c r="T885">
        <f ca="1">LOOKUP(D888,$C$191:$C$196,$E$191:$E$196)</f>
        <v>0</v>
      </c>
      <c r="W885" t="s">
        <v>130</v>
      </c>
      <c r="X885" t="str">
        <f ca="1">OFFSET(Fuselage!$B$275,D885,5)</f>
        <v>None</v>
      </c>
      <c r="AN885" s="200" t="s">
        <v>135</v>
      </c>
      <c r="AO885">
        <f ca="1">MAX(0,H890-MAX(T885,T887,T889,P886)-X886)</f>
        <v>0</v>
      </c>
      <c r="BD885" s="157"/>
    </row>
    <row r="886" spans="2:56">
      <c r="B886" s="156"/>
      <c r="C886" s="200" t="s">
        <v>200</v>
      </c>
      <c r="D886" t="str">
        <f ca="1">OFFSET(Fuselage!$B$275,D885,0)</f>
        <v/>
      </c>
      <c r="G886" s="200" t="s">
        <v>639</v>
      </c>
      <c r="H886">
        <f ca="1">LOOKUP(D889,$C$191:$C$196,$D$191:$D$196)</f>
        <v>0</v>
      </c>
      <c r="O886" s="200" t="s">
        <v>535</v>
      </c>
      <c r="P886">
        <f ca="1">IF(D887=1,SEAT_length_FC,IF(D887=2,SEAT_length_BC,IF(D887=3,SEAT_length_YC,0)))</f>
        <v>0</v>
      </c>
      <c r="S886" s="200" t="s">
        <v>648</v>
      </c>
      <c r="T886">
        <f ca="1">LOOKUP(D888,$C$191:$C$196,$F$191:$F$196)</f>
        <v>0</v>
      </c>
      <c r="W886" t="s">
        <v>131</v>
      </c>
      <c r="X886">
        <f ca="1">LOOKUP(X885,$I$191:$I$198,$J$191:$J$198)</f>
        <v>0</v>
      </c>
      <c r="BD886" s="157"/>
    </row>
    <row r="887" spans="2:56">
      <c r="B887" s="156"/>
      <c r="C887" s="200" t="s">
        <v>337</v>
      </c>
      <c r="D887" t="str">
        <f ca="1">OFFSET(Fuselage!$B$275,D885,4)</f>
        <v/>
      </c>
      <c r="G887" s="200" t="s">
        <v>309</v>
      </c>
      <c r="H887">
        <f ca="1">LOOKUP(D890,$C$191:$C$196,$D$191:$D$196)</f>
        <v>0</v>
      </c>
      <c r="K887" s="200" t="s">
        <v>645</v>
      </c>
      <c r="L887">
        <f ca="1">IF(D887=1,FUSELAGE_nseats_left_FC,IF(D887=2,FUSELAGE_nseats_left_BC,IF(D887=3,FUSELAGE_nseats_left_YC,0)))</f>
        <v>0</v>
      </c>
      <c r="O887" s="200" t="s">
        <v>405</v>
      </c>
      <c r="P887">
        <f ca="1">IF(D887=1,SEAT_w_armrest_FC,IF(D887=2,SEAT_w_armrest_BC,IF(D887=3,SEAT_w_armrest_YC,0)))</f>
        <v>0</v>
      </c>
      <c r="S887" s="200" t="s">
        <v>652</v>
      </c>
      <c r="T887">
        <f ca="1">LOOKUP(D889,$C$191:$C$196,$E$191:$E$196)</f>
        <v>0</v>
      </c>
      <c r="W887" s="200" t="s">
        <v>393</v>
      </c>
      <c r="X887" t="b">
        <f ca="1">IF(OFFSET(Fuselage!$B$275,D885,6)="YES",TRUE(),FALSE())</f>
        <v>0</v>
      </c>
      <c r="BD887" s="157"/>
    </row>
    <row r="888" spans="2:56">
      <c r="B888" s="156"/>
      <c r="C888" s="200" t="s">
        <v>640</v>
      </c>
      <c r="D888" t="str">
        <f ca="1">OFFSET(Fuselage!$B$275,D885,1)</f>
        <v>None</v>
      </c>
      <c r="G888" s="200" t="s">
        <v>132</v>
      </c>
      <c r="H888">
        <f ca="1">IF(D887=1,SEAT_pitch_FC,IF(D887=2,SEAT_pitch_BC,IF(D887=3,SEAT_pitch_YC,0)))</f>
        <v>0</v>
      </c>
      <c r="K888" s="200" t="s">
        <v>646</v>
      </c>
      <c r="L888">
        <f ca="1">IF(D887=1,FUSELAGE_nseats_middle_FC,IF(D887=2,FUSELAGE_nseats_middle_BC,IF(D887=3,FUSELAGE_nseats_middle_YC,0)))</f>
        <v>0</v>
      </c>
      <c r="S888" s="200" t="s">
        <v>653</v>
      </c>
      <c r="T888">
        <f ca="1">LOOKUP(D889,$C$191:$C$196,$F$191:$F$196)</f>
        <v>0</v>
      </c>
      <c r="BD888" s="157"/>
    </row>
    <row r="889" spans="2:56">
      <c r="B889" s="156"/>
      <c r="C889" s="200" t="s">
        <v>642</v>
      </c>
      <c r="D889" t="str">
        <f ca="1">OFFSET(Fuselage!$B$275,D885,2)</f>
        <v>None</v>
      </c>
      <c r="G889" s="200" t="s">
        <v>129</v>
      </c>
      <c r="H889">
        <f ca="1">IF(OR(X885="Type A",X885="Type B"),MAX(H885:H888)+42*0.0254,IF(X885="Type C",MAX(H885:H888)+X886,IF(X885&lt;&gt;"None",24*0.0254,0)))</f>
        <v>0</v>
      </c>
      <c r="K889" s="200" t="s">
        <v>655</v>
      </c>
      <c r="L889">
        <f ca="1">IF(D887=1,FUSELAGE_nseats_right_FC,IF(D887=2,FUSELAGE_nseats_right_BC,IF(D887=3,FUSELAGE_nseats_right_YC,0)))</f>
        <v>0</v>
      </c>
      <c r="O889" s="200" t="s">
        <v>407</v>
      </c>
      <c r="P889">
        <f ca="1">($C$13-(L887+L888+L889)*(P885+P887)+(FUSELAGE_n_aisles-1)*P887)/FUSELAGE_n_aisles</f>
        <v>2.76</v>
      </c>
      <c r="S889" s="200" t="s">
        <v>651</v>
      </c>
      <c r="T889">
        <f ca="1">LOOKUP(D890,$C$191:$C$196,$E$191:$E$196)</f>
        <v>0</v>
      </c>
      <c r="BD889" s="157"/>
    </row>
    <row r="890" spans="2:56">
      <c r="B890" s="156"/>
      <c r="C890" s="200" t="s">
        <v>641</v>
      </c>
      <c r="D890" t="str">
        <f ca="1">OFFSET(Fuselage!$B$275,D885,3)</f>
        <v>None</v>
      </c>
      <c r="G890" s="200" t="s">
        <v>643</v>
      </c>
      <c r="H890">
        <f ca="1">MAX(H885:H889)</f>
        <v>0</v>
      </c>
      <c r="S890" s="200" t="s">
        <v>654</v>
      </c>
      <c r="T890">
        <f ca="1">LOOKUP(D890,$C$191:$C$196,$F$191:$F$196)</f>
        <v>0</v>
      </c>
      <c r="BD890" s="157"/>
    </row>
    <row r="891" spans="2:56" ht="15" thickBot="1">
      <c r="B891" s="156"/>
      <c r="BD891" s="157"/>
    </row>
    <row r="892" spans="2:56" ht="15" thickBot="1">
      <c r="B892" s="156"/>
      <c r="C892" s="141">
        <f ca="1">L889</f>
        <v>0</v>
      </c>
      <c r="D892" s="197" t="str">
        <f ca="1">IF($D887=1,"FC",IF($D887=2,"BC",IF($D887=3,"YC","Nothing")))</f>
        <v>Nothing</v>
      </c>
      <c r="E892" s="198"/>
      <c r="G892" s="141">
        <f ca="1">L888</f>
        <v>0</v>
      </c>
      <c r="H892" s="197" t="str">
        <f ca="1">IF($D887=1,"FC",IF($D887=2,"BC",IF($D887=3,"YC","Nothing")))</f>
        <v>Nothing</v>
      </c>
      <c r="I892" s="198"/>
      <c r="K892" s="141">
        <f ca="1" xml:space="preserve"> L887</f>
        <v>0</v>
      </c>
      <c r="L892" s="197" t="str">
        <f ca="1">IF($D887=1,"FC",IF($D887=2,"BC",IF($D887=3,"YC","Nothing")))</f>
        <v>Nothing</v>
      </c>
      <c r="M892" s="198"/>
      <c r="O892" s="141">
        <f ca="1">IF($D890&lt;&gt;"None",1,0)</f>
        <v>0</v>
      </c>
      <c r="P892" s="326" t="s">
        <v>380</v>
      </c>
      <c r="Q892" s="327"/>
      <c r="S892" s="141">
        <f ca="1">IF($D889&lt;&gt;"None",1,0)</f>
        <v>0</v>
      </c>
      <c r="T892" s="326" t="s">
        <v>381</v>
      </c>
      <c r="U892" s="327"/>
      <c r="W892" s="141">
        <f ca="1">IF($D888&lt;&gt;"None",1,0)</f>
        <v>0</v>
      </c>
      <c r="X892" s="326" t="s">
        <v>382</v>
      </c>
      <c r="Y892" s="327"/>
      <c r="AA892" s="141">
        <f ca="1">IF($D890="None",1,0)</f>
        <v>1</v>
      </c>
      <c r="AB892" s="326" t="str">
        <f ca="1">IF(AA892,D892,$D890)</f>
        <v>Nothing</v>
      </c>
      <c r="AC892" s="327"/>
      <c r="AE892" s="141">
        <f ca="1">IF($D889="None",1,0)</f>
        <v>1</v>
      </c>
      <c r="AF892" s="326" t="str">
        <f ca="1">IF(AE892,H892,$D889)</f>
        <v>Nothing</v>
      </c>
      <c r="AG892" s="327"/>
      <c r="AI892" s="141">
        <f ca="1">IF($D888="None",1,0)</f>
        <v>1</v>
      </c>
      <c r="AJ892" s="326" t="str">
        <f ca="1">IF(AI892,L892,$D888)</f>
        <v>Nothing</v>
      </c>
      <c r="AK892" s="327"/>
      <c r="AM892" s="141">
        <f ca="1">IF($X885="None",0,1)</f>
        <v>0</v>
      </c>
      <c r="AN892" s="197" t="s">
        <v>133</v>
      </c>
      <c r="AO892" s="198"/>
      <c r="AQ892" s="141">
        <f ca="1">IF($X885="None",0,1)</f>
        <v>0</v>
      </c>
      <c r="AR892" s="197" t="s">
        <v>134</v>
      </c>
      <c r="AS892" s="198"/>
      <c r="BD892" s="157"/>
    </row>
    <row r="893" spans="2:56" ht="15" thickBot="1">
      <c r="B893" s="156"/>
      <c r="C893" s="136" t="s">
        <v>452</v>
      </c>
      <c r="D893" s="136" t="s">
        <v>384</v>
      </c>
      <c r="E893" s="138" t="s">
        <v>385</v>
      </c>
      <c r="G893" s="136" t="s">
        <v>452</v>
      </c>
      <c r="H893" s="136" t="s">
        <v>384</v>
      </c>
      <c r="I893" s="138" t="s">
        <v>385</v>
      </c>
      <c r="K893" s="193" t="s">
        <v>452</v>
      </c>
      <c r="L893" s="193" t="s">
        <v>384</v>
      </c>
      <c r="M893" s="194" t="s">
        <v>385</v>
      </c>
      <c r="O893" s="136" t="s">
        <v>452</v>
      </c>
      <c r="P893" s="136" t="s">
        <v>384</v>
      </c>
      <c r="Q893" s="138" t="s">
        <v>385</v>
      </c>
      <c r="S893" s="136" t="s">
        <v>452</v>
      </c>
      <c r="T893" s="136" t="s">
        <v>384</v>
      </c>
      <c r="U893" s="138" t="s">
        <v>385</v>
      </c>
      <c r="W893" s="136" t="s">
        <v>452</v>
      </c>
      <c r="X893" s="136" t="s">
        <v>384</v>
      </c>
      <c r="Y893" s="138" t="s">
        <v>385</v>
      </c>
      <c r="AA893" s="136" t="s">
        <v>452</v>
      </c>
      <c r="AB893" s="136" t="s">
        <v>384</v>
      </c>
      <c r="AC893" s="138" t="s">
        <v>385</v>
      </c>
      <c r="AE893" s="136" t="s">
        <v>452</v>
      </c>
      <c r="AF893" s="136" t="s">
        <v>384</v>
      </c>
      <c r="AG893" s="138" t="s">
        <v>385</v>
      </c>
      <c r="AI893" s="193" t="s">
        <v>452</v>
      </c>
      <c r="AJ893" s="193" t="s">
        <v>384</v>
      </c>
      <c r="AK893" s="194" t="s">
        <v>385</v>
      </c>
      <c r="AM893" s="193" t="s">
        <v>452</v>
      </c>
      <c r="AN893" s="193" t="s">
        <v>384</v>
      </c>
      <c r="AO893" s="194" t="s">
        <v>385</v>
      </c>
      <c r="AQ893" s="193" t="s">
        <v>452</v>
      </c>
      <c r="AR893" s="193" t="s">
        <v>384</v>
      </c>
      <c r="AS893" s="194" t="s">
        <v>385</v>
      </c>
      <c r="BD893" s="157"/>
    </row>
    <row r="894" spans="2:56">
      <c r="B894" s="156"/>
      <c r="C894" s="128" t="s">
        <v>396</v>
      </c>
      <c r="D894" s="158">
        <f ca="1">IF(C892&gt;=1,L885,8888)</f>
        <v>8888</v>
      </c>
      <c r="E894" s="160">
        <f ca="1">IF(C892&gt;=1,1/2*($C$13-P885-2*P887)+1/2*P885,8888)</f>
        <v>8888</v>
      </c>
      <c r="G894" s="128" t="s">
        <v>396</v>
      </c>
      <c r="H894" s="158">
        <f ca="1">IF(G892&gt;=1,L885,8888)</f>
        <v>8888</v>
      </c>
      <c r="I894" s="160">
        <f ca="1">IF(G892&gt;=1,E905-P889,8888)</f>
        <v>8888</v>
      </c>
      <c r="K894" s="128" t="s">
        <v>396</v>
      </c>
      <c r="L894" s="158">
        <f ca="1">IF(K892&gt;=1,L885,8888)</f>
        <v>8888</v>
      </c>
      <c r="M894" s="160">
        <f ca="1">IF(K892&gt;=1,IF(FUSELAGE_n_aisles=1,E905-P889,I917-P889),8888)</f>
        <v>8888</v>
      </c>
      <c r="O894" s="128" t="s">
        <v>396</v>
      </c>
      <c r="P894" s="158">
        <f ca="1">IF(O892,$L885,8888)</f>
        <v>8888</v>
      </c>
      <c r="Q894" s="209">
        <f ca="1">IF(O892,FUSELAGE_y_position_of_left_seat_YC-(FUSELAGE_nseats_right_YC-1)*(SEAT_w_cushion_YC+SEAT_w_armrest_YC)/2+T890/2,8888)</f>
        <v>8888</v>
      </c>
      <c r="S894" s="128" t="s">
        <v>396</v>
      </c>
      <c r="T894" s="158">
        <f ca="1">IF(S892,$L885,8888)</f>
        <v>8888</v>
      </c>
      <c r="U894" s="160">
        <f ca="1">IF(S892,T888/2,8888)</f>
        <v>8888</v>
      </c>
      <c r="W894" s="128" t="s">
        <v>396</v>
      </c>
      <c r="X894" s="158">
        <f ca="1">IF(W892,$L885,8888)</f>
        <v>8888</v>
      </c>
      <c r="Y894" s="160">
        <f ca="1">IF(W892,-FUSELAGE_y_position_of_left_seat_YC+(FUSELAGE_nseats_left_YC-1)*(SEAT_w_cushion_YC+SEAT_w_armrest_YC)/2-T886/2,8888)</f>
        <v>8888</v>
      </c>
      <c r="AA894" s="128" t="s">
        <v>396</v>
      </c>
      <c r="AB894" s="158">
        <f ca="1">IF($AA892,D894,P894)</f>
        <v>8888</v>
      </c>
      <c r="AC894" s="174">
        <f ca="1">IF($AA892,E894,Q894)</f>
        <v>8888</v>
      </c>
      <c r="AE894" s="128" t="s">
        <v>396</v>
      </c>
      <c r="AF894" s="158">
        <f ca="1">IF($AE892,H894,T894)</f>
        <v>8888</v>
      </c>
      <c r="AG894" s="174">
        <f ca="1">IF($AE892,I894,U894)</f>
        <v>8888</v>
      </c>
      <c r="AI894" s="128" t="s">
        <v>396</v>
      </c>
      <c r="AJ894" s="158">
        <f ca="1">IF($AI892,L894,X894)</f>
        <v>8888</v>
      </c>
      <c r="AK894" s="174">
        <f ca="1">IF($AI892,M894,Y894)</f>
        <v>8888</v>
      </c>
      <c r="AM894" s="128" t="s">
        <v>396</v>
      </c>
      <c r="AN894" s="158">
        <f ca="1">AN863</f>
        <v>-16.562000000000005</v>
      </c>
      <c r="AO894" s="174">
        <f ca="1">IF(AN894&gt;-Fuselage!$D$366,(FUSELAGE_a_ellipse)*SQRT(1-((AN894+Fuselage!$D$366)/(Fuselage!$K$364-FUSELAGE_t_fuselage))^2),IF(AN894&gt;$L$2505+Fuselage!$K$370,FUSELAGE_a_ellipse,(FUSELAGE_a_ellipse+FUSELAGE_t_fuselage-FUSELAGE_d_fo/4)/Fuselage!$K$368*(AN894-$L$2505-Fuselage!$K$370)+FUSELAGE_a_ellipse))</f>
        <v>1.4960570012328709</v>
      </c>
      <c r="AQ894" s="128" t="s">
        <v>396</v>
      </c>
      <c r="AR894" s="158">
        <f t="shared" ref="AR894:AR899" ca="1" si="104">AN894</f>
        <v>-16.562000000000005</v>
      </c>
      <c r="AS894" s="174">
        <f t="shared" ref="AS894:AS899" ca="1" si="105">-AO894</f>
        <v>-1.4960570012328709</v>
      </c>
      <c r="BD894" s="157"/>
    </row>
    <row r="895" spans="2:56">
      <c r="B895" s="156"/>
      <c r="C895" s="128" t="s">
        <v>213</v>
      </c>
      <c r="D895" s="128">
        <f ca="1">IF(X887,D894+P886/4,D894+P886)</f>
        <v>8888</v>
      </c>
      <c r="E895" s="139">
        <f ca="1">E894</f>
        <v>8888</v>
      </c>
      <c r="G895" s="128" t="s">
        <v>213</v>
      </c>
      <c r="H895" s="128">
        <f ca="1">H894+P886</f>
        <v>8888</v>
      </c>
      <c r="I895" s="139">
        <f ca="1">I894</f>
        <v>8888</v>
      </c>
      <c r="K895" s="128" t="s">
        <v>213</v>
      </c>
      <c r="L895" s="128">
        <f ca="1">IF(X887,IF(K892=1,L894+P886/4,L894+P886),L894+P886)</f>
        <v>8888</v>
      </c>
      <c r="M895" s="139">
        <f ca="1">M894</f>
        <v>8888</v>
      </c>
      <c r="O895" s="128" t="s">
        <v>213</v>
      </c>
      <c r="P895" s="128">
        <f ca="1">P894+$T889</f>
        <v>8888</v>
      </c>
      <c r="Q895" s="139">
        <f ca="1">Q894</f>
        <v>8888</v>
      </c>
      <c r="S895" s="128" t="s">
        <v>213</v>
      </c>
      <c r="T895" s="128">
        <f ca="1">T894+$T887</f>
        <v>8888</v>
      </c>
      <c r="U895" s="139">
        <f ca="1">U894</f>
        <v>8888</v>
      </c>
      <c r="W895" s="128" t="s">
        <v>213</v>
      </c>
      <c r="X895" s="128">
        <f ca="1">X894+$T885</f>
        <v>8888</v>
      </c>
      <c r="Y895" s="139">
        <f ca="1">Y894</f>
        <v>8888</v>
      </c>
      <c r="AA895" s="143" t="s">
        <v>213</v>
      </c>
      <c r="AB895" s="128">
        <f ca="1">IF($AA892,D895,P895)</f>
        <v>8888</v>
      </c>
      <c r="AC895" s="129">
        <f ca="1">IF($AA892,E895,Q895)</f>
        <v>8888</v>
      </c>
      <c r="AE895" s="128" t="s">
        <v>213</v>
      </c>
      <c r="AF895" s="128">
        <f ca="1">IF($AE892,H895,T895)</f>
        <v>8888</v>
      </c>
      <c r="AG895" s="129">
        <f ca="1">IF($AE892,I895,U895)</f>
        <v>8888</v>
      </c>
      <c r="AI895" s="128" t="s">
        <v>213</v>
      </c>
      <c r="AJ895" s="128">
        <f ca="1">IF($AI892,L895,X895)</f>
        <v>8888</v>
      </c>
      <c r="AK895" s="129">
        <f ca="1">IF($AI892,M895,Y895)</f>
        <v>8888</v>
      </c>
      <c r="AM895" s="128" t="s">
        <v>213</v>
      </c>
      <c r="AN895" s="128">
        <f ca="1">AN894-AO885/2</f>
        <v>-16.562000000000005</v>
      </c>
      <c r="AO895" s="129">
        <f ca="1">IF(AN895&gt;-Fuselage!$D$366,(FUSELAGE_a_ellipse)*SQRT(1-((AN895+Fuselage!$D$366)/(Fuselage!$K$364-FUSELAGE_t_fuselage))^2),IF(AN895&gt;$L$2505+Fuselage!$K$370,FUSELAGE_a_ellipse,(FUSELAGE_a_ellipse+FUSELAGE_t_fuselage-FUSELAGE_d_fo/4)/Fuselage!$K$368*(AN895-$L$2505-Fuselage!$K$370)+FUSELAGE_a_ellipse))</f>
        <v>1.4960570012328709</v>
      </c>
      <c r="AQ895" s="128" t="s">
        <v>213</v>
      </c>
      <c r="AR895" s="128">
        <f t="shared" ca="1" si="104"/>
        <v>-16.562000000000005</v>
      </c>
      <c r="AS895" s="129">
        <f t="shared" ca="1" si="105"/>
        <v>-1.4960570012328709</v>
      </c>
      <c r="BD895" s="157"/>
    </row>
    <row r="896" spans="2:56">
      <c r="B896" s="156"/>
      <c r="C896" s="128" t="s">
        <v>286</v>
      </c>
      <c r="D896" s="128">
        <f ca="1">D895</f>
        <v>8888</v>
      </c>
      <c r="E896" s="139">
        <f ca="1">E895-P885</f>
        <v>8888</v>
      </c>
      <c r="G896" s="128" t="s">
        <v>286</v>
      </c>
      <c r="H896" s="128">
        <f ca="1">H895</f>
        <v>8888</v>
      </c>
      <c r="I896" s="139">
        <f ca="1">I895-P885</f>
        <v>8888</v>
      </c>
      <c r="K896" s="128" t="s">
        <v>286</v>
      </c>
      <c r="L896" s="128">
        <f ca="1">L895</f>
        <v>8888</v>
      </c>
      <c r="M896" s="139">
        <f ca="1">M895-P885</f>
        <v>8888</v>
      </c>
      <c r="O896" s="128" t="s">
        <v>286</v>
      </c>
      <c r="P896" s="128">
        <f ca="1">P895</f>
        <v>8888</v>
      </c>
      <c r="Q896" s="139">
        <f ca="1">Q895-$T890</f>
        <v>8888</v>
      </c>
      <c r="S896" s="128" t="s">
        <v>286</v>
      </c>
      <c r="T896" s="128">
        <f ca="1">T895</f>
        <v>8888</v>
      </c>
      <c r="U896" s="139">
        <f ca="1">U895-$T888</f>
        <v>8888</v>
      </c>
      <c r="W896" s="128" t="s">
        <v>286</v>
      </c>
      <c r="X896" s="128">
        <f ca="1">X895</f>
        <v>8888</v>
      </c>
      <c r="Y896" s="139">
        <f ca="1">Y895+$T886</f>
        <v>8888</v>
      </c>
      <c r="AA896" s="143" t="s">
        <v>286</v>
      </c>
      <c r="AB896" s="128">
        <f ca="1">IF($AA892,D896,P896)</f>
        <v>8888</v>
      </c>
      <c r="AC896" s="129">
        <f ca="1">IF($AA892,E896,Q896)</f>
        <v>8888</v>
      </c>
      <c r="AE896" s="128" t="s">
        <v>286</v>
      </c>
      <c r="AF896" s="128">
        <f ca="1">IF($AE892,H896,T896)</f>
        <v>8888</v>
      </c>
      <c r="AG896" s="129">
        <f ca="1">IF($AE892,I896,U896)</f>
        <v>8888</v>
      </c>
      <c r="AI896" s="128" t="s">
        <v>286</v>
      </c>
      <c r="AJ896" s="128">
        <f ca="1">IF($AI892,L896,X896)</f>
        <v>8888</v>
      </c>
      <c r="AK896" s="129">
        <f ca="1">IF($AI892,M896,Y896)</f>
        <v>8888</v>
      </c>
      <c r="AM896" s="128" t="s">
        <v>286</v>
      </c>
      <c r="AN896" s="128">
        <f ca="1">AN895</f>
        <v>-16.562000000000005</v>
      </c>
      <c r="AO896" s="129">
        <f ca="1">IF(AN896&gt;-Fuselage!$D$366,IF(AM892,(FUSELAGE_a_ellipse+FUSELAGE_t_fuselage)*SQRT(1-((AN896+Fuselage!$D$366)/Fuselage!$K$364)^2),(FUSELAGE_a_ellipse)*SQRT(1-((AN896+Fuselage!$D$366)/Fuselage!$K$364)^2)),IF(AN896&gt;$L$2505+Fuselage!$K$370,(IF(AM892,FUSELAGE_a_ellipse+FUSELAGE_t_fuselage,FUSELAGE_a_ellipse)),IF(AM892,(FUSELAGE_a_ellipse+FUSELAGE_t_fuselage-FUSELAGE_d_fo/4)/Fuselage!$K$368*(AN896-$L$2505-Fuselage!$K$370)+FUSELAGE_a_ellipse+FUSELAGE_t_fuselage,(FUSELAGE_a_ellipse+FUSELAGE_t_fuselage-FUSELAGE_d_fo/4)/Fuselage!$K$368*(AN896-$L$2505-Fuselage!$K$370)+FUSELAGE_a_ellipse)))</f>
        <v>1.4960570012328709</v>
      </c>
      <c r="AQ896" s="128" t="s">
        <v>286</v>
      </c>
      <c r="AR896" s="128">
        <f t="shared" ca="1" si="104"/>
        <v>-16.562000000000005</v>
      </c>
      <c r="AS896" s="129">
        <f t="shared" ca="1" si="105"/>
        <v>-1.4960570012328709</v>
      </c>
      <c r="BD896" s="157"/>
    </row>
    <row r="897" spans="2:56">
      <c r="B897" s="156"/>
      <c r="C897" s="188" t="s">
        <v>522</v>
      </c>
      <c r="D897" s="188">
        <f ca="1">D894</f>
        <v>8888</v>
      </c>
      <c r="E897" s="189">
        <f ca="1">E896</f>
        <v>8888</v>
      </c>
      <c r="F897" s="157"/>
      <c r="G897" s="2" t="s">
        <v>522</v>
      </c>
      <c r="H897" s="128">
        <f ca="1">H894</f>
        <v>8888</v>
      </c>
      <c r="I897" s="139">
        <f ca="1">I896</f>
        <v>8888</v>
      </c>
      <c r="K897" s="128" t="s">
        <v>522</v>
      </c>
      <c r="L897" s="128">
        <f ca="1">L894</f>
        <v>8888</v>
      </c>
      <c r="M897" s="139">
        <f ca="1">M896</f>
        <v>8888</v>
      </c>
      <c r="O897" s="188" t="s">
        <v>522</v>
      </c>
      <c r="P897" s="188">
        <f ca="1">P894</f>
        <v>8888</v>
      </c>
      <c r="Q897" s="189">
        <f ca="1">Q896</f>
        <v>8888</v>
      </c>
      <c r="S897" s="188" t="s">
        <v>522</v>
      </c>
      <c r="T897" s="188">
        <f ca="1">T894</f>
        <v>8888</v>
      </c>
      <c r="U897" s="189">
        <f ca="1">U896</f>
        <v>8888</v>
      </c>
      <c r="W897" s="188" t="s">
        <v>522</v>
      </c>
      <c r="X897" s="188">
        <f ca="1">X894</f>
        <v>8888</v>
      </c>
      <c r="Y897" s="189">
        <f ca="1">Y896</f>
        <v>8888</v>
      </c>
      <c r="AA897" s="195" t="s">
        <v>522</v>
      </c>
      <c r="AB897" s="128">
        <f ca="1">IF($AA892,D897,P897)</f>
        <v>8888</v>
      </c>
      <c r="AC897" s="129">
        <f ca="1">IF($AA892,E897,Q897)</f>
        <v>8888</v>
      </c>
      <c r="AD897" s="157"/>
      <c r="AE897" s="2" t="s">
        <v>522</v>
      </c>
      <c r="AF897" s="188">
        <f ca="1">IF($AE892,H897,T897)</f>
        <v>8888</v>
      </c>
      <c r="AG897" s="196">
        <f ca="1">IF($AE892,I897,U897)</f>
        <v>8888</v>
      </c>
      <c r="AI897" s="128" t="s">
        <v>522</v>
      </c>
      <c r="AJ897" s="188">
        <f ca="1">IF($AI892,L897,X897)</f>
        <v>8888</v>
      </c>
      <c r="AK897" s="196">
        <f ca="1">IF($AI892,M897,Y897)</f>
        <v>8888</v>
      </c>
      <c r="AM897" s="128" t="s">
        <v>522</v>
      </c>
      <c r="AN897" s="128">
        <f ca="1">AN896-X886</f>
        <v>-16.562000000000005</v>
      </c>
      <c r="AO897" s="129">
        <f ca="1">IF(AN897&gt;-Fuselage!$D$366,IF(AM892,(FUSELAGE_a_ellipse+FUSELAGE_t_fuselage)*SQRT(1-((AN897+Fuselage!$D$366)/Fuselage!$K$364)^2),(FUSELAGE_a_ellipse)*SQRT(1-((AN897+Fuselage!$D$366)/Fuselage!$K$364)^2)),IF(AN897&gt;$L$2505+Fuselage!$K$370,(IF(AM892,FUSELAGE_a_ellipse+FUSELAGE_t_fuselage,FUSELAGE_a_ellipse)),IF(AM892,(FUSELAGE_a_ellipse+FUSELAGE_t_fuselage-FUSELAGE_d_fo/4)/Fuselage!$K$368*(AN897-$L$2505-Fuselage!$K$370)+FUSELAGE_a_ellipse+FUSELAGE_t_fuselage,(FUSELAGE_a_ellipse+FUSELAGE_t_fuselage-FUSELAGE_d_fo/4)/Fuselage!$K$368*(AN897-$L$2505-Fuselage!$K$370)+FUSELAGE_a_ellipse)))</f>
        <v>1.4960570012328709</v>
      </c>
      <c r="AQ897" s="128" t="s">
        <v>522</v>
      </c>
      <c r="AR897" s="128">
        <f t="shared" ca="1" si="104"/>
        <v>-16.562000000000005</v>
      </c>
      <c r="AS897" s="129">
        <f t="shared" ca="1" si="105"/>
        <v>-1.4960570012328709</v>
      </c>
      <c r="BD897" s="157"/>
    </row>
    <row r="898" spans="2:56" ht="15" thickBot="1">
      <c r="B898" s="156"/>
      <c r="C898" s="128" t="s">
        <v>49</v>
      </c>
      <c r="D898" s="128">
        <f ca="1">IF(C892&gt;=2,D894,D897)</f>
        <v>8888</v>
      </c>
      <c r="E898" s="139">
        <f ca="1">IF(C892&gt;=2,E897-P887,E897)</f>
        <v>8888</v>
      </c>
      <c r="F898" s="157"/>
      <c r="G898" s="192" t="s">
        <v>49</v>
      </c>
      <c r="H898" s="190">
        <f ca="1">IF(G892&gt;=2,H894,H897)</f>
        <v>8888</v>
      </c>
      <c r="I898" s="191">
        <f ca="1">IF(G892&gt;=2,I897-P887,I897)</f>
        <v>8888</v>
      </c>
      <c r="K898" s="190" t="s">
        <v>49</v>
      </c>
      <c r="L898" s="190">
        <f ca="1">IF(K892&gt;=2,L894,L897)</f>
        <v>8888</v>
      </c>
      <c r="M898" s="191">
        <f ca="1">IF(K892&gt;=2,M897-P887,M897)</f>
        <v>8888</v>
      </c>
      <c r="O898" s="130" t="s">
        <v>396</v>
      </c>
      <c r="P898" s="130">
        <f ca="1">P894</f>
        <v>8888</v>
      </c>
      <c r="Q898" s="140">
        <f ca="1">Q894</f>
        <v>8888</v>
      </c>
      <c r="S898" s="130" t="s">
        <v>396</v>
      </c>
      <c r="T898" s="130">
        <f ca="1">T894</f>
        <v>8888</v>
      </c>
      <c r="U898" s="140">
        <f ca="1">U894</f>
        <v>8888</v>
      </c>
      <c r="W898" s="130" t="s">
        <v>396</v>
      </c>
      <c r="X898" s="130">
        <f ca="1">X894</f>
        <v>8888</v>
      </c>
      <c r="Y898" s="140">
        <f ca="1">Y894</f>
        <v>8888</v>
      </c>
      <c r="AA898" s="143" t="s">
        <v>49</v>
      </c>
      <c r="AB898" s="128">
        <f ca="1">IF($AA892,D898,P898)</f>
        <v>8888</v>
      </c>
      <c r="AC898" s="129">
        <f ca="1">IF($AA892,E898,Q898)</f>
        <v>8888</v>
      </c>
      <c r="AD898" s="157"/>
      <c r="AE898" s="192" t="s">
        <v>49</v>
      </c>
      <c r="AF898" s="128">
        <f ca="1">IF($AE892,H898,T898)</f>
        <v>8888</v>
      </c>
      <c r="AG898" s="129">
        <f ca="1">IF($AE892,I898,U898)</f>
        <v>8888</v>
      </c>
      <c r="AI898" s="190" t="s">
        <v>49</v>
      </c>
      <c r="AJ898" s="128">
        <f ca="1">IF($AI892,L898,X898)</f>
        <v>8888</v>
      </c>
      <c r="AK898" s="129">
        <f ca="1">IF($AI892,M898,Y898)</f>
        <v>8888</v>
      </c>
      <c r="AM898" s="128" t="s">
        <v>49</v>
      </c>
      <c r="AN898" s="128">
        <f ca="1">AN897</f>
        <v>-16.562000000000005</v>
      </c>
      <c r="AO898" s="129">
        <f ca="1">IF(AN898&gt;-Fuselage!$D$366,(FUSELAGE_a_ellipse)*SQRT(1-((AN898+Fuselage!$D$366)/(Fuselage!$K$364-FUSELAGE_t_fuselage))^2),IF(AN898&gt;$L$2505+Fuselage!$K$370,FUSELAGE_a_ellipse,(FUSELAGE_a_ellipse+FUSELAGE_t_fuselage-FUSELAGE_d_fo/4)/Fuselage!$K$368*(AN898-$L$2505-Fuselage!$K$370)+FUSELAGE_a_ellipse))</f>
        <v>1.4960570012328709</v>
      </c>
      <c r="AQ898" s="128" t="s">
        <v>49</v>
      </c>
      <c r="AR898" s="128">
        <f t="shared" ca="1" si="104"/>
        <v>-16.562000000000005</v>
      </c>
      <c r="AS898" s="129">
        <f t="shared" ca="1" si="105"/>
        <v>-1.4960570012328709</v>
      </c>
      <c r="BD898" s="157"/>
    </row>
    <row r="899" spans="2:56">
      <c r="B899" s="156"/>
      <c r="C899" s="128" t="s">
        <v>453</v>
      </c>
      <c r="D899" s="128">
        <f ca="1">IF(C892&gt;=2,D894+P886,D897)</f>
        <v>8888</v>
      </c>
      <c r="E899" s="139">
        <f ca="1">E898</f>
        <v>8888</v>
      </c>
      <c r="F899" s="157"/>
      <c r="G899" s="2" t="s">
        <v>453</v>
      </c>
      <c r="H899" s="128">
        <f ca="1">IF(G892&gt;=2,H895,H897)</f>
        <v>8888</v>
      </c>
      <c r="I899" s="139">
        <f ca="1">IF(G892&gt;=2,I898,I897)</f>
        <v>8888</v>
      </c>
      <c r="K899" s="128" t="s">
        <v>453</v>
      </c>
      <c r="L899" s="128">
        <f ca="1">IF(K892&gt;=2,IF(X887,IF(K892=2,L894+P886/4,L894+P886),L894+P886),L897)</f>
        <v>8888</v>
      </c>
      <c r="M899" s="139">
        <f ca="1">IF(K892&gt;=2,M898,M897)</f>
        <v>8888</v>
      </c>
      <c r="AA899" s="143" t="s">
        <v>453</v>
      </c>
      <c r="AB899" s="128">
        <f ca="1">IF($AA892,D899,AB898)</f>
        <v>8888</v>
      </c>
      <c r="AC899" s="129">
        <f ca="1">IF($AA892,E899,AC898)</f>
        <v>8888</v>
      </c>
      <c r="AD899" s="157"/>
      <c r="AE899" s="2" t="s">
        <v>453</v>
      </c>
      <c r="AF899" s="128">
        <f ca="1">IF($AE892,H899,AF898)</f>
        <v>8888</v>
      </c>
      <c r="AG899" s="129">
        <f ca="1">IF($AE892,I899,AG898)</f>
        <v>8888</v>
      </c>
      <c r="AI899" s="128" t="s">
        <v>453</v>
      </c>
      <c r="AJ899" s="128">
        <f ca="1">IF($AI892,L899,AJ898)</f>
        <v>8888</v>
      </c>
      <c r="AK899" s="129">
        <f ca="1">IF($AI892,M899,AK898)</f>
        <v>8888</v>
      </c>
      <c r="AM899" s="128" t="s">
        <v>453</v>
      </c>
      <c r="AN899" s="128">
        <f ca="1">L885</f>
        <v>-16.562000000000005</v>
      </c>
      <c r="AO899" s="129">
        <f ca="1">IF(AN899&gt;-Fuselage!$D$366,(FUSELAGE_a_ellipse)*SQRT(1-((AN899+Fuselage!$D$366)/(Fuselage!$K$364-FUSELAGE_t_fuselage))^2),IF(AN899&gt;$L$2505+Fuselage!$K$370,FUSELAGE_a_ellipse,(FUSELAGE_a_ellipse+FUSELAGE_t_fuselage-FUSELAGE_d_fo/4)/Fuselage!$K$368*(AN899-$L$2505-Fuselage!$K$370)+FUSELAGE_a_ellipse))</f>
        <v>1.4960570012328709</v>
      </c>
      <c r="AQ899" s="128" t="s">
        <v>453</v>
      </c>
      <c r="AR899" s="128">
        <f t="shared" ca="1" si="104"/>
        <v>-16.562000000000005</v>
      </c>
      <c r="AS899" s="129">
        <f t="shared" ca="1" si="105"/>
        <v>-1.4960570012328709</v>
      </c>
      <c r="BD899" s="157"/>
    </row>
    <row r="900" spans="2:56">
      <c r="B900" s="156"/>
      <c r="C900" s="128" t="s">
        <v>394</v>
      </c>
      <c r="D900" s="128">
        <f ca="1">IF(C892&gt;=2,D899,D897)</f>
        <v>8888</v>
      </c>
      <c r="E900" s="139">
        <f ca="1">IF(C892&gt;=2,E898-P885,E897)</f>
        <v>8888</v>
      </c>
      <c r="F900" s="157"/>
      <c r="G900" s="2" t="s">
        <v>394</v>
      </c>
      <c r="H900" s="128">
        <f ca="1">IF(G892&gt;=2,H895,H897)</f>
        <v>8888</v>
      </c>
      <c r="I900" s="139">
        <f ca="1">IF(G892&gt;=2,I899-P885,I897)</f>
        <v>8888</v>
      </c>
      <c r="K900" s="128" t="s">
        <v>394</v>
      </c>
      <c r="L900" s="128">
        <f ca="1">L899</f>
        <v>8888</v>
      </c>
      <c r="M900" s="139">
        <f ca="1">IF(K892&gt;=2,M899-P885,M897)</f>
        <v>8888</v>
      </c>
      <c r="AA900" s="143" t="s">
        <v>394</v>
      </c>
      <c r="AB900" s="128">
        <f ca="1">IF($AA892,D900,AB898)</f>
        <v>8888</v>
      </c>
      <c r="AC900" s="129">
        <f ca="1">IF($AA892,E900,AC898)</f>
        <v>8888</v>
      </c>
      <c r="AD900" s="157"/>
      <c r="AE900" s="2" t="s">
        <v>394</v>
      </c>
      <c r="AF900" s="128">
        <f ca="1">IF($AE892,H900,AF898)</f>
        <v>8888</v>
      </c>
      <c r="AG900" s="129">
        <f ca="1">IF($AE892,I900,AG898)</f>
        <v>8888</v>
      </c>
      <c r="AI900" s="128" t="s">
        <v>394</v>
      </c>
      <c r="AJ900" s="128">
        <f ca="1">IF($AI892,L900,AJ898)</f>
        <v>8888</v>
      </c>
      <c r="AK900" s="129">
        <f ca="1">IF($AI892,M900,AK898)</f>
        <v>8888</v>
      </c>
      <c r="BD900" s="157"/>
    </row>
    <row r="901" spans="2:56">
      <c r="B901" s="156"/>
      <c r="C901" s="188" t="s">
        <v>454</v>
      </c>
      <c r="D901" s="188">
        <f ca="1">IF(C892&gt;=2,D894,D897)</f>
        <v>8888</v>
      </c>
      <c r="E901" s="189">
        <f ca="1">E900</f>
        <v>8888</v>
      </c>
      <c r="F901" s="157"/>
      <c r="G901" s="115" t="s">
        <v>454</v>
      </c>
      <c r="H901" s="188">
        <f ca="1">IF(G892&gt;=2,H894,H897)</f>
        <v>8888</v>
      </c>
      <c r="I901" s="189">
        <f ca="1">IF(G892&gt;=2,I900,I897)</f>
        <v>8888</v>
      </c>
      <c r="K901" s="188" t="s">
        <v>454</v>
      </c>
      <c r="L901" s="188">
        <f ca="1">IF(K892&gt;=2,L894,L897)</f>
        <v>8888</v>
      </c>
      <c r="M901" s="189">
        <f ca="1">IF(K892&gt;=2,M900,M897)</f>
        <v>8888</v>
      </c>
      <c r="AA901" s="195" t="s">
        <v>454</v>
      </c>
      <c r="AB901" s="128">
        <f ca="1">IF($AA892,D901,AB898)</f>
        <v>8888</v>
      </c>
      <c r="AC901" s="129">
        <f ca="1">IF($AA892,E901,AC898)</f>
        <v>8888</v>
      </c>
      <c r="AD901" s="157"/>
      <c r="AE901" s="115" t="s">
        <v>454</v>
      </c>
      <c r="AF901" s="188">
        <f ca="1">IF($AE892,H901,AF898)</f>
        <v>8888</v>
      </c>
      <c r="AG901" s="196">
        <f ca="1">IF($AE892,I901,AG898)</f>
        <v>8888</v>
      </c>
      <c r="AI901" s="188" t="s">
        <v>454</v>
      </c>
      <c r="AJ901" s="188">
        <f ca="1">IF($AI892,L901,AJ898)</f>
        <v>8888</v>
      </c>
      <c r="AK901" s="196">
        <f ca="1">IF($AI892,M901,AK898)</f>
        <v>8888</v>
      </c>
      <c r="BD901" s="157"/>
    </row>
    <row r="902" spans="2:56">
      <c r="B902" s="156"/>
      <c r="C902" s="128" t="s">
        <v>507</v>
      </c>
      <c r="D902" s="128">
        <f ca="1">IF(C892&gt;=3,D894,D901)</f>
        <v>8888</v>
      </c>
      <c r="E902" s="139">
        <f ca="1">IF(C892&gt;=3,E901-P887,E901)</f>
        <v>8888</v>
      </c>
      <c r="F902" s="157"/>
      <c r="G902" s="2" t="s">
        <v>507</v>
      </c>
      <c r="H902" s="128">
        <f ca="1">IF(G892&gt;=3,H894,H901)</f>
        <v>8888</v>
      </c>
      <c r="I902" s="139">
        <f ca="1">IF(G892&gt;=3,I901-P887,I901)</f>
        <v>8888</v>
      </c>
      <c r="K902" s="128" t="s">
        <v>507</v>
      </c>
      <c r="L902" s="128">
        <f ca="1">IF(K892&gt;=3,L894,L901)</f>
        <v>8888</v>
      </c>
      <c r="M902" s="139">
        <f ca="1">IF(K892&gt;=3,M901-P887,M901)</f>
        <v>8888</v>
      </c>
      <c r="AA902" s="143" t="s">
        <v>507</v>
      </c>
      <c r="AB902" s="128">
        <f ca="1">IF($AA892,D902,AB898)</f>
        <v>8888</v>
      </c>
      <c r="AC902" s="129">
        <f ca="1">IF($AA892,E902,AC898)</f>
        <v>8888</v>
      </c>
      <c r="AD902" s="157"/>
      <c r="AE902" s="2" t="s">
        <v>507</v>
      </c>
      <c r="AF902" s="128">
        <f ca="1">IF($AE892,H902,AF898)</f>
        <v>8888</v>
      </c>
      <c r="AG902" s="129">
        <f ca="1">IF($AE892,I902,AG898)</f>
        <v>8888</v>
      </c>
      <c r="AI902" s="128" t="s">
        <v>507</v>
      </c>
      <c r="AJ902" s="128">
        <f ca="1">IF($AI892,L902,AJ898)</f>
        <v>8888</v>
      </c>
      <c r="AK902" s="129">
        <f ca="1">IF($AI892,M902,AK898)</f>
        <v>8888</v>
      </c>
      <c r="BD902" s="157"/>
    </row>
    <row r="903" spans="2:56">
      <c r="B903" s="156"/>
      <c r="C903" s="128" t="s">
        <v>455</v>
      </c>
      <c r="D903" s="128">
        <f ca="1">IF(C892&gt;=3,D899,D901)</f>
        <v>8888</v>
      </c>
      <c r="E903" s="139">
        <f ca="1">E902</f>
        <v>8888</v>
      </c>
      <c r="F903" s="157"/>
      <c r="G903" s="2" t="s">
        <v>455</v>
      </c>
      <c r="H903" s="128">
        <f ca="1">IF(G892&gt;=3,H895,H901)</f>
        <v>8888</v>
      </c>
      <c r="I903" s="139">
        <f ca="1">IF(G892&gt;=3,I902,I901)</f>
        <v>8888</v>
      </c>
      <c r="K903" s="128" t="s">
        <v>455</v>
      </c>
      <c r="L903" s="128">
        <f ca="1">IF(K892&gt;=3,IF(X887,IF(K892=3,L894+P886/4,L894+P886),L894+P886),L897)</f>
        <v>8888</v>
      </c>
      <c r="M903" s="139">
        <f ca="1">IF(K892&gt;=3,M902,M901)</f>
        <v>8888</v>
      </c>
      <c r="AA903" s="143" t="s">
        <v>455</v>
      </c>
      <c r="AB903" s="128">
        <f ca="1">IF($AA892,D903,AB898)</f>
        <v>8888</v>
      </c>
      <c r="AC903" s="129">
        <f ca="1">IF($AA892,E903,AC898)</f>
        <v>8888</v>
      </c>
      <c r="AD903" s="157"/>
      <c r="AE903" s="2" t="s">
        <v>455</v>
      </c>
      <c r="AF903" s="128">
        <f ca="1">IF($AE892,H903,AF898)</f>
        <v>8888</v>
      </c>
      <c r="AG903" s="129">
        <f ca="1">IF($AE892,I903,AG898)</f>
        <v>8888</v>
      </c>
      <c r="AI903" s="128" t="s">
        <v>455</v>
      </c>
      <c r="AJ903" s="128">
        <f ca="1">IF($AI892,L903,AJ898)</f>
        <v>8888</v>
      </c>
      <c r="AK903" s="129">
        <f ca="1">IF($AI892,M903,AK898)</f>
        <v>8888</v>
      </c>
      <c r="AL903" s="156"/>
      <c r="BD903" s="157"/>
    </row>
    <row r="904" spans="2:56">
      <c r="B904" s="156"/>
      <c r="C904" s="128" t="s">
        <v>311</v>
      </c>
      <c r="D904" s="128">
        <f ca="1">IF(C892&gt;=3,D899,D901)</f>
        <v>8888</v>
      </c>
      <c r="E904" s="139">
        <f ca="1">IF(C892&gt;=3,E903-P885,E901)</f>
        <v>8888</v>
      </c>
      <c r="F904" s="157"/>
      <c r="G904" s="2" t="s">
        <v>311</v>
      </c>
      <c r="H904" s="128">
        <f ca="1">IF(G892&gt;=3,H895,H901)</f>
        <v>8888</v>
      </c>
      <c r="I904" s="139">
        <f ca="1">IF(G892&gt;=3,I903-P885,I901)</f>
        <v>8888</v>
      </c>
      <c r="K904" s="128" t="s">
        <v>311</v>
      </c>
      <c r="L904" s="128">
        <f ca="1">L903</f>
        <v>8888</v>
      </c>
      <c r="M904" s="139">
        <f ca="1">IF(K892&gt;=3,M903-P885,M901)</f>
        <v>8888</v>
      </c>
      <c r="AA904" s="143" t="s">
        <v>311</v>
      </c>
      <c r="AB904" s="128">
        <f ca="1">IF($AA892,D904,AB898)</f>
        <v>8888</v>
      </c>
      <c r="AC904" s="129">
        <f ca="1">IF($AA892,E904,AC898)</f>
        <v>8888</v>
      </c>
      <c r="AD904" s="157"/>
      <c r="AE904" s="2" t="s">
        <v>311</v>
      </c>
      <c r="AF904" s="128">
        <f ca="1">IF($AE892,H904,AF898)</f>
        <v>8888</v>
      </c>
      <c r="AG904" s="129">
        <f ca="1">IF($AE892,I904,AG898)</f>
        <v>8888</v>
      </c>
      <c r="AI904" s="128" t="s">
        <v>311</v>
      </c>
      <c r="AJ904" s="128">
        <f ca="1">IF($AI892,L904,AJ898)</f>
        <v>8888</v>
      </c>
      <c r="AK904" s="129">
        <f ca="1">IF($AI892,M904,AK898)</f>
        <v>8888</v>
      </c>
      <c r="AL904" s="156"/>
      <c r="BD904" s="157"/>
    </row>
    <row r="905" spans="2:56">
      <c r="B905" s="156"/>
      <c r="C905" s="188" t="s">
        <v>35</v>
      </c>
      <c r="D905" s="188">
        <f ca="1">IF(C892&gt;=3,D894,D901)</f>
        <v>8888</v>
      </c>
      <c r="E905" s="189">
        <f ca="1">E904</f>
        <v>8888</v>
      </c>
      <c r="F905" s="157"/>
      <c r="G905" s="2" t="s">
        <v>35</v>
      </c>
      <c r="H905" s="188">
        <f ca="1">IF(G892&gt;=3,H894,H901)</f>
        <v>8888</v>
      </c>
      <c r="I905" s="189">
        <f ca="1">IF(G892&gt;=3,I904,I901)</f>
        <v>8888</v>
      </c>
      <c r="K905" s="188" t="s">
        <v>35</v>
      </c>
      <c r="L905" s="188">
        <f ca="1">IF(K892&gt;=3,L894,L901)</f>
        <v>8888</v>
      </c>
      <c r="M905" s="189">
        <f ca="1">IF(K892&gt;=3,M904,M901)</f>
        <v>8888</v>
      </c>
      <c r="AA905" s="143" t="s">
        <v>35</v>
      </c>
      <c r="AB905" s="128">
        <f ca="1">IF($AA892,D905,AB898)</f>
        <v>8888</v>
      </c>
      <c r="AC905" s="129">
        <f ca="1">IF($AA892,E905,AC898)</f>
        <v>8888</v>
      </c>
      <c r="AD905" s="157"/>
      <c r="AE905" s="2" t="s">
        <v>35</v>
      </c>
      <c r="AF905" s="188">
        <f ca="1">IF($AE892,H905,AF898)</f>
        <v>8888</v>
      </c>
      <c r="AG905" s="196">
        <f ca="1">IF($AE892,I905,AG898)</f>
        <v>8888</v>
      </c>
      <c r="AI905" s="128" t="s">
        <v>35</v>
      </c>
      <c r="AJ905" s="128">
        <f ca="1">IF($AI892,L905,AJ898)</f>
        <v>8888</v>
      </c>
      <c r="AK905" s="129">
        <f ca="1">IF($AI892,M905,AK898)</f>
        <v>8888</v>
      </c>
      <c r="AL905" s="156"/>
      <c r="BD905" s="157"/>
    </row>
    <row r="906" spans="2:56" ht="15" thickBot="1">
      <c r="B906" s="156"/>
      <c r="C906" s="130" t="s">
        <v>396</v>
      </c>
      <c r="D906" s="130">
        <f ca="1">D894</f>
        <v>8888</v>
      </c>
      <c r="E906" s="140">
        <f ca="1">E894</f>
        <v>8888</v>
      </c>
      <c r="F906" s="157"/>
      <c r="G906" s="192" t="s">
        <v>312</v>
      </c>
      <c r="H906" s="128">
        <f ca="1">IF(G892&gt;=4,H894,H905)</f>
        <v>8888</v>
      </c>
      <c r="I906" s="139">
        <f ca="1">IF(G892&gt;=4,I905-P887,I905)</f>
        <v>8888</v>
      </c>
      <c r="K906" s="130" t="s">
        <v>396</v>
      </c>
      <c r="L906" s="130">
        <f ca="1">L894</f>
        <v>8888</v>
      </c>
      <c r="M906" s="140">
        <f ca="1">M894</f>
        <v>8888</v>
      </c>
      <c r="AA906" s="144" t="s">
        <v>396</v>
      </c>
      <c r="AB906" s="130">
        <f ca="1">IF($AA892,D906,AB898)</f>
        <v>8888</v>
      </c>
      <c r="AC906" s="132">
        <f ca="1">IF($AA892,E906,AC898)</f>
        <v>8888</v>
      </c>
      <c r="AD906" s="157"/>
      <c r="AE906" s="192" t="s">
        <v>312</v>
      </c>
      <c r="AF906" s="128">
        <f ca="1">IF($AE892,H906,AF898)</f>
        <v>8888</v>
      </c>
      <c r="AG906" s="129">
        <f ca="1">IF($AE892,I906,AG898)</f>
        <v>8888</v>
      </c>
      <c r="AI906" s="130" t="s">
        <v>396</v>
      </c>
      <c r="AJ906" s="130">
        <f ca="1">IF($AI892,L906,AJ898)</f>
        <v>8888</v>
      </c>
      <c r="AK906" s="132">
        <f ca="1">IF($AI892,M906,AK898)</f>
        <v>8888</v>
      </c>
      <c r="BD906" s="157"/>
    </row>
    <row r="907" spans="2:56">
      <c r="B907" s="156"/>
      <c r="F907" s="157"/>
      <c r="G907" s="2" t="s">
        <v>313</v>
      </c>
      <c r="H907" s="128">
        <f ca="1">IF(G892&gt;=4,H895,H905)</f>
        <v>8888</v>
      </c>
      <c r="I907" s="139">
        <f ca="1">IF(G892&gt;=4,I906,I905)</f>
        <v>8888</v>
      </c>
      <c r="AD907" s="157"/>
      <c r="AE907" s="2" t="s">
        <v>313</v>
      </c>
      <c r="AF907" s="128">
        <f ca="1">IF($AE892,H907,AF898)</f>
        <v>8888</v>
      </c>
      <c r="AG907" s="129">
        <f ca="1">IF($AE892,I907,AG898)</f>
        <v>8888</v>
      </c>
      <c r="BD907" s="157"/>
    </row>
    <row r="908" spans="2:56">
      <c r="B908" s="156"/>
      <c r="F908" s="157"/>
      <c r="G908" s="2" t="s">
        <v>7</v>
      </c>
      <c r="H908" s="128">
        <f ca="1">IF(G892&gt;=4,H895,H905)</f>
        <v>8888</v>
      </c>
      <c r="I908" s="139">
        <f ca="1">IF(G892&gt;=4,I907-P885,I905)</f>
        <v>8888</v>
      </c>
      <c r="AD908" s="157"/>
      <c r="AE908" s="2" t="s">
        <v>7</v>
      </c>
      <c r="AF908" s="128">
        <f ca="1">IF($AE892,H908,AF898)</f>
        <v>8888</v>
      </c>
      <c r="AG908" s="129">
        <f ca="1">IF($AE892,I908,AG898)</f>
        <v>8888</v>
      </c>
      <c r="BD908" s="157"/>
    </row>
    <row r="909" spans="2:56">
      <c r="B909" s="156"/>
      <c r="F909" s="157"/>
      <c r="G909" s="115" t="s">
        <v>8</v>
      </c>
      <c r="H909" s="188">
        <f ca="1">IF(G892&gt;=4,H894,H905)</f>
        <v>8888</v>
      </c>
      <c r="I909" s="189">
        <f ca="1">IF(G892&gt;=4,I908,I905)</f>
        <v>8888</v>
      </c>
      <c r="AD909" s="157"/>
      <c r="AE909" s="115" t="s">
        <v>8</v>
      </c>
      <c r="AF909" s="188">
        <f ca="1">IF($AE892,H909,AF898)</f>
        <v>8888</v>
      </c>
      <c r="AG909" s="196">
        <f ca="1">IF($AE892,I909,AG898)</f>
        <v>8888</v>
      </c>
      <c r="BD909" s="157"/>
    </row>
    <row r="910" spans="2:56">
      <c r="B910" s="156"/>
      <c r="F910" s="157"/>
      <c r="G910" s="2" t="s">
        <v>9</v>
      </c>
      <c r="H910" s="128">
        <f ca="1">IF(G892&gt;=5,H894,H909)</f>
        <v>8888</v>
      </c>
      <c r="I910" s="139">
        <f ca="1">IF(G892&gt;=5,I909-P887,I909)</f>
        <v>8888</v>
      </c>
      <c r="AD910" s="157"/>
      <c r="AE910" s="2" t="s">
        <v>9</v>
      </c>
      <c r="AF910" s="128">
        <f ca="1">IF($AE892,H910,AF898)</f>
        <v>8888</v>
      </c>
      <c r="AG910" s="129">
        <f ca="1">IF($AE892,I910,AG898)</f>
        <v>8888</v>
      </c>
      <c r="BD910" s="157"/>
    </row>
    <row r="911" spans="2:56">
      <c r="B911" s="156"/>
      <c r="F911" s="157"/>
      <c r="G911" s="2" t="s">
        <v>196</v>
      </c>
      <c r="H911" s="128">
        <f ca="1">IF(G892&gt;=5,H895,H909)</f>
        <v>8888</v>
      </c>
      <c r="I911" s="139">
        <f ca="1">IF(G892&gt;=5,I910,I909)</f>
        <v>8888</v>
      </c>
      <c r="AD911" s="157"/>
      <c r="AE911" s="2" t="s">
        <v>196</v>
      </c>
      <c r="AF911" s="128">
        <f ca="1">IF($AE892,H911,AF898)</f>
        <v>8888</v>
      </c>
      <c r="AG911" s="129">
        <f ca="1">IF($AE892,I911,AG898)</f>
        <v>8888</v>
      </c>
      <c r="BD911" s="157"/>
    </row>
    <row r="912" spans="2:56">
      <c r="B912" s="156"/>
      <c r="F912" s="157"/>
      <c r="G912" s="2" t="s">
        <v>10</v>
      </c>
      <c r="H912" s="128">
        <f ca="1">IF(G892&gt;=5,H895,H909)</f>
        <v>8888</v>
      </c>
      <c r="I912" s="139">
        <f ca="1">IF(G892&gt;=5,I911-P885,I909)</f>
        <v>8888</v>
      </c>
      <c r="AD912" s="157"/>
      <c r="AE912" s="2" t="s">
        <v>10</v>
      </c>
      <c r="AF912" s="128">
        <f ca="1">IF($AE892,H912,AF898)</f>
        <v>8888</v>
      </c>
      <c r="AG912" s="129">
        <f ca="1">IF($AE892,I912,AG898)</f>
        <v>8888</v>
      </c>
      <c r="BD912" s="157"/>
    </row>
    <row r="913" spans="2:56">
      <c r="B913" s="156"/>
      <c r="F913" s="157"/>
      <c r="G913" s="2" t="s">
        <v>161</v>
      </c>
      <c r="H913" s="188">
        <f ca="1">IF(G892&gt;=5,H894,H909)</f>
        <v>8888</v>
      </c>
      <c r="I913" s="189">
        <f ca="1">IF(G892&gt;=5,I912,I909)</f>
        <v>8888</v>
      </c>
      <c r="AD913" s="157"/>
      <c r="AE913" s="2" t="s">
        <v>161</v>
      </c>
      <c r="AF913" s="188">
        <f ca="1">IF($AE892,H913,AF898)</f>
        <v>8888</v>
      </c>
      <c r="AG913" s="196">
        <f ca="1">IF($AE892,I913,AG898)</f>
        <v>8888</v>
      </c>
      <c r="BD913" s="157"/>
    </row>
    <row r="914" spans="2:56">
      <c r="B914" s="156"/>
      <c r="F914" s="157"/>
      <c r="G914" s="192" t="s">
        <v>11</v>
      </c>
      <c r="H914" s="128">
        <f ca="1">IF(G892&gt;=6,H894,H913)</f>
        <v>8888</v>
      </c>
      <c r="I914" s="139">
        <f ca="1">IF(G892&gt;=6,I913-P887,I913)</f>
        <v>8888</v>
      </c>
      <c r="AD914" s="157"/>
      <c r="AE914" s="192" t="s">
        <v>11</v>
      </c>
      <c r="AF914" s="128">
        <f ca="1">IF($AE892,H914,AF898)</f>
        <v>8888</v>
      </c>
      <c r="AG914" s="129">
        <f ca="1">IF($AE892,I914,AG898)</f>
        <v>8888</v>
      </c>
      <c r="BD914" s="157"/>
    </row>
    <row r="915" spans="2:56">
      <c r="B915" s="156"/>
      <c r="F915" s="157"/>
      <c r="G915" s="2" t="s">
        <v>12</v>
      </c>
      <c r="H915" s="128">
        <f ca="1">IF(G892&gt;=6,H895,H913)</f>
        <v>8888</v>
      </c>
      <c r="I915" s="139">
        <f ca="1">IF(G892&gt;=6,I914,I913)</f>
        <v>8888</v>
      </c>
      <c r="AD915" s="157"/>
      <c r="AE915" s="2" t="s">
        <v>12</v>
      </c>
      <c r="AF915" s="128">
        <f ca="1">IF($AE892,H915,AF898)</f>
        <v>8888</v>
      </c>
      <c r="AG915" s="129">
        <f ca="1">IF($AE892,I915,AG898)</f>
        <v>8888</v>
      </c>
      <c r="BD915" s="157"/>
    </row>
    <row r="916" spans="2:56">
      <c r="B916" s="156"/>
      <c r="F916" s="157"/>
      <c r="G916" s="2" t="s">
        <v>13</v>
      </c>
      <c r="H916" s="128">
        <f ca="1">IF(G892&gt;=6,H895,H913)</f>
        <v>8888</v>
      </c>
      <c r="I916" s="139">
        <f ca="1">IF(G892&gt;=6,I915-P885,I913)</f>
        <v>8888</v>
      </c>
      <c r="AD916" s="157"/>
      <c r="AE916" s="2" t="s">
        <v>13</v>
      </c>
      <c r="AF916" s="128">
        <f ca="1">IF($AE892,H916,AF898)</f>
        <v>8888</v>
      </c>
      <c r="AG916" s="129">
        <f ca="1">IF($AE892,I916,AG898)</f>
        <v>8888</v>
      </c>
      <c r="BD916" s="157"/>
    </row>
    <row r="917" spans="2:56">
      <c r="B917" s="156"/>
      <c r="F917" s="157"/>
      <c r="G917" s="115" t="s">
        <v>14</v>
      </c>
      <c r="H917" s="188">
        <f ca="1">IF(G892&gt;=6,H894,H913)</f>
        <v>8888</v>
      </c>
      <c r="I917" s="189">
        <f ca="1">IF(G892&gt;=6,I916,I913)</f>
        <v>8888</v>
      </c>
      <c r="AD917" s="157"/>
      <c r="AE917" s="115" t="s">
        <v>14</v>
      </c>
      <c r="AF917" s="188">
        <f ca="1">IF($AE892,H917,AF898)</f>
        <v>8888</v>
      </c>
      <c r="AG917" s="196">
        <f ca="1">IF($AE892,I917,AG898)</f>
        <v>8888</v>
      </c>
      <c r="BD917" s="157"/>
    </row>
    <row r="918" spans="2:56" ht="15" thickBot="1">
      <c r="B918" s="156"/>
      <c r="G918" s="130" t="s">
        <v>396</v>
      </c>
      <c r="H918" s="130">
        <f ca="1">H894</f>
        <v>8888</v>
      </c>
      <c r="I918" s="140">
        <f ca="1">I894</f>
        <v>8888</v>
      </c>
      <c r="AE918" s="130" t="s">
        <v>396</v>
      </c>
      <c r="AF918" s="130">
        <f ca="1">IF($AE892,H918,AF898)</f>
        <v>8888</v>
      </c>
      <c r="AG918" s="132">
        <f ca="1">IF($AE892,I918,AG898)</f>
        <v>8888</v>
      </c>
      <c r="BD918" s="157"/>
    </row>
    <row r="919" spans="2:56">
      <c r="B919" s="156"/>
      <c r="BD919" s="157"/>
    </row>
    <row r="920" spans="2:56">
      <c r="B920" s="156"/>
      <c r="BD920" s="157"/>
    </row>
    <row r="921" spans="2:56">
      <c r="B921" s="156"/>
      <c r="C921" s="200" t="s">
        <v>336</v>
      </c>
      <c r="D921">
        <f>D885+1</f>
        <v>21</v>
      </c>
      <c r="G921" s="200" t="s">
        <v>638</v>
      </c>
      <c r="H921">
        <f ca="1">LOOKUP(D924,$C$191:$C$196,$D$191:$D$196)</f>
        <v>0</v>
      </c>
      <c r="K921" s="200" t="s">
        <v>644</v>
      </c>
      <c r="L921">
        <f ca="1">L885-H926</f>
        <v>-16.562000000000005</v>
      </c>
      <c r="O921" s="200" t="s">
        <v>404</v>
      </c>
      <c r="P921">
        <f ca="1">IF(D923=1,SEAT_w_cushion_FC,IF(D923=2,SEAT_w_cushion_BC,IF(D923=3,SEAT_w_cushion_YC,0)))</f>
        <v>0</v>
      </c>
      <c r="S921" s="200" t="s">
        <v>647</v>
      </c>
      <c r="T921">
        <f ca="1">LOOKUP(D924,$C$191:$C$196,$E$191:$E$196)</f>
        <v>0</v>
      </c>
      <c r="W921" t="s">
        <v>130</v>
      </c>
      <c r="X921" t="str">
        <f ca="1">OFFSET(Fuselage!$B$275,D921,5)</f>
        <v>None</v>
      </c>
      <c r="AN921" s="200" t="s">
        <v>135</v>
      </c>
      <c r="AO921">
        <f ca="1">MAX(0,H926-MAX(T921,T923,T925,P922)-X922)</f>
        <v>0</v>
      </c>
      <c r="BD921" s="157"/>
    </row>
    <row r="922" spans="2:56">
      <c r="B922" s="156"/>
      <c r="C922" s="200" t="s">
        <v>200</v>
      </c>
      <c r="D922" t="str">
        <f ca="1">OFFSET(Fuselage!$B$275,D921,0)</f>
        <v/>
      </c>
      <c r="G922" s="200" t="s">
        <v>639</v>
      </c>
      <c r="H922">
        <f ca="1">LOOKUP(D925,$C$191:$C$196,$D$191:$D$196)</f>
        <v>0</v>
      </c>
      <c r="O922" s="200" t="s">
        <v>535</v>
      </c>
      <c r="P922">
        <f ca="1">IF(D923=1,SEAT_length_FC,IF(D923=2,SEAT_length_BC,IF(D923=3,SEAT_length_YC,0)))</f>
        <v>0</v>
      </c>
      <c r="S922" s="200" t="s">
        <v>648</v>
      </c>
      <c r="T922">
        <f ca="1">LOOKUP(D924,$C$191:$C$196,$F$191:$F$196)</f>
        <v>0</v>
      </c>
      <c r="W922" t="s">
        <v>131</v>
      </c>
      <c r="X922">
        <f ca="1">LOOKUP(X921,$I$191:$I$198,$J$191:$J$198)</f>
        <v>0</v>
      </c>
      <c r="BD922" s="157"/>
    </row>
    <row r="923" spans="2:56">
      <c r="B923" s="156"/>
      <c r="C923" s="200" t="s">
        <v>337</v>
      </c>
      <c r="D923" t="str">
        <f ca="1">OFFSET(Fuselage!$B$275,D921,4)</f>
        <v/>
      </c>
      <c r="G923" s="200" t="s">
        <v>309</v>
      </c>
      <c r="H923">
        <f ca="1">LOOKUP(D926,$C$191:$C$196,$D$191:$D$196)</f>
        <v>0</v>
      </c>
      <c r="K923" s="200" t="s">
        <v>645</v>
      </c>
      <c r="L923">
        <f ca="1">IF(D923=1,FUSELAGE_nseats_left_FC,IF(D923=2,FUSELAGE_nseats_left_BC,IF(D923=3,FUSELAGE_nseats_left_YC,0)))</f>
        <v>0</v>
      </c>
      <c r="O923" s="200" t="s">
        <v>405</v>
      </c>
      <c r="P923">
        <f ca="1">IF(D923=1,SEAT_w_armrest_FC,IF(D923=2,SEAT_w_armrest_BC,IF(D923=3,SEAT_w_armrest_YC,0)))</f>
        <v>0</v>
      </c>
      <c r="S923" s="200" t="s">
        <v>652</v>
      </c>
      <c r="T923">
        <f ca="1">LOOKUP(D925,$C$191:$C$196,$E$191:$E$196)</f>
        <v>0</v>
      </c>
      <c r="W923" s="200" t="s">
        <v>393</v>
      </c>
      <c r="X923" t="b">
        <f ca="1">IF(OFFSET(Fuselage!$B$275,D921,6)="YES",TRUE(),FALSE())</f>
        <v>0</v>
      </c>
      <c r="BD923" s="157"/>
    </row>
    <row r="924" spans="2:56">
      <c r="B924" s="156"/>
      <c r="C924" s="200" t="s">
        <v>640</v>
      </c>
      <c r="D924" t="str">
        <f ca="1">OFFSET(Fuselage!$B$275,D921,1)</f>
        <v>None</v>
      </c>
      <c r="G924" s="200" t="s">
        <v>132</v>
      </c>
      <c r="H924">
        <f ca="1">IF(D923=1,SEAT_pitch_FC,IF(D923=2,SEAT_pitch_BC,IF(D923=3,SEAT_pitch_YC,0)))</f>
        <v>0</v>
      </c>
      <c r="K924" s="200" t="s">
        <v>646</v>
      </c>
      <c r="L924">
        <f ca="1">IF(D923=1,FUSELAGE_nseats_middle_FC,IF(D923=2,FUSELAGE_nseats_middle_BC,IF(D923=3,FUSELAGE_nseats_middle_YC,0)))</f>
        <v>0</v>
      </c>
      <c r="S924" s="200" t="s">
        <v>653</v>
      </c>
      <c r="T924">
        <f ca="1">LOOKUP(D925,$C$191:$C$196,$F$191:$F$196)</f>
        <v>0</v>
      </c>
      <c r="BD924" s="157"/>
    </row>
    <row r="925" spans="2:56">
      <c r="B925" s="156"/>
      <c r="C925" s="200" t="s">
        <v>642</v>
      </c>
      <c r="D925" t="str">
        <f ca="1">OFFSET(Fuselage!$B$275,D921,2)</f>
        <v>None</v>
      </c>
      <c r="G925" s="200" t="s">
        <v>129</v>
      </c>
      <c r="H925">
        <f ca="1">IF(OR(X921="Type A",X921="Type B"),MAX(H921:H924)+42*0.0254,IF(X921="Type C",MAX(H921:H924)+X922,IF(X921&lt;&gt;"None",24*0.0254,0)))</f>
        <v>0</v>
      </c>
      <c r="K925" s="200" t="s">
        <v>655</v>
      </c>
      <c r="L925">
        <f ca="1">IF(D923=1,FUSELAGE_nseats_right_FC,IF(D923=2,FUSELAGE_nseats_right_BC,IF(D923=3,FUSELAGE_nseats_right_YC,0)))</f>
        <v>0</v>
      </c>
      <c r="O925" s="200" t="s">
        <v>407</v>
      </c>
      <c r="P925">
        <f ca="1">($C$13-(L923+L924+L925)*(P921+P923)+(FUSELAGE_n_aisles-1)*P923)/FUSELAGE_n_aisles</f>
        <v>2.76</v>
      </c>
      <c r="S925" s="200" t="s">
        <v>651</v>
      </c>
      <c r="T925">
        <f ca="1">LOOKUP(D926,$C$191:$C$196,$E$191:$E$196)</f>
        <v>0</v>
      </c>
      <c r="BD925" s="157"/>
    </row>
    <row r="926" spans="2:56">
      <c r="B926" s="156"/>
      <c r="C926" s="200" t="s">
        <v>641</v>
      </c>
      <c r="D926" t="str">
        <f ca="1">OFFSET(Fuselage!$B$275,D921,3)</f>
        <v>None</v>
      </c>
      <c r="G926" s="200" t="s">
        <v>643</v>
      </c>
      <c r="H926">
        <f ca="1">MAX(H921:H925)</f>
        <v>0</v>
      </c>
      <c r="S926" s="200" t="s">
        <v>654</v>
      </c>
      <c r="T926">
        <f ca="1">LOOKUP(D926,$C$191:$C$196,$F$191:$F$196)</f>
        <v>0</v>
      </c>
      <c r="BD926" s="157"/>
    </row>
    <row r="927" spans="2:56" ht="15" thickBot="1">
      <c r="B927" s="156"/>
      <c r="BD927" s="157"/>
    </row>
    <row r="928" spans="2:56" ht="15" thickBot="1">
      <c r="B928" s="156"/>
      <c r="C928" s="141">
        <f ca="1">L925</f>
        <v>0</v>
      </c>
      <c r="D928" s="197" t="str">
        <f ca="1">IF($D923=1,"FC",IF($D923=2,"BC",IF($D923=3,"YC","Nothing")))</f>
        <v>Nothing</v>
      </c>
      <c r="E928" s="198"/>
      <c r="G928" s="141">
        <f ca="1">L924</f>
        <v>0</v>
      </c>
      <c r="H928" s="197" t="str">
        <f ca="1">IF($D923=1,"FC",IF($D923=2,"BC",IF($D923=3,"YC","Nothing")))</f>
        <v>Nothing</v>
      </c>
      <c r="I928" s="198"/>
      <c r="K928" s="141">
        <f ca="1" xml:space="preserve"> L923</f>
        <v>0</v>
      </c>
      <c r="L928" s="197" t="str">
        <f ca="1">IF($D923=1,"FC",IF($D923=2,"BC",IF($D923=3,"YC","Nothing")))</f>
        <v>Nothing</v>
      </c>
      <c r="M928" s="198"/>
      <c r="O928" s="141">
        <f ca="1">IF($D926&lt;&gt;"None",1,0)</f>
        <v>0</v>
      </c>
      <c r="P928" s="326" t="s">
        <v>380</v>
      </c>
      <c r="Q928" s="327"/>
      <c r="S928" s="141">
        <f ca="1">IF($D925&lt;&gt;"None",1,0)</f>
        <v>0</v>
      </c>
      <c r="T928" s="326" t="s">
        <v>381</v>
      </c>
      <c r="U928" s="327"/>
      <c r="W928" s="141">
        <f ca="1">IF($D924&lt;&gt;"None",1,0)</f>
        <v>0</v>
      </c>
      <c r="X928" s="326" t="s">
        <v>382</v>
      </c>
      <c r="Y928" s="327"/>
      <c r="AA928" s="141">
        <f ca="1">IF($D926="None",1,0)</f>
        <v>1</v>
      </c>
      <c r="AB928" s="326" t="str">
        <f ca="1">IF(AA928,D928,$D926)</f>
        <v>Nothing</v>
      </c>
      <c r="AC928" s="327"/>
      <c r="AE928" s="141">
        <f ca="1">IF($D925="None",1,0)</f>
        <v>1</v>
      </c>
      <c r="AF928" s="326" t="str">
        <f ca="1">IF(AE928,H928,$D925)</f>
        <v>Nothing</v>
      </c>
      <c r="AG928" s="327"/>
      <c r="AI928" s="141">
        <f ca="1">IF($D924="None",1,0)</f>
        <v>1</v>
      </c>
      <c r="AJ928" s="326" t="str">
        <f ca="1">IF(AI928,L928,$D924)</f>
        <v>Nothing</v>
      </c>
      <c r="AK928" s="327"/>
      <c r="AM928" s="141">
        <f ca="1">IF($X921="None",0,1)</f>
        <v>0</v>
      </c>
      <c r="AN928" s="197" t="s">
        <v>133</v>
      </c>
      <c r="AO928" s="198"/>
      <c r="AQ928" s="141">
        <f ca="1">IF($X921="None",0,1)</f>
        <v>0</v>
      </c>
      <c r="AR928" s="197" t="s">
        <v>134</v>
      </c>
      <c r="AS928" s="198"/>
      <c r="BD928" s="157"/>
    </row>
    <row r="929" spans="2:56" ht="15" thickBot="1">
      <c r="B929" s="156"/>
      <c r="C929" s="136" t="s">
        <v>452</v>
      </c>
      <c r="D929" s="136" t="s">
        <v>384</v>
      </c>
      <c r="E929" s="138" t="s">
        <v>385</v>
      </c>
      <c r="G929" s="136" t="s">
        <v>452</v>
      </c>
      <c r="H929" s="136" t="s">
        <v>384</v>
      </c>
      <c r="I929" s="138" t="s">
        <v>385</v>
      </c>
      <c r="K929" s="193" t="s">
        <v>452</v>
      </c>
      <c r="L929" s="193" t="s">
        <v>384</v>
      </c>
      <c r="M929" s="194" t="s">
        <v>385</v>
      </c>
      <c r="O929" s="136" t="s">
        <v>452</v>
      </c>
      <c r="P929" s="136" t="s">
        <v>384</v>
      </c>
      <c r="Q929" s="138" t="s">
        <v>385</v>
      </c>
      <c r="S929" s="136" t="s">
        <v>452</v>
      </c>
      <c r="T929" s="136" t="s">
        <v>384</v>
      </c>
      <c r="U929" s="138" t="s">
        <v>385</v>
      </c>
      <c r="W929" s="136" t="s">
        <v>452</v>
      </c>
      <c r="X929" s="136" t="s">
        <v>384</v>
      </c>
      <c r="Y929" s="138" t="s">
        <v>385</v>
      </c>
      <c r="AA929" s="136" t="s">
        <v>452</v>
      </c>
      <c r="AB929" s="136" t="s">
        <v>384</v>
      </c>
      <c r="AC929" s="138" t="s">
        <v>385</v>
      </c>
      <c r="AE929" s="136" t="s">
        <v>452</v>
      </c>
      <c r="AF929" s="136" t="s">
        <v>384</v>
      </c>
      <c r="AG929" s="138" t="s">
        <v>385</v>
      </c>
      <c r="AI929" s="193" t="s">
        <v>452</v>
      </c>
      <c r="AJ929" s="193" t="s">
        <v>384</v>
      </c>
      <c r="AK929" s="194" t="s">
        <v>385</v>
      </c>
      <c r="AM929" s="193" t="s">
        <v>452</v>
      </c>
      <c r="AN929" s="193" t="s">
        <v>384</v>
      </c>
      <c r="AO929" s="194" t="s">
        <v>385</v>
      </c>
      <c r="AQ929" s="193" t="s">
        <v>452</v>
      </c>
      <c r="AR929" s="193" t="s">
        <v>384</v>
      </c>
      <c r="AS929" s="194" t="s">
        <v>385</v>
      </c>
      <c r="BD929" s="157"/>
    </row>
    <row r="930" spans="2:56">
      <c r="B930" s="156"/>
      <c r="C930" s="128" t="s">
        <v>396</v>
      </c>
      <c r="D930" s="158">
        <f ca="1">IF(C928&gt;=1,L921,8888)</f>
        <v>8888</v>
      </c>
      <c r="E930" s="160">
        <f ca="1">IF(C928&gt;=1,1/2*($C$13-P921-2*P923)+1/2*P921,8888)</f>
        <v>8888</v>
      </c>
      <c r="G930" s="128" t="s">
        <v>396</v>
      </c>
      <c r="H930" s="158">
        <f ca="1">IF(G928&gt;=1,L921,8888)</f>
        <v>8888</v>
      </c>
      <c r="I930" s="160">
        <f ca="1">IF(G928&gt;=1,E941-P925,8888)</f>
        <v>8888</v>
      </c>
      <c r="K930" s="128" t="s">
        <v>396</v>
      </c>
      <c r="L930" s="158">
        <f ca="1">IF(K928&gt;=1,L921,8888)</f>
        <v>8888</v>
      </c>
      <c r="M930" s="160">
        <f ca="1">IF(K928&gt;=1,IF(FUSELAGE_n_aisles=1,E941-P925,I953-P925),8888)</f>
        <v>8888</v>
      </c>
      <c r="O930" s="128" t="s">
        <v>396</v>
      </c>
      <c r="P930" s="158">
        <f ca="1">IF(O928,$L921,8888)</f>
        <v>8888</v>
      </c>
      <c r="Q930" s="209">
        <f ca="1">IF(O928,FUSELAGE_y_position_of_left_seat_YC-(FUSELAGE_nseats_right_YC-1)*(SEAT_w_cushion_YC+SEAT_w_armrest_YC)/2+T926/2,8888)</f>
        <v>8888</v>
      </c>
      <c r="S930" s="128" t="s">
        <v>396</v>
      </c>
      <c r="T930" s="158">
        <f ca="1">IF(S928,$L921,8888)</f>
        <v>8888</v>
      </c>
      <c r="U930" s="160">
        <f ca="1">IF(S928,T924/2,8888)</f>
        <v>8888</v>
      </c>
      <c r="W930" s="128" t="s">
        <v>396</v>
      </c>
      <c r="X930" s="158">
        <f ca="1">IF(W928,$L921,8888)</f>
        <v>8888</v>
      </c>
      <c r="Y930" s="160">
        <f ca="1">IF(W928,-FUSELAGE_y_position_of_left_seat_YC+(FUSELAGE_nseats_left_YC-1)*(SEAT_w_cushion_YC+SEAT_w_armrest_YC)/2-T922/2,8888)</f>
        <v>8888</v>
      </c>
      <c r="AA930" s="128" t="s">
        <v>396</v>
      </c>
      <c r="AB930" s="158">
        <f ca="1">IF($AA928,D930,P930)</f>
        <v>8888</v>
      </c>
      <c r="AC930" s="174">
        <f ca="1">IF($AA928,E930,Q930)</f>
        <v>8888</v>
      </c>
      <c r="AE930" s="128" t="s">
        <v>396</v>
      </c>
      <c r="AF930" s="158">
        <f ca="1">IF($AE928,H930,T930)</f>
        <v>8888</v>
      </c>
      <c r="AG930" s="174">
        <f ca="1">IF($AE928,I930,U930)</f>
        <v>8888</v>
      </c>
      <c r="AI930" s="128" t="s">
        <v>396</v>
      </c>
      <c r="AJ930" s="158">
        <f ca="1">IF($AI928,L930,X930)</f>
        <v>8888</v>
      </c>
      <c r="AK930" s="174">
        <f ca="1">IF($AI928,M930,Y930)</f>
        <v>8888</v>
      </c>
      <c r="AM930" s="128" t="s">
        <v>396</v>
      </c>
      <c r="AN930" s="158">
        <f ca="1">AN899</f>
        <v>-16.562000000000005</v>
      </c>
      <c r="AO930" s="174">
        <f ca="1">IF(AN930&gt;-Fuselage!$D$366,(FUSELAGE_a_ellipse)*SQRT(1-((AN930+Fuselage!$D$366)/(Fuselage!$K$364-FUSELAGE_t_fuselage))^2),IF(AN930&gt;$L$2505+Fuselage!$K$370,FUSELAGE_a_ellipse,(FUSELAGE_a_ellipse+FUSELAGE_t_fuselage-FUSELAGE_d_fo/4)/Fuselage!$K$368*(AN930-$L$2505-Fuselage!$K$370)+FUSELAGE_a_ellipse))</f>
        <v>1.4960570012328709</v>
      </c>
      <c r="AQ930" s="128" t="s">
        <v>396</v>
      </c>
      <c r="AR930" s="158">
        <f t="shared" ref="AR930:AR935" ca="1" si="106">AN930</f>
        <v>-16.562000000000005</v>
      </c>
      <c r="AS930" s="174">
        <f t="shared" ref="AS930:AS935" ca="1" si="107">-AO930</f>
        <v>-1.4960570012328709</v>
      </c>
      <c r="BD930" s="157"/>
    </row>
    <row r="931" spans="2:56">
      <c r="B931" s="156"/>
      <c r="C931" s="128" t="s">
        <v>213</v>
      </c>
      <c r="D931" s="128">
        <f ca="1">IF(X923,D930+P922/4,D930+P922)</f>
        <v>8888</v>
      </c>
      <c r="E931" s="139">
        <f ca="1">E930</f>
        <v>8888</v>
      </c>
      <c r="G931" s="128" t="s">
        <v>213</v>
      </c>
      <c r="H931" s="128">
        <f ca="1">H930+P922</f>
        <v>8888</v>
      </c>
      <c r="I931" s="139">
        <f ca="1">I930</f>
        <v>8888</v>
      </c>
      <c r="K931" s="128" t="s">
        <v>213</v>
      </c>
      <c r="L931" s="128">
        <f ca="1">IF(X923,IF(K928=1,L930+P922/4,L930+P922),L930+P922)</f>
        <v>8888</v>
      </c>
      <c r="M931" s="139">
        <f ca="1">M930</f>
        <v>8888</v>
      </c>
      <c r="O931" s="128" t="s">
        <v>213</v>
      </c>
      <c r="P931" s="128">
        <f ca="1">P930+$T925</f>
        <v>8888</v>
      </c>
      <c r="Q931" s="139">
        <f ca="1">Q930</f>
        <v>8888</v>
      </c>
      <c r="S931" s="128" t="s">
        <v>213</v>
      </c>
      <c r="T931" s="128">
        <f ca="1">T930+$T923</f>
        <v>8888</v>
      </c>
      <c r="U931" s="139">
        <f ca="1">U930</f>
        <v>8888</v>
      </c>
      <c r="W931" s="128" t="s">
        <v>213</v>
      </c>
      <c r="X931" s="128">
        <f ca="1">X930+$T921</f>
        <v>8888</v>
      </c>
      <c r="Y931" s="139">
        <f ca="1">Y930</f>
        <v>8888</v>
      </c>
      <c r="AA931" s="143" t="s">
        <v>213</v>
      </c>
      <c r="AB931" s="128">
        <f ca="1">IF($AA928,D931,P931)</f>
        <v>8888</v>
      </c>
      <c r="AC931" s="129">
        <f ca="1">IF($AA928,E931,Q931)</f>
        <v>8888</v>
      </c>
      <c r="AE931" s="128" t="s">
        <v>213</v>
      </c>
      <c r="AF931" s="128">
        <f ca="1">IF($AE928,H931,T931)</f>
        <v>8888</v>
      </c>
      <c r="AG931" s="129">
        <f ca="1">IF($AE928,I931,U931)</f>
        <v>8888</v>
      </c>
      <c r="AI931" s="128" t="s">
        <v>213</v>
      </c>
      <c r="AJ931" s="128">
        <f ca="1">IF($AI928,L931,X931)</f>
        <v>8888</v>
      </c>
      <c r="AK931" s="129">
        <f ca="1">IF($AI928,M931,Y931)</f>
        <v>8888</v>
      </c>
      <c r="AM931" s="128" t="s">
        <v>213</v>
      </c>
      <c r="AN931" s="128">
        <f ca="1">AN930-AO921/2</f>
        <v>-16.562000000000005</v>
      </c>
      <c r="AO931" s="129">
        <f ca="1">IF(AN931&gt;-Fuselage!$D$366,(FUSELAGE_a_ellipse)*SQRT(1-((AN931+Fuselage!$D$366)/(Fuselage!$K$364-FUSELAGE_t_fuselage))^2),IF(AN931&gt;$L$2505+Fuselage!$K$370,FUSELAGE_a_ellipse,(FUSELAGE_a_ellipse+FUSELAGE_t_fuselage-FUSELAGE_d_fo/4)/Fuselage!$K$368*(AN931-$L$2505-Fuselage!$K$370)+FUSELAGE_a_ellipse))</f>
        <v>1.4960570012328709</v>
      </c>
      <c r="AQ931" s="128" t="s">
        <v>213</v>
      </c>
      <c r="AR931" s="128">
        <f t="shared" ca="1" si="106"/>
        <v>-16.562000000000005</v>
      </c>
      <c r="AS931" s="129">
        <f t="shared" ca="1" si="107"/>
        <v>-1.4960570012328709</v>
      </c>
      <c r="BD931" s="157"/>
    </row>
    <row r="932" spans="2:56">
      <c r="B932" s="156"/>
      <c r="C932" s="128" t="s">
        <v>286</v>
      </c>
      <c r="D932" s="128">
        <f ca="1">D931</f>
        <v>8888</v>
      </c>
      <c r="E932" s="139">
        <f ca="1">E931-P921</f>
        <v>8888</v>
      </c>
      <c r="G932" s="128" t="s">
        <v>286</v>
      </c>
      <c r="H932" s="128">
        <f ca="1">H931</f>
        <v>8888</v>
      </c>
      <c r="I932" s="139">
        <f ca="1">I931-P921</f>
        <v>8888</v>
      </c>
      <c r="K932" s="128" t="s">
        <v>286</v>
      </c>
      <c r="L932" s="128">
        <f ca="1">L931</f>
        <v>8888</v>
      </c>
      <c r="M932" s="139">
        <f ca="1">M931-P921</f>
        <v>8888</v>
      </c>
      <c r="O932" s="128" t="s">
        <v>286</v>
      </c>
      <c r="P932" s="128">
        <f ca="1">P931</f>
        <v>8888</v>
      </c>
      <c r="Q932" s="139">
        <f ca="1">Q931-$T926</f>
        <v>8888</v>
      </c>
      <c r="S932" s="128" t="s">
        <v>286</v>
      </c>
      <c r="T932" s="128">
        <f ca="1">T931</f>
        <v>8888</v>
      </c>
      <c r="U932" s="139">
        <f ca="1">U931-$T924</f>
        <v>8888</v>
      </c>
      <c r="W932" s="128" t="s">
        <v>286</v>
      </c>
      <c r="X932" s="128">
        <f ca="1">X931</f>
        <v>8888</v>
      </c>
      <c r="Y932" s="139">
        <f ca="1">Y931+$T922</f>
        <v>8888</v>
      </c>
      <c r="AA932" s="143" t="s">
        <v>286</v>
      </c>
      <c r="AB932" s="128">
        <f ca="1">IF($AA928,D932,P932)</f>
        <v>8888</v>
      </c>
      <c r="AC932" s="129">
        <f ca="1">IF($AA928,E932,Q932)</f>
        <v>8888</v>
      </c>
      <c r="AE932" s="128" t="s">
        <v>286</v>
      </c>
      <c r="AF932" s="128">
        <f ca="1">IF($AE928,H932,T932)</f>
        <v>8888</v>
      </c>
      <c r="AG932" s="129">
        <f ca="1">IF($AE928,I932,U932)</f>
        <v>8888</v>
      </c>
      <c r="AI932" s="128" t="s">
        <v>286</v>
      </c>
      <c r="AJ932" s="128">
        <f ca="1">IF($AI928,L932,X932)</f>
        <v>8888</v>
      </c>
      <c r="AK932" s="129">
        <f ca="1">IF($AI928,M932,Y932)</f>
        <v>8888</v>
      </c>
      <c r="AM932" s="128" t="s">
        <v>286</v>
      </c>
      <c r="AN932" s="128">
        <f ca="1">AN931</f>
        <v>-16.562000000000005</v>
      </c>
      <c r="AO932" s="129">
        <f ca="1">IF(AN932&gt;-Fuselage!$D$366,IF(AM928,(FUSELAGE_a_ellipse+FUSELAGE_t_fuselage)*SQRT(1-((AN932+Fuselage!$D$366)/Fuselage!$K$364)^2),(FUSELAGE_a_ellipse)*SQRT(1-((AN932+Fuselage!$D$366)/Fuselage!$K$364)^2)),IF(AN932&gt;$L$2505+Fuselage!$K$370,(IF(AM928,FUSELAGE_a_ellipse+FUSELAGE_t_fuselage,FUSELAGE_a_ellipse)),IF(AM928,(FUSELAGE_a_ellipse+FUSELAGE_t_fuselage-FUSELAGE_d_fo/4)/Fuselage!$K$368*(AN932-$L$2505-Fuselage!$K$370)+FUSELAGE_a_ellipse+FUSELAGE_t_fuselage,(FUSELAGE_a_ellipse+FUSELAGE_t_fuselage-FUSELAGE_d_fo/4)/Fuselage!$K$368*(AN932-$L$2505-Fuselage!$K$370)+FUSELAGE_a_ellipse)))</f>
        <v>1.4960570012328709</v>
      </c>
      <c r="AQ932" s="128" t="s">
        <v>286</v>
      </c>
      <c r="AR932" s="128">
        <f t="shared" ca="1" si="106"/>
        <v>-16.562000000000005</v>
      </c>
      <c r="AS932" s="129">
        <f t="shared" ca="1" si="107"/>
        <v>-1.4960570012328709</v>
      </c>
      <c r="BD932" s="157"/>
    </row>
    <row r="933" spans="2:56">
      <c r="B933" s="156"/>
      <c r="C933" s="188" t="s">
        <v>522</v>
      </c>
      <c r="D933" s="188">
        <f ca="1">D930</f>
        <v>8888</v>
      </c>
      <c r="E933" s="189">
        <f ca="1">E932</f>
        <v>8888</v>
      </c>
      <c r="F933" s="157"/>
      <c r="G933" s="2" t="s">
        <v>522</v>
      </c>
      <c r="H933" s="128">
        <f ca="1">H930</f>
        <v>8888</v>
      </c>
      <c r="I933" s="139">
        <f ca="1">I932</f>
        <v>8888</v>
      </c>
      <c r="K933" s="128" t="s">
        <v>522</v>
      </c>
      <c r="L933" s="128">
        <f ca="1">L930</f>
        <v>8888</v>
      </c>
      <c r="M933" s="139">
        <f ca="1">M932</f>
        <v>8888</v>
      </c>
      <c r="O933" s="188" t="s">
        <v>522</v>
      </c>
      <c r="P933" s="188">
        <f ca="1">P930</f>
        <v>8888</v>
      </c>
      <c r="Q933" s="189">
        <f ca="1">Q932</f>
        <v>8888</v>
      </c>
      <c r="S933" s="188" t="s">
        <v>522</v>
      </c>
      <c r="T933" s="188">
        <f ca="1">T930</f>
        <v>8888</v>
      </c>
      <c r="U933" s="189">
        <f ca="1">U932</f>
        <v>8888</v>
      </c>
      <c r="W933" s="188" t="s">
        <v>522</v>
      </c>
      <c r="X933" s="188">
        <f ca="1">X930</f>
        <v>8888</v>
      </c>
      <c r="Y933" s="189">
        <f ca="1">Y932</f>
        <v>8888</v>
      </c>
      <c r="AA933" s="195" t="s">
        <v>522</v>
      </c>
      <c r="AB933" s="128">
        <f ca="1">IF($AA928,D933,P933)</f>
        <v>8888</v>
      </c>
      <c r="AC933" s="129">
        <f ca="1">IF($AA928,E933,Q933)</f>
        <v>8888</v>
      </c>
      <c r="AD933" s="157"/>
      <c r="AE933" s="2" t="s">
        <v>522</v>
      </c>
      <c r="AF933" s="188">
        <f ca="1">IF($AE928,H933,T933)</f>
        <v>8888</v>
      </c>
      <c r="AG933" s="196">
        <f ca="1">IF($AE928,I933,U933)</f>
        <v>8888</v>
      </c>
      <c r="AI933" s="128" t="s">
        <v>522</v>
      </c>
      <c r="AJ933" s="188">
        <f ca="1">IF($AI928,L933,X933)</f>
        <v>8888</v>
      </c>
      <c r="AK933" s="196">
        <f ca="1">IF($AI928,M933,Y933)</f>
        <v>8888</v>
      </c>
      <c r="AM933" s="128" t="s">
        <v>522</v>
      </c>
      <c r="AN933" s="128">
        <f ca="1">AN932-X922</f>
        <v>-16.562000000000005</v>
      </c>
      <c r="AO933" s="129">
        <f ca="1">IF(AN933&gt;-Fuselage!$D$366,IF(AM928,(FUSELAGE_a_ellipse+FUSELAGE_t_fuselage)*SQRT(1-((AN933+Fuselage!$D$366)/Fuselage!$K$364)^2),(FUSELAGE_a_ellipse)*SQRT(1-((AN933+Fuselage!$D$366)/Fuselage!$K$364)^2)),IF(AN933&gt;$L$2505+Fuselage!$K$370,(IF(AM928,FUSELAGE_a_ellipse+FUSELAGE_t_fuselage,FUSELAGE_a_ellipse)),IF(AM928,(FUSELAGE_a_ellipse+FUSELAGE_t_fuselage-FUSELAGE_d_fo/4)/Fuselage!$K$368*(AN933-$L$2505-Fuselage!$K$370)+FUSELAGE_a_ellipse+FUSELAGE_t_fuselage,(FUSELAGE_a_ellipse+FUSELAGE_t_fuselage-FUSELAGE_d_fo/4)/Fuselage!$K$368*(AN933-$L$2505-Fuselage!$K$370)+FUSELAGE_a_ellipse)))</f>
        <v>1.4960570012328709</v>
      </c>
      <c r="AQ933" s="128" t="s">
        <v>522</v>
      </c>
      <c r="AR933" s="128">
        <f t="shared" ca="1" si="106"/>
        <v>-16.562000000000005</v>
      </c>
      <c r="AS933" s="129">
        <f t="shared" ca="1" si="107"/>
        <v>-1.4960570012328709</v>
      </c>
      <c r="BD933" s="157"/>
    </row>
    <row r="934" spans="2:56" ht="15" thickBot="1">
      <c r="B934" s="156"/>
      <c r="C934" s="128" t="s">
        <v>49</v>
      </c>
      <c r="D934" s="128">
        <f ca="1">IF(C928&gt;=2,D930,D933)</f>
        <v>8888</v>
      </c>
      <c r="E934" s="139">
        <f ca="1">IF(C928&gt;=2,E933-P923,E933)</f>
        <v>8888</v>
      </c>
      <c r="F934" s="157"/>
      <c r="G934" s="192" t="s">
        <v>49</v>
      </c>
      <c r="H934" s="190">
        <f ca="1">IF(G928&gt;=2,H930,H933)</f>
        <v>8888</v>
      </c>
      <c r="I934" s="191">
        <f ca="1">IF(G928&gt;=2,I933-P923,I933)</f>
        <v>8888</v>
      </c>
      <c r="K934" s="190" t="s">
        <v>49</v>
      </c>
      <c r="L934" s="190">
        <f ca="1">IF(K928&gt;=2,L930,L933)</f>
        <v>8888</v>
      </c>
      <c r="M934" s="191">
        <f ca="1">IF(K928&gt;=2,M933-P923,M933)</f>
        <v>8888</v>
      </c>
      <c r="O934" s="130" t="s">
        <v>396</v>
      </c>
      <c r="P934" s="130">
        <f ca="1">P930</f>
        <v>8888</v>
      </c>
      <c r="Q934" s="140">
        <f ca="1">Q930</f>
        <v>8888</v>
      </c>
      <c r="S934" s="130" t="s">
        <v>396</v>
      </c>
      <c r="T934" s="130">
        <f ca="1">T930</f>
        <v>8888</v>
      </c>
      <c r="U934" s="140">
        <f ca="1">U930</f>
        <v>8888</v>
      </c>
      <c r="W934" s="130" t="s">
        <v>396</v>
      </c>
      <c r="X934" s="130">
        <f ca="1">X930</f>
        <v>8888</v>
      </c>
      <c r="Y934" s="140">
        <f ca="1">Y930</f>
        <v>8888</v>
      </c>
      <c r="AA934" s="143" t="s">
        <v>49</v>
      </c>
      <c r="AB934" s="128">
        <f ca="1">IF($AA928,D934,P934)</f>
        <v>8888</v>
      </c>
      <c r="AC934" s="129">
        <f ca="1">IF($AA928,E934,Q934)</f>
        <v>8888</v>
      </c>
      <c r="AD934" s="157"/>
      <c r="AE934" s="192" t="s">
        <v>49</v>
      </c>
      <c r="AF934" s="128">
        <f ca="1">IF($AE928,H934,T934)</f>
        <v>8888</v>
      </c>
      <c r="AG934" s="129">
        <f ca="1">IF($AE928,I934,U934)</f>
        <v>8888</v>
      </c>
      <c r="AI934" s="190" t="s">
        <v>49</v>
      </c>
      <c r="AJ934" s="128">
        <f ca="1">IF($AI928,L934,X934)</f>
        <v>8888</v>
      </c>
      <c r="AK934" s="129">
        <f ca="1">IF($AI928,M934,Y934)</f>
        <v>8888</v>
      </c>
      <c r="AM934" s="128" t="s">
        <v>49</v>
      </c>
      <c r="AN934" s="128">
        <f ca="1">AN933</f>
        <v>-16.562000000000005</v>
      </c>
      <c r="AO934" s="129">
        <f ca="1">IF(AN934&gt;-Fuselage!$D$366,(FUSELAGE_a_ellipse)*SQRT(1-((AN934+Fuselage!$D$366)/(Fuselage!$K$364-FUSELAGE_t_fuselage))^2),IF(AN934&gt;$L$2505+Fuselage!$K$370,FUSELAGE_a_ellipse,(FUSELAGE_a_ellipse+FUSELAGE_t_fuselage-FUSELAGE_d_fo/4)/Fuselage!$K$368*(AN934-$L$2505-Fuselage!$K$370)+FUSELAGE_a_ellipse))</f>
        <v>1.4960570012328709</v>
      </c>
      <c r="AQ934" s="128" t="s">
        <v>49</v>
      </c>
      <c r="AR934" s="128">
        <f t="shared" ca="1" si="106"/>
        <v>-16.562000000000005</v>
      </c>
      <c r="AS934" s="129">
        <f t="shared" ca="1" si="107"/>
        <v>-1.4960570012328709</v>
      </c>
      <c r="BD934" s="157"/>
    </row>
    <row r="935" spans="2:56">
      <c r="B935" s="156"/>
      <c r="C935" s="128" t="s">
        <v>453</v>
      </c>
      <c r="D935" s="128">
        <f ca="1">IF(C928&gt;=2,D930+P922,D933)</f>
        <v>8888</v>
      </c>
      <c r="E935" s="139">
        <f ca="1">E934</f>
        <v>8888</v>
      </c>
      <c r="F935" s="157"/>
      <c r="G935" s="2" t="s">
        <v>453</v>
      </c>
      <c r="H935" s="128">
        <f ca="1">IF(G928&gt;=2,H931,H933)</f>
        <v>8888</v>
      </c>
      <c r="I935" s="139">
        <f ca="1">IF(G928&gt;=2,I934,I933)</f>
        <v>8888</v>
      </c>
      <c r="K935" s="128" t="s">
        <v>453</v>
      </c>
      <c r="L935" s="128">
        <f ca="1">IF(K928&gt;=2,IF(X923,IF(K928=2,L930+P922/4,L930+P922),L930+P922),L933)</f>
        <v>8888</v>
      </c>
      <c r="M935" s="139">
        <f ca="1">IF(K928&gt;=2,M934,M933)</f>
        <v>8888</v>
      </c>
      <c r="AA935" s="143" t="s">
        <v>453</v>
      </c>
      <c r="AB935" s="128">
        <f ca="1">IF($AA928,D935,AB934)</f>
        <v>8888</v>
      </c>
      <c r="AC935" s="129">
        <f ca="1">IF($AA928,E935,AC934)</f>
        <v>8888</v>
      </c>
      <c r="AD935" s="157"/>
      <c r="AE935" s="2" t="s">
        <v>453</v>
      </c>
      <c r="AF935" s="128">
        <f ca="1">IF($AE928,H935,AF934)</f>
        <v>8888</v>
      </c>
      <c r="AG935" s="129">
        <f ca="1">IF($AE928,I935,AG934)</f>
        <v>8888</v>
      </c>
      <c r="AI935" s="128" t="s">
        <v>453</v>
      </c>
      <c r="AJ935" s="128">
        <f ca="1">IF($AI928,L935,AJ934)</f>
        <v>8888</v>
      </c>
      <c r="AK935" s="129">
        <f ca="1">IF($AI928,M935,AK934)</f>
        <v>8888</v>
      </c>
      <c r="AM935" s="128" t="s">
        <v>453</v>
      </c>
      <c r="AN935" s="128">
        <f ca="1">L921</f>
        <v>-16.562000000000005</v>
      </c>
      <c r="AO935" s="129">
        <f ca="1">IF(AN935&gt;-Fuselage!$D$366,(FUSELAGE_a_ellipse)*SQRT(1-((AN935+Fuselage!$D$366)/(Fuselage!$K$364-FUSELAGE_t_fuselage))^2),IF(AN935&gt;$L$2505+Fuselage!$K$370,FUSELAGE_a_ellipse,(FUSELAGE_a_ellipse+FUSELAGE_t_fuselage-FUSELAGE_d_fo/4)/Fuselage!$K$368*(AN935-$L$2505-Fuselage!$K$370)+FUSELAGE_a_ellipse))</f>
        <v>1.4960570012328709</v>
      </c>
      <c r="AQ935" s="128" t="s">
        <v>453</v>
      </c>
      <c r="AR935" s="128">
        <f t="shared" ca="1" si="106"/>
        <v>-16.562000000000005</v>
      </c>
      <c r="AS935" s="129">
        <f t="shared" ca="1" si="107"/>
        <v>-1.4960570012328709</v>
      </c>
      <c r="BD935" s="157"/>
    </row>
    <row r="936" spans="2:56">
      <c r="B936" s="156"/>
      <c r="C936" s="128" t="s">
        <v>394</v>
      </c>
      <c r="D936" s="128">
        <f ca="1">IF(C928&gt;=2,D935,D933)</f>
        <v>8888</v>
      </c>
      <c r="E936" s="139">
        <f ca="1">IF(C928&gt;=2,E934-P921,E933)</f>
        <v>8888</v>
      </c>
      <c r="F936" s="157"/>
      <c r="G936" s="2" t="s">
        <v>394</v>
      </c>
      <c r="H936" s="128">
        <f ca="1">IF(G928&gt;=2,H931,H933)</f>
        <v>8888</v>
      </c>
      <c r="I936" s="139">
        <f ca="1">IF(G928&gt;=2,I935-P921,I933)</f>
        <v>8888</v>
      </c>
      <c r="K936" s="128" t="s">
        <v>394</v>
      </c>
      <c r="L936" s="128">
        <f ca="1">L935</f>
        <v>8888</v>
      </c>
      <c r="M936" s="139">
        <f ca="1">IF(K928&gt;=2,M935-P921,M933)</f>
        <v>8888</v>
      </c>
      <c r="AA936" s="143" t="s">
        <v>394</v>
      </c>
      <c r="AB936" s="128">
        <f ca="1">IF($AA928,D936,AB934)</f>
        <v>8888</v>
      </c>
      <c r="AC936" s="129">
        <f ca="1">IF($AA928,E936,AC934)</f>
        <v>8888</v>
      </c>
      <c r="AD936" s="157"/>
      <c r="AE936" s="2" t="s">
        <v>394</v>
      </c>
      <c r="AF936" s="128">
        <f ca="1">IF($AE928,H936,AF934)</f>
        <v>8888</v>
      </c>
      <c r="AG936" s="129">
        <f ca="1">IF($AE928,I936,AG934)</f>
        <v>8888</v>
      </c>
      <c r="AI936" s="128" t="s">
        <v>394</v>
      </c>
      <c r="AJ936" s="128">
        <f ca="1">IF($AI928,L936,AJ934)</f>
        <v>8888</v>
      </c>
      <c r="AK936" s="129">
        <f ca="1">IF($AI928,M936,AK934)</f>
        <v>8888</v>
      </c>
      <c r="BD936" s="157"/>
    </row>
    <row r="937" spans="2:56">
      <c r="B937" s="156"/>
      <c r="C937" s="188" t="s">
        <v>454</v>
      </c>
      <c r="D937" s="188">
        <f ca="1">IF(C928&gt;=2,D930,D933)</f>
        <v>8888</v>
      </c>
      <c r="E937" s="189">
        <f ca="1">E936</f>
        <v>8888</v>
      </c>
      <c r="F937" s="157"/>
      <c r="G937" s="115" t="s">
        <v>454</v>
      </c>
      <c r="H937" s="188">
        <f ca="1">IF(G928&gt;=2,H930,H933)</f>
        <v>8888</v>
      </c>
      <c r="I937" s="189">
        <f ca="1">IF(G928&gt;=2,I936,I933)</f>
        <v>8888</v>
      </c>
      <c r="K937" s="188" t="s">
        <v>454</v>
      </c>
      <c r="L937" s="188">
        <f ca="1">IF(K928&gt;=2,L930,L933)</f>
        <v>8888</v>
      </c>
      <c r="M937" s="189">
        <f ca="1">IF(K928&gt;=2,M936,M933)</f>
        <v>8888</v>
      </c>
      <c r="AA937" s="195" t="s">
        <v>454</v>
      </c>
      <c r="AB937" s="128">
        <f ca="1">IF($AA928,D937,AB934)</f>
        <v>8888</v>
      </c>
      <c r="AC937" s="129">
        <f ca="1">IF($AA928,E937,AC934)</f>
        <v>8888</v>
      </c>
      <c r="AD937" s="157"/>
      <c r="AE937" s="115" t="s">
        <v>454</v>
      </c>
      <c r="AF937" s="188">
        <f ca="1">IF($AE928,H937,AF934)</f>
        <v>8888</v>
      </c>
      <c r="AG937" s="196">
        <f ca="1">IF($AE928,I937,AG934)</f>
        <v>8888</v>
      </c>
      <c r="AI937" s="188" t="s">
        <v>454</v>
      </c>
      <c r="AJ937" s="188">
        <f ca="1">IF($AI928,L937,AJ934)</f>
        <v>8888</v>
      </c>
      <c r="AK937" s="196">
        <f ca="1">IF($AI928,M937,AK934)</f>
        <v>8888</v>
      </c>
      <c r="BD937" s="157"/>
    </row>
    <row r="938" spans="2:56">
      <c r="B938" s="156"/>
      <c r="C938" s="128" t="s">
        <v>507</v>
      </c>
      <c r="D938" s="128">
        <f ca="1">IF(C928&gt;=3,D930,D937)</f>
        <v>8888</v>
      </c>
      <c r="E938" s="139">
        <f ca="1">IF(C928&gt;=3,E937-P923,E937)</f>
        <v>8888</v>
      </c>
      <c r="F938" s="157"/>
      <c r="G938" s="2" t="s">
        <v>507</v>
      </c>
      <c r="H938" s="128">
        <f ca="1">IF(G928&gt;=3,H930,H937)</f>
        <v>8888</v>
      </c>
      <c r="I938" s="139">
        <f ca="1">IF(G928&gt;=3,I937-P923,I937)</f>
        <v>8888</v>
      </c>
      <c r="K938" s="128" t="s">
        <v>507</v>
      </c>
      <c r="L938" s="128">
        <f ca="1">IF(K928&gt;=3,L930,L937)</f>
        <v>8888</v>
      </c>
      <c r="M938" s="139">
        <f ca="1">IF(K928&gt;=3,M937-P923,M937)</f>
        <v>8888</v>
      </c>
      <c r="AA938" s="143" t="s">
        <v>507</v>
      </c>
      <c r="AB938" s="128">
        <f ca="1">IF($AA928,D938,AB934)</f>
        <v>8888</v>
      </c>
      <c r="AC938" s="129">
        <f ca="1">IF($AA928,E938,AC934)</f>
        <v>8888</v>
      </c>
      <c r="AD938" s="157"/>
      <c r="AE938" s="2" t="s">
        <v>507</v>
      </c>
      <c r="AF938" s="128">
        <f ca="1">IF($AE928,H938,AF934)</f>
        <v>8888</v>
      </c>
      <c r="AG938" s="129">
        <f ca="1">IF($AE928,I938,AG934)</f>
        <v>8888</v>
      </c>
      <c r="AI938" s="128" t="s">
        <v>507</v>
      </c>
      <c r="AJ938" s="128">
        <f ca="1">IF($AI928,L938,AJ934)</f>
        <v>8888</v>
      </c>
      <c r="AK938" s="129">
        <f ca="1">IF($AI928,M938,AK934)</f>
        <v>8888</v>
      </c>
      <c r="BD938" s="157"/>
    </row>
    <row r="939" spans="2:56">
      <c r="B939" s="156"/>
      <c r="C939" s="128" t="s">
        <v>455</v>
      </c>
      <c r="D939" s="128">
        <f ca="1">IF(C928&gt;=3,D935,D937)</f>
        <v>8888</v>
      </c>
      <c r="E939" s="139">
        <f ca="1">E938</f>
        <v>8888</v>
      </c>
      <c r="F939" s="157"/>
      <c r="G939" s="2" t="s">
        <v>455</v>
      </c>
      <c r="H939" s="128">
        <f ca="1">IF(G928&gt;=3,H931,H937)</f>
        <v>8888</v>
      </c>
      <c r="I939" s="139">
        <f ca="1">IF(G928&gt;=3,I938,I937)</f>
        <v>8888</v>
      </c>
      <c r="K939" s="128" t="s">
        <v>455</v>
      </c>
      <c r="L939" s="128">
        <f ca="1">IF(K928&gt;=3,IF(X923,IF(K928=3,L930+P922/4,L930+P922),L930+P922),L933)</f>
        <v>8888</v>
      </c>
      <c r="M939" s="139">
        <f ca="1">IF(K928&gt;=3,M938,M937)</f>
        <v>8888</v>
      </c>
      <c r="AA939" s="143" t="s">
        <v>455</v>
      </c>
      <c r="AB939" s="128">
        <f ca="1">IF($AA928,D939,AB934)</f>
        <v>8888</v>
      </c>
      <c r="AC939" s="129">
        <f ca="1">IF($AA928,E939,AC934)</f>
        <v>8888</v>
      </c>
      <c r="AD939" s="157"/>
      <c r="AE939" s="2" t="s">
        <v>455</v>
      </c>
      <c r="AF939" s="128">
        <f ca="1">IF($AE928,H939,AF934)</f>
        <v>8888</v>
      </c>
      <c r="AG939" s="129">
        <f ca="1">IF($AE928,I939,AG934)</f>
        <v>8888</v>
      </c>
      <c r="AI939" s="128" t="s">
        <v>455</v>
      </c>
      <c r="AJ939" s="128">
        <f ca="1">IF($AI928,L939,AJ934)</f>
        <v>8888</v>
      </c>
      <c r="AK939" s="129">
        <f ca="1">IF($AI928,M939,AK934)</f>
        <v>8888</v>
      </c>
      <c r="AL939" s="156"/>
      <c r="BD939" s="157"/>
    </row>
    <row r="940" spans="2:56">
      <c r="B940" s="156"/>
      <c r="C940" s="128" t="s">
        <v>311</v>
      </c>
      <c r="D940" s="128">
        <f ca="1">IF(C928&gt;=3,D935,D937)</f>
        <v>8888</v>
      </c>
      <c r="E940" s="139">
        <f ca="1">IF(C928&gt;=3,E939-P921,E937)</f>
        <v>8888</v>
      </c>
      <c r="F940" s="157"/>
      <c r="G940" s="2" t="s">
        <v>311</v>
      </c>
      <c r="H940" s="128">
        <f ca="1">IF(G928&gt;=3,H931,H937)</f>
        <v>8888</v>
      </c>
      <c r="I940" s="139">
        <f ca="1">IF(G928&gt;=3,I939-P921,I937)</f>
        <v>8888</v>
      </c>
      <c r="K940" s="128" t="s">
        <v>311</v>
      </c>
      <c r="L940" s="128">
        <f ca="1">L939</f>
        <v>8888</v>
      </c>
      <c r="M940" s="139">
        <f ca="1">IF(K928&gt;=3,M939-P921,M937)</f>
        <v>8888</v>
      </c>
      <c r="AA940" s="143" t="s">
        <v>311</v>
      </c>
      <c r="AB940" s="128">
        <f ca="1">IF($AA928,D940,AB934)</f>
        <v>8888</v>
      </c>
      <c r="AC940" s="129">
        <f ca="1">IF($AA928,E940,AC934)</f>
        <v>8888</v>
      </c>
      <c r="AD940" s="157"/>
      <c r="AE940" s="2" t="s">
        <v>311</v>
      </c>
      <c r="AF940" s="128">
        <f ca="1">IF($AE928,H940,AF934)</f>
        <v>8888</v>
      </c>
      <c r="AG940" s="129">
        <f ca="1">IF($AE928,I940,AG934)</f>
        <v>8888</v>
      </c>
      <c r="AI940" s="128" t="s">
        <v>311</v>
      </c>
      <c r="AJ940" s="128">
        <f ca="1">IF($AI928,L940,AJ934)</f>
        <v>8888</v>
      </c>
      <c r="AK940" s="129">
        <f ca="1">IF($AI928,M940,AK934)</f>
        <v>8888</v>
      </c>
      <c r="AL940" s="156"/>
      <c r="BD940" s="157"/>
    </row>
    <row r="941" spans="2:56">
      <c r="B941" s="156"/>
      <c r="C941" s="188" t="s">
        <v>35</v>
      </c>
      <c r="D941" s="188">
        <f ca="1">IF(C928&gt;=3,D930,D937)</f>
        <v>8888</v>
      </c>
      <c r="E941" s="189">
        <f ca="1">E940</f>
        <v>8888</v>
      </c>
      <c r="F941" s="157"/>
      <c r="G941" s="2" t="s">
        <v>35</v>
      </c>
      <c r="H941" s="188">
        <f ca="1">IF(G928&gt;=3,H930,H937)</f>
        <v>8888</v>
      </c>
      <c r="I941" s="189">
        <f ca="1">IF(G928&gt;=3,I940,I937)</f>
        <v>8888</v>
      </c>
      <c r="K941" s="188" t="s">
        <v>35</v>
      </c>
      <c r="L941" s="188">
        <f ca="1">IF(K928&gt;=3,L930,L937)</f>
        <v>8888</v>
      </c>
      <c r="M941" s="189">
        <f ca="1">IF(K928&gt;=3,M940,M937)</f>
        <v>8888</v>
      </c>
      <c r="AA941" s="143" t="s">
        <v>35</v>
      </c>
      <c r="AB941" s="128">
        <f ca="1">IF($AA928,D941,AB934)</f>
        <v>8888</v>
      </c>
      <c r="AC941" s="129">
        <f ca="1">IF($AA928,E941,AC934)</f>
        <v>8888</v>
      </c>
      <c r="AD941" s="157"/>
      <c r="AE941" s="2" t="s">
        <v>35</v>
      </c>
      <c r="AF941" s="188">
        <f ca="1">IF($AE928,H941,AF934)</f>
        <v>8888</v>
      </c>
      <c r="AG941" s="196">
        <f ca="1">IF($AE928,I941,AG934)</f>
        <v>8888</v>
      </c>
      <c r="AI941" s="128" t="s">
        <v>35</v>
      </c>
      <c r="AJ941" s="128">
        <f ca="1">IF($AI928,L941,AJ934)</f>
        <v>8888</v>
      </c>
      <c r="AK941" s="129">
        <f ca="1">IF($AI928,M941,AK934)</f>
        <v>8888</v>
      </c>
      <c r="AL941" s="156"/>
      <c r="BD941" s="157"/>
    </row>
    <row r="942" spans="2:56" ht="15" thickBot="1">
      <c r="B942" s="156"/>
      <c r="C942" s="130" t="s">
        <v>396</v>
      </c>
      <c r="D942" s="130">
        <f ca="1">D930</f>
        <v>8888</v>
      </c>
      <c r="E942" s="140">
        <f ca="1">E930</f>
        <v>8888</v>
      </c>
      <c r="F942" s="157"/>
      <c r="G942" s="192" t="s">
        <v>312</v>
      </c>
      <c r="H942" s="128">
        <f ca="1">IF(G928&gt;=4,H930,H941)</f>
        <v>8888</v>
      </c>
      <c r="I942" s="139">
        <f ca="1">IF(G928&gt;=4,I941-P923,I941)</f>
        <v>8888</v>
      </c>
      <c r="K942" s="130" t="s">
        <v>396</v>
      </c>
      <c r="L942" s="130">
        <f ca="1">L930</f>
        <v>8888</v>
      </c>
      <c r="M942" s="140">
        <f ca="1">M930</f>
        <v>8888</v>
      </c>
      <c r="AA942" s="144" t="s">
        <v>396</v>
      </c>
      <c r="AB942" s="130">
        <f ca="1">IF($AA928,D942,AB934)</f>
        <v>8888</v>
      </c>
      <c r="AC942" s="132">
        <f ca="1">IF($AA928,E942,AC934)</f>
        <v>8888</v>
      </c>
      <c r="AD942" s="157"/>
      <c r="AE942" s="192" t="s">
        <v>312</v>
      </c>
      <c r="AF942" s="128">
        <f ca="1">IF($AE928,H942,AF934)</f>
        <v>8888</v>
      </c>
      <c r="AG942" s="129">
        <f ca="1">IF($AE928,I942,AG934)</f>
        <v>8888</v>
      </c>
      <c r="AI942" s="130" t="s">
        <v>396</v>
      </c>
      <c r="AJ942" s="130">
        <f ca="1">IF($AI928,L942,AJ934)</f>
        <v>8888</v>
      </c>
      <c r="AK942" s="132">
        <f ca="1">IF($AI928,M942,AK934)</f>
        <v>8888</v>
      </c>
      <c r="BD942" s="157"/>
    </row>
    <row r="943" spans="2:56">
      <c r="B943" s="156"/>
      <c r="F943" s="157"/>
      <c r="G943" s="2" t="s">
        <v>313</v>
      </c>
      <c r="H943" s="128">
        <f ca="1">IF(G928&gt;=4,H931,H941)</f>
        <v>8888</v>
      </c>
      <c r="I943" s="139">
        <f ca="1">IF(G928&gt;=4,I942,I941)</f>
        <v>8888</v>
      </c>
      <c r="AD943" s="157"/>
      <c r="AE943" s="2" t="s">
        <v>313</v>
      </c>
      <c r="AF943" s="128">
        <f ca="1">IF($AE928,H943,AF934)</f>
        <v>8888</v>
      </c>
      <c r="AG943" s="129">
        <f ca="1">IF($AE928,I943,AG934)</f>
        <v>8888</v>
      </c>
      <c r="BD943" s="157"/>
    </row>
    <row r="944" spans="2:56">
      <c r="B944" s="156"/>
      <c r="F944" s="157"/>
      <c r="G944" s="2" t="s">
        <v>7</v>
      </c>
      <c r="H944" s="128">
        <f ca="1">IF(G928&gt;=4,H931,H941)</f>
        <v>8888</v>
      </c>
      <c r="I944" s="139">
        <f ca="1">IF(G928&gt;=4,I943-P921,I941)</f>
        <v>8888</v>
      </c>
      <c r="AD944" s="157"/>
      <c r="AE944" s="2" t="s">
        <v>7</v>
      </c>
      <c r="AF944" s="128">
        <f ca="1">IF($AE928,H944,AF934)</f>
        <v>8888</v>
      </c>
      <c r="AG944" s="129">
        <f ca="1">IF($AE928,I944,AG934)</f>
        <v>8888</v>
      </c>
      <c r="BD944" s="157"/>
    </row>
    <row r="945" spans="2:56">
      <c r="B945" s="156"/>
      <c r="F945" s="157"/>
      <c r="G945" s="115" t="s">
        <v>8</v>
      </c>
      <c r="H945" s="188">
        <f ca="1">IF(G928&gt;=4,H930,H941)</f>
        <v>8888</v>
      </c>
      <c r="I945" s="189">
        <f ca="1">IF(G928&gt;=4,I944,I941)</f>
        <v>8888</v>
      </c>
      <c r="AD945" s="157"/>
      <c r="AE945" s="115" t="s">
        <v>8</v>
      </c>
      <c r="AF945" s="188">
        <f ca="1">IF($AE928,H945,AF934)</f>
        <v>8888</v>
      </c>
      <c r="AG945" s="196">
        <f ca="1">IF($AE928,I945,AG934)</f>
        <v>8888</v>
      </c>
      <c r="BD945" s="157"/>
    </row>
    <row r="946" spans="2:56">
      <c r="B946" s="156"/>
      <c r="F946" s="157"/>
      <c r="G946" s="2" t="s">
        <v>9</v>
      </c>
      <c r="H946" s="128">
        <f ca="1">IF(G928&gt;=5,H930,H945)</f>
        <v>8888</v>
      </c>
      <c r="I946" s="139">
        <f ca="1">IF(G928&gt;=5,I945-P923,I945)</f>
        <v>8888</v>
      </c>
      <c r="AD946" s="157"/>
      <c r="AE946" s="2" t="s">
        <v>9</v>
      </c>
      <c r="AF946" s="128">
        <f ca="1">IF($AE928,H946,AF934)</f>
        <v>8888</v>
      </c>
      <c r="AG946" s="129">
        <f ca="1">IF($AE928,I946,AG934)</f>
        <v>8888</v>
      </c>
      <c r="BD946" s="157"/>
    </row>
    <row r="947" spans="2:56">
      <c r="B947" s="156"/>
      <c r="F947" s="157"/>
      <c r="G947" s="2" t="s">
        <v>196</v>
      </c>
      <c r="H947" s="128">
        <f ca="1">IF(G928&gt;=5,H931,H945)</f>
        <v>8888</v>
      </c>
      <c r="I947" s="139">
        <f ca="1">IF(G928&gt;=5,I946,I945)</f>
        <v>8888</v>
      </c>
      <c r="AD947" s="157"/>
      <c r="AE947" s="2" t="s">
        <v>196</v>
      </c>
      <c r="AF947" s="128">
        <f ca="1">IF($AE928,H947,AF934)</f>
        <v>8888</v>
      </c>
      <c r="AG947" s="129">
        <f ca="1">IF($AE928,I947,AG934)</f>
        <v>8888</v>
      </c>
      <c r="BD947" s="157"/>
    </row>
    <row r="948" spans="2:56">
      <c r="B948" s="156"/>
      <c r="F948" s="157"/>
      <c r="G948" s="2" t="s">
        <v>10</v>
      </c>
      <c r="H948" s="128">
        <f ca="1">IF(G928&gt;=5,H931,H945)</f>
        <v>8888</v>
      </c>
      <c r="I948" s="139">
        <f ca="1">IF(G928&gt;=5,I947-P921,I945)</f>
        <v>8888</v>
      </c>
      <c r="AD948" s="157"/>
      <c r="AE948" s="2" t="s">
        <v>10</v>
      </c>
      <c r="AF948" s="128">
        <f ca="1">IF($AE928,H948,AF934)</f>
        <v>8888</v>
      </c>
      <c r="AG948" s="129">
        <f ca="1">IF($AE928,I948,AG934)</f>
        <v>8888</v>
      </c>
      <c r="BD948" s="157"/>
    </row>
    <row r="949" spans="2:56">
      <c r="B949" s="156"/>
      <c r="F949" s="157"/>
      <c r="G949" s="2" t="s">
        <v>161</v>
      </c>
      <c r="H949" s="188">
        <f ca="1">IF(G928&gt;=5,H930,H945)</f>
        <v>8888</v>
      </c>
      <c r="I949" s="189">
        <f ca="1">IF(G928&gt;=5,I948,I945)</f>
        <v>8888</v>
      </c>
      <c r="AD949" s="157"/>
      <c r="AE949" s="2" t="s">
        <v>161</v>
      </c>
      <c r="AF949" s="188">
        <f ca="1">IF($AE928,H949,AF934)</f>
        <v>8888</v>
      </c>
      <c r="AG949" s="196">
        <f ca="1">IF($AE928,I949,AG934)</f>
        <v>8888</v>
      </c>
      <c r="BD949" s="157"/>
    </row>
    <row r="950" spans="2:56">
      <c r="B950" s="156"/>
      <c r="F950" s="157"/>
      <c r="G950" s="192" t="s">
        <v>11</v>
      </c>
      <c r="H950" s="128">
        <f ca="1">IF(G928&gt;=6,H930,H949)</f>
        <v>8888</v>
      </c>
      <c r="I950" s="139">
        <f ca="1">IF(G928&gt;=6,I949-P923,I949)</f>
        <v>8888</v>
      </c>
      <c r="AD950" s="157"/>
      <c r="AE950" s="192" t="s">
        <v>11</v>
      </c>
      <c r="AF950" s="128">
        <f ca="1">IF($AE928,H950,AF934)</f>
        <v>8888</v>
      </c>
      <c r="AG950" s="129">
        <f ca="1">IF($AE928,I950,AG934)</f>
        <v>8888</v>
      </c>
      <c r="BD950" s="157"/>
    </row>
    <row r="951" spans="2:56">
      <c r="B951" s="156"/>
      <c r="F951" s="157"/>
      <c r="G951" s="2" t="s">
        <v>12</v>
      </c>
      <c r="H951" s="128">
        <f ca="1">IF(G928&gt;=6,H931,H949)</f>
        <v>8888</v>
      </c>
      <c r="I951" s="139">
        <f ca="1">IF(G928&gt;=6,I950,I949)</f>
        <v>8888</v>
      </c>
      <c r="AD951" s="157"/>
      <c r="AE951" s="2" t="s">
        <v>12</v>
      </c>
      <c r="AF951" s="128">
        <f ca="1">IF($AE928,H951,AF934)</f>
        <v>8888</v>
      </c>
      <c r="AG951" s="129">
        <f ca="1">IF($AE928,I951,AG934)</f>
        <v>8888</v>
      </c>
      <c r="BD951" s="157"/>
    </row>
    <row r="952" spans="2:56">
      <c r="B952" s="156"/>
      <c r="F952" s="157"/>
      <c r="G952" s="2" t="s">
        <v>13</v>
      </c>
      <c r="H952" s="128">
        <f ca="1">IF(G928&gt;=6,H931,H949)</f>
        <v>8888</v>
      </c>
      <c r="I952" s="139">
        <f ca="1">IF(G928&gt;=6,I951-P921,I949)</f>
        <v>8888</v>
      </c>
      <c r="AD952" s="157"/>
      <c r="AE952" s="2" t="s">
        <v>13</v>
      </c>
      <c r="AF952" s="128">
        <f ca="1">IF($AE928,H952,AF934)</f>
        <v>8888</v>
      </c>
      <c r="AG952" s="129">
        <f ca="1">IF($AE928,I952,AG934)</f>
        <v>8888</v>
      </c>
      <c r="BD952" s="157"/>
    </row>
    <row r="953" spans="2:56">
      <c r="B953" s="156"/>
      <c r="F953" s="157"/>
      <c r="G953" s="115" t="s">
        <v>14</v>
      </c>
      <c r="H953" s="188">
        <f ca="1">IF(G928&gt;=6,H930,H949)</f>
        <v>8888</v>
      </c>
      <c r="I953" s="189">
        <f ca="1">IF(G928&gt;=6,I952,I949)</f>
        <v>8888</v>
      </c>
      <c r="AD953" s="157"/>
      <c r="AE953" s="115" t="s">
        <v>14</v>
      </c>
      <c r="AF953" s="188">
        <f ca="1">IF($AE928,H953,AF934)</f>
        <v>8888</v>
      </c>
      <c r="AG953" s="196">
        <f ca="1">IF($AE928,I953,AG934)</f>
        <v>8888</v>
      </c>
      <c r="BD953" s="157"/>
    </row>
    <row r="954" spans="2:56" ht="15" thickBot="1">
      <c r="B954" s="156"/>
      <c r="G954" s="130" t="s">
        <v>396</v>
      </c>
      <c r="H954" s="130">
        <f ca="1">H930</f>
        <v>8888</v>
      </c>
      <c r="I954" s="140">
        <f ca="1">I930</f>
        <v>8888</v>
      </c>
      <c r="AE954" s="130" t="s">
        <v>396</v>
      </c>
      <c r="AF954" s="130">
        <f ca="1">IF($AE928,H954,AF934)</f>
        <v>8888</v>
      </c>
      <c r="AG954" s="132">
        <f ca="1">IF($AE928,I954,AG934)</f>
        <v>8888</v>
      </c>
      <c r="BD954" s="157"/>
    </row>
    <row r="955" spans="2:56">
      <c r="B955" s="156"/>
      <c r="BD955" s="157"/>
    </row>
    <row r="956" spans="2:56">
      <c r="B956" s="156"/>
      <c r="BD956" s="157"/>
    </row>
    <row r="957" spans="2:56">
      <c r="B957" s="156"/>
      <c r="C957" s="200" t="s">
        <v>336</v>
      </c>
      <c r="D957">
        <f>D921+1</f>
        <v>22</v>
      </c>
      <c r="G957" s="200" t="s">
        <v>638</v>
      </c>
      <c r="H957">
        <f ca="1">LOOKUP(D960,$C$191:$C$196,$D$191:$D$196)</f>
        <v>0</v>
      </c>
      <c r="K957" s="200" t="s">
        <v>644</v>
      </c>
      <c r="L957">
        <f ca="1">L921-H962</f>
        <v>-16.562000000000005</v>
      </c>
      <c r="O957" s="200" t="s">
        <v>404</v>
      </c>
      <c r="P957">
        <f ca="1">IF(D959=1,SEAT_w_cushion_FC,IF(D959=2,SEAT_w_cushion_BC,IF(D959=3,SEAT_w_cushion_YC,0)))</f>
        <v>0</v>
      </c>
      <c r="S957" s="200" t="s">
        <v>647</v>
      </c>
      <c r="T957">
        <f ca="1">LOOKUP(D960,$C$191:$C$196,$E$191:$E$196)</f>
        <v>0</v>
      </c>
      <c r="W957" t="s">
        <v>130</v>
      </c>
      <c r="X957" t="str">
        <f ca="1">OFFSET(Fuselage!$B$275,D957,5)</f>
        <v>None</v>
      </c>
      <c r="AN957" s="200" t="s">
        <v>135</v>
      </c>
      <c r="AO957">
        <f ca="1">MAX(0,H962-MAX(T957,T959,T961,P958)-X958)</f>
        <v>0</v>
      </c>
      <c r="BD957" s="157"/>
    </row>
    <row r="958" spans="2:56">
      <c r="B958" s="156"/>
      <c r="C958" s="200" t="s">
        <v>200</v>
      </c>
      <c r="D958" t="str">
        <f ca="1">OFFSET(Fuselage!$B$275,D957,0)</f>
        <v/>
      </c>
      <c r="G958" s="200" t="s">
        <v>639</v>
      </c>
      <c r="H958">
        <f ca="1">LOOKUP(D961,$C$191:$C$196,$D$191:$D$196)</f>
        <v>0</v>
      </c>
      <c r="O958" s="200" t="s">
        <v>535</v>
      </c>
      <c r="P958">
        <f ca="1">IF(D959=1,SEAT_length_FC,IF(D959=2,SEAT_length_BC,IF(D959=3,SEAT_length_YC,0)))</f>
        <v>0</v>
      </c>
      <c r="S958" s="200" t="s">
        <v>648</v>
      </c>
      <c r="T958">
        <f ca="1">LOOKUP(D960,$C$191:$C$196,$F$191:$F$196)</f>
        <v>0</v>
      </c>
      <c r="W958" t="s">
        <v>131</v>
      </c>
      <c r="X958">
        <f ca="1">LOOKUP(X957,$I$191:$I$198,$J$191:$J$198)</f>
        <v>0</v>
      </c>
      <c r="BD958" s="157"/>
    </row>
    <row r="959" spans="2:56">
      <c r="B959" s="156"/>
      <c r="C959" s="200" t="s">
        <v>337</v>
      </c>
      <c r="D959" t="str">
        <f ca="1">OFFSET(Fuselage!$B$275,D957,4)</f>
        <v/>
      </c>
      <c r="G959" s="200" t="s">
        <v>309</v>
      </c>
      <c r="H959">
        <f ca="1">LOOKUP(D962,$C$191:$C$196,$D$191:$D$196)</f>
        <v>0</v>
      </c>
      <c r="K959" s="200" t="s">
        <v>645</v>
      </c>
      <c r="L959">
        <f ca="1">IF(D959=1,FUSELAGE_nseats_left_FC,IF(D959=2,FUSELAGE_nseats_left_BC,IF(D959=3,FUSELAGE_nseats_left_YC,0)))</f>
        <v>0</v>
      </c>
      <c r="O959" s="200" t="s">
        <v>405</v>
      </c>
      <c r="P959">
        <f ca="1">IF(D959=1,SEAT_w_armrest_FC,IF(D959=2,SEAT_w_armrest_BC,IF(D959=3,SEAT_w_armrest_YC,0)))</f>
        <v>0</v>
      </c>
      <c r="S959" s="200" t="s">
        <v>652</v>
      </c>
      <c r="T959">
        <f ca="1">LOOKUP(D961,$C$191:$C$196,$E$191:$E$196)</f>
        <v>0</v>
      </c>
      <c r="W959" s="200" t="s">
        <v>393</v>
      </c>
      <c r="X959" t="b">
        <f ca="1">IF(OFFSET(Fuselage!$B$275,D957,6)="YES",TRUE(),FALSE())</f>
        <v>0</v>
      </c>
      <c r="BD959" s="157"/>
    </row>
    <row r="960" spans="2:56">
      <c r="B960" s="156"/>
      <c r="C960" s="200" t="s">
        <v>640</v>
      </c>
      <c r="D960" t="str">
        <f ca="1">OFFSET(Fuselage!$B$275,D957,1)</f>
        <v>None</v>
      </c>
      <c r="G960" s="200" t="s">
        <v>132</v>
      </c>
      <c r="H960">
        <f ca="1">IF(D959=1,SEAT_pitch_FC,IF(D959=2,SEAT_pitch_BC,IF(D959=3,SEAT_pitch_YC,0)))</f>
        <v>0</v>
      </c>
      <c r="K960" s="200" t="s">
        <v>646</v>
      </c>
      <c r="L960">
        <f ca="1">IF(D959=1,FUSELAGE_nseats_middle_FC,IF(D959=2,FUSELAGE_nseats_middle_BC,IF(D959=3,FUSELAGE_nseats_middle_YC,0)))</f>
        <v>0</v>
      </c>
      <c r="S960" s="200" t="s">
        <v>653</v>
      </c>
      <c r="T960">
        <f ca="1">LOOKUP(D961,$C$191:$C$196,$F$191:$F$196)</f>
        <v>0</v>
      </c>
      <c r="BD960" s="157"/>
    </row>
    <row r="961" spans="2:56">
      <c r="B961" s="156"/>
      <c r="C961" s="200" t="s">
        <v>642</v>
      </c>
      <c r="D961" t="str">
        <f ca="1">OFFSET(Fuselage!$B$275,D957,2)</f>
        <v>None</v>
      </c>
      <c r="G961" s="200" t="s">
        <v>129</v>
      </c>
      <c r="H961">
        <f ca="1">IF(OR(X957="Type A",X957="Type B"),MAX(H957:H960)+42*0.0254,IF(X957="Type C",MAX(H957:H960)+X958,IF(X957&lt;&gt;"None",24*0.0254,0)))</f>
        <v>0</v>
      </c>
      <c r="K961" s="200" t="s">
        <v>655</v>
      </c>
      <c r="L961">
        <f ca="1">IF(D959=1,FUSELAGE_nseats_right_FC,IF(D959=2,FUSELAGE_nseats_right_BC,IF(D959=3,FUSELAGE_nseats_right_YC,0)))</f>
        <v>0</v>
      </c>
      <c r="O961" s="200" t="s">
        <v>407</v>
      </c>
      <c r="P961">
        <f ca="1">($C$13-(L959+L960+L961)*(P957+P959)+(FUSELAGE_n_aisles-1)*P959)/FUSELAGE_n_aisles</f>
        <v>2.76</v>
      </c>
      <c r="S961" s="200" t="s">
        <v>651</v>
      </c>
      <c r="T961">
        <f ca="1">LOOKUP(D962,$C$191:$C$196,$E$191:$E$196)</f>
        <v>0</v>
      </c>
      <c r="BD961" s="157"/>
    </row>
    <row r="962" spans="2:56">
      <c r="B962" s="156"/>
      <c r="C962" s="200" t="s">
        <v>641</v>
      </c>
      <c r="D962" t="str">
        <f ca="1">OFFSET(Fuselage!$B$275,D957,3)</f>
        <v>None</v>
      </c>
      <c r="G962" s="200" t="s">
        <v>643</v>
      </c>
      <c r="H962">
        <f ca="1">MAX(H957:H961)</f>
        <v>0</v>
      </c>
      <c r="S962" s="200" t="s">
        <v>654</v>
      </c>
      <c r="T962">
        <f ca="1">LOOKUP(D962,$C$191:$C$196,$F$191:$F$196)</f>
        <v>0</v>
      </c>
      <c r="BD962" s="157"/>
    </row>
    <row r="963" spans="2:56" ht="15" thickBot="1">
      <c r="B963" s="156"/>
      <c r="BD963" s="157"/>
    </row>
    <row r="964" spans="2:56" ht="15" thickBot="1">
      <c r="B964" s="156"/>
      <c r="C964" s="141">
        <f ca="1">L961</f>
        <v>0</v>
      </c>
      <c r="D964" s="197" t="str">
        <f ca="1">IF($D959=1,"FC",IF($D959=2,"BC",IF($D959=3,"YC","Nothing")))</f>
        <v>Nothing</v>
      </c>
      <c r="E964" s="198"/>
      <c r="G964" s="141">
        <f ca="1">L960</f>
        <v>0</v>
      </c>
      <c r="H964" s="197" t="str">
        <f ca="1">IF($D959=1,"FC",IF($D959=2,"BC",IF($D959=3,"YC","Nothing")))</f>
        <v>Nothing</v>
      </c>
      <c r="I964" s="198"/>
      <c r="K964" s="141">
        <f ca="1" xml:space="preserve"> L959</f>
        <v>0</v>
      </c>
      <c r="L964" s="197" t="str">
        <f ca="1">IF($D959=1,"FC",IF($D959=2,"BC",IF($D959=3,"YC","Nothing")))</f>
        <v>Nothing</v>
      </c>
      <c r="M964" s="198"/>
      <c r="O964" s="141">
        <f ca="1">IF($D962&lt;&gt;"None",1,0)</f>
        <v>0</v>
      </c>
      <c r="P964" s="326" t="s">
        <v>380</v>
      </c>
      <c r="Q964" s="327"/>
      <c r="S964" s="141">
        <f ca="1">IF($D961&lt;&gt;"None",1,0)</f>
        <v>0</v>
      </c>
      <c r="T964" s="326" t="s">
        <v>381</v>
      </c>
      <c r="U964" s="327"/>
      <c r="W964" s="141">
        <f ca="1">IF($D960&lt;&gt;"None",1,0)</f>
        <v>0</v>
      </c>
      <c r="X964" s="326" t="s">
        <v>382</v>
      </c>
      <c r="Y964" s="327"/>
      <c r="AA964" s="141">
        <f ca="1">IF($D962="None",1,0)</f>
        <v>1</v>
      </c>
      <c r="AB964" s="326" t="str">
        <f ca="1">IF(AA964,D964,$D962)</f>
        <v>Nothing</v>
      </c>
      <c r="AC964" s="327"/>
      <c r="AE964" s="141">
        <f ca="1">IF($D961="None",1,0)</f>
        <v>1</v>
      </c>
      <c r="AF964" s="326" t="str">
        <f ca="1">IF(AE964,H964,$D961)</f>
        <v>Nothing</v>
      </c>
      <c r="AG964" s="327"/>
      <c r="AI964" s="141">
        <f ca="1">IF($D960="None",1,0)</f>
        <v>1</v>
      </c>
      <c r="AJ964" s="326" t="str">
        <f ca="1">IF(AI964,L964,$D960)</f>
        <v>Nothing</v>
      </c>
      <c r="AK964" s="327"/>
      <c r="AM964" s="141">
        <f ca="1">IF($X957="None",0,1)</f>
        <v>0</v>
      </c>
      <c r="AN964" s="197" t="s">
        <v>133</v>
      </c>
      <c r="AO964" s="198"/>
      <c r="AQ964" s="141">
        <f ca="1">IF($X957="None",0,1)</f>
        <v>0</v>
      </c>
      <c r="AR964" s="197" t="s">
        <v>134</v>
      </c>
      <c r="AS964" s="198"/>
      <c r="BD964" s="157"/>
    </row>
    <row r="965" spans="2:56" ht="15" thickBot="1">
      <c r="B965" s="156"/>
      <c r="C965" s="136" t="s">
        <v>452</v>
      </c>
      <c r="D965" s="136" t="s">
        <v>384</v>
      </c>
      <c r="E965" s="138" t="s">
        <v>385</v>
      </c>
      <c r="G965" s="136" t="s">
        <v>452</v>
      </c>
      <c r="H965" s="136" t="s">
        <v>384</v>
      </c>
      <c r="I965" s="138" t="s">
        <v>385</v>
      </c>
      <c r="K965" s="193" t="s">
        <v>452</v>
      </c>
      <c r="L965" s="193" t="s">
        <v>384</v>
      </c>
      <c r="M965" s="194" t="s">
        <v>385</v>
      </c>
      <c r="O965" s="136" t="s">
        <v>452</v>
      </c>
      <c r="P965" s="136" t="s">
        <v>384</v>
      </c>
      <c r="Q965" s="138" t="s">
        <v>385</v>
      </c>
      <c r="S965" s="136" t="s">
        <v>452</v>
      </c>
      <c r="T965" s="136" t="s">
        <v>384</v>
      </c>
      <c r="U965" s="138" t="s">
        <v>385</v>
      </c>
      <c r="W965" s="136" t="s">
        <v>452</v>
      </c>
      <c r="X965" s="136" t="s">
        <v>384</v>
      </c>
      <c r="Y965" s="138" t="s">
        <v>385</v>
      </c>
      <c r="AA965" s="136" t="s">
        <v>452</v>
      </c>
      <c r="AB965" s="136" t="s">
        <v>384</v>
      </c>
      <c r="AC965" s="138" t="s">
        <v>385</v>
      </c>
      <c r="AE965" s="136" t="s">
        <v>452</v>
      </c>
      <c r="AF965" s="136" t="s">
        <v>384</v>
      </c>
      <c r="AG965" s="138" t="s">
        <v>385</v>
      </c>
      <c r="AI965" s="193" t="s">
        <v>452</v>
      </c>
      <c r="AJ965" s="193" t="s">
        <v>384</v>
      </c>
      <c r="AK965" s="194" t="s">
        <v>385</v>
      </c>
      <c r="AM965" s="193" t="s">
        <v>452</v>
      </c>
      <c r="AN965" s="193" t="s">
        <v>384</v>
      </c>
      <c r="AO965" s="194" t="s">
        <v>385</v>
      </c>
      <c r="AQ965" s="193" t="s">
        <v>452</v>
      </c>
      <c r="AR965" s="193" t="s">
        <v>384</v>
      </c>
      <c r="AS965" s="194" t="s">
        <v>385</v>
      </c>
      <c r="BD965" s="157"/>
    </row>
    <row r="966" spans="2:56">
      <c r="B966" s="156"/>
      <c r="C966" s="128" t="s">
        <v>396</v>
      </c>
      <c r="D966" s="158">
        <f ca="1">IF(C964&gt;=1,L957,8888)</f>
        <v>8888</v>
      </c>
      <c r="E966" s="160">
        <f ca="1">IF(C964&gt;=1,1/2*($C$13-P957-2*P959)+1/2*P957,8888)</f>
        <v>8888</v>
      </c>
      <c r="G966" s="128" t="s">
        <v>396</v>
      </c>
      <c r="H966" s="158">
        <f ca="1">IF(G964&gt;=1,L957,8888)</f>
        <v>8888</v>
      </c>
      <c r="I966" s="160">
        <f ca="1">IF(G964&gt;=1,E977-P961,8888)</f>
        <v>8888</v>
      </c>
      <c r="K966" s="128" t="s">
        <v>396</v>
      </c>
      <c r="L966" s="158">
        <f ca="1">IF(K964&gt;=1,L957,8888)</f>
        <v>8888</v>
      </c>
      <c r="M966" s="160">
        <f ca="1">IF(K964&gt;=1,IF(FUSELAGE_n_aisles=1,E977-P961,I989-P961),8888)</f>
        <v>8888</v>
      </c>
      <c r="O966" s="128" t="s">
        <v>396</v>
      </c>
      <c r="P966" s="158">
        <f ca="1">IF(O964,$L957,8888)</f>
        <v>8888</v>
      </c>
      <c r="Q966" s="209">
        <f ca="1">IF(O964,FUSELAGE_y_position_of_left_seat_YC-(FUSELAGE_nseats_right_YC-1)*(SEAT_w_cushion_YC+SEAT_w_armrest_YC)/2+T962/2,8888)</f>
        <v>8888</v>
      </c>
      <c r="S966" s="128" t="s">
        <v>396</v>
      </c>
      <c r="T966" s="158">
        <f ca="1">IF(S964,$L957,8888)</f>
        <v>8888</v>
      </c>
      <c r="U966" s="160">
        <f ca="1">IF(S964,T960/2,8888)</f>
        <v>8888</v>
      </c>
      <c r="W966" s="128" t="s">
        <v>396</v>
      </c>
      <c r="X966" s="158">
        <f ca="1">IF(W964,$L957,8888)</f>
        <v>8888</v>
      </c>
      <c r="Y966" s="160">
        <f ca="1">IF(W964,-FUSELAGE_y_position_of_left_seat_YC+(FUSELAGE_nseats_left_YC-1)*(SEAT_w_cushion_YC+SEAT_w_armrest_YC)/2-T958/2,8888)</f>
        <v>8888</v>
      </c>
      <c r="AA966" s="128" t="s">
        <v>396</v>
      </c>
      <c r="AB966" s="158">
        <f ca="1">IF($AA964,D966,P966)</f>
        <v>8888</v>
      </c>
      <c r="AC966" s="174">
        <f ca="1">IF($AA964,E966,Q966)</f>
        <v>8888</v>
      </c>
      <c r="AE966" s="128" t="s">
        <v>396</v>
      </c>
      <c r="AF966" s="158">
        <f ca="1">IF($AE964,H966,T966)</f>
        <v>8888</v>
      </c>
      <c r="AG966" s="174">
        <f ca="1">IF($AE964,I966,U966)</f>
        <v>8888</v>
      </c>
      <c r="AI966" s="128" t="s">
        <v>396</v>
      </c>
      <c r="AJ966" s="158">
        <f ca="1">IF($AI964,L966,X966)</f>
        <v>8888</v>
      </c>
      <c r="AK966" s="174">
        <f ca="1">IF($AI964,M966,Y966)</f>
        <v>8888</v>
      </c>
      <c r="AM966" s="128" t="s">
        <v>396</v>
      </c>
      <c r="AN966" s="158">
        <f ca="1">AN935</f>
        <v>-16.562000000000005</v>
      </c>
      <c r="AO966" s="174">
        <f ca="1">IF(AN966&gt;-Fuselage!$D$366,(FUSELAGE_a_ellipse)*SQRT(1-((AN966+Fuselage!$D$366)/(Fuselage!$K$364-FUSELAGE_t_fuselage))^2),IF(AN966&gt;$L$2505+Fuselage!$K$370,FUSELAGE_a_ellipse,(FUSELAGE_a_ellipse+FUSELAGE_t_fuselage-FUSELAGE_d_fo/4)/Fuselage!$K$368*(AN966-$L$2505-Fuselage!$K$370)+FUSELAGE_a_ellipse))</f>
        <v>1.4960570012328709</v>
      </c>
      <c r="AQ966" s="128" t="s">
        <v>396</v>
      </c>
      <c r="AR966" s="158">
        <f t="shared" ref="AR966:AR971" ca="1" si="108">AN966</f>
        <v>-16.562000000000005</v>
      </c>
      <c r="AS966" s="174">
        <f t="shared" ref="AS966:AS971" ca="1" si="109">-AO966</f>
        <v>-1.4960570012328709</v>
      </c>
      <c r="BD966" s="157"/>
    </row>
    <row r="967" spans="2:56">
      <c r="B967" s="156"/>
      <c r="C967" s="128" t="s">
        <v>213</v>
      </c>
      <c r="D967" s="128">
        <f ca="1">IF(X959,D966+P958/4,D966+P958)</f>
        <v>8888</v>
      </c>
      <c r="E967" s="139">
        <f ca="1">E966</f>
        <v>8888</v>
      </c>
      <c r="G967" s="128" t="s">
        <v>213</v>
      </c>
      <c r="H967" s="128">
        <f ca="1">H966+P958</f>
        <v>8888</v>
      </c>
      <c r="I967" s="139">
        <f ca="1">I966</f>
        <v>8888</v>
      </c>
      <c r="K967" s="128" t="s">
        <v>213</v>
      </c>
      <c r="L967" s="128">
        <f ca="1">IF(X959,IF(K964=1,L966+P958/4,L966+P958),L966+P958)</f>
        <v>8888</v>
      </c>
      <c r="M967" s="139">
        <f ca="1">M966</f>
        <v>8888</v>
      </c>
      <c r="O967" s="128" t="s">
        <v>213</v>
      </c>
      <c r="P967" s="128">
        <f ca="1">P966+$T961</f>
        <v>8888</v>
      </c>
      <c r="Q967" s="139">
        <f ca="1">Q966</f>
        <v>8888</v>
      </c>
      <c r="S967" s="128" t="s">
        <v>213</v>
      </c>
      <c r="T967" s="128">
        <f ca="1">T966+$T959</f>
        <v>8888</v>
      </c>
      <c r="U967" s="139">
        <f ca="1">U966</f>
        <v>8888</v>
      </c>
      <c r="W967" s="128" t="s">
        <v>213</v>
      </c>
      <c r="X967" s="128">
        <f ca="1">X966+$T957</f>
        <v>8888</v>
      </c>
      <c r="Y967" s="139">
        <f ca="1">Y966</f>
        <v>8888</v>
      </c>
      <c r="AA967" s="143" t="s">
        <v>213</v>
      </c>
      <c r="AB967" s="128">
        <f ca="1">IF($AA964,D967,P967)</f>
        <v>8888</v>
      </c>
      <c r="AC967" s="129">
        <f ca="1">IF($AA964,E967,Q967)</f>
        <v>8888</v>
      </c>
      <c r="AE967" s="128" t="s">
        <v>213</v>
      </c>
      <c r="AF967" s="128">
        <f ca="1">IF($AE964,H967,T967)</f>
        <v>8888</v>
      </c>
      <c r="AG967" s="129">
        <f ca="1">IF($AE964,I967,U967)</f>
        <v>8888</v>
      </c>
      <c r="AI967" s="128" t="s">
        <v>213</v>
      </c>
      <c r="AJ967" s="128">
        <f ca="1">IF($AI964,L967,X967)</f>
        <v>8888</v>
      </c>
      <c r="AK967" s="129">
        <f ca="1">IF($AI964,M967,Y967)</f>
        <v>8888</v>
      </c>
      <c r="AM967" s="128" t="s">
        <v>213</v>
      </c>
      <c r="AN967" s="128">
        <f ca="1">AN966-AO957/2</f>
        <v>-16.562000000000005</v>
      </c>
      <c r="AO967" s="129">
        <f ca="1">IF(AN967&gt;-Fuselage!$D$366,(FUSELAGE_a_ellipse)*SQRT(1-((AN967+Fuselage!$D$366)/(Fuselage!$K$364-FUSELAGE_t_fuselage))^2),IF(AN967&gt;$L$2505+Fuselage!$K$370,FUSELAGE_a_ellipse,(FUSELAGE_a_ellipse+FUSELAGE_t_fuselage-FUSELAGE_d_fo/4)/Fuselage!$K$368*(AN967-$L$2505-Fuselage!$K$370)+FUSELAGE_a_ellipse))</f>
        <v>1.4960570012328709</v>
      </c>
      <c r="AQ967" s="128" t="s">
        <v>213</v>
      </c>
      <c r="AR967" s="128">
        <f t="shared" ca="1" si="108"/>
        <v>-16.562000000000005</v>
      </c>
      <c r="AS967" s="129">
        <f t="shared" ca="1" si="109"/>
        <v>-1.4960570012328709</v>
      </c>
      <c r="BD967" s="157"/>
    </row>
    <row r="968" spans="2:56">
      <c r="B968" s="156"/>
      <c r="C968" s="128" t="s">
        <v>286</v>
      </c>
      <c r="D968" s="128">
        <f ca="1">D967</f>
        <v>8888</v>
      </c>
      <c r="E968" s="139">
        <f ca="1">E967-P957</f>
        <v>8888</v>
      </c>
      <c r="G968" s="128" t="s">
        <v>286</v>
      </c>
      <c r="H968" s="128">
        <f ca="1">H967</f>
        <v>8888</v>
      </c>
      <c r="I968" s="139">
        <f ca="1">I967-P957</f>
        <v>8888</v>
      </c>
      <c r="K968" s="128" t="s">
        <v>286</v>
      </c>
      <c r="L968" s="128">
        <f ca="1">L967</f>
        <v>8888</v>
      </c>
      <c r="M968" s="139">
        <f ca="1">M967-P957</f>
        <v>8888</v>
      </c>
      <c r="O968" s="128" t="s">
        <v>286</v>
      </c>
      <c r="P968" s="128">
        <f ca="1">P967</f>
        <v>8888</v>
      </c>
      <c r="Q968" s="139">
        <f ca="1">Q967-$T962</f>
        <v>8888</v>
      </c>
      <c r="S968" s="128" t="s">
        <v>286</v>
      </c>
      <c r="T968" s="128">
        <f ca="1">T967</f>
        <v>8888</v>
      </c>
      <c r="U968" s="139">
        <f ca="1">U967-$T960</f>
        <v>8888</v>
      </c>
      <c r="W968" s="128" t="s">
        <v>286</v>
      </c>
      <c r="X968" s="128">
        <f ca="1">X967</f>
        <v>8888</v>
      </c>
      <c r="Y968" s="139">
        <f ca="1">Y967+$T958</f>
        <v>8888</v>
      </c>
      <c r="AA968" s="143" t="s">
        <v>286</v>
      </c>
      <c r="AB968" s="128">
        <f ca="1">IF($AA964,D968,P968)</f>
        <v>8888</v>
      </c>
      <c r="AC968" s="129">
        <f ca="1">IF($AA964,E968,Q968)</f>
        <v>8888</v>
      </c>
      <c r="AE968" s="128" t="s">
        <v>286</v>
      </c>
      <c r="AF968" s="128">
        <f ca="1">IF($AE964,H968,T968)</f>
        <v>8888</v>
      </c>
      <c r="AG968" s="129">
        <f ca="1">IF($AE964,I968,U968)</f>
        <v>8888</v>
      </c>
      <c r="AI968" s="128" t="s">
        <v>286</v>
      </c>
      <c r="AJ968" s="128">
        <f ca="1">IF($AI964,L968,X968)</f>
        <v>8888</v>
      </c>
      <c r="AK968" s="129">
        <f ca="1">IF($AI964,M968,Y968)</f>
        <v>8888</v>
      </c>
      <c r="AM968" s="128" t="s">
        <v>286</v>
      </c>
      <c r="AN968" s="128">
        <f ca="1">AN967</f>
        <v>-16.562000000000005</v>
      </c>
      <c r="AO968" s="129">
        <f ca="1">IF(AN968&gt;-Fuselage!$D$366,IF(AM964,(FUSELAGE_a_ellipse+FUSELAGE_t_fuselage)*SQRT(1-((AN968+Fuselage!$D$366)/Fuselage!$K$364)^2),(FUSELAGE_a_ellipse)*SQRT(1-((AN968+Fuselage!$D$366)/Fuselage!$K$364)^2)),IF(AN968&gt;$L$2505+Fuselage!$K$370,(IF(AM964,FUSELAGE_a_ellipse+FUSELAGE_t_fuselage,FUSELAGE_a_ellipse)),IF(AM964,(FUSELAGE_a_ellipse+FUSELAGE_t_fuselage-FUSELAGE_d_fo/4)/Fuselage!$K$368*(AN968-$L$2505-Fuselage!$K$370)+FUSELAGE_a_ellipse+FUSELAGE_t_fuselage,(FUSELAGE_a_ellipse+FUSELAGE_t_fuselage-FUSELAGE_d_fo/4)/Fuselage!$K$368*(AN968-$L$2505-Fuselage!$K$370)+FUSELAGE_a_ellipse)))</f>
        <v>1.4960570012328709</v>
      </c>
      <c r="AQ968" s="128" t="s">
        <v>286</v>
      </c>
      <c r="AR968" s="128">
        <f t="shared" ca="1" si="108"/>
        <v>-16.562000000000005</v>
      </c>
      <c r="AS968" s="129">
        <f t="shared" ca="1" si="109"/>
        <v>-1.4960570012328709</v>
      </c>
      <c r="BD968" s="157"/>
    </row>
    <row r="969" spans="2:56">
      <c r="B969" s="156"/>
      <c r="C969" s="188" t="s">
        <v>522</v>
      </c>
      <c r="D969" s="188">
        <f ca="1">D966</f>
        <v>8888</v>
      </c>
      <c r="E969" s="189">
        <f ca="1">E968</f>
        <v>8888</v>
      </c>
      <c r="F969" s="157"/>
      <c r="G969" s="2" t="s">
        <v>522</v>
      </c>
      <c r="H969" s="128">
        <f ca="1">H966</f>
        <v>8888</v>
      </c>
      <c r="I969" s="139">
        <f ca="1">I968</f>
        <v>8888</v>
      </c>
      <c r="K969" s="128" t="s">
        <v>522</v>
      </c>
      <c r="L969" s="128">
        <f ca="1">L966</f>
        <v>8888</v>
      </c>
      <c r="M969" s="139">
        <f ca="1">M968</f>
        <v>8888</v>
      </c>
      <c r="O969" s="188" t="s">
        <v>522</v>
      </c>
      <c r="P969" s="188">
        <f ca="1">P966</f>
        <v>8888</v>
      </c>
      <c r="Q969" s="189">
        <f ca="1">Q968</f>
        <v>8888</v>
      </c>
      <c r="S969" s="188" t="s">
        <v>522</v>
      </c>
      <c r="T969" s="188">
        <f ca="1">T966</f>
        <v>8888</v>
      </c>
      <c r="U969" s="189">
        <f ca="1">U968</f>
        <v>8888</v>
      </c>
      <c r="W969" s="188" t="s">
        <v>522</v>
      </c>
      <c r="X969" s="188">
        <f ca="1">X966</f>
        <v>8888</v>
      </c>
      <c r="Y969" s="189">
        <f ca="1">Y968</f>
        <v>8888</v>
      </c>
      <c r="AA969" s="195" t="s">
        <v>522</v>
      </c>
      <c r="AB969" s="128">
        <f ca="1">IF($AA964,D969,P969)</f>
        <v>8888</v>
      </c>
      <c r="AC969" s="129">
        <f ca="1">IF($AA964,E969,Q969)</f>
        <v>8888</v>
      </c>
      <c r="AD969" s="157"/>
      <c r="AE969" s="2" t="s">
        <v>522</v>
      </c>
      <c r="AF969" s="188">
        <f ca="1">IF($AE964,H969,T969)</f>
        <v>8888</v>
      </c>
      <c r="AG969" s="196">
        <f ca="1">IF($AE964,I969,U969)</f>
        <v>8888</v>
      </c>
      <c r="AI969" s="128" t="s">
        <v>522</v>
      </c>
      <c r="AJ969" s="188">
        <f ca="1">IF($AI964,L969,X969)</f>
        <v>8888</v>
      </c>
      <c r="AK969" s="196">
        <f ca="1">IF($AI964,M969,Y969)</f>
        <v>8888</v>
      </c>
      <c r="AM969" s="128" t="s">
        <v>522</v>
      </c>
      <c r="AN969" s="128">
        <f ca="1">AN968-X958</f>
        <v>-16.562000000000005</v>
      </c>
      <c r="AO969" s="129">
        <f ca="1">IF(AN969&gt;-Fuselage!$D$366,IF(AM964,(FUSELAGE_a_ellipse+FUSELAGE_t_fuselage)*SQRT(1-((AN969+Fuselage!$D$366)/Fuselage!$K$364)^2),(FUSELAGE_a_ellipse)*SQRT(1-((AN969+Fuselage!$D$366)/Fuselage!$K$364)^2)),IF(AN969&gt;$L$2505+Fuselage!$K$370,(IF(AM964,FUSELAGE_a_ellipse+FUSELAGE_t_fuselage,FUSELAGE_a_ellipse)),IF(AM964,(FUSELAGE_a_ellipse+FUSELAGE_t_fuselage-FUSELAGE_d_fo/4)/Fuselage!$K$368*(AN969-$L$2505-Fuselage!$K$370)+FUSELAGE_a_ellipse+FUSELAGE_t_fuselage,(FUSELAGE_a_ellipse+FUSELAGE_t_fuselage-FUSELAGE_d_fo/4)/Fuselage!$K$368*(AN969-$L$2505-Fuselage!$K$370)+FUSELAGE_a_ellipse)))</f>
        <v>1.4960570012328709</v>
      </c>
      <c r="AQ969" s="128" t="s">
        <v>522</v>
      </c>
      <c r="AR969" s="128">
        <f t="shared" ca="1" si="108"/>
        <v>-16.562000000000005</v>
      </c>
      <c r="AS969" s="129">
        <f t="shared" ca="1" si="109"/>
        <v>-1.4960570012328709</v>
      </c>
      <c r="BD969" s="157"/>
    </row>
    <row r="970" spans="2:56" ht="15" thickBot="1">
      <c r="B970" s="156"/>
      <c r="C970" s="128" t="s">
        <v>49</v>
      </c>
      <c r="D970" s="128">
        <f ca="1">IF(C964&gt;=2,D966,D969)</f>
        <v>8888</v>
      </c>
      <c r="E970" s="139">
        <f ca="1">IF(C964&gt;=2,E969-P959,E969)</f>
        <v>8888</v>
      </c>
      <c r="F970" s="157"/>
      <c r="G970" s="192" t="s">
        <v>49</v>
      </c>
      <c r="H970" s="190">
        <f ca="1">IF(G964&gt;=2,H966,H969)</f>
        <v>8888</v>
      </c>
      <c r="I970" s="191">
        <f ca="1">IF(G964&gt;=2,I969-P959,I969)</f>
        <v>8888</v>
      </c>
      <c r="K970" s="190" t="s">
        <v>49</v>
      </c>
      <c r="L970" s="190">
        <f ca="1">IF(K964&gt;=2,L966,L969)</f>
        <v>8888</v>
      </c>
      <c r="M970" s="191">
        <f ca="1">IF(K964&gt;=2,M969-P959,M969)</f>
        <v>8888</v>
      </c>
      <c r="O970" s="130" t="s">
        <v>396</v>
      </c>
      <c r="P970" s="130">
        <f ca="1">P966</f>
        <v>8888</v>
      </c>
      <c r="Q970" s="140">
        <f ca="1">Q966</f>
        <v>8888</v>
      </c>
      <c r="S970" s="130" t="s">
        <v>396</v>
      </c>
      <c r="T970" s="130">
        <f ca="1">T966</f>
        <v>8888</v>
      </c>
      <c r="U970" s="140">
        <f ca="1">U966</f>
        <v>8888</v>
      </c>
      <c r="W970" s="130" t="s">
        <v>396</v>
      </c>
      <c r="X970" s="130">
        <f ca="1">X966</f>
        <v>8888</v>
      </c>
      <c r="Y970" s="140">
        <f ca="1">Y966</f>
        <v>8888</v>
      </c>
      <c r="AA970" s="143" t="s">
        <v>49</v>
      </c>
      <c r="AB970" s="128">
        <f ca="1">IF($AA964,D970,P970)</f>
        <v>8888</v>
      </c>
      <c r="AC970" s="129">
        <f ca="1">IF($AA964,E970,Q970)</f>
        <v>8888</v>
      </c>
      <c r="AD970" s="157"/>
      <c r="AE970" s="192" t="s">
        <v>49</v>
      </c>
      <c r="AF970" s="128">
        <f ca="1">IF($AE964,H970,T970)</f>
        <v>8888</v>
      </c>
      <c r="AG970" s="129">
        <f ca="1">IF($AE964,I970,U970)</f>
        <v>8888</v>
      </c>
      <c r="AI970" s="190" t="s">
        <v>49</v>
      </c>
      <c r="AJ970" s="128">
        <f ca="1">IF($AI964,L970,X970)</f>
        <v>8888</v>
      </c>
      <c r="AK970" s="129">
        <f ca="1">IF($AI964,M970,Y970)</f>
        <v>8888</v>
      </c>
      <c r="AM970" s="128" t="s">
        <v>49</v>
      </c>
      <c r="AN970" s="128">
        <f ca="1">AN969</f>
        <v>-16.562000000000005</v>
      </c>
      <c r="AO970" s="129">
        <f ca="1">IF(AN970&gt;-Fuselage!$D$366,(FUSELAGE_a_ellipse)*SQRT(1-((AN970+Fuselage!$D$366)/(Fuselage!$K$364-FUSELAGE_t_fuselage))^2),IF(AN970&gt;$L$2505+Fuselage!$K$370,FUSELAGE_a_ellipse,(FUSELAGE_a_ellipse+FUSELAGE_t_fuselage-FUSELAGE_d_fo/4)/Fuselage!$K$368*(AN970-$L$2505-Fuselage!$K$370)+FUSELAGE_a_ellipse))</f>
        <v>1.4960570012328709</v>
      </c>
      <c r="AQ970" s="128" t="s">
        <v>49</v>
      </c>
      <c r="AR970" s="128">
        <f t="shared" ca="1" si="108"/>
        <v>-16.562000000000005</v>
      </c>
      <c r="AS970" s="129">
        <f t="shared" ca="1" si="109"/>
        <v>-1.4960570012328709</v>
      </c>
      <c r="BD970" s="157"/>
    </row>
    <row r="971" spans="2:56">
      <c r="B971" s="156"/>
      <c r="C971" s="128" t="s">
        <v>453</v>
      </c>
      <c r="D971" s="128">
        <f ca="1">IF(C964&gt;=2,D966+P958,D969)</f>
        <v>8888</v>
      </c>
      <c r="E971" s="139">
        <f ca="1">E970</f>
        <v>8888</v>
      </c>
      <c r="F971" s="157"/>
      <c r="G971" s="2" t="s">
        <v>453</v>
      </c>
      <c r="H971" s="128">
        <f ca="1">IF(G964&gt;=2,H967,H969)</f>
        <v>8888</v>
      </c>
      <c r="I971" s="139">
        <f ca="1">IF(G964&gt;=2,I970,I969)</f>
        <v>8888</v>
      </c>
      <c r="K971" s="128" t="s">
        <v>453</v>
      </c>
      <c r="L971" s="128">
        <f ca="1">IF(K964&gt;=2,IF(X959,IF(K964=2,L966+P958/4,L966+P958),L966+P958),L969)</f>
        <v>8888</v>
      </c>
      <c r="M971" s="139">
        <f ca="1">IF(K964&gt;=2,M970,M969)</f>
        <v>8888</v>
      </c>
      <c r="AA971" s="143" t="s">
        <v>453</v>
      </c>
      <c r="AB971" s="128">
        <f ca="1">IF($AA964,D971,AB970)</f>
        <v>8888</v>
      </c>
      <c r="AC971" s="129">
        <f ca="1">IF($AA964,E971,AC970)</f>
        <v>8888</v>
      </c>
      <c r="AD971" s="157"/>
      <c r="AE971" s="2" t="s">
        <v>453</v>
      </c>
      <c r="AF971" s="128">
        <f ca="1">IF($AE964,H971,AF970)</f>
        <v>8888</v>
      </c>
      <c r="AG971" s="129">
        <f ca="1">IF($AE964,I971,AG970)</f>
        <v>8888</v>
      </c>
      <c r="AI971" s="128" t="s">
        <v>453</v>
      </c>
      <c r="AJ971" s="128">
        <f ca="1">IF($AI964,L971,AJ970)</f>
        <v>8888</v>
      </c>
      <c r="AK971" s="129">
        <f ca="1">IF($AI964,M971,AK970)</f>
        <v>8888</v>
      </c>
      <c r="AM971" s="128" t="s">
        <v>453</v>
      </c>
      <c r="AN971" s="128">
        <f ca="1">L957</f>
        <v>-16.562000000000005</v>
      </c>
      <c r="AO971" s="129">
        <f ca="1">IF(AN971&gt;-Fuselage!$D$366,(FUSELAGE_a_ellipse)*SQRT(1-((AN971+Fuselage!$D$366)/(Fuselage!$K$364-FUSELAGE_t_fuselage))^2),IF(AN971&gt;$L$2505+Fuselage!$K$370,FUSELAGE_a_ellipse,(FUSELAGE_a_ellipse+FUSELAGE_t_fuselage-FUSELAGE_d_fo/4)/Fuselage!$K$368*(AN971-$L$2505-Fuselage!$K$370)+FUSELAGE_a_ellipse))</f>
        <v>1.4960570012328709</v>
      </c>
      <c r="AQ971" s="128" t="s">
        <v>453</v>
      </c>
      <c r="AR971" s="128">
        <f t="shared" ca="1" si="108"/>
        <v>-16.562000000000005</v>
      </c>
      <c r="AS971" s="129">
        <f t="shared" ca="1" si="109"/>
        <v>-1.4960570012328709</v>
      </c>
      <c r="BD971" s="157"/>
    </row>
    <row r="972" spans="2:56">
      <c r="B972" s="156"/>
      <c r="C972" s="128" t="s">
        <v>394</v>
      </c>
      <c r="D972" s="128">
        <f ca="1">IF(C964&gt;=2,D971,D969)</f>
        <v>8888</v>
      </c>
      <c r="E972" s="139">
        <f ca="1">IF(C964&gt;=2,E970-P957,E969)</f>
        <v>8888</v>
      </c>
      <c r="F972" s="157"/>
      <c r="G972" s="2" t="s">
        <v>394</v>
      </c>
      <c r="H972" s="128">
        <f ca="1">IF(G964&gt;=2,H967,H969)</f>
        <v>8888</v>
      </c>
      <c r="I972" s="139">
        <f ca="1">IF(G964&gt;=2,I971-P957,I969)</f>
        <v>8888</v>
      </c>
      <c r="K972" s="128" t="s">
        <v>394</v>
      </c>
      <c r="L972" s="128">
        <f ca="1">L971</f>
        <v>8888</v>
      </c>
      <c r="M972" s="139">
        <f ca="1">IF(K964&gt;=2,M971-P957,M969)</f>
        <v>8888</v>
      </c>
      <c r="AA972" s="143" t="s">
        <v>394</v>
      </c>
      <c r="AB972" s="128">
        <f ca="1">IF($AA964,D972,AB970)</f>
        <v>8888</v>
      </c>
      <c r="AC972" s="129">
        <f ca="1">IF($AA964,E972,AC970)</f>
        <v>8888</v>
      </c>
      <c r="AD972" s="157"/>
      <c r="AE972" s="2" t="s">
        <v>394</v>
      </c>
      <c r="AF972" s="128">
        <f ca="1">IF($AE964,H972,AF970)</f>
        <v>8888</v>
      </c>
      <c r="AG972" s="129">
        <f ca="1">IF($AE964,I972,AG970)</f>
        <v>8888</v>
      </c>
      <c r="AI972" s="128" t="s">
        <v>394</v>
      </c>
      <c r="AJ972" s="128">
        <f ca="1">IF($AI964,L972,AJ970)</f>
        <v>8888</v>
      </c>
      <c r="AK972" s="129">
        <f ca="1">IF($AI964,M972,AK970)</f>
        <v>8888</v>
      </c>
      <c r="BD972" s="157"/>
    </row>
    <row r="973" spans="2:56">
      <c r="B973" s="156"/>
      <c r="C973" s="188" t="s">
        <v>454</v>
      </c>
      <c r="D973" s="188">
        <f ca="1">IF(C964&gt;=2,D966,D969)</f>
        <v>8888</v>
      </c>
      <c r="E973" s="189">
        <f ca="1">E972</f>
        <v>8888</v>
      </c>
      <c r="F973" s="157"/>
      <c r="G973" s="115" t="s">
        <v>454</v>
      </c>
      <c r="H973" s="188">
        <f ca="1">IF(G964&gt;=2,H966,H969)</f>
        <v>8888</v>
      </c>
      <c r="I973" s="189">
        <f ca="1">IF(G964&gt;=2,I972,I969)</f>
        <v>8888</v>
      </c>
      <c r="K973" s="188" t="s">
        <v>454</v>
      </c>
      <c r="L973" s="188">
        <f ca="1">IF(K964&gt;=2,L966,L969)</f>
        <v>8888</v>
      </c>
      <c r="M973" s="189">
        <f ca="1">IF(K964&gt;=2,M972,M969)</f>
        <v>8888</v>
      </c>
      <c r="AA973" s="195" t="s">
        <v>454</v>
      </c>
      <c r="AB973" s="128">
        <f ca="1">IF($AA964,D973,AB970)</f>
        <v>8888</v>
      </c>
      <c r="AC973" s="129">
        <f ca="1">IF($AA964,E973,AC970)</f>
        <v>8888</v>
      </c>
      <c r="AD973" s="157"/>
      <c r="AE973" s="115" t="s">
        <v>454</v>
      </c>
      <c r="AF973" s="188">
        <f ca="1">IF($AE964,H973,AF970)</f>
        <v>8888</v>
      </c>
      <c r="AG973" s="196">
        <f ca="1">IF($AE964,I973,AG970)</f>
        <v>8888</v>
      </c>
      <c r="AI973" s="188" t="s">
        <v>454</v>
      </c>
      <c r="AJ973" s="188">
        <f ca="1">IF($AI964,L973,AJ970)</f>
        <v>8888</v>
      </c>
      <c r="AK973" s="196">
        <f ca="1">IF($AI964,M973,AK970)</f>
        <v>8888</v>
      </c>
      <c r="BD973" s="157"/>
    </row>
    <row r="974" spans="2:56">
      <c r="B974" s="156"/>
      <c r="C974" s="128" t="s">
        <v>507</v>
      </c>
      <c r="D974" s="128">
        <f ca="1">IF(C964&gt;=3,D966,D973)</f>
        <v>8888</v>
      </c>
      <c r="E974" s="139">
        <f ca="1">IF(C964&gt;=3,E973-P959,E973)</f>
        <v>8888</v>
      </c>
      <c r="F974" s="157"/>
      <c r="G974" s="2" t="s">
        <v>507</v>
      </c>
      <c r="H974" s="128">
        <f ca="1">IF(G964&gt;=3,H966,H973)</f>
        <v>8888</v>
      </c>
      <c r="I974" s="139">
        <f ca="1">IF(G964&gt;=3,I973-P959,I973)</f>
        <v>8888</v>
      </c>
      <c r="K974" s="128" t="s">
        <v>507</v>
      </c>
      <c r="L974" s="128">
        <f ca="1">IF(K964&gt;=3,L966,L973)</f>
        <v>8888</v>
      </c>
      <c r="M974" s="139">
        <f ca="1">IF(K964&gt;=3,M973-P959,M973)</f>
        <v>8888</v>
      </c>
      <c r="AA974" s="143" t="s">
        <v>507</v>
      </c>
      <c r="AB974" s="128">
        <f ca="1">IF($AA964,D974,AB970)</f>
        <v>8888</v>
      </c>
      <c r="AC974" s="129">
        <f ca="1">IF($AA964,E974,AC970)</f>
        <v>8888</v>
      </c>
      <c r="AD974" s="157"/>
      <c r="AE974" s="2" t="s">
        <v>507</v>
      </c>
      <c r="AF974" s="128">
        <f ca="1">IF($AE964,H974,AF970)</f>
        <v>8888</v>
      </c>
      <c r="AG974" s="129">
        <f ca="1">IF($AE964,I974,AG970)</f>
        <v>8888</v>
      </c>
      <c r="AI974" s="128" t="s">
        <v>507</v>
      </c>
      <c r="AJ974" s="128">
        <f ca="1">IF($AI964,L974,AJ970)</f>
        <v>8888</v>
      </c>
      <c r="AK974" s="129">
        <f ca="1">IF($AI964,M974,AK970)</f>
        <v>8888</v>
      </c>
      <c r="BD974" s="157"/>
    </row>
    <row r="975" spans="2:56">
      <c r="B975" s="156"/>
      <c r="C975" s="128" t="s">
        <v>455</v>
      </c>
      <c r="D975" s="128">
        <f ca="1">IF(C964&gt;=3,D971,D973)</f>
        <v>8888</v>
      </c>
      <c r="E975" s="139">
        <f ca="1">E974</f>
        <v>8888</v>
      </c>
      <c r="F975" s="157"/>
      <c r="G975" s="2" t="s">
        <v>455</v>
      </c>
      <c r="H975" s="128">
        <f ca="1">IF(G964&gt;=3,H967,H973)</f>
        <v>8888</v>
      </c>
      <c r="I975" s="139">
        <f ca="1">IF(G964&gt;=3,I974,I973)</f>
        <v>8888</v>
      </c>
      <c r="K975" s="128" t="s">
        <v>455</v>
      </c>
      <c r="L975" s="128">
        <f ca="1">IF(K964&gt;=3,IF(X959,IF(K964=3,L966+P958/4,L966+P958),L966+P958),L969)</f>
        <v>8888</v>
      </c>
      <c r="M975" s="139">
        <f ca="1">IF(K964&gt;=3,M974,M973)</f>
        <v>8888</v>
      </c>
      <c r="AA975" s="143" t="s">
        <v>455</v>
      </c>
      <c r="AB975" s="128">
        <f ca="1">IF($AA964,D975,AB970)</f>
        <v>8888</v>
      </c>
      <c r="AC975" s="129">
        <f ca="1">IF($AA964,E975,AC970)</f>
        <v>8888</v>
      </c>
      <c r="AD975" s="157"/>
      <c r="AE975" s="2" t="s">
        <v>455</v>
      </c>
      <c r="AF975" s="128">
        <f ca="1">IF($AE964,H975,AF970)</f>
        <v>8888</v>
      </c>
      <c r="AG975" s="129">
        <f ca="1">IF($AE964,I975,AG970)</f>
        <v>8888</v>
      </c>
      <c r="AI975" s="128" t="s">
        <v>455</v>
      </c>
      <c r="AJ975" s="128">
        <f ca="1">IF($AI964,L975,AJ970)</f>
        <v>8888</v>
      </c>
      <c r="AK975" s="129">
        <f ca="1">IF($AI964,M975,AK970)</f>
        <v>8888</v>
      </c>
      <c r="AL975" s="156"/>
      <c r="BD975" s="157"/>
    </row>
    <row r="976" spans="2:56">
      <c r="B976" s="156"/>
      <c r="C976" s="128" t="s">
        <v>311</v>
      </c>
      <c r="D976" s="128">
        <f ca="1">IF(C964&gt;=3,D971,D973)</f>
        <v>8888</v>
      </c>
      <c r="E976" s="139">
        <f ca="1">IF(C964&gt;=3,E975-P957,E973)</f>
        <v>8888</v>
      </c>
      <c r="F976" s="157"/>
      <c r="G976" s="2" t="s">
        <v>311</v>
      </c>
      <c r="H976" s="128">
        <f ca="1">IF(G964&gt;=3,H967,H973)</f>
        <v>8888</v>
      </c>
      <c r="I976" s="139">
        <f ca="1">IF(G964&gt;=3,I975-P957,I973)</f>
        <v>8888</v>
      </c>
      <c r="K976" s="128" t="s">
        <v>311</v>
      </c>
      <c r="L976" s="128">
        <f ca="1">L975</f>
        <v>8888</v>
      </c>
      <c r="M976" s="139">
        <f ca="1">IF(K964&gt;=3,M975-P957,M973)</f>
        <v>8888</v>
      </c>
      <c r="AA976" s="143" t="s">
        <v>311</v>
      </c>
      <c r="AB976" s="128">
        <f ca="1">IF($AA964,D976,AB970)</f>
        <v>8888</v>
      </c>
      <c r="AC976" s="129">
        <f ca="1">IF($AA964,E976,AC970)</f>
        <v>8888</v>
      </c>
      <c r="AD976" s="157"/>
      <c r="AE976" s="2" t="s">
        <v>311</v>
      </c>
      <c r="AF976" s="128">
        <f ca="1">IF($AE964,H976,AF970)</f>
        <v>8888</v>
      </c>
      <c r="AG976" s="129">
        <f ca="1">IF($AE964,I976,AG970)</f>
        <v>8888</v>
      </c>
      <c r="AI976" s="128" t="s">
        <v>311</v>
      </c>
      <c r="AJ976" s="128">
        <f ca="1">IF($AI964,L976,AJ970)</f>
        <v>8888</v>
      </c>
      <c r="AK976" s="129">
        <f ca="1">IF($AI964,M976,AK970)</f>
        <v>8888</v>
      </c>
      <c r="AL976" s="156"/>
      <c r="BD976" s="157"/>
    </row>
    <row r="977" spans="2:56">
      <c r="B977" s="156"/>
      <c r="C977" s="188" t="s">
        <v>35</v>
      </c>
      <c r="D977" s="188">
        <f ca="1">IF(C964&gt;=3,D966,D973)</f>
        <v>8888</v>
      </c>
      <c r="E977" s="189">
        <f ca="1">E976</f>
        <v>8888</v>
      </c>
      <c r="F977" s="157"/>
      <c r="G977" s="2" t="s">
        <v>35</v>
      </c>
      <c r="H977" s="188">
        <f ca="1">IF(G964&gt;=3,H966,H973)</f>
        <v>8888</v>
      </c>
      <c r="I977" s="189">
        <f ca="1">IF(G964&gt;=3,I976,I973)</f>
        <v>8888</v>
      </c>
      <c r="K977" s="188" t="s">
        <v>35</v>
      </c>
      <c r="L977" s="188">
        <f ca="1">IF(K964&gt;=3,L966,L973)</f>
        <v>8888</v>
      </c>
      <c r="M977" s="189">
        <f ca="1">IF(K964&gt;=3,M976,M973)</f>
        <v>8888</v>
      </c>
      <c r="AA977" s="143" t="s">
        <v>35</v>
      </c>
      <c r="AB977" s="128">
        <f ca="1">IF($AA964,D977,AB970)</f>
        <v>8888</v>
      </c>
      <c r="AC977" s="129">
        <f ca="1">IF($AA964,E977,AC970)</f>
        <v>8888</v>
      </c>
      <c r="AD977" s="157"/>
      <c r="AE977" s="2" t="s">
        <v>35</v>
      </c>
      <c r="AF977" s="188">
        <f ca="1">IF($AE964,H977,AF970)</f>
        <v>8888</v>
      </c>
      <c r="AG977" s="196">
        <f ca="1">IF($AE964,I977,AG970)</f>
        <v>8888</v>
      </c>
      <c r="AI977" s="128" t="s">
        <v>35</v>
      </c>
      <c r="AJ977" s="128">
        <f ca="1">IF($AI964,L977,AJ970)</f>
        <v>8888</v>
      </c>
      <c r="AK977" s="129">
        <f ca="1">IF($AI964,M977,AK970)</f>
        <v>8888</v>
      </c>
      <c r="AL977" s="156"/>
      <c r="BD977" s="157"/>
    </row>
    <row r="978" spans="2:56" ht="15" thickBot="1">
      <c r="B978" s="156"/>
      <c r="C978" s="130" t="s">
        <v>396</v>
      </c>
      <c r="D978" s="130">
        <f ca="1">D966</f>
        <v>8888</v>
      </c>
      <c r="E978" s="140">
        <f ca="1">E966</f>
        <v>8888</v>
      </c>
      <c r="F978" s="157"/>
      <c r="G978" s="192" t="s">
        <v>312</v>
      </c>
      <c r="H978" s="128">
        <f ca="1">IF(G964&gt;=4,H966,H977)</f>
        <v>8888</v>
      </c>
      <c r="I978" s="139">
        <f ca="1">IF(G964&gt;=4,I977-P959,I977)</f>
        <v>8888</v>
      </c>
      <c r="K978" s="130" t="s">
        <v>396</v>
      </c>
      <c r="L978" s="130">
        <f ca="1">L966</f>
        <v>8888</v>
      </c>
      <c r="M978" s="140">
        <f ca="1">M966</f>
        <v>8888</v>
      </c>
      <c r="AA978" s="144" t="s">
        <v>396</v>
      </c>
      <c r="AB978" s="130">
        <f ca="1">IF($AA964,D978,AB970)</f>
        <v>8888</v>
      </c>
      <c r="AC978" s="132">
        <f ca="1">IF($AA964,E978,AC970)</f>
        <v>8888</v>
      </c>
      <c r="AD978" s="157"/>
      <c r="AE978" s="192" t="s">
        <v>312</v>
      </c>
      <c r="AF978" s="128">
        <f ca="1">IF($AE964,H978,AF970)</f>
        <v>8888</v>
      </c>
      <c r="AG978" s="129">
        <f ca="1">IF($AE964,I978,AG970)</f>
        <v>8888</v>
      </c>
      <c r="AI978" s="130" t="s">
        <v>396</v>
      </c>
      <c r="AJ978" s="130">
        <f ca="1">IF($AI964,L978,AJ970)</f>
        <v>8888</v>
      </c>
      <c r="AK978" s="132">
        <f ca="1">IF($AI964,M978,AK970)</f>
        <v>8888</v>
      </c>
      <c r="BD978" s="157"/>
    </row>
    <row r="979" spans="2:56">
      <c r="B979" s="156"/>
      <c r="F979" s="157"/>
      <c r="G979" s="2" t="s">
        <v>313</v>
      </c>
      <c r="H979" s="128">
        <f ca="1">IF(G964&gt;=4,H967,H977)</f>
        <v>8888</v>
      </c>
      <c r="I979" s="139">
        <f ca="1">IF(G964&gt;=4,I978,I977)</f>
        <v>8888</v>
      </c>
      <c r="AD979" s="157"/>
      <c r="AE979" s="2" t="s">
        <v>313</v>
      </c>
      <c r="AF979" s="128">
        <f ca="1">IF($AE964,H979,AF970)</f>
        <v>8888</v>
      </c>
      <c r="AG979" s="129">
        <f ca="1">IF($AE964,I979,AG970)</f>
        <v>8888</v>
      </c>
      <c r="BD979" s="157"/>
    </row>
    <row r="980" spans="2:56">
      <c r="B980" s="156"/>
      <c r="F980" s="157"/>
      <c r="G980" s="2" t="s">
        <v>7</v>
      </c>
      <c r="H980" s="128">
        <f ca="1">IF(G964&gt;=4,H967,H977)</f>
        <v>8888</v>
      </c>
      <c r="I980" s="139">
        <f ca="1">IF(G964&gt;=4,I979-P957,I977)</f>
        <v>8888</v>
      </c>
      <c r="AD980" s="157"/>
      <c r="AE980" s="2" t="s">
        <v>7</v>
      </c>
      <c r="AF980" s="128">
        <f ca="1">IF($AE964,H980,AF970)</f>
        <v>8888</v>
      </c>
      <c r="AG980" s="129">
        <f ca="1">IF($AE964,I980,AG970)</f>
        <v>8888</v>
      </c>
      <c r="BD980" s="157"/>
    </row>
    <row r="981" spans="2:56">
      <c r="B981" s="156"/>
      <c r="F981" s="157"/>
      <c r="G981" s="115" t="s">
        <v>8</v>
      </c>
      <c r="H981" s="188">
        <f ca="1">IF(G964&gt;=4,H966,H977)</f>
        <v>8888</v>
      </c>
      <c r="I981" s="189">
        <f ca="1">IF(G964&gt;=4,I980,I977)</f>
        <v>8888</v>
      </c>
      <c r="AD981" s="157"/>
      <c r="AE981" s="115" t="s">
        <v>8</v>
      </c>
      <c r="AF981" s="188">
        <f ca="1">IF($AE964,H981,AF970)</f>
        <v>8888</v>
      </c>
      <c r="AG981" s="196">
        <f ca="1">IF($AE964,I981,AG970)</f>
        <v>8888</v>
      </c>
      <c r="BD981" s="157"/>
    </row>
    <row r="982" spans="2:56">
      <c r="B982" s="156"/>
      <c r="F982" s="157"/>
      <c r="G982" s="2" t="s">
        <v>9</v>
      </c>
      <c r="H982" s="128">
        <f ca="1">IF(G964&gt;=5,H966,H981)</f>
        <v>8888</v>
      </c>
      <c r="I982" s="139">
        <f ca="1">IF(G964&gt;=5,I981-P959,I981)</f>
        <v>8888</v>
      </c>
      <c r="AD982" s="157"/>
      <c r="AE982" s="2" t="s">
        <v>9</v>
      </c>
      <c r="AF982" s="128">
        <f ca="1">IF($AE964,H982,AF970)</f>
        <v>8888</v>
      </c>
      <c r="AG982" s="129">
        <f ca="1">IF($AE964,I982,AG970)</f>
        <v>8888</v>
      </c>
      <c r="BD982" s="157"/>
    </row>
    <row r="983" spans="2:56">
      <c r="B983" s="156"/>
      <c r="F983" s="157"/>
      <c r="G983" s="2" t="s">
        <v>196</v>
      </c>
      <c r="H983" s="128">
        <f ca="1">IF(G964&gt;=5,H967,H981)</f>
        <v>8888</v>
      </c>
      <c r="I983" s="139">
        <f ca="1">IF(G964&gt;=5,I982,I981)</f>
        <v>8888</v>
      </c>
      <c r="AD983" s="157"/>
      <c r="AE983" s="2" t="s">
        <v>196</v>
      </c>
      <c r="AF983" s="128">
        <f ca="1">IF($AE964,H983,AF970)</f>
        <v>8888</v>
      </c>
      <c r="AG983" s="129">
        <f ca="1">IF($AE964,I983,AG970)</f>
        <v>8888</v>
      </c>
      <c r="BD983" s="157"/>
    </row>
    <row r="984" spans="2:56">
      <c r="B984" s="156"/>
      <c r="F984" s="157"/>
      <c r="G984" s="2" t="s">
        <v>10</v>
      </c>
      <c r="H984" s="128">
        <f ca="1">IF(G964&gt;=5,H967,H981)</f>
        <v>8888</v>
      </c>
      <c r="I984" s="139">
        <f ca="1">IF(G964&gt;=5,I983-P957,I981)</f>
        <v>8888</v>
      </c>
      <c r="AD984" s="157"/>
      <c r="AE984" s="2" t="s">
        <v>10</v>
      </c>
      <c r="AF984" s="128">
        <f ca="1">IF($AE964,H984,AF970)</f>
        <v>8888</v>
      </c>
      <c r="AG984" s="129">
        <f ca="1">IF($AE964,I984,AG970)</f>
        <v>8888</v>
      </c>
      <c r="BD984" s="157"/>
    </row>
    <row r="985" spans="2:56">
      <c r="B985" s="156"/>
      <c r="F985" s="157"/>
      <c r="G985" s="2" t="s">
        <v>161</v>
      </c>
      <c r="H985" s="188">
        <f ca="1">IF(G964&gt;=5,H966,H981)</f>
        <v>8888</v>
      </c>
      <c r="I985" s="189">
        <f ca="1">IF(G964&gt;=5,I984,I981)</f>
        <v>8888</v>
      </c>
      <c r="AD985" s="157"/>
      <c r="AE985" s="2" t="s">
        <v>161</v>
      </c>
      <c r="AF985" s="188">
        <f ca="1">IF($AE964,H985,AF970)</f>
        <v>8888</v>
      </c>
      <c r="AG985" s="196">
        <f ca="1">IF($AE964,I985,AG970)</f>
        <v>8888</v>
      </c>
      <c r="BD985" s="157"/>
    </row>
    <row r="986" spans="2:56">
      <c r="B986" s="156"/>
      <c r="F986" s="157"/>
      <c r="G986" s="192" t="s">
        <v>11</v>
      </c>
      <c r="H986" s="128">
        <f ca="1">IF(G964&gt;=6,H966,H985)</f>
        <v>8888</v>
      </c>
      <c r="I986" s="139">
        <f ca="1">IF(G964&gt;=6,I985-P959,I985)</f>
        <v>8888</v>
      </c>
      <c r="AD986" s="157"/>
      <c r="AE986" s="192" t="s">
        <v>11</v>
      </c>
      <c r="AF986" s="128">
        <f ca="1">IF($AE964,H986,AF970)</f>
        <v>8888</v>
      </c>
      <c r="AG986" s="129">
        <f ca="1">IF($AE964,I986,AG970)</f>
        <v>8888</v>
      </c>
      <c r="BD986" s="157"/>
    </row>
    <row r="987" spans="2:56">
      <c r="B987" s="156"/>
      <c r="F987" s="157"/>
      <c r="G987" s="2" t="s">
        <v>12</v>
      </c>
      <c r="H987" s="128">
        <f ca="1">IF(G964&gt;=6,H967,H985)</f>
        <v>8888</v>
      </c>
      <c r="I987" s="139">
        <f ca="1">IF(G964&gt;=6,I986,I985)</f>
        <v>8888</v>
      </c>
      <c r="AD987" s="157"/>
      <c r="AE987" s="2" t="s">
        <v>12</v>
      </c>
      <c r="AF987" s="128">
        <f ca="1">IF($AE964,H987,AF970)</f>
        <v>8888</v>
      </c>
      <c r="AG987" s="129">
        <f ca="1">IF($AE964,I987,AG970)</f>
        <v>8888</v>
      </c>
      <c r="BD987" s="157"/>
    </row>
    <row r="988" spans="2:56">
      <c r="B988" s="156"/>
      <c r="F988" s="157"/>
      <c r="G988" s="2" t="s">
        <v>13</v>
      </c>
      <c r="H988" s="128">
        <f ca="1">IF(G964&gt;=6,H967,H985)</f>
        <v>8888</v>
      </c>
      <c r="I988" s="139">
        <f ca="1">IF(G964&gt;=6,I987-P957,I985)</f>
        <v>8888</v>
      </c>
      <c r="AD988" s="157"/>
      <c r="AE988" s="2" t="s">
        <v>13</v>
      </c>
      <c r="AF988" s="128">
        <f ca="1">IF($AE964,H988,AF970)</f>
        <v>8888</v>
      </c>
      <c r="AG988" s="129">
        <f ca="1">IF($AE964,I988,AG970)</f>
        <v>8888</v>
      </c>
      <c r="BD988" s="157"/>
    </row>
    <row r="989" spans="2:56">
      <c r="B989" s="156"/>
      <c r="F989" s="157"/>
      <c r="G989" s="115" t="s">
        <v>14</v>
      </c>
      <c r="H989" s="188">
        <f ca="1">IF(G964&gt;=6,H966,H985)</f>
        <v>8888</v>
      </c>
      <c r="I989" s="189">
        <f ca="1">IF(G964&gt;=6,I988,I985)</f>
        <v>8888</v>
      </c>
      <c r="AD989" s="157"/>
      <c r="AE989" s="115" t="s">
        <v>14</v>
      </c>
      <c r="AF989" s="188">
        <f ca="1">IF($AE964,H989,AF970)</f>
        <v>8888</v>
      </c>
      <c r="AG989" s="196">
        <f ca="1">IF($AE964,I989,AG970)</f>
        <v>8888</v>
      </c>
      <c r="BD989" s="157"/>
    </row>
    <row r="990" spans="2:56" ht="15" thickBot="1">
      <c r="B990" s="156"/>
      <c r="G990" s="130" t="s">
        <v>396</v>
      </c>
      <c r="H990" s="130">
        <f ca="1">H966</f>
        <v>8888</v>
      </c>
      <c r="I990" s="140">
        <f ca="1">I966</f>
        <v>8888</v>
      </c>
      <c r="AE990" s="130" t="s">
        <v>396</v>
      </c>
      <c r="AF990" s="130">
        <f ca="1">IF($AE964,H990,AF970)</f>
        <v>8888</v>
      </c>
      <c r="AG990" s="132">
        <f ca="1">IF($AE964,I990,AG970)</f>
        <v>8888</v>
      </c>
      <c r="BD990" s="157"/>
    </row>
    <row r="991" spans="2:56">
      <c r="B991" s="156"/>
      <c r="BD991" s="157"/>
    </row>
    <row r="992" spans="2:56">
      <c r="B992" s="156"/>
      <c r="BD992" s="157"/>
    </row>
    <row r="993" spans="2:56">
      <c r="B993" s="156"/>
      <c r="C993" s="200" t="s">
        <v>336</v>
      </c>
      <c r="D993">
        <f>D957+1</f>
        <v>23</v>
      </c>
      <c r="G993" s="200" t="s">
        <v>638</v>
      </c>
      <c r="H993">
        <f ca="1">LOOKUP(D996,$C$191:$C$196,$D$191:$D$196)</f>
        <v>0</v>
      </c>
      <c r="K993" s="200" t="s">
        <v>644</v>
      </c>
      <c r="L993">
        <f ca="1">L957-H998</f>
        <v>-16.562000000000005</v>
      </c>
      <c r="O993" s="200" t="s">
        <v>404</v>
      </c>
      <c r="P993">
        <f ca="1">IF(D995=1,SEAT_w_cushion_FC,IF(D995=2,SEAT_w_cushion_BC,IF(D995=3,SEAT_w_cushion_YC,0)))</f>
        <v>0</v>
      </c>
      <c r="S993" s="200" t="s">
        <v>647</v>
      </c>
      <c r="T993">
        <f ca="1">LOOKUP(D996,$C$191:$C$196,$E$191:$E$196)</f>
        <v>0</v>
      </c>
      <c r="W993" t="s">
        <v>130</v>
      </c>
      <c r="X993" t="str">
        <f ca="1">OFFSET(Fuselage!$B$275,D993,5)</f>
        <v>None</v>
      </c>
      <c r="AN993" s="200" t="s">
        <v>135</v>
      </c>
      <c r="AO993">
        <f ca="1">MAX(0,H998-MAX(T993,T995,T997,P994)-X994)</f>
        <v>0</v>
      </c>
      <c r="BD993" s="157"/>
    </row>
    <row r="994" spans="2:56">
      <c r="B994" s="156"/>
      <c r="C994" s="200" t="s">
        <v>200</v>
      </c>
      <c r="D994" t="str">
        <f ca="1">OFFSET(Fuselage!$B$275,D993,0)</f>
        <v/>
      </c>
      <c r="G994" s="200" t="s">
        <v>639</v>
      </c>
      <c r="H994">
        <f ca="1">LOOKUP(D997,$C$191:$C$196,$D$191:$D$196)</f>
        <v>0</v>
      </c>
      <c r="O994" s="200" t="s">
        <v>535</v>
      </c>
      <c r="P994">
        <f ca="1">IF(D995=1,SEAT_length_FC,IF(D995=2,SEAT_length_BC,IF(D995=3,SEAT_length_YC,0)))</f>
        <v>0</v>
      </c>
      <c r="S994" s="200" t="s">
        <v>648</v>
      </c>
      <c r="T994">
        <f ca="1">LOOKUP(D996,$C$191:$C$196,$F$191:$F$196)</f>
        <v>0</v>
      </c>
      <c r="W994" t="s">
        <v>131</v>
      </c>
      <c r="X994">
        <f ca="1">LOOKUP(X993,$I$191:$I$198,$J$191:$J$198)</f>
        <v>0</v>
      </c>
      <c r="BD994" s="157"/>
    </row>
    <row r="995" spans="2:56">
      <c r="B995" s="156"/>
      <c r="C995" s="200" t="s">
        <v>337</v>
      </c>
      <c r="D995" t="str">
        <f ca="1">OFFSET(Fuselage!$B$275,D993,4)</f>
        <v/>
      </c>
      <c r="G995" s="200" t="s">
        <v>309</v>
      </c>
      <c r="H995">
        <f ca="1">LOOKUP(D998,$C$191:$C$196,$D$191:$D$196)</f>
        <v>0</v>
      </c>
      <c r="K995" s="200" t="s">
        <v>645</v>
      </c>
      <c r="L995">
        <f ca="1">IF(D995=1,FUSELAGE_nseats_left_FC,IF(D995=2,FUSELAGE_nseats_left_BC,IF(D995=3,FUSELAGE_nseats_left_YC,0)))</f>
        <v>0</v>
      </c>
      <c r="O995" s="200" t="s">
        <v>405</v>
      </c>
      <c r="P995">
        <f ca="1">IF(D995=1,SEAT_w_armrest_FC,IF(D995=2,SEAT_w_armrest_BC,IF(D995=3,SEAT_w_armrest_YC,0)))</f>
        <v>0</v>
      </c>
      <c r="S995" s="200" t="s">
        <v>652</v>
      </c>
      <c r="T995">
        <f ca="1">LOOKUP(D997,$C$191:$C$196,$E$191:$E$196)</f>
        <v>0</v>
      </c>
      <c r="W995" s="200" t="s">
        <v>393</v>
      </c>
      <c r="X995" t="b">
        <f ca="1">IF(OFFSET(Fuselage!$B$275,D993,6)="YES",TRUE(),FALSE())</f>
        <v>0</v>
      </c>
      <c r="BD995" s="157"/>
    </row>
    <row r="996" spans="2:56">
      <c r="B996" s="156"/>
      <c r="C996" s="200" t="s">
        <v>640</v>
      </c>
      <c r="D996" t="str">
        <f ca="1">OFFSET(Fuselage!$B$275,D993,1)</f>
        <v>None</v>
      </c>
      <c r="G996" s="200" t="s">
        <v>132</v>
      </c>
      <c r="H996">
        <f ca="1">IF(D995=1,SEAT_pitch_FC,IF(D995=2,SEAT_pitch_BC,IF(D995=3,SEAT_pitch_YC,0)))</f>
        <v>0</v>
      </c>
      <c r="K996" s="200" t="s">
        <v>646</v>
      </c>
      <c r="L996">
        <f ca="1">IF(D995=1,FUSELAGE_nseats_middle_FC,IF(D995=2,FUSELAGE_nseats_middle_BC,IF(D995=3,FUSELAGE_nseats_middle_YC,0)))</f>
        <v>0</v>
      </c>
      <c r="S996" s="200" t="s">
        <v>653</v>
      </c>
      <c r="T996">
        <f ca="1">LOOKUP(D997,$C$191:$C$196,$F$191:$F$196)</f>
        <v>0</v>
      </c>
      <c r="BD996" s="157"/>
    </row>
    <row r="997" spans="2:56">
      <c r="B997" s="156"/>
      <c r="C997" s="200" t="s">
        <v>642</v>
      </c>
      <c r="D997" t="str">
        <f ca="1">OFFSET(Fuselage!$B$275,D993,2)</f>
        <v>None</v>
      </c>
      <c r="G997" s="200" t="s">
        <v>129</v>
      </c>
      <c r="H997">
        <f ca="1">IF(OR(X993="Type A",X993="Type B"),MAX(H993:H996)+42*0.0254,IF(X993="Type C",MAX(H993:H996)+X994,IF(X993&lt;&gt;"None",24*0.0254,0)))</f>
        <v>0</v>
      </c>
      <c r="K997" s="200" t="s">
        <v>655</v>
      </c>
      <c r="L997">
        <f ca="1">IF(D995=1,FUSELAGE_nseats_right_FC,IF(D995=2,FUSELAGE_nseats_right_BC,IF(D995=3,FUSELAGE_nseats_right_YC,0)))</f>
        <v>0</v>
      </c>
      <c r="O997" s="200" t="s">
        <v>407</v>
      </c>
      <c r="P997">
        <f ca="1">($C$13-(L995+L996+L997)*(P993+P995)+(FUSELAGE_n_aisles-1)*P995)/FUSELAGE_n_aisles</f>
        <v>2.76</v>
      </c>
      <c r="S997" s="200" t="s">
        <v>651</v>
      </c>
      <c r="T997">
        <f ca="1">LOOKUP(D998,$C$191:$C$196,$E$191:$E$196)</f>
        <v>0</v>
      </c>
      <c r="BD997" s="157"/>
    </row>
    <row r="998" spans="2:56">
      <c r="B998" s="156"/>
      <c r="C998" s="200" t="s">
        <v>641</v>
      </c>
      <c r="D998" t="str">
        <f ca="1">OFFSET(Fuselage!$B$275,D993,3)</f>
        <v>None</v>
      </c>
      <c r="G998" s="200" t="s">
        <v>643</v>
      </c>
      <c r="H998">
        <f ca="1">MAX(H993:H997)</f>
        <v>0</v>
      </c>
      <c r="S998" s="200" t="s">
        <v>654</v>
      </c>
      <c r="T998">
        <f ca="1">LOOKUP(D998,$C$191:$C$196,$F$191:$F$196)</f>
        <v>0</v>
      </c>
      <c r="BD998" s="157"/>
    </row>
    <row r="999" spans="2:56" ht="15" thickBot="1">
      <c r="B999" s="156"/>
      <c r="BD999" s="157"/>
    </row>
    <row r="1000" spans="2:56" ht="15" thickBot="1">
      <c r="B1000" s="156"/>
      <c r="C1000" s="141">
        <f ca="1">L997</f>
        <v>0</v>
      </c>
      <c r="D1000" s="197" t="str">
        <f ca="1">IF($D995=1,"FC",IF($D995=2,"BC",IF($D995=3,"YC","Nothing")))</f>
        <v>Nothing</v>
      </c>
      <c r="E1000" s="198"/>
      <c r="G1000" s="141">
        <f ca="1">L996</f>
        <v>0</v>
      </c>
      <c r="H1000" s="197" t="str">
        <f ca="1">IF($D995=1,"FC",IF($D995=2,"BC",IF($D995=3,"YC","Nothing")))</f>
        <v>Nothing</v>
      </c>
      <c r="I1000" s="198"/>
      <c r="K1000" s="141">
        <f ca="1" xml:space="preserve"> L995</f>
        <v>0</v>
      </c>
      <c r="L1000" s="197" t="str">
        <f ca="1">IF($D995=1,"FC",IF($D995=2,"BC",IF($D995=3,"YC","Nothing")))</f>
        <v>Nothing</v>
      </c>
      <c r="M1000" s="198"/>
      <c r="O1000" s="141">
        <f ca="1">IF($D998&lt;&gt;"None",1,0)</f>
        <v>0</v>
      </c>
      <c r="P1000" s="326" t="s">
        <v>380</v>
      </c>
      <c r="Q1000" s="327"/>
      <c r="S1000" s="141">
        <f ca="1">IF($D997&lt;&gt;"None",1,0)</f>
        <v>0</v>
      </c>
      <c r="T1000" s="326" t="s">
        <v>381</v>
      </c>
      <c r="U1000" s="327"/>
      <c r="W1000" s="141">
        <f ca="1">IF($D996&lt;&gt;"None",1,0)</f>
        <v>0</v>
      </c>
      <c r="X1000" s="326" t="s">
        <v>382</v>
      </c>
      <c r="Y1000" s="327"/>
      <c r="AA1000" s="141">
        <f ca="1">IF($D998="None",1,0)</f>
        <v>1</v>
      </c>
      <c r="AB1000" s="326" t="str">
        <f ca="1">IF(AA1000,D1000,$D998)</f>
        <v>Nothing</v>
      </c>
      <c r="AC1000" s="327"/>
      <c r="AE1000" s="141">
        <f ca="1">IF($D997="None",1,0)</f>
        <v>1</v>
      </c>
      <c r="AF1000" s="326" t="str">
        <f ca="1">IF(AE1000,H1000,$D997)</f>
        <v>Nothing</v>
      </c>
      <c r="AG1000" s="327"/>
      <c r="AI1000" s="141">
        <f ca="1">IF($D996="None",1,0)</f>
        <v>1</v>
      </c>
      <c r="AJ1000" s="326" t="str">
        <f ca="1">IF(AI1000,L1000,$D996)</f>
        <v>Nothing</v>
      </c>
      <c r="AK1000" s="327"/>
      <c r="AM1000" s="141">
        <f ca="1">IF($X993="None",0,1)</f>
        <v>0</v>
      </c>
      <c r="AN1000" s="197" t="s">
        <v>133</v>
      </c>
      <c r="AO1000" s="198"/>
      <c r="AQ1000" s="141">
        <f ca="1">IF($X993="None",0,1)</f>
        <v>0</v>
      </c>
      <c r="AR1000" s="197" t="s">
        <v>134</v>
      </c>
      <c r="AS1000" s="198"/>
      <c r="BD1000" s="157"/>
    </row>
    <row r="1001" spans="2:56" ht="15" thickBot="1">
      <c r="B1001" s="156"/>
      <c r="C1001" s="136" t="s">
        <v>452</v>
      </c>
      <c r="D1001" s="136" t="s">
        <v>384</v>
      </c>
      <c r="E1001" s="138" t="s">
        <v>385</v>
      </c>
      <c r="G1001" s="136" t="s">
        <v>452</v>
      </c>
      <c r="H1001" s="136" t="s">
        <v>384</v>
      </c>
      <c r="I1001" s="138" t="s">
        <v>385</v>
      </c>
      <c r="K1001" s="193" t="s">
        <v>452</v>
      </c>
      <c r="L1001" s="193" t="s">
        <v>384</v>
      </c>
      <c r="M1001" s="194" t="s">
        <v>385</v>
      </c>
      <c r="O1001" s="136" t="s">
        <v>452</v>
      </c>
      <c r="P1001" s="136" t="s">
        <v>384</v>
      </c>
      <c r="Q1001" s="138" t="s">
        <v>385</v>
      </c>
      <c r="S1001" s="136" t="s">
        <v>452</v>
      </c>
      <c r="T1001" s="136" t="s">
        <v>384</v>
      </c>
      <c r="U1001" s="138" t="s">
        <v>385</v>
      </c>
      <c r="W1001" s="136" t="s">
        <v>452</v>
      </c>
      <c r="X1001" s="136" t="s">
        <v>384</v>
      </c>
      <c r="Y1001" s="138" t="s">
        <v>385</v>
      </c>
      <c r="AA1001" s="136" t="s">
        <v>452</v>
      </c>
      <c r="AB1001" s="136" t="s">
        <v>384</v>
      </c>
      <c r="AC1001" s="138" t="s">
        <v>385</v>
      </c>
      <c r="AE1001" s="136" t="s">
        <v>452</v>
      </c>
      <c r="AF1001" s="136" t="s">
        <v>384</v>
      </c>
      <c r="AG1001" s="138" t="s">
        <v>385</v>
      </c>
      <c r="AI1001" s="193" t="s">
        <v>452</v>
      </c>
      <c r="AJ1001" s="193" t="s">
        <v>384</v>
      </c>
      <c r="AK1001" s="194" t="s">
        <v>385</v>
      </c>
      <c r="AM1001" s="193" t="s">
        <v>452</v>
      </c>
      <c r="AN1001" s="193" t="s">
        <v>384</v>
      </c>
      <c r="AO1001" s="194" t="s">
        <v>385</v>
      </c>
      <c r="AQ1001" s="193" t="s">
        <v>452</v>
      </c>
      <c r="AR1001" s="193" t="s">
        <v>384</v>
      </c>
      <c r="AS1001" s="194" t="s">
        <v>385</v>
      </c>
      <c r="BD1001" s="157"/>
    </row>
    <row r="1002" spans="2:56">
      <c r="B1002" s="156"/>
      <c r="C1002" s="128" t="s">
        <v>396</v>
      </c>
      <c r="D1002" s="158">
        <f ca="1">IF(C1000&gt;=1,L993,8888)</f>
        <v>8888</v>
      </c>
      <c r="E1002" s="160">
        <f ca="1">IF(C1000&gt;=1,1/2*($C$13-P993-2*P995)+1/2*P993,8888)</f>
        <v>8888</v>
      </c>
      <c r="G1002" s="128" t="s">
        <v>396</v>
      </c>
      <c r="H1002" s="158">
        <f ca="1">IF(G1000&gt;=1,L993,8888)</f>
        <v>8888</v>
      </c>
      <c r="I1002" s="160">
        <f ca="1">IF(G1000&gt;=1,E1013-P997,8888)</f>
        <v>8888</v>
      </c>
      <c r="K1002" s="128" t="s">
        <v>396</v>
      </c>
      <c r="L1002" s="158">
        <f ca="1">IF(K1000&gt;=1,L993,8888)</f>
        <v>8888</v>
      </c>
      <c r="M1002" s="160">
        <f ca="1">IF(K1000&gt;=1,IF(FUSELAGE_n_aisles=1,E1013-P997,I1025-P997),8888)</f>
        <v>8888</v>
      </c>
      <c r="O1002" s="128" t="s">
        <v>396</v>
      </c>
      <c r="P1002" s="158">
        <f ca="1">IF(O1000,$L993,8888)</f>
        <v>8888</v>
      </c>
      <c r="Q1002" s="209">
        <f ca="1">IF(O1000,FUSELAGE_y_position_of_left_seat_YC-(FUSELAGE_nseats_right_YC-1)*(SEAT_w_cushion_YC+SEAT_w_armrest_YC)/2+T998/2,8888)</f>
        <v>8888</v>
      </c>
      <c r="S1002" s="128" t="s">
        <v>396</v>
      </c>
      <c r="T1002" s="158">
        <f ca="1">IF(S1000,$L993,8888)</f>
        <v>8888</v>
      </c>
      <c r="U1002" s="160">
        <f ca="1">IF(S1000,T996/2,8888)</f>
        <v>8888</v>
      </c>
      <c r="W1002" s="128" t="s">
        <v>396</v>
      </c>
      <c r="X1002" s="158">
        <f ca="1">IF(W1000,$L993,8888)</f>
        <v>8888</v>
      </c>
      <c r="Y1002" s="160">
        <f ca="1">IF(W1000,-FUSELAGE_y_position_of_left_seat_YC+(FUSELAGE_nseats_left_YC-1)*(SEAT_w_cushion_YC+SEAT_w_armrest_YC)/2-T994/2,8888)</f>
        <v>8888</v>
      </c>
      <c r="AA1002" s="128" t="s">
        <v>396</v>
      </c>
      <c r="AB1002" s="158">
        <f ca="1">IF($AA1000,D1002,P1002)</f>
        <v>8888</v>
      </c>
      <c r="AC1002" s="174">
        <f ca="1">IF($AA1000,E1002,Q1002)</f>
        <v>8888</v>
      </c>
      <c r="AE1002" s="128" t="s">
        <v>396</v>
      </c>
      <c r="AF1002" s="158">
        <f ca="1">IF($AE1000,H1002,T1002)</f>
        <v>8888</v>
      </c>
      <c r="AG1002" s="174">
        <f ca="1">IF($AE1000,I1002,U1002)</f>
        <v>8888</v>
      </c>
      <c r="AI1002" s="128" t="s">
        <v>396</v>
      </c>
      <c r="AJ1002" s="158">
        <f ca="1">IF($AI1000,L1002,X1002)</f>
        <v>8888</v>
      </c>
      <c r="AK1002" s="174">
        <f ca="1">IF($AI1000,M1002,Y1002)</f>
        <v>8888</v>
      </c>
      <c r="AM1002" s="128" t="s">
        <v>396</v>
      </c>
      <c r="AN1002" s="158">
        <f ca="1">AN971</f>
        <v>-16.562000000000005</v>
      </c>
      <c r="AO1002" s="174">
        <f ca="1">IF(AN1002&gt;-Fuselage!$D$366,(FUSELAGE_a_ellipse)*SQRT(1-((AN1002+Fuselage!$D$366)/(Fuselage!$K$364-FUSELAGE_t_fuselage))^2),IF(AN1002&gt;$L$2505+Fuselage!$K$370,FUSELAGE_a_ellipse,(FUSELAGE_a_ellipse+FUSELAGE_t_fuselage-FUSELAGE_d_fo/4)/Fuselage!$K$368*(AN1002-$L$2505-Fuselage!$K$370)+FUSELAGE_a_ellipse))</f>
        <v>1.4960570012328709</v>
      </c>
      <c r="AQ1002" s="128" t="s">
        <v>396</v>
      </c>
      <c r="AR1002" s="158">
        <f t="shared" ref="AR1002:AR1007" ca="1" si="110">AN1002</f>
        <v>-16.562000000000005</v>
      </c>
      <c r="AS1002" s="174">
        <f t="shared" ref="AS1002:AS1007" ca="1" si="111">-AO1002</f>
        <v>-1.4960570012328709</v>
      </c>
      <c r="BD1002" s="157"/>
    </row>
    <row r="1003" spans="2:56">
      <c r="B1003" s="156"/>
      <c r="C1003" s="128" t="s">
        <v>213</v>
      </c>
      <c r="D1003" s="128">
        <f ca="1">IF(X995,D1002+P994/4,D1002+P994)</f>
        <v>8888</v>
      </c>
      <c r="E1003" s="139">
        <f ca="1">E1002</f>
        <v>8888</v>
      </c>
      <c r="G1003" s="128" t="s">
        <v>213</v>
      </c>
      <c r="H1003" s="128">
        <f ca="1">H1002+P994</f>
        <v>8888</v>
      </c>
      <c r="I1003" s="139">
        <f ca="1">I1002</f>
        <v>8888</v>
      </c>
      <c r="K1003" s="128" t="s">
        <v>213</v>
      </c>
      <c r="L1003" s="128">
        <f ca="1">IF(X995,IF(K1000=1,L1002+P994/4,L1002+P994),L1002+P994)</f>
        <v>8888</v>
      </c>
      <c r="M1003" s="139">
        <f ca="1">M1002</f>
        <v>8888</v>
      </c>
      <c r="O1003" s="128" t="s">
        <v>213</v>
      </c>
      <c r="P1003" s="128">
        <f ca="1">P1002+$T997</f>
        <v>8888</v>
      </c>
      <c r="Q1003" s="139">
        <f ca="1">Q1002</f>
        <v>8888</v>
      </c>
      <c r="S1003" s="128" t="s">
        <v>213</v>
      </c>
      <c r="T1003" s="128">
        <f ca="1">T1002+$T995</f>
        <v>8888</v>
      </c>
      <c r="U1003" s="139">
        <f ca="1">U1002</f>
        <v>8888</v>
      </c>
      <c r="W1003" s="128" t="s">
        <v>213</v>
      </c>
      <c r="X1003" s="128">
        <f ca="1">X1002+$T993</f>
        <v>8888</v>
      </c>
      <c r="Y1003" s="139">
        <f ca="1">Y1002</f>
        <v>8888</v>
      </c>
      <c r="AA1003" s="143" t="s">
        <v>213</v>
      </c>
      <c r="AB1003" s="128">
        <f ca="1">IF($AA1000,D1003,P1003)</f>
        <v>8888</v>
      </c>
      <c r="AC1003" s="129">
        <f ca="1">IF($AA1000,E1003,Q1003)</f>
        <v>8888</v>
      </c>
      <c r="AE1003" s="128" t="s">
        <v>213</v>
      </c>
      <c r="AF1003" s="128">
        <f ca="1">IF($AE1000,H1003,T1003)</f>
        <v>8888</v>
      </c>
      <c r="AG1003" s="129">
        <f ca="1">IF($AE1000,I1003,U1003)</f>
        <v>8888</v>
      </c>
      <c r="AI1003" s="128" t="s">
        <v>213</v>
      </c>
      <c r="AJ1003" s="128">
        <f ca="1">IF($AI1000,L1003,X1003)</f>
        <v>8888</v>
      </c>
      <c r="AK1003" s="129">
        <f ca="1">IF($AI1000,M1003,Y1003)</f>
        <v>8888</v>
      </c>
      <c r="AM1003" s="128" t="s">
        <v>213</v>
      </c>
      <c r="AN1003" s="128">
        <f ca="1">AN1002-AO993/2</f>
        <v>-16.562000000000005</v>
      </c>
      <c r="AO1003" s="129">
        <f ca="1">IF(AN1003&gt;-Fuselage!$D$366,(FUSELAGE_a_ellipse)*SQRT(1-((AN1003+Fuselage!$D$366)/(Fuselage!$K$364-FUSELAGE_t_fuselage))^2),IF(AN1003&gt;$L$2505+Fuselage!$K$370,FUSELAGE_a_ellipse,(FUSELAGE_a_ellipse+FUSELAGE_t_fuselage-FUSELAGE_d_fo/4)/Fuselage!$K$368*(AN1003-$L$2505-Fuselage!$K$370)+FUSELAGE_a_ellipse))</f>
        <v>1.4960570012328709</v>
      </c>
      <c r="AQ1003" s="128" t="s">
        <v>213</v>
      </c>
      <c r="AR1003" s="128">
        <f t="shared" ca="1" si="110"/>
        <v>-16.562000000000005</v>
      </c>
      <c r="AS1003" s="129">
        <f t="shared" ca="1" si="111"/>
        <v>-1.4960570012328709</v>
      </c>
      <c r="BD1003" s="157"/>
    </row>
    <row r="1004" spans="2:56">
      <c r="B1004" s="156"/>
      <c r="C1004" s="128" t="s">
        <v>286</v>
      </c>
      <c r="D1004" s="128">
        <f ca="1">D1003</f>
        <v>8888</v>
      </c>
      <c r="E1004" s="139">
        <f ca="1">E1003-P993</f>
        <v>8888</v>
      </c>
      <c r="G1004" s="128" t="s">
        <v>286</v>
      </c>
      <c r="H1004" s="128">
        <f ca="1">H1003</f>
        <v>8888</v>
      </c>
      <c r="I1004" s="139">
        <f ca="1">I1003-P993</f>
        <v>8888</v>
      </c>
      <c r="K1004" s="128" t="s">
        <v>286</v>
      </c>
      <c r="L1004" s="128">
        <f ca="1">L1003</f>
        <v>8888</v>
      </c>
      <c r="M1004" s="139">
        <f ca="1">M1003-P993</f>
        <v>8888</v>
      </c>
      <c r="O1004" s="128" t="s">
        <v>286</v>
      </c>
      <c r="P1004" s="128">
        <f ca="1">P1003</f>
        <v>8888</v>
      </c>
      <c r="Q1004" s="139">
        <f ca="1">Q1003-$T998</f>
        <v>8888</v>
      </c>
      <c r="S1004" s="128" t="s">
        <v>286</v>
      </c>
      <c r="T1004" s="128">
        <f ca="1">T1003</f>
        <v>8888</v>
      </c>
      <c r="U1004" s="139">
        <f ca="1">U1003-$T996</f>
        <v>8888</v>
      </c>
      <c r="W1004" s="128" t="s">
        <v>286</v>
      </c>
      <c r="X1004" s="128">
        <f ca="1">X1003</f>
        <v>8888</v>
      </c>
      <c r="Y1004" s="139">
        <f ca="1">Y1003+$T994</f>
        <v>8888</v>
      </c>
      <c r="AA1004" s="143" t="s">
        <v>286</v>
      </c>
      <c r="AB1004" s="128">
        <f ca="1">IF($AA1000,D1004,P1004)</f>
        <v>8888</v>
      </c>
      <c r="AC1004" s="129">
        <f ca="1">IF($AA1000,E1004,Q1004)</f>
        <v>8888</v>
      </c>
      <c r="AE1004" s="128" t="s">
        <v>286</v>
      </c>
      <c r="AF1004" s="128">
        <f ca="1">IF($AE1000,H1004,T1004)</f>
        <v>8888</v>
      </c>
      <c r="AG1004" s="129">
        <f ca="1">IF($AE1000,I1004,U1004)</f>
        <v>8888</v>
      </c>
      <c r="AI1004" s="128" t="s">
        <v>286</v>
      </c>
      <c r="AJ1004" s="128">
        <f ca="1">IF($AI1000,L1004,X1004)</f>
        <v>8888</v>
      </c>
      <c r="AK1004" s="129">
        <f ca="1">IF($AI1000,M1004,Y1004)</f>
        <v>8888</v>
      </c>
      <c r="AM1004" s="128" t="s">
        <v>286</v>
      </c>
      <c r="AN1004" s="128">
        <f ca="1">AN1003</f>
        <v>-16.562000000000005</v>
      </c>
      <c r="AO1004" s="129">
        <f ca="1">IF(AN1004&gt;-Fuselage!$D$366,IF(AM1000,(FUSELAGE_a_ellipse+FUSELAGE_t_fuselage)*SQRT(1-((AN1004+Fuselage!$D$366)/Fuselage!$K$364)^2),(FUSELAGE_a_ellipse)*SQRT(1-((AN1004+Fuselage!$D$366)/Fuselage!$K$364)^2)),IF(AN1004&gt;$L$2505+Fuselage!$K$370,(IF(AM1000,FUSELAGE_a_ellipse+FUSELAGE_t_fuselage,FUSELAGE_a_ellipse)),IF(AM1000,(FUSELAGE_a_ellipse+FUSELAGE_t_fuselage-FUSELAGE_d_fo/4)/Fuselage!$K$368*(AN1004-$L$2505-Fuselage!$K$370)+FUSELAGE_a_ellipse+FUSELAGE_t_fuselage,(FUSELAGE_a_ellipse+FUSELAGE_t_fuselage-FUSELAGE_d_fo/4)/Fuselage!$K$368*(AN1004-$L$2505-Fuselage!$K$370)+FUSELAGE_a_ellipse)))</f>
        <v>1.4960570012328709</v>
      </c>
      <c r="AQ1004" s="128" t="s">
        <v>286</v>
      </c>
      <c r="AR1004" s="128">
        <f t="shared" ca="1" si="110"/>
        <v>-16.562000000000005</v>
      </c>
      <c r="AS1004" s="129">
        <f t="shared" ca="1" si="111"/>
        <v>-1.4960570012328709</v>
      </c>
      <c r="BD1004" s="157"/>
    </row>
    <row r="1005" spans="2:56">
      <c r="B1005" s="156"/>
      <c r="C1005" s="188" t="s">
        <v>522</v>
      </c>
      <c r="D1005" s="188">
        <f ca="1">D1002</f>
        <v>8888</v>
      </c>
      <c r="E1005" s="189">
        <f ca="1">E1004</f>
        <v>8888</v>
      </c>
      <c r="F1005" s="157"/>
      <c r="G1005" s="2" t="s">
        <v>522</v>
      </c>
      <c r="H1005" s="128">
        <f ca="1">H1002</f>
        <v>8888</v>
      </c>
      <c r="I1005" s="139">
        <f ca="1">I1004</f>
        <v>8888</v>
      </c>
      <c r="K1005" s="128" t="s">
        <v>522</v>
      </c>
      <c r="L1005" s="128">
        <f ca="1">L1002</f>
        <v>8888</v>
      </c>
      <c r="M1005" s="139">
        <f ca="1">M1004</f>
        <v>8888</v>
      </c>
      <c r="O1005" s="188" t="s">
        <v>522</v>
      </c>
      <c r="P1005" s="188">
        <f ca="1">P1002</f>
        <v>8888</v>
      </c>
      <c r="Q1005" s="189">
        <f ca="1">Q1004</f>
        <v>8888</v>
      </c>
      <c r="S1005" s="188" t="s">
        <v>522</v>
      </c>
      <c r="T1005" s="188">
        <f ca="1">T1002</f>
        <v>8888</v>
      </c>
      <c r="U1005" s="189">
        <f ca="1">U1004</f>
        <v>8888</v>
      </c>
      <c r="W1005" s="188" t="s">
        <v>522</v>
      </c>
      <c r="X1005" s="188">
        <f ca="1">X1002</f>
        <v>8888</v>
      </c>
      <c r="Y1005" s="189">
        <f ca="1">Y1004</f>
        <v>8888</v>
      </c>
      <c r="AA1005" s="195" t="s">
        <v>522</v>
      </c>
      <c r="AB1005" s="128">
        <f ca="1">IF($AA1000,D1005,P1005)</f>
        <v>8888</v>
      </c>
      <c r="AC1005" s="129">
        <f ca="1">IF($AA1000,E1005,Q1005)</f>
        <v>8888</v>
      </c>
      <c r="AD1005" s="157"/>
      <c r="AE1005" s="2" t="s">
        <v>522</v>
      </c>
      <c r="AF1005" s="188">
        <f ca="1">IF($AE1000,H1005,T1005)</f>
        <v>8888</v>
      </c>
      <c r="AG1005" s="196">
        <f ca="1">IF($AE1000,I1005,U1005)</f>
        <v>8888</v>
      </c>
      <c r="AI1005" s="128" t="s">
        <v>522</v>
      </c>
      <c r="AJ1005" s="188">
        <f ca="1">IF($AI1000,L1005,X1005)</f>
        <v>8888</v>
      </c>
      <c r="AK1005" s="196">
        <f ca="1">IF($AI1000,M1005,Y1005)</f>
        <v>8888</v>
      </c>
      <c r="AM1005" s="128" t="s">
        <v>522</v>
      </c>
      <c r="AN1005" s="128">
        <f ca="1">AN1004-X994</f>
        <v>-16.562000000000005</v>
      </c>
      <c r="AO1005" s="129">
        <f ca="1">IF(AN1005&gt;-Fuselage!$D$366,IF(AM1000,(FUSELAGE_a_ellipse+FUSELAGE_t_fuselage)*SQRT(1-((AN1005+Fuselage!$D$366)/Fuselage!$K$364)^2),(FUSELAGE_a_ellipse)*SQRT(1-((AN1005+Fuselage!$D$366)/Fuselage!$K$364)^2)),IF(AN1005&gt;$L$2505+Fuselage!$K$370,(IF(AM1000,FUSELAGE_a_ellipse+FUSELAGE_t_fuselage,FUSELAGE_a_ellipse)),IF(AM1000,(FUSELAGE_a_ellipse+FUSELAGE_t_fuselage-FUSELAGE_d_fo/4)/Fuselage!$K$368*(AN1005-$L$2505-Fuselage!$K$370)+FUSELAGE_a_ellipse+FUSELAGE_t_fuselage,(FUSELAGE_a_ellipse+FUSELAGE_t_fuselage-FUSELAGE_d_fo/4)/Fuselage!$K$368*(AN1005-$L$2505-Fuselage!$K$370)+FUSELAGE_a_ellipse)))</f>
        <v>1.4960570012328709</v>
      </c>
      <c r="AQ1005" s="128" t="s">
        <v>522</v>
      </c>
      <c r="AR1005" s="128">
        <f t="shared" ca="1" si="110"/>
        <v>-16.562000000000005</v>
      </c>
      <c r="AS1005" s="129">
        <f t="shared" ca="1" si="111"/>
        <v>-1.4960570012328709</v>
      </c>
      <c r="BD1005" s="157"/>
    </row>
    <row r="1006" spans="2:56" ht="15" thickBot="1">
      <c r="B1006" s="156"/>
      <c r="C1006" s="128" t="s">
        <v>49</v>
      </c>
      <c r="D1006" s="128">
        <f ca="1">IF(C1000&gt;=2,D1002,D1005)</f>
        <v>8888</v>
      </c>
      <c r="E1006" s="139">
        <f ca="1">IF(C1000&gt;=2,E1005-P995,E1005)</f>
        <v>8888</v>
      </c>
      <c r="F1006" s="157"/>
      <c r="G1006" s="192" t="s">
        <v>49</v>
      </c>
      <c r="H1006" s="190">
        <f ca="1">IF(G1000&gt;=2,H1002,H1005)</f>
        <v>8888</v>
      </c>
      <c r="I1006" s="191">
        <f ca="1">IF(G1000&gt;=2,I1005-P995,I1005)</f>
        <v>8888</v>
      </c>
      <c r="K1006" s="190" t="s">
        <v>49</v>
      </c>
      <c r="L1006" s="190">
        <f ca="1">IF(K1000&gt;=2,L1002,L1005)</f>
        <v>8888</v>
      </c>
      <c r="M1006" s="191">
        <f ca="1">IF(K1000&gt;=2,M1005-P995,M1005)</f>
        <v>8888</v>
      </c>
      <c r="O1006" s="130" t="s">
        <v>396</v>
      </c>
      <c r="P1006" s="130">
        <f ca="1">P1002</f>
        <v>8888</v>
      </c>
      <c r="Q1006" s="140">
        <f ca="1">Q1002</f>
        <v>8888</v>
      </c>
      <c r="S1006" s="130" t="s">
        <v>396</v>
      </c>
      <c r="T1006" s="130">
        <f ca="1">T1002</f>
        <v>8888</v>
      </c>
      <c r="U1006" s="140">
        <f ca="1">U1002</f>
        <v>8888</v>
      </c>
      <c r="W1006" s="130" t="s">
        <v>396</v>
      </c>
      <c r="X1006" s="130">
        <f ca="1">X1002</f>
        <v>8888</v>
      </c>
      <c r="Y1006" s="140">
        <f ca="1">Y1002</f>
        <v>8888</v>
      </c>
      <c r="AA1006" s="143" t="s">
        <v>49</v>
      </c>
      <c r="AB1006" s="128">
        <f ca="1">IF($AA1000,D1006,P1006)</f>
        <v>8888</v>
      </c>
      <c r="AC1006" s="129">
        <f ca="1">IF($AA1000,E1006,Q1006)</f>
        <v>8888</v>
      </c>
      <c r="AD1006" s="157"/>
      <c r="AE1006" s="192" t="s">
        <v>49</v>
      </c>
      <c r="AF1006" s="128">
        <f ca="1">IF($AE1000,H1006,T1006)</f>
        <v>8888</v>
      </c>
      <c r="AG1006" s="129">
        <f ca="1">IF($AE1000,I1006,U1006)</f>
        <v>8888</v>
      </c>
      <c r="AI1006" s="190" t="s">
        <v>49</v>
      </c>
      <c r="AJ1006" s="128">
        <f ca="1">IF($AI1000,L1006,X1006)</f>
        <v>8888</v>
      </c>
      <c r="AK1006" s="129">
        <f ca="1">IF($AI1000,M1006,Y1006)</f>
        <v>8888</v>
      </c>
      <c r="AM1006" s="128" t="s">
        <v>49</v>
      </c>
      <c r="AN1006" s="128">
        <f ca="1">AN1005</f>
        <v>-16.562000000000005</v>
      </c>
      <c r="AO1006" s="129">
        <f ca="1">IF(AN1006&gt;-Fuselage!$D$366,(FUSELAGE_a_ellipse)*SQRT(1-((AN1006+Fuselage!$D$366)/(Fuselage!$K$364-FUSELAGE_t_fuselage))^2),IF(AN1006&gt;$L$2505+Fuselage!$K$370,FUSELAGE_a_ellipse,(FUSELAGE_a_ellipse+FUSELAGE_t_fuselage-FUSELAGE_d_fo/4)/Fuselage!$K$368*(AN1006-$L$2505-Fuselage!$K$370)+FUSELAGE_a_ellipse))</f>
        <v>1.4960570012328709</v>
      </c>
      <c r="AQ1006" s="128" t="s">
        <v>49</v>
      </c>
      <c r="AR1006" s="128">
        <f t="shared" ca="1" si="110"/>
        <v>-16.562000000000005</v>
      </c>
      <c r="AS1006" s="129">
        <f t="shared" ca="1" si="111"/>
        <v>-1.4960570012328709</v>
      </c>
      <c r="BD1006" s="157"/>
    </row>
    <row r="1007" spans="2:56">
      <c r="B1007" s="156"/>
      <c r="C1007" s="128" t="s">
        <v>453</v>
      </c>
      <c r="D1007" s="128">
        <f ca="1">IF(C1000&gt;=2,D1002+P994,D1005)</f>
        <v>8888</v>
      </c>
      <c r="E1007" s="139">
        <f ca="1">E1006</f>
        <v>8888</v>
      </c>
      <c r="F1007" s="157"/>
      <c r="G1007" s="2" t="s">
        <v>453</v>
      </c>
      <c r="H1007" s="128">
        <f ca="1">IF(G1000&gt;=2,H1003,H1005)</f>
        <v>8888</v>
      </c>
      <c r="I1007" s="139">
        <f ca="1">IF(G1000&gt;=2,I1006,I1005)</f>
        <v>8888</v>
      </c>
      <c r="K1007" s="128" t="s">
        <v>453</v>
      </c>
      <c r="L1007" s="128">
        <f ca="1">IF(K1000&gt;=2,IF(X995,IF(K1000=2,L1002+P994/4,L1002+P994),L1002+P994),L1005)</f>
        <v>8888</v>
      </c>
      <c r="M1007" s="139">
        <f ca="1">IF(K1000&gt;=2,M1006,M1005)</f>
        <v>8888</v>
      </c>
      <c r="AA1007" s="143" t="s">
        <v>453</v>
      </c>
      <c r="AB1007" s="128">
        <f ca="1">IF($AA1000,D1007,AB1006)</f>
        <v>8888</v>
      </c>
      <c r="AC1007" s="129">
        <f ca="1">IF($AA1000,E1007,AC1006)</f>
        <v>8888</v>
      </c>
      <c r="AD1007" s="157"/>
      <c r="AE1007" s="2" t="s">
        <v>453</v>
      </c>
      <c r="AF1007" s="128">
        <f ca="1">IF($AE1000,H1007,AF1006)</f>
        <v>8888</v>
      </c>
      <c r="AG1007" s="129">
        <f ca="1">IF($AE1000,I1007,AG1006)</f>
        <v>8888</v>
      </c>
      <c r="AI1007" s="128" t="s">
        <v>453</v>
      </c>
      <c r="AJ1007" s="128">
        <f ca="1">IF($AI1000,L1007,AJ1006)</f>
        <v>8888</v>
      </c>
      <c r="AK1007" s="129">
        <f ca="1">IF($AI1000,M1007,AK1006)</f>
        <v>8888</v>
      </c>
      <c r="AM1007" s="128" t="s">
        <v>453</v>
      </c>
      <c r="AN1007" s="128">
        <f ca="1">L993</f>
        <v>-16.562000000000005</v>
      </c>
      <c r="AO1007" s="129">
        <f ca="1">IF(AN1007&gt;-Fuselage!$D$366,(FUSELAGE_a_ellipse)*SQRT(1-((AN1007+Fuselage!$D$366)/(Fuselage!$K$364-FUSELAGE_t_fuselage))^2),IF(AN1007&gt;$L$2505+Fuselage!$K$370,FUSELAGE_a_ellipse,(FUSELAGE_a_ellipse+FUSELAGE_t_fuselage-FUSELAGE_d_fo/4)/Fuselage!$K$368*(AN1007-$L$2505-Fuselage!$K$370)+FUSELAGE_a_ellipse))</f>
        <v>1.4960570012328709</v>
      </c>
      <c r="AQ1007" s="128" t="s">
        <v>453</v>
      </c>
      <c r="AR1007" s="128">
        <f t="shared" ca="1" si="110"/>
        <v>-16.562000000000005</v>
      </c>
      <c r="AS1007" s="129">
        <f t="shared" ca="1" si="111"/>
        <v>-1.4960570012328709</v>
      </c>
      <c r="BD1007" s="157"/>
    </row>
    <row r="1008" spans="2:56">
      <c r="B1008" s="156"/>
      <c r="C1008" s="128" t="s">
        <v>394</v>
      </c>
      <c r="D1008" s="128">
        <f ca="1">IF(C1000&gt;=2,D1007,D1005)</f>
        <v>8888</v>
      </c>
      <c r="E1008" s="139">
        <f ca="1">IF(C1000&gt;=2,E1006-P993,E1005)</f>
        <v>8888</v>
      </c>
      <c r="F1008" s="157"/>
      <c r="G1008" s="2" t="s">
        <v>394</v>
      </c>
      <c r="H1008" s="128">
        <f ca="1">IF(G1000&gt;=2,H1003,H1005)</f>
        <v>8888</v>
      </c>
      <c r="I1008" s="139">
        <f ca="1">IF(G1000&gt;=2,I1007-P993,I1005)</f>
        <v>8888</v>
      </c>
      <c r="K1008" s="128" t="s">
        <v>394</v>
      </c>
      <c r="L1008" s="128">
        <f ca="1">L1007</f>
        <v>8888</v>
      </c>
      <c r="M1008" s="139">
        <f ca="1">IF(K1000&gt;=2,M1007-P993,M1005)</f>
        <v>8888</v>
      </c>
      <c r="AA1008" s="143" t="s">
        <v>394</v>
      </c>
      <c r="AB1008" s="128">
        <f ca="1">IF($AA1000,D1008,AB1006)</f>
        <v>8888</v>
      </c>
      <c r="AC1008" s="129">
        <f ca="1">IF($AA1000,E1008,AC1006)</f>
        <v>8888</v>
      </c>
      <c r="AD1008" s="157"/>
      <c r="AE1008" s="2" t="s">
        <v>394</v>
      </c>
      <c r="AF1008" s="128">
        <f ca="1">IF($AE1000,H1008,AF1006)</f>
        <v>8888</v>
      </c>
      <c r="AG1008" s="129">
        <f ca="1">IF($AE1000,I1008,AG1006)</f>
        <v>8888</v>
      </c>
      <c r="AI1008" s="128" t="s">
        <v>394</v>
      </c>
      <c r="AJ1008" s="128">
        <f ca="1">IF($AI1000,L1008,AJ1006)</f>
        <v>8888</v>
      </c>
      <c r="AK1008" s="129">
        <f ca="1">IF($AI1000,M1008,AK1006)</f>
        <v>8888</v>
      </c>
      <c r="BD1008" s="157"/>
    </row>
    <row r="1009" spans="2:56">
      <c r="B1009" s="156"/>
      <c r="C1009" s="188" t="s">
        <v>454</v>
      </c>
      <c r="D1009" s="188">
        <f ca="1">IF(C1000&gt;=2,D1002,D1005)</f>
        <v>8888</v>
      </c>
      <c r="E1009" s="189">
        <f ca="1">E1008</f>
        <v>8888</v>
      </c>
      <c r="F1009" s="157"/>
      <c r="G1009" s="115" t="s">
        <v>454</v>
      </c>
      <c r="H1009" s="188">
        <f ca="1">IF(G1000&gt;=2,H1002,H1005)</f>
        <v>8888</v>
      </c>
      <c r="I1009" s="189">
        <f ca="1">IF(G1000&gt;=2,I1008,I1005)</f>
        <v>8888</v>
      </c>
      <c r="K1009" s="188" t="s">
        <v>454</v>
      </c>
      <c r="L1009" s="188">
        <f ca="1">IF(K1000&gt;=2,L1002,L1005)</f>
        <v>8888</v>
      </c>
      <c r="M1009" s="189">
        <f ca="1">IF(K1000&gt;=2,M1008,M1005)</f>
        <v>8888</v>
      </c>
      <c r="AA1009" s="195" t="s">
        <v>454</v>
      </c>
      <c r="AB1009" s="128">
        <f ca="1">IF($AA1000,D1009,AB1006)</f>
        <v>8888</v>
      </c>
      <c r="AC1009" s="129">
        <f ca="1">IF($AA1000,E1009,AC1006)</f>
        <v>8888</v>
      </c>
      <c r="AD1009" s="157"/>
      <c r="AE1009" s="115" t="s">
        <v>454</v>
      </c>
      <c r="AF1009" s="188">
        <f ca="1">IF($AE1000,H1009,AF1006)</f>
        <v>8888</v>
      </c>
      <c r="AG1009" s="196">
        <f ca="1">IF($AE1000,I1009,AG1006)</f>
        <v>8888</v>
      </c>
      <c r="AI1009" s="188" t="s">
        <v>454</v>
      </c>
      <c r="AJ1009" s="188">
        <f ca="1">IF($AI1000,L1009,AJ1006)</f>
        <v>8888</v>
      </c>
      <c r="AK1009" s="196">
        <f ca="1">IF($AI1000,M1009,AK1006)</f>
        <v>8888</v>
      </c>
      <c r="BD1009" s="157"/>
    </row>
    <row r="1010" spans="2:56">
      <c r="B1010" s="156"/>
      <c r="C1010" s="128" t="s">
        <v>507</v>
      </c>
      <c r="D1010" s="128">
        <f ca="1">IF(C1000&gt;=3,D1002,D1009)</f>
        <v>8888</v>
      </c>
      <c r="E1010" s="139">
        <f ca="1">IF(C1000&gt;=3,E1009-P995,E1009)</f>
        <v>8888</v>
      </c>
      <c r="F1010" s="157"/>
      <c r="G1010" s="2" t="s">
        <v>507</v>
      </c>
      <c r="H1010" s="128">
        <f ca="1">IF(G1000&gt;=3,H1002,H1009)</f>
        <v>8888</v>
      </c>
      <c r="I1010" s="139">
        <f ca="1">IF(G1000&gt;=3,I1009-P995,I1009)</f>
        <v>8888</v>
      </c>
      <c r="K1010" s="128" t="s">
        <v>507</v>
      </c>
      <c r="L1010" s="128">
        <f ca="1">IF(K1000&gt;=3,L1002,L1009)</f>
        <v>8888</v>
      </c>
      <c r="M1010" s="139">
        <f ca="1">IF(K1000&gt;=3,M1009-P995,M1009)</f>
        <v>8888</v>
      </c>
      <c r="AA1010" s="143" t="s">
        <v>507</v>
      </c>
      <c r="AB1010" s="128">
        <f ca="1">IF($AA1000,D1010,AB1006)</f>
        <v>8888</v>
      </c>
      <c r="AC1010" s="129">
        <f ca="1">IF($AA1000,E1010,AC1006)</f>
        <v>8888</v>
      </c>
      <c r="AD1010" s="157"/>
      <c r="AE1010" s="2" t="s">
        <v>507</v>
      </c>
      <c r="AF1010" s="128">
        <f ca="1">IF($AE1000,H1010,AF1006)</f>
        <v>8888</v>
      </c>
      <c r="AG1010" s="129">
        <f ca="1">IF($AE1000,I1010,AG1006)</f>
        <v>8888</v>
      </c>
      <c r="AI1010" s="128" t="s">
        <v>507</v>
      </c>
      <c r="AJ1010" s="128">
        <f ca="1">IF($AI1000,L1010,AJ1006)</f>
        <v>8888</v>
      </c>
      <c r="AK1010" s="129">
        <f ca="1">IF($AI1000,M1010,AK1006)</f>
        <v>8888</v>
      </c>
      <c r="BD1010" s="157"/>
    </row>
    <row r="1011" spans="2:56">
      <c r="B1011" s="156"/>
      <c r="C1011" s="128" t="s">
        <v>455</v>
      </c>
      <c r="D1011" s="128">
        <f ca="1">IF(C1000&gt;=3,D1007,D1009)</f>
        <v>8888</v>
      </c>
      <c r="E1011" s="139">
        <f ca="1">E1010</f>
        <v>8888</v>
      </c>
      <c r="F1011" s="157"/>
      <c r="G1011" s="2" t="s">
        <v>455</v>
      </c>
      <c r="H1011" s="128">
        <f ca="1">IF(G1000&gt;=3,H1003,H1009)</f>
        <v>8888</v>
      </c>
      <c r="I1011" s="139">
        <f ca="1">IF(G1000&gt;=3,I1010,I1009)</f>
        <v>8888</v>
      </c>
      <c r="K1011" s="128" t="s">
        <v>455</v>
      </c>
      <c r="L1011" s="128">
        <f ca="1">IF(K1000&gt;=3,IF(X995,IF(K1000=3,L1002+P994/4,L1002+P994),L1002+P994),L1005)</f>
        <v>8888</v>
      </c>
      <c r="M1011" s="139">
        <f ca="1">IF(K1000&gt;=3,M1010,M1009)</f>
        <v>8888</v>
      </c>
      <c r="AA1011" s="143" t="s">
        <v>455</v>
      </c>
      <c r="AB1011" s="128">
        <f ca="1">IF($AA1000,D1011,AB1006)</f>
        <v>8888</v>
      </c>
      <c r="AC1011" s="129">
        <f ca="1">IF($AA1000,E1011,AC1006)</f>
        <v>8888</v>
      </c>
      <c r="AD1011" s="157"/>
      <c r="AE1011" s="2" t="s">
        <v>455</v>
      </c>
      <c r="AF1011" s="128">
        <f ca="1">IF($AE1000,H1011,AF1006)</f>
        <v>8888</v>
      </c>
      <c r="AG1011" s="129">
        <f ca="1">IF($AE1000,I1011,AG1006)</f>
        <v>8888</v>
      </c>
      <c r="AI1011" s="128" t="s">
        <v>455</v>
      </c>
      <c r="AJ1011" s="128">
        <f ca="1">IF($AI1000,L1011,AJ1006)</f>
        <v>8888</v>
      </c>
      <c r="AK1011" s="129">
        <f ca="1">IF($AI1000,M1011,AK1006)</f>
        <v>8888</v>
      </c>
      <c r="AL1011" s="156"/>
      <c r="BD1011" s="157"/>
    </row>
    <row r="1012" spans="2:56">
      <c r="B1012" s="156"/>
      <c r="C1012" s="128" t="s">
        <v>311</v>
      </c>
      <c r="D1012" s="128">
        <f ca="1">IF(C1000&gt;=3,D1007,D1009)</f>
        <v>8888</v>
      </c>
      <c r="E1012" s="139">
        <f ca="1">IF(C1000&gt;=3,E1011-P993,E1009)</f>
        <v>8888</v>
      </c>
      <c r="F1012" s="157"/>
      <c r="G1012" s="2" t="s">
        <v>311</v>
      </c>
      <c r="H1012" s="128">
        <f ca="1">IF(G1000&gt;=3,H1003,H1009)</f>
        <v>8888</v>
      </c>
      <c r="I1012" s="139">
        <f ca="1">IF(G1000&gt;=3,I1011-P993,I1009)</f>
        <v>8888</v>
      </c>
      <c r="K1012" s="128" t="s">
        <v>311</v>
      </c>
      <c r="L1012" s="128">
        <f ca="1">L1011</f>
        <v>8888</v>
      </c>
      <c r="M1012" s="139">
        <f ca="1">IF(K1000&gt;=3,M1011-P993,M1009)</f>
        <v>8888</v>
      </c>
      <c r="AA1012" s="143" t="s">
        <v>311</v>
      </c>
      <c r="AB1012" s="128">
        <f ca="1">IF($AA1000,D1012,AB1006)</f>
        <v>8888</v>
      </c>
      <c r="AC1012" s="129">
        <f ca="1">IF($AA1000,E1012,AC1006)</f>
        <v>8888</v>
      </c>
      <c r="AD1012" s="157"/>
      <c r="AE1012" s="2" t="s">
        <v>311</v>
      </c>
      <c r="AF1012" s="128">
        <f ca="1">IF($AE1000,H1012,AF1006)</f>
        <v>8888</v>
      </c>
      <c r="AG1012" s="129">
        <f ca="1">IF($AE1000,I1012,AG1006)</f>
        <v>8888</v>
      </c>
      <c r="AI1012" s="128" t="s">
        <v>311</v>
      </c>
      <c r="AJ1012" s="128">
        <f ca="1">IF($AI1000,L1012,AJ1006)</f>
        <v>8888</v>
      </c>
      <c r="AK1012" s="129">
        <f ca="1">IF($AI1000,M1012,AK1006)</f>
        <v>8888</v>
      </c>
      <c r="AL1012" s="156"/>
      <c r="BD1012" s="157"/>
    </row>
    <row r="1013" spans="2:56">
      <c r="B1013" s="156"/>
      <c r="C1013" s="188" t="s">
        <v>35</v>
      </c>
      <c r="D1013" s="188">
        <f ca="1">IF(C1000&gt;=3,D1002,D1009)</f>
        <v>8888</v>
      </c>
      <c r="E1013" s="189">
        <f ca="1">E1012</f>
        <v>8888</v>
      </c>
      <c r="F1013" s="157"/>
      <c r="G1013" s="2" t="s">
        <v>35</v>
      </c>
      <c r="H1013" s="188">
        <f ca="1">IF(G1000&gt;=3,H1002,H1009)</f>
        <v>8888</v>
      </c>
      <c r="I1013" s="189">
        <f ca="1">IF(G1000&gt;=3,I1012,I1009)</f>
        <v>8888</v>
      </c>
      <c r="K1013" s="188" t="s">
        <v>35</v>
      </c>
      <c r="L1013" s="188">
        <f ca="1">IF(K1000&gt;=3,L1002,L1009)</f>
        <v>8888</v>
      </c>
      <c r="M1013" s="189">
        <f ca="1">IF(K1000&gt;=3,M1012,M1009)</f>
        <v>8888</v>
      </c>
      <c r="AA1013" s="143" t="s">
        <v>35</v>
      </c>
      <c r="AB1013" s="128">
        <f ca="1">IF($AA1000,D1013,AB1006)</f>
        <v>8888</v>
      </c>
      <c r="AC1013" s="129">
        <f ca="1">IF($AA1000,E1013,AC1006)</f>
        <v>8888</v>
      </c>
      <c r="AD1013" s="157"/>
      <c r="AE1013" s="2" t="s">
        <v>35</v>
      </c>
      <c r="AF1013" s="188">
        <f ca="1">IF($AE1000,H1013,AF1006)</f>
        <v>8888</v>
      </c>
      <c r="AG1013" s="196">
        <f ca="1">IF($AE1000,I1013,AG1006)</f>
        <v>8888</v>
      </c>
      <c r="AI1013" s="128" t="s">
        <v>35</v>
      </c>
      <c r="AJ1013" s="128">
        <f ca="1">IF($AI1000,L1013,AJ1006)</f>
        <v>8888</v>
      </c>
      <c r="AK1013" s="129">
        <f ca="1">IF($AI1000,M1013,AK1006)</f>
        <v>8888</v>
      </c>
      <c r="AL1013" s="156"/>
      <c r="BD1013" s="157"/>
    </row>
    <row r="1014" spans="2:56" ht="15" thickBot="1">
      <c r="B1014" s="156"/>
      <c r="C1014" s="130" t="s">
        <v>396</v>
      </c>
      <c r="D1014" s="130">
        <f ca="1">D1002</f>
        <v>8888</v>
      </c>
      <c r="E1014" s="140">
        <f ca="1">E1002</f>
        <v>8888</v>
      </c>
      <c r="F1014" s="157"/>
      <c r="G1014" s="192" t="s">
        <v>312</v>
      </c>
      <c r="H1014" s="128">
        <f ca="1">IF(G1000&gt;=4,H1002,H1013)</f>
        <v>8888</v>
      </c>
      <c r="I1014" s="139">
        <f ca="1">IF(G1000&gt;=4,I1013-P995,I1013)</f>
        <v>8888</v>
      </c>
      <c r="K1014" s="130" t="s">
        <v>396</v>
      </c>
      <c r="L1014" s="130">
        <f ca="1">L1002</f>
        <v>8888</v>
      </c>
      <c r="M1014" s="140">
        <f ca="1">M1002</f>
        <v>8888</v>
      </c>
      <c r="AA1014" s="144" t="s">
        <v>396</v>
      </c>
      <c r="AB1014" s="130">
        <f ca="1">IF($AA1000,D1014,AB1006)</f>
        <v>8888</v>
      </c>
      <c r="AC1014" s="132">
        <f ca="1">IF($AA1000,E1014,AC1006)</f>
        <v>8888</v>
      </c>
      <c r="AD1014" s="157"/>
      <c r="AE1014" s="192" t="s">
        <v>312</v>
      </c>
      <c r="AF1014" s="128">
        <f ca="1">IF($AE1000,H1014,AF1006)</f>
        <v>8888</v>
      </c>
      <c r="AG1014" s="129">
        <f ca="1">IF($AE1000,I1014,AG1006)</f>
        <v>8888</v>
      </c>
      <c r="AI1014" s="130" t="s">
        <v>396</v>
      </c>
      <c r="AJ1014" s="130">
        <f ca="1">IF($AI1000,L1014,AJ1006)</f>
        <v>8888</v>
      </c>
      <c r="AK1014" s="132">
        <f ca="1">IF($AI1000,M1014,AK1006)</f>
        <v>8888</v>
      </c>
      <c r="BD1014" s="157"/>
    </row>
    <row r="1015" spans="2:56">
      <c r="B1015" s="156"/>
      <c r="F1015" s="157"/>
      <c r="G1015" s="2" t="s">
        <v>313</v>
      </c>
      <c r="H1015" s="128">
        <f ca="1">IF(G1000&gt;=4,H1003,H1013)</f>
        <v>8888</v>
      </c>
      <c r="I1015" s="139">
        <f ca="1">IF(G1000&gt;=4,I1014,I1013)</f>
        <v>8888</v>
      </c>
      <c r="AD1015" s="157"/>
      <c r="AE1015" s="2" t="s">
        <v>313</v>
      </c>
      <c r="AF1015" s="128">
        <f ca="1">IF($AE1000,H1015,AF1006)</f>
        <v>8888</v>
      </c>
      <c r="AG1015" s="129">
        <f ca="1">IF($AE1000,I1015,AG1006)</f>
        <v>8888</v>
      </c>
      <c r="BD1015" s="157"/>
    </row>
    <row r="1016" spans="2:56">
      <c r="B1016" s="156"/>
      <c r="F1016" s="157"/>
      <c r="G1016" s="2" t="s">
        <v>7</v>
      </c>
      <c r="H1016" s="128">
        <f ca="1">IF(G1000&gt;=4,H1003,H1013)</f>
        <v>8888</v>
      </c>
      <c r="I1016" s="139">
        <f ca="1">IF(G1000&gt;=4,I1015-P993,I1013)</f>
        <v>8888</v>
      </c>
      <c r="AD1016" s="157"/>
      <c r="AE1016" s="2" t="s">
        <v>7</v>
      </c>
      <c r="AF1016" s="128">
        <f ca="1">IF($AE1000,H1016,AF1006)</f>
        <v>8888</v>
      </c>
      <c r="AG1016" s="129">
        <f ca="1">IF($AE1000,I1016,AG1006)</f>
        <v>8888</v>
      </c>
      <c r="BD1016" s="157"/>
    </row>
    <row r="1017" spans="2:56">
      <c r="B1017" s="156"/>
      <c r="F1017" s="157"/>
      <c r="G1017" s="115" t="s">
        <v>8</v>
      </c>
      <c r="H1017" s="188">
        <f ca="1">IF(G1000&gt;=4,H1002,H1013)</f>
        <v>8888</v>
      </c>
      <c r="I1017" s="189">
        <f ca="1">IF(G1000&gt;=4,I1016,I1013)</f>
        <v>8888</v>
      </c>
      <c r="AD1017" s="157"/>
      <c r="AE1017" s="115" t="s">
        <v>8</v>
      </c>
      <c r="AF1017" s="188">
        <f ca="1">IF($AE1000,H1017,AF1006)</f>
        <v>8888</v>
      </c>
      <c r="AG1017" s="196">
        <f ca="1">IF($AE1000,I1017,AG1006)</f>
        <v>8888</v>
      </c>
      <c r="BD1017" s="157"/>
    </row>
    <row r="1018" spans="2:56">
      <c r="B1018" s="156"/>
      <c r="F1018" s="157"/>
      <c r="G1018" s="2" t="s">
        <v>9</v>
      </c>
      <c r="H1018" s="128">
        <f ca="1">IF(G1000&gt;=5,H1002,H1017)</f>
        <v>8888</v>
      </c>
      <c r="I1018" s="139">
        <f ca="1">IF(G1000&gt;=5,I1017-P995,I1017)</f>
        <v>8888</v>
      </c>
      <c r="AD1018" s="157"/>
      <c r="AE1018" s="2" t="s">
        <v>9</v>
      </c>
      <c r="AF1018" s="128">
        <f ca="1">IF($AE1000,H1018,AF1006)</f>
        <v>8888</v>
      </c>
      <c r="AG1018" s="129">
        <f ca="1">IF($AE1000,I1018,AG1006)</f>
        <v>8888</v>
      </c>
      <c r="BD1018" s="157"/>
    </row>
    <row r="1019" spans="2:56">
      <c r="B1019" s="156"/>
      <c r="F1019" s="157"/>
      <c r="G1019" s="2" t="s">
        <v>196</v>
      </c>
      <c r="H1019" s="128">
        <f ca="1">IF(G1000&gt;=5,H1003,H1017)</f>
        <v>8888</v>
      </c>
      <c r="I1019" s="139">
        <f ca="1">IF(G1000&gt;=5,I1018,I1017)</f>
        <v>8888</v>
      </c>
      <c r="AD1019" s="157"/>
      <c r="AE1019" s="2" t="s">
        <v>196</v>
      </c>
      <c r="AF1019" s="128">
        <f ca="1">IF($AE1000,H1019,AF1006)</f>
        <v>8888</v>
      </c>
      <c r="AG1019" s="129">
        <f ca="1">IF($AE1000,I1019,AG1006)</f>
        <v>8888</v>
      </c>
      <c r="BD1019" s="157"/>
    </row>
    <row r="1020" spans="2:56">
      <c r="B1020" s="156"/>
      <c r="F1020" s="157"/>
      <c r="G1020" s="2" t="s">
        <v>10</v>
      </c>
      <c r="H1020" s="128">
        <f ca="1">IF(G1000&gt;=5,H1003,H1017)</f>
        <v>8888</v>
      </c>
      <c r="I1020" s="139">
        <f ca="1">IF(G1000&gt;=5,I1019-P993,I1017)</f>
        <v>8888</v>
      </c>
      <c r="AD1020" s="157"/>
      <c r="AE1020" s="2" t="s">
        <v>10</v>
      </c>
      <c r="AF1020" s="128">
        <f ca="1">IF($AE1000,H1020,AF1006)</f>
        <v>8888</v>
      </c>
      <c r="AG1020" s="129">
        <f ca="1">IF($AE1000,I1020,AG1006)</f>
        <v>8888</v>
      </c>
      <c r="BD1020" s="157"/>
    </row>
    <row r="1021" spans="2:56">
      <c r="B1021" s="156"/>
      <c r="F1021" s="157"/>
      <c r="G1021" s="2" t="s">
        <v>161</v>
      </c>
      <c r="H1021" s="188">
        <f ca="1">IF(G1000&gt;=5,H1002,H1017)</f>
        <v>8888</v>
      </c>
      <c r="I1021" s="189">
        <f ca="1">IF(G1000&gt;=5,I1020,I1017)</f>
        <v>8888</v>
      </c>
      <c r="AD1021" s="157"/>
      <c r="AE1021" s="2" t="s">
        <v>161</v>
      </c>
      <c r="AF1021" s="188">
        <f ca="1">IF($AE1000,H1021,AF1006)</f>
        <v>8888</v>
      </c>
      <c r="AG1021" s="196">
        <f ca="1">IF($AE1000,I1021,AG1006)</f>
        <v>8888</v>
      </c>
      <c r="BD1021" s="157"/>
    </row>
    <row r="1022" spans="2:56">
      <c r="B1022" s="156"/>
      <c r="F1022" s="157"/>
      <c r="G1022" s="192" t="s">
        <v>11</v>
      </c>
      <c r="H1022" s="128">
        <f ca="1">IF(G1000&gt;=6,H1002,H1021)</f>
        <v>8888</v>
      </c>
      <c r="I1022" s="139">
        <f ca="1">IF(G1000&gt;=6,I1021-P995,I1021)</f>
        <v>8888</v>
      </c>
      <c r="AD1022" s="157"/>
      <c r="AE1022" s="192" t="s">
        <v>11</v>
      </c>
      <c r="AF1022" s="128">
        <f ca="1">IF($AE1000,H1022,AF1006)</f>
        <v>8888</v>
      </c>
      <c r="AG1022" s="129">
        <f ca="1">IF($AE1000,I1022,AG1006)</f>
        <v>8888</v>
      </c>
      <c r="BD1022" s="157"/>
    </row>
    <row r="1023" spans="2:56">
      <c r="B1023" s="156"/>
      <c r="F1023" s="157"/>
      <c r="G1023" s="2" t="s">
        <v>12</v>
      </c>
      <c r="H1023" s="128">
        <f ca="1">IF(G1000&gt;=6,H1003,H1021)</f>
        <v>8888</v>
      </c>
      <c r="I1023" s="139">
        <f ca="1">IF(G1000&gt;=6,I1022,I1021)</f>
        <v>8888</v>
      </c>
      <c r="AD1023" s="157"/>
      <c r="AE1023" s="2" t="s">
        <v>12</v>
      </c>
      <c r="AF1023" s="128">
        <f ca="1">IF($AE1000,H1023,AF1006)</f>
        <v>8888</v>
      </c>
      <c r="AG1023" s="129">
        <f ca="1">IF($AE1000,I1023,AG1006)</f>
        <v>8888</v>
      </c>
      <c r="BD1023" s="157"/>
    </row>
    <row r="1024" spans="2:56">
      <c r="B1024" s="156"/>
      <c r="F1024" s="157"/>
      <c r="G1024" s="2" t="s">
        <v>13</v>
      </c>
      <c r="H1024" s="128">
        <f ca="1">IF(G1000&gt;=6,H1003,H1021)</f>
        <v>8888</v>
      </c>
      <c r="I1024" s="139">
        <f ca="1">IF(G1000&gt;=6,I1023-P993,I1021)</f>
        <v>8888</v>
      </c>
      <c r="AD1024" s="157"/>
      <c r="AE1024" s="2" t="s">
        <v>13</v>
      </c>
      <c r="AF1024" s="128">
        <f ca="1">IF($AE1000,H1024,AF1006)</f>
        <v>8888</v>
      </c>
      <c r="AG1024" s="129">
        <f ca="1">IF($AE1000,I1024,AG1006)</f>
        <v>8888</v>
      </c>
      <c r="BD1024" s="157"/>
    </row>
    <row r="1025" spans="2:56">
      <c r="B1025" s="156"/>
      <c r="F1025" s="157"/>
      <c r="G1025" s="115" t="s">
        <v>14</v>
      </c>
      <c r="H1025" s="188">
        <f ca="1">IF(G1000&gt;=6,H1002,H1021)</f>
        <v>8888</v>
      </c>
      <c r="I1025" s="189">
        <f ca="1">IF(G1000&gt;=6,I1024,I1021)</f>
        <v>8888</v>
      </c>
      <c r="AD1025" s="157"/>
      <c r="AE1025" s="115" t="s">
        <v>14</v>
      </c>
      <c r="AF1025" s="188">
        <f ca="1">IF($AE1000,H1025,AF1006)</f>
        <v>8888</v>
      </c>
      <c r="AG1025" s="196">
        <f ca="1">IF($AE1000,I1025,AG1006)</f>
        <v>8888</v>
      </c>
      <c r="BD1025" s="157"/>
    </row>
    <row r="1026" spans="2:56" ht="15" thickBot="1">
      <c r="B1026" s="156"/>
      <c r="G1026" s="130" t="s">
        <v>396</v>
      </c>
      <c r="H1026" s="130">
        <f ca="1">H1002</f>
        <v>8888</v>
      </c>
      <c r="I1026" s="140">
        <f ca="1">I1002</f>
        <v>8888</v>
      </c>
      <c r="AE1026" s="130" t="s">
        <v>396</v>
      </c>
      <c r="AF1026" s="130">
        <f ca="1">IF($AE1000,H1026,AF1006)</f>
        <v>8888</v>
      </c>
      <c r="AG1026" s="132">
        <f ca="1">IF($AE1000,I1026,AG1006)</f>
        <v>8888</v>
      </c>
      <c r="BD1026" s="157"/>
    </row>
    <row r="1027" spans="2:56">
      <c r="B1027" s="156"/>
      <c r="BD1027" s="157"/>
    </row>
    <row r="1028" spans="2:56">
      <c r="B1028" s="156"/>
      <c r="BD1028" s="157"/>
    </row>
    <row r="1029" spans="2:56">
      <c r="B1029" s="156"/>
      <c r="C1029" s="200" t="s">
        <v>336</v>
      </c>
      <c r="D1029">
        <f>D993+1</f>
        <v>24</v>
      </c>
      <c r="G1029" s="200" t="s">
        <v>638</v>
      </c>
      <c r="H1029">
        <f ca="1">LOOKUP(D1032,$C$191:$C$196,$D$191:$D$196)</f>
        <v>0</v>
      </c>
      <c r="K1029" s="200" t="s">
        <v>644</v>
      </c>
      <c r="L1029">
        <f ca="1">L993-H1034</f>
        <v>-16.562000000000005</v>
      </c>
      <c r="O1029" s="200" t="s">
        <v>404</v>
      </c>
      <c r="P1029">
        <f ca="1">IF(D1031=1,SEAT_w_cushion_FC,IF(D1031=2,SEAT_w_cushion_BC,IF(D1031=3,SEAT_w_cushion_YC,0)))</f>
        <v>0</v>
      </c>
      <c r="S1029" s="200" t="s">
        <v>647</v>
      </c>
      <c r="T1029">
        <f ca="1">LOOKUP(D1032,$C$191:$C$196,$E$191:$E$196)</f>
        <v>0</v>
      </c>
      <c r="W1029" t="s">
        <v>130</v>
      </c>
      <c r="X1029" t="str">
        <f ca="1">OFFSET(Fuselage!$B$275,D1029,5)</f>
        <v>None</v>
      </c>
      <c r="AN1029" s="200" t="s">
        <v>135</v>
      </c>
      <c r="AO1029">
        <f ca="1">MAX(0,H1034-MAX(T1029,T1031,T1033,P1030)-X1030)</f>
        <v>0</v>
      </c>
      <c r="BD1029" s="157"/>
    </row>
    <row r="1030" spans="2:56">
      <c r="B1030" s="156"/>
      <c r="C1030" s="200" t="s">
        <v>200</v>
      </c>
      <c r="D1030" t="str">
        <f ca="1">OFFSET(Fuselage!$B$275,D1029,0)</f>
        <v/>
      </c>
      <c r="G1030" s="200" t="s">
        <v>639</v>
      </c>
      <c r="H1030">
        <f ca="1">LOOKUP(D1033,$C$191:$C$196,$D$191:$D$196)</f>
        <v>0</v>
      </c>
      <c r="O1030" s="200" t="s">
        <v>535</v>
      </c>
      <c r="P1030">
        <f ca="1">IF(D1031=1,SEAT_length_FC,IF(D1031=2,SEAT_length_BC,IF(D1031=3,SEAT_length_YC,0)))</f>
        <v>0</v>
      </c>
      <c r="S1030" s="200" t="s">
        <v>648</v>
      </c>
      <c r="T1030">
        <f ca="1">LOOKUP(D1032,$C$191:$C$196,$F$191:$F$196)</f>
        <v>0</v>
      </c>
      <c r="W1030" t="s">
        <v>131</v>
      </c>
      <c r="X1030">
        <f ca="1">LOOKUP(X1029,$I$191:$I$198,$J$191:$J$198)</f>
        <v>0</v>
      </c>
      <c r="BD1030" s="157"/>
    </row>
    <row r="1031" spans="2:56">
      <c r="B1031" s="156"/>
      <c r="C1031" s="200" t="s">
        <v>337</v>
      </c>
      <c r="D1031" t="str">
        <f ca="1">OFFSET(Fuselage!$B$275,D1029,4)</f>
        <v/>
      </c>
      <c r="G1031" s="200" t="s">
        <v>309</v>
      </c>
      <c r="H1031">
        <f ca="1">LOOKUP(D1034,$C$191:$C$196,$D$191:$D$196)</f>
        <v>0</v>
      </c>
      <c r="K1031" s="200" t="s">
        <v>645</v>
      </c>
      <c r="L1031">
        <f ca="1">IF(D1031=1,FUSELAGE_nseats_left_FC,IF(D1031=2,FUSELAGE_nseats_left_BC,IF(D1031=3,FUSELAGE_nseats_left_YC,0)))</f>
        <v>0</v>
      </c>
      <c r="O1031" s="200" t="s">
        <v>405</v>
      </c>
      <c r="P1031">
        <f ca="1">IF(D1031=1,SEAT_w_armrest_FC,IF(D1031=2,SEAT_w_armrest_BC,IF(D1031=3,SEAT_w_armrest_YC,0)))</f>
        <v>0</v>
      </c>
      <c r="S1031" s="200" t="s">
        <v>652</v>
      </c>
      <c r="T1031">
        <f ca="1">LOOKUP(D1033,$C$191:$C$196,$E$191:$E$196)</f>
        <v>0</v>
      </c>
      <c r="W1031" s="200" t="s">
        <v>393</v>
      </c>
      <c r="X1031" t="b">
        <f ca="1">IF(OFFSET(Fuselage!$B$275,D1029,6)="YES",TRUE(),FALSE())</f>
        <v>0</v>
      </c>
      <c r="BD1031" s="157"/>
    </row>
    <row r="1032" spans="2:56">
      <c r="B1032" s="156"/>
      <c r="C1032" s="200" t="s">
        <v>640</v>
      </c>
      <c r="D1032" t="str">
        <f ca="1">OFFSET(Fuselage!$B$275,D1029,1)</f>
        <v>None</v>
      </c>
      <c r="G1032" s="200" t="s">
        <v>132</v>
      </c>
      <c r="H1032">
        <f ca="1">IF(D1031=1,SEAT_pitch_FC,IF(D1031=2,SEAT_pitch_BC,IF(D1031=3,SEAT_pitch_YC,0)))</f>
        <v>0</v>
      </c>
      <c r="K1032" s="200" t="s">
        <v>646</v>
      </c>
      <c r="L1032">
        <f ca="1">IF(D1031=1,FUSELAGE_nseats_middle_FC,IF(D1031=2,FUSELAGE_nseats_middle_BC,IF(D1031=3,FUSELAGE_nseats_middle_YC,0)))</f>
        <v>0</v>
      </c>
      <c r="S1032" s="200" t="s">
        <v>653</v>
      </c>
      <c r="T1032">
        <f ca="1">LOOKUP(D1033,$C$191:$C$196,$F$191:$F$196)</f>
        <v>0</v>
      </c>
      <c r="BD1032" s="157"/>
    </row>
    <row r="1033" spans="2:56">
      <c r="B1033" s="156"/>
      <c r="C1033" s="200" t="s">
        <v>642</v>
      </c>
      <c r="D1033" t="str">
        <f ca="1">OFFSET(Fuselage!$B$275,D1029,2)</f>
        <v>None</v>
      </c>
      <c r="G1033" s="200" t="s">
        <v>129</v>
      </c>
      <c r="H1033">
        <f ca="1">IF(OR(X1029="Type A",X1029="Type B"),MAX(H1029:H1032)+42*0.0254,IF(X1029="Type C",MAX(H1029:H1032)+X1030,IF(X1029&lt;&gt;"None",24*0.0254,0)))</f>
        <v>0</v>
      </c>
      <c r="K1033" s="200" t="s">
        <v>655</v>
      </c>
      <c r="L1033">
        <f ca="1">IF(D1031=1,FUSELAGE_nseats_right_FC,IF(D1031=2,FUSELAGE_nseats_right_BC,IF(D1031=3,FUSELAGE_nseats_right_YC,0)))</f>
        <v>0</v>
      </c>
      <c r="O1033" s="200" t="s">
        <v>407</v>
      </c>
      <c r="P1033">
        <f ca="1">($C$13-(L1031+L1032+L1033)*(P1029+P1031)+(FUSELAGE_n_aisles-1)*P1031)/FUSELAGE_n_aisles</f>
        <v>2.76</v>
      </c>
      <c r="S1033" s="200" t="s">
        <v>651</v>
      </c>
      <c r="T1033">
        <f ca="1">LOOKUP(D1034,$C$191:$C$196,$E$191:$E$196)</f>
        <v>0</v>
      </c>
      <c r="BD1033" s="157"/>
    </row>
    <row r="1034" spans="2:56">
      <c r="B1034" s="156"/>
      <c r="C1034" s="200" t="s">
        <v>641</v>
      </c>
      <c r="D1034" t="str">
        <f ca="1">OFFSET(Fuselage!$B$275,D1029,3)</f>
        <v>None</v>
      </c>
      <c r="G1034" s="200" t="s">
        <v>643</v>
      </c>
      <c r="H1034">
        <f ca="1">MAX(H1029:H1033)</f>
        <v>0</v>
      </c>
      <c r="S1034" s="200" t="s">
        <v>654</v>
      </c>
      <c r="T1034">
        <f ca="1">LOOKUP(D1034,$C$191:$C$196,$F$191:$F$196)</f>
        <v>0</v>
      </c>
      <c r="BD1034" s="157"/>
    </row>
    <row r="1035" spans="2:56" ht="15" thickBot="1">
      <c r="B1035" s="156"/>
      <c r="BD1035" s="157"/>
    </row>
    <row r="1036" spans="2:56" ht="15" thickBot="1">
      <c r="B1036" s="156"/>
      <c r="C1036" s="141">
        <f ca="1">L1033</f>
        <v>0</v>
      </c>
      <c r="D1036" s="197" t="str">
        <f ca="1">IF($D1031=1,"FC",IF($D1031=2,"BC",IF($D1031=3,"YC","Nothing")))</f>
        <v>Nothing</v>
      </c>
      <c r="E1036" s="198"/>
      <c r="G1036" s="141">
        <f ca="1">L1032</f>
        <v>0</v>
      </c>
      <c r="H1036" s="197" t="str">
        <f ca="1">IF($D1031=1,"FC",IF($D1031=2,"BC",IF($D1031=3,"YC","Nothing")))</f>
        <v>Nothing</v>
      </c>
      <c r="I1036" s="198"/>
      <c r="K1036" s="141">
        <f ca="1" xml:space="preserve"> L1031</f>
        <v>0</v>
      </c>
      <c r="L1036" s="197" t="str">
        <f ca="1">IF($D1031=1,"FC",IF($D1031=2,"BC",IF($D1031=3,"YC","Nothing")))</f>
        <v>Nothing</v>
      </c>
      <c r="M1036" s="198"/>
      <c r="O1036" s="141">
        <f ca="1">IF($D1034&lt;&gt;"None",1,0)</f>
        <v>0</v>
      </c>
      <c r="P1036" s="326" t="s">
        <v>380</v>
      </c>
      <c r="Q1036" s="327"/>
      <c r="S1036" s="141">
        <f ca="1">IF($D1033&lt;&gt;"None",1,0)</f>
        <v>0</v>
      </c>
      <c r="T1036" s="326" t="s">
        <v>381</v>
      </c>
      <c r="U1036" s="327"/>
      <c r="W1036" s="141">
        <f ca="1">IF($D1032&lt;&gt;"None",1,0)</f>
        <v>0</v>
      </c>
      <c r="X1036" s="326" t="s">
        <v>382</v>
      </c>
      <c r="Y1036" s="327"/>
      <c r="AA1036" s="141">
        <f ca="1">IF($D1034="None",1,0)</f>
        <v>1</v>
      </c>
      <c r="AB1036" s="326" t="str">
        <f ca="1">IF(AA1036,D1036,$D1034)</f>
        <v>Nothing</v>
      </c>
      <c r="AC1036" s="327"/>
      <c r="AE1036" s="141">
        <f ca="1">IF($D1033="None",1,0)</f>
        <v>1</v>
      </c>
      <c r="AF1036" s="326" t="str">
        <f ca="1">IF(AE1036,H1036,$D1033)</f>
        <v>Nothing</v>
      </c>
      <c r="AG1036" s="327"/>
      <c r="AI1036" s="141">
        <f ca="1">IF($D1032="None",1,0)</f>
        <v>1</v>
      </c>
      <c r="AJ1036" s="326" t="str">
        <f ca="1">IF(AI1036,L1036,$D1032)</f>
        <v>Nothing</v>
      </c>
      <c r="AK1036" s="327"/>
      <c r="AM1036" s="141">
        <f ca="1">IF($X1029="None",0,1)</f>
        <v>0</v>
      </c>
      <c r="AN1036" s="197" t="s">
        <v>133</v>
      </c>
      <c r="AO1036" s="198"/>
      <c r="AQ1036" s="141">
        <f ca="1">IF($X1029="None",0,1)</f>
        <v>0</v>
      </c>
      <c r="AR1036" s="197" t="s">
        <v>134</v>
      </c>
      <c r="AS1036" s="198"/>
      <c r="BD1036" s="157"/>
    </row>
    <row r="1037" spans="2:56" ht="15" thickBot="1">
      <c r="B1037" s="156"/>
      <c r="C1037" s="136" t="s">
        <v>452</v>
      </c>
      <c r="D1037" s="136" t="s">
        <v>384</v>
      </c>
      <c r="E1037" s="138" t="s">
        <v>385</v>
      </c>
      <c r="G1037" s="136" t="s">
        <v>452</v>
      </c>
      <c r="H1037" s="136" t="s">
        <v>384</v>
      </c>
      <c r="I1037" s="138" t="s">
        <v>385</v>
      </c>
      <c r="K1037" s="193" t="s">
        <v>452</v>
      </c>
      <c r="L1037" s="193" t="s">
        <v>384</v>
      </c>
      <c r="M1037" s="194" t="s">
        <v>385</v>
      </c>
      <c r="O1037" s="136" t="s">
        <v>452</v>
      </c>
      <c r="P1037" s="136" t="s">
        <v>384</v>
      </c>
      <c r="Q1037" s="138" t="s">
        <v>385</v>
      </c>
      <c r="S1037" s="136" t="s">
        <v>452</v>
      </c>
      <c r="T1037" s="136" t="s">
        <v>384</v>
      </c>
      <c r="U1037" s="138" t="s">
        <v>385</v>
      </c>
      <c r="W1037" s="136" t="s">
        <v>452</v>
      </c>
      <c r="X1037" s="136" t="s">
        <v>384</v>
      </c>
      <c r="Y1037" s="138" t="s">
        <v>385</v>
      </c>
      <c r="AA1037" s="136" t="s">
        <v>452</v>
      </c>
      <c r="AB1037" s="136" t="s">
        <v>384</v>
      </c>
      <c r="AC1037" s="138" t="s">
        <v>385</v>
      </c>
      <c r="AE1037" s="136" t="s">
        <v>452</v>
      </c>
      <c r="AF1037" s="136" t="s">
        <v>384</v>
      </c>
      <c r="AG1037" s="138" t="s">
        <v>385</v>
      </c>
      <c r="AI1037" s="193" t="s">
        <v>452</v>
      </c>
      <c r="AJ1037" s="193" t="s">
        <v>384</v>
      </c>
      <c r="AK1037" s="194" t="s">
        <v>385</v>
      </c>
      <c r="AM1037" s="193" t="s">
        <v>452</v>
      </c>
      <c r="AN1037" s="193" t="s">
        <v>384</v>
      </c>
      <c r="AO1037" s="194" t="s">
        <v>385</v>
      </c>
      <c r="AQ1037" s="193" t="s">
        <v>452</v>
      </c>
      <c r="AR1037" s="193" t="s">
        <v>384</v>
      </c>
      <c r="AS1037" s="194" t="s">
        <v>385</v>
      </c>
      <c r="BD1037" s="157"/>
    </row>
    <row r="1038" spans="2:56">
      <c r="B1038" s="156"/>
      <c r="C1038" s="128" t="s">
        <v>396</v>
      </c>
      <c r="D1038" s="158">
        <f ca="1">IF(C1036&gt;=1,L1029,8888)</f>
        <v>8888</v>
      </c>
      <c r="E1038" s="160">
        <f ca="1">IF(C1036&gt;=1,1/2*($C$13-P1029-2*P1031)+1/2*P1029,8888)</f>
        <v>8888</v>
      </c>
      <c r="G1038" s="128" t="s">
        <v>396</v>
      </c>
      <c r="H1038" s="158">
        <f ca="1">IF(G1036&gt;=1,L1029,8888)</f>
        <v>8888</v>
      </c>
      <c r="I1038" s="160">
        <f ca="1">IF(G1036&gt;=1,E1049-P1033,8888)</f>
        <v>8888</v>
      </c>
      <c r="K1038" s="128" t="s">
        <v>396</v>
      </c>
      <c r="L1038" s="158">
        <f ca="1">IF(K1036&gt;=1,L1029,8888)</f>
        <v>8888</v>
      </c>
      <c r="M1038" s="160">
        <f ca="1">IF(K1036&gt;=1,IF(FUSELAGE_n_aisles=1,E1049-P1033,I1061-P1033),8888)</f>
        <v>8888</v>
      </c>
      <c r="O1038" s="128" t="s">
        <v>396</v>
      </c>
      <c r="P1038" s="158">
        <f ca="1">IF(O1036,$L1029,8888)</f>
        <v>8888</v>
      </c>
      <c r="Q1038" s="209">
        <f ca="1">IF(O1036,FUSELAGE_y_position_of_left_seat_YC-(FUSELAGE_nseats_right_YC-1)*(SEAT_w_cushion_YC+SEAT_w_armrest_YC)/2+T1034/2,8888)</f>
        <v>8888</v>
      </c>
      <c r="S1038" s="128" t="s">
        <v>396</v>
      </c>
      <c r="T1038" s="158">
        <f ca="1">IF(S1036,$L1029,8888)</f>
        <v>8888</v>
      </c>
      <c r="U1038" s="160">
        <f ca="1">IF(S1036,T1032/2,8888)</f>
        <v>8888</v>
      </c>
      <c r="W1038" s="128" t="s">
        <v>396</v>
      </c>
      <c r="X1038" s="158">
        <f ca="1">IF(W1036,$L1029,8888)</f>
        <v>8888</v>
      </c>
      <c r="Y1038" s="160">
        <f ca="1">IF(W1036,-FUSELAGE_y_position_of_left_seat_YC+(FUSELAGE_nseats_left_YC-1)*(SEAT_w_cushion_YC+SEAT_w_armrest_YC)/2-T1030/2,8888)</f>
        <v>8888</v>
      </c>
      <c r="AA1038" s="128" t="s">
        <v>396</v>
      </c>
      <c r="AB1038" s="158">
        <f ca="1">IF($AA1036,D1038,P1038)</f>
        <v>8888</v>
      </c>
      <c r="AC1038" s="174">
        <f ca="1">IF($AA1036,E1038,Q1038)</f>
        <v>8888</v>
      </c>
      <c r="AE1038" s="128" t="s">
        <v>396</v>
      </c>
      <c r="AF1038" s="158">
        <f ca="1">IF($AE1036,H1038,T1038)</f>
        <v>8888</v>
      </c>
      <c r="AG1038" s="174">
        <f ca="1">IF($AE1036,I1038,U1038)</f>
        <v>8888</v>
      </c>
      <c r="AI1038" s="128" t="s">
        <v>396</v>
      </c>
      <c r="AJ1038" s="158">
        <f ca="1">IF($AI1036,L1038,X1038)</f>
        <v>8888</v>
      </c>
      <c r="AK1038" s="174">
        <f ca="1">IF($AI1036,M1038,Y1038)</f>
        <v>8888</v>
      </c>
      <c r="AM1038" s="128" t="s">
        <v>396</v>
      </c>
      <c r="AN1038" s="158">
        <f ca="1">AN1007</f>
        <v>-16.562000000000005</v>
      </c>
      <c r="AO1038" s="174">
        <f ca="1">IF(AN1038&gt;-Fuselage!$D$366,(FUSELAGE_a_ellipse)*SQRT(1-((AN1038+Fuselage!$D$366)/(Fuselage!$K$364-FUSELAGE_t_fuselage))^2),IF(AN1038&gt;$L$2505+Fuselage!$K$370,FUSELAGE_a_ellipse,(FUSELAGE_a_ellipse+FUSELAGE_t_fuselage-FUSELAGE_d_fo/4)/Fuselage!$K$368*(AN1038-$L$2505-Fuselage!$K$370)+FUSELAGE_a_ellipse))</f>
        <v>1.4960570012328709</v>
      </c>
      <c r="AQ1038" s="128" t="s">
        <v>396</v>
      </c>
      <c r="AR1038" s="158">
        <f t="shared" ref="AR1038:AR1043" ca="1" si="112">AN1038</f>
        <v>-16.562000000000005</v>
      </c>
      <c r="AS1038" s="174">
        <f t="shared" ref="AS1038:AS1043" ca="1" si="113">-AO1038</f>
        <v>-1.4960570012328709</v>
      </c>
      <c r="BD1038" s="157"/>
    </row>
    <row r="1039" spans="2:56">
      <c r="B1039" s="156"/>
      <c r="C1039" s="128" t="s">
        <v>213</v>
      </c>
      <c r="D1039" s="128">
        <f ca="1">IF(X1031,D1038+P1030/4,D1038+P1030)</f>
        <v>8888</v>
      </c>
      <c r="E1039" s="139">
        <f ca="1">E1038</f>
        <v>8888</v>
      </c>
      <c r="G1039" s="128" t="s">
        <v>213</v>
      </c>
      <c r="H1039" s="128">
        <f ca="1">H1038+P1030</f>
        <v>8888</v>
      </c>
      <c r="I1039" s="139">
        <f ca="1">I1038</f>
        <v>8888</v>
      </c>
      <c r="K1039" s="128" t="s">
        <v>213</v>
      </c>
      <c r="L1039" s="128">
        <f ca="1">IF(X1031,IF(K1036=1,L1038+P1030/4,L1038+P1030),L1038+P1030)</f>
        <v>8888</v>
      </c>
      <c r="M1039" s="139">
        <f ca="1">M1038</f>
        <v>8888</v>
      </c>
      <c r="O1039" s="128" t="s">
        <v>213</v>
      </c>
      <c r="P1039" s="128">
        <f ca="1">P1038+$T1033</f>
        <v>8888</v>
      </c>
      <c r="Q1039" s="139">
        <f ca="1">Q1038</f>
        <v>8888</v>
      </c>
      <c r="S1039" s="128" t="s">
        <v>213</v>
      </c>
      <c r="T1039" s="128">
        <f ca="1">T1038+$T1031</f>
        <v>8888</v>
      </c>
      <c r="U1039" s="139">
        <f ca="1">U1038</f>
        <v>8888</v>
      </c>
      <c r="W1039" s="128" t="s">
        <v>213</v>
      </c>
      <c r="X1039" s="128">
        <f ca="1">X1038+$T1029</f>
        <v>8888</v>
      </c>
      <c r="Y1039" s="139">
        <f ca="1">Y1038</f>
        <v>8888</v>
      </c>
      <c r="AA1039" s="143" t="s">
        <v>213</v>
      </c>
      <c r="AB1039" s="128">
        <f ca="1">IF($AA1036,D1039,P1039)</f>
        <v>8888</v>
      </c>
      <c r="AC1039" s="129">
        <f ca="1">IF($AA1036,E1039,Q1039)</f>
        <v>8888</v>
      </c>
      <c r="AE1039" s="128" t="s">
        <v>213</v>
      </c>
      <c r="AF1039" s="128">
        <f ca="1">IF($AE1036,H1039,T1039)</f>
        <v>8888</v>
      </c>
      <c r="AG1039" s="129">
        <f ca="1">IF($AE1036,I1039,U1039)</f>
        <v>8888</v>
      </c>
      <c r="AI1039" s="128" t="s">
        <v>213</v>
      </c>
      <c r="AJ1039" s="128">
        <f ca="1">IF($AI1036,L1039,X1039)</f>
        <v>8888</v>
      </c>
      <c r="AK1039" s="129">
        <f ca="1">IF($AI1036,M1039,Y1039)</f>
        <v>8888</v>
      </c>
      <c r="AM1039" s="128" t="s">
        <v>213</v>
      </c>
      <c r="AN1039" s="128">
        <f ca="1">AN1038-AO1029/2</f>
        <v>-16.562000000000005</v>
      </c>
      <c r="AO1039" s="129">
        <f ca="1">IF(AN1039&gt;-Fuselage!$D$366,(FUSELAGE_a_ellipse)*SQRT(1-((AN1039+Fuselage!$D$366)/(Fuselage!$K$364-FUSELAGE_t_fuselage))^2),IF(AN1039&gt;$L$2505+Fuselage!$K$370,FUSELAGE_a_ellipse,(FUSELAGE_a_ellipse+FUSELAGE_t_fuselage-FUSELAGE_d_fo/4)/Fuselage!$K$368*(AN1039-$L$2505-Fuselage!$K$370)+FUSELAGE_a_ellipse))</f>
        <v>1.4960570012328709</v>
      </c>
      <c r="AQ1039" s="128" t="s">
        <v>213</v>
      </c>
      <c r="AR1039" s="128">
        <f t="shared" ca="1" si="112"/>
        <v>-16.562000000000005</v>
      </c>
      <c r="AS1039" s="129">
        <f t="shared" ca="1" si="113"/>
        <v>-1.4960570012328709</v>
      </c>
      <c r="BD1039" s="157"/>
    </row>
    <row r="1040" spans="2:56">
      <c r="B1040" s="156"/>
      <c r="C1040" s="128" t="s">
        <v>286</v>
      </c>
      <c r="D1040" s="128">
        <f ca="1">D1039</f>
        <v>8888</v>
      </c>
      <c r="E1040" s="139">
        <f ca="1">E1039-P1029</f>
        <v>8888</v>
      </c>
      <c r="G1040" s="128" t="s">
        <v>286</v>
      </c>
      <c r="H1040" s="128">
        <f ca="1">H1039</f>
        <v>8888</v>
      </c>
      <c r="I1040" s="139">
        <f ca="1">I1039-P1029</f>
        <v>8888</v>
      </c>
      <c r="K1040" s="128" t="s">
        <v>286</v>
      </c>
      <c r="L1040" s="128">
        <f ca="1">L1039</f>
        <v>8888</v>
      </c>
      <c r="M1040" s="139">
        <f ca="1">M1039-P1029</f>
        <v>8888</v>
      </c>
      <c r="O1040" s="128" t="s">
        <v>286</v>
      </c>
      <c r="P1040" s="128">
        <f ca="1">P1039</f>
        <v>8888</v>
      </c>
      <c r="Q1040" s="139">
        <f ca="1">Q1039-$T1034</f>
        <v>8888</v>
      </c>
      <c r="S1040" s="128" t="s">
        <v>286</v>
      </c>
      <c r="T1040" s="128">
        <f ca="1">T1039</f>
        <v>8888</v>
      </c>
      <c r="U1040" s="139">
        <f ca="1">U1039-$T1032</f>
        <v>8888</v>
      </c>
      <c r="W1040" s="128" t="s">
        <v>286</v>
      </c>
      <c r="X1040" s="128">
        <f ca="1">X1039</f>
        <v>8888</v>
      </c>
      <c r="Y1040" s="139">
        <f ca="1">Y1039+$T1030</f>
        <v>8888</v>
      </c>
      <c r="AA1040" s="143" t="s">
        <v>286</v>
      </c>
      <c r="AB1040" s="128">
        <f ca="1">IF($AA1036,D1040,P1040)</f>
        <v>8888</v>
      </c>
      <c r="AC1040" s="129">
        <f ca="1">IF($AA1036,E1040,Q1040)</f>
        <v>8888</v>
      </c>
      <c r="AE1040" s="128" t="s">
        <v>286</v>
      </c>
      <c r="AF1040" s="128">
        <f ca="1">IF($AE1036,H1040,T1040)</f>
        <v>8888</v>
      </c>
      <c r="AG1040" s="129">
        <f ca="1">IF($AE1036,I1040,U1040)</f>
        <v>8888</v>
      </c>
      <c r="AI1040" s="128" t="s">
        <v>286</v>
      </c>
      <c r="AJ1040" s="128">
        <f ca="1">IF($AI1036,L1040,X1040)</f>
        <v>8888</v>
      </c>
      <c r="AK1040" s="129">
        <f ca="1">IF($AI1036,M1040,Y1040)</f>
        <v>8888</v>
      </c>
      <c r="AM1040" s="128" t="s">
        <v>286</v>
      </c>
      <c r="AN1040" s="128">
        <f ca="1">AN1039</f>
        <v>-16.562000000000005</v>
      </c>
      <c r="AO1040" s="129">
        <f ca="1">IF(AN1040&gt;-Fuselage!$D$366,IF(AM1036,(FUSELAGE_a_ellipse+FUSELAGE_t_fuselage)*SQRT(1-((AN1040+Fuselage!$D$366)/Fuselage!$K$364)^2),(FUSELAGE_a_ellipse)*SQRT(1-((AN1040+Fuselage!$D$366)/Fuselage!$K$364)^2)),IF(AN1040&gt;$L$2505+Fuselage!$K$370,(IF(AM1036,FUSELAGE_a_ellipse+FUSELAGE_t_fuselage,FUSELAGE_a_ellipse)),IF(AM1036,(FUSELAGE_a_ellipse+FUSELAGE_t_fuselage-FUSELAGE_d_fo/4)/Fuselage!$K$368*(AN1040-$L$2505-Fuselage!$K$370)+FUSELAGE_a_ellipse+FUSELAGE_t_fuselage,(FUSELAGE_a_ellipse+FUSELAGE_t_fuselage-FUSELAGE_d_fo/4)/Fuselage!$K$368*(AN1040-$L$2505-Fuselage!$K$370)+FUSELAGE_a_ellipse)))</f>
        <v>1.4960570012328709</v>
      </c>
      <c r="AQ1040" s="128" t="s">
        <v>286</v>
      </c>
      <c r="AR1040" s="128">
        <f t="shared" ca="1" si="112"/>
        <v>-16.562000000000005</v>
      </c>
      <c r="AS1040" s="129">
        <f t="shared" ca="1" si="113"/>
        <v>-1.4960570012328709</v>
      </c>
      <c r="BD1040" s="157"/>
    </row>
    <row r="1041" spans="2:56">
      <c r="B1041" s="156"/>
      <c r="C1041" s="188" t="s">
        <v>522</v>
      </c>
      <c r="D1041" s="188">
        <f ca="1">D1038</f>
        <v>8888</v>
      </c>
      <c r="E1041" s="189">
        <f ca="1">E1040</f>
        <v>8888</v>
      </c>
      <c r="F1041" s="157"/>
      <c r="G1041" s="2" t="s">
        <v>522</v>
      </c>
      <c r="H1041" s="128">
        <f ca="1">H1038</f>
        <v>8888</v>
      </c>
      <c r="I1041" s="139">
        <f ca="1">I1040</f>
        <v>8888</v>
      </c>
      <c r="K1041" s="128" t="s">
        <v>522</v>
      </c>
      <c r="L1041" s="128">
        <f ca="1">L1038</f>
        <v>8888</v>
      </c>
      <c r="M1041" s="139">
        <f ca="1">M1040</f>
        <v>8888</v>
      </c>
      <c r="O1041" s="188" t="s">
        <v>522</v>
      </c>
      <c r="P1041" s="188">
        <f ca="1">P1038</f>
        <v>8888</v>
      </c>
      <c r="Q1041" s="189">
        <f ca="1">Q1040</f>
        <v>8888</v>
      </c>
      <c r="S1041" s="188" t="s">
        <v>522</v>
      </c>
      <c r="T1041" s="188">
        <f ca="1">T1038</f>
        <v>8888</v>
      </c>
      <c r="U1041" s="189">
        <f ca="1">U1040</f>
        <v>8888</v>
      </c>
      <c r="W1041" s="188" t="s">
        <v>522</v>
      </c>
      <c r="X1041" s="188">
        <f ca="1">X1038</f>
        <v>8888</v>
      </c>
      <c r="Y1041" s="189">
        <f ca="1">Y1040</f>
        <v>8888</v>
      </c>
      <c r="AA1041" s="195" t="s">
        <v>522</v>
      </c>
      <c r="AB1041" s="128">
        <f ca="1">IF($AA1036,D1041,P1041)</f>
        <v>8888</v>
      </c>
      <c r="AC1041" s="129">
        <f ca="1">IF($AA1036,E1041,Q1041)</f>
        <v>8888</v>
      </c>
      <c r="AD1041" s="157"/>
      <c r="AE1041" s="2" t="s">
        <v>522</v>
      </c>
      <c r="AF1041" s="188">
        <f ca="1">IF($AE1036,H1041,T1041)</f>
        <v>8888</v>
      </c>
      <c r="AG1041" s="196">
        <f ca="1">IF($AE1036,I1041,U1041)</f>
        <v>8888</v>
      </c>
      <c r="AI1041" s="128" t="s">
        <v>522</v>
      </c>
      <c r="AJ1041" s="188">
        <f ca="1">IF($AI1036,L1041,X1041)</f>
        <v>8888</v>
      </c>
      <c r="AK1041" s="196">
        <f ca="1">IF($AI1036,M1041,Y1041)</f>
        <v>8888</v>
      </c>
      <c r="AM1041" s="128" t="s">
        <v>522</v>
      </c>
      <c r="AN1041" s="128">
        <f ca="1">AN1040-X1030</f>
        <v>-16.562000000000005</v>
      </c>
      <c r="AO1041" s="129">
        <f ca="1">IF(AN1041&gt;-Fuselage!$D$366,IF(AM1036,(FUSELAGE_a_ellipse+FUSELAGE_t_fuselage)*SQRT(1-((AN1041+Fuselage!$D$366)/Fuselage!$K$364)^2),(FUSELAGE_a_ellipse)*SQRT(1-((AN1041+Fuselage!$D$366)/Fuselage!$K$364)^2)),IF(AN1041&gt;$L$2505+Fuselage!$K$370,(IF(AM1036,FUSELAGE_a_ellipse+FUSELAGE_t_fuselage,FUSELAGE_a_ellipse)),IF(AM1036,(FUSELAGE_a_ellipse+FUSELAGE_t_fuselage-FUSELAGE_d_fo/4)/Fuselage!$K$368*(AN1041-$L$2505-Fuselage!$K$370)+FUSELAGE_a_ellipse+FUSELAGE_t_fuselage,(FUSELAGE_a_ellipse+FUSELAGE_t_fuselage-FUSELAGE_d_fo/4)/Fuselage!$K$368*(AN1041-$L$2505-Fuselage!$K$370)+FUSELAGE_a_ellipse)))</f>
        <v>1.4960570012328709</v>
      </c>
      <c r="AQ1041" s="128" t="s">
        <v>522</v>
      </c>
      <c r="AR1041" s="128">
        <f t="shared" ca="1" si="112"/>
        <v>-16.562000000000005</v>
      </c>
      <c r="AS1041" s="129">
        <f t="shared" ca="1" si="113"/>
        <v>-1.4960570012328709</v>
      </c>
      <c r="BD1041" s="157"/>
    </row>
    <row r="1042" spans="2:56" ht="15" thickBot="1">
      <c r="B1042" s="156"/>
      <c r="C1042" s="128" t="s">
        <v>49</v>
      </c>
      <c r="D1042" s="128">
        <f ca="1">IF(C1036&gt;=2,D1038,D1041)</f>
        <v>8888</v>
      </c>
      <c r="E1042" s="139">
        <f ca="1">IF(C1036&gt;=2,E1041-P1031,E1041)</f>
        <v>8888</v>
      </c>
      <c r="F1042" s="157"/>
      <c r="G1042" s="192" t="s">
        <v>49</v>
      </c>
      <c r="H1042" s="190">
        <f ca="1">IF(G1036&gt;=2,H1038,H1041)</f>
        <v>8888</v>
      </c>
      <c r="I1042" s="191">
        <f ca="1">IF(G1036&gt;=2,I1041-P1031,I1041)</f>
        <v>8888</v>
      </c>
      <c r="K1042" s="190" t="s">
        <v>49</v>
      </c>
      <c r="L1042" s="190">
        <f ca="1">IF(K1036&gt;=2,L1038,L1041)</f>
        <v>8888</v>
      </c>
      <c r="M1042" s="191">
        <f ca="1">IF(K1036&gt;=2,M1041-P1031,M1041)</f>
        <v>8888</v>
      </c>
      <c r="O1042" s="130" t="s">
        <v>396</v>
      </c>
      <c r="P1042" s="130">
        <f ca="1">P1038</f>
        <v>8888</v>
      </c>
      <c r="Q1042" s="140">
        <f ca="1">Q1038</f>
        <v>8888</v>
      </c>
      <c r="S1042" s="130" t="s">
        <v>396</v>
      </c>
      <c r="T1042" s="130">
        <f ca="1">T1038</f>
        <v>8888</v>
      </c>
      <c r="U1042" s="140">
        <f ca="1">U1038</f>
        <v>8888</v>
      </c>
      <c r="W1042" s="130" t="s">
        <v>396</v>
      </c>
      <c r="X1042" s="130">
        <f ca="1">X1038</f>
        <v>8888</v>
      </c>
      <c r="Y1042" s="140">
        <f ca="1">Y1038</f>
        <v>8888</v>
      </c>
      <c r="AA1042" s="143" t="s">
        <v>49</v>
      </c>
      <c r="AB1042" s="128">
        <f ca="1">IF($AA1036,D1042,P1042)</f>
        <v>8888</v>
      </c>
      <c r="AC1042" s="129">
        <f ca="1">IF($AA1036,E1042,Q1042)</f>
        <v>8888</v>
      </c>
      <c r="AD1042" s="157"/>
      <c r="AE1042" s="192" t="s">
        <v>49</v>
      </c>
      <c r="AF1042" s="128">
        <f ca="1">IF($AE1036,H1042,T1042)</f>
        <v>8888</v>
      </c>
      <c r="AG1042" s="129">
        <f ca="1">IF($AE1036,I1042,U1042)</f>
        <v>8888</v>
      </c>
      <c r="AI1042" s="190" t="s">
        <v>49</v>
      </c>
      <c r="AJ1042" s="128">
        <f ca="1">IF($AI1036,L1042,X1042)</f>
        <v>8888</v>
      </c>
      <c r="AK1042" s="129">
        <f ca="1">IF($AI1036,M1042,Y1042)</f>
        <v>8888</v>
      </c>
      <c r="AM1042" s="128" t="s">
        <v>49</v>
      </c>
      <c r="AN1042" s="128">
        <f ca="1">AN1041</f>
        <v>-16.562000000000005</v>
      </c>
      <c r="AO1042" s="129">
        <f ca="1">IF(AN1042&gt;-Fuselage!$D$366,(FUSELAGE_a_ellipse)*SQRT(1-((AN1042+Fuselage!$D$366)/(Fuselage!$K$364-FUSELAGE_t_fuselage))^2),IF(AN1042&gt;$L$2505+Fuselage!$K$370,FUSELAGE_a_ellipse,(FUSELAGE_a_ellipse+FUSELAGE_t_fuselage-FUSELAGE_d_fo/4)/Fuselage!$K$368*(AN1042-$L$2505-Fuselage!$K$370)+FUSELAGE_a_ellipse))</f>
        <v>1.4960570012328709</v>
      </c>
      <c r="AQ1042" s="128" t="s">
        <v>49</v>
      </c>
      <c r="AR1042" s="128">
        <f t="shared" ca="1" si="112"/>
        <v>-16.562000000000005</v>
      </c>
      <c r="AS1042" s="129">
        <f t="shared" ca="1" si="113"/>
        <v>-1.4960570012328709</v>
      </c>
      <c r="BD1042" s="157"/>
    </row>
    <row r="1043" spans="2:56">
      <c r="B1043" s="156"/>
      <c r="C1043" s="128" t="s">
        <v>453</v>
      </c>
      <c r="D1043" s="128">
        <f ca="1">IF(C1036&gt;=2,D1038+P1030,D1041)</f>
        <v>8888</v>
      </c>
      <c r="E1043" s="139">
        <f ca="1">E1042</f>
        <v>8888</v>
      </c>
      <c r="F1043" s="157"/>
      <c r="G1043" s="2" t="s">
        <v>453</v>
      </c>
      <c r="H1043" s="128">
        <f ca="1">IF(G1036&gt;=2,H1039,H1041)</f>
        <v>8888</v>
      </c>
      <c r="I1043" s="139">
        <f ca="1">IF(G1036&gt;=2,I1042,I1041)</f>
        <v>8888</v>
      </c>
      <c r="K1043" s="128" t="s">
        <v>453</v>
      </c>
      <c r="L1043" s="128">
        <f ca="1">IF(K1036&gt;=2,IF(X1031,IF(K1036=2,L1038+P1030/4,L1038+P1030),L1038+P1030),L1041)</f>
        <v>8888</v>
      </c>
      <c r="M1043" s="139">
        <f ca="1">IF(K1036&gt;=2,M1042,M1041)</f>
        <v>8888</v>
      </c>
      <c r="AA1043" s="143" t="s">
        <v>453</v>
      </c>
      <c r="AB1043" s="128">
        <f ca="1">IF($AA1036,D1043,AB1042)</f>
        <v>8888</v>
      </c>
      <c r="AC1043" s="129">
        <f ca="1">IF($AA1036,E1043,AC1042)</f>
        <v>8888</v>
      </c>
      <c r="AD1043" s="157"/>
      <c r="AE1043" s="2" t="s">
        <v>453</v>
      </c>
      <c r="AF1043" s="128">
        <f ca="1">IF($AE1036,H1043,AF1042)</f>
        <v>8888</v>
      </c>
      <c r="AG1043" s="129">
        <f ca="1">IF($AE1036,I1043,AG1042)</f>
        <v>8888</v>
      </c>
      <c r="AI1043" s="128" t="s">
        <v>453</v>
      </c>
      <c r="AJ1043" s="128">
        <f ca="1">IF($AI1036,L1043,AJ1042)</f>
        <v>8888</v>
      </c>
      <c r="AK1043" s="129">
        <f ca="1">IF($AI1036,M1043,AK1042)</f>
        <v>8888</v>
      </c>
      <c r="AM1043" s="128" t="s">
        <v>453</v>
      </c>
      <c r="AN1043" s="128">
        <f ca="1">L1029</f>
        <v>-16.562000000000005</v>
      </c>
      <c r="AO1043" s="129">
        <f ca="1">IF(AN1043&gt;-Fuselage!$D$366,(FUSELAGE_a_ellipse)*SQRT(1-((AN1043+Fuselage!$D$366)/(Fuselage!$K$364-FUSELAGE_t_fuselage))^2),IF(AN1043&gt;$L$2505+Fuselage!$K$370,FUSELAGE_a_ellipse,(FUSELAGE_a_ellipse+FUSELAGE_t_fuselage-FUSELAGE_d_fo/4)/Fuselage!$K$368*(AN1043-$L$2505-Fuselage!$K$370)+FUSELAGE_a_ellipse))</f>
        <v>1.4960570012328709</v>
      </c>
      <c r="AQ1043" s="128" t="s">
        <v>453</v>
      </c>
      <c r="AR1043" s="128">
        <f t="shared" ca="1" si="112"/>
        <v>-16.562000000000005</v>
      </c>
      <c r="AS1043" s="129">
        <f t="shared" ca="1" si="113"/>
        <v>-1.4960570012328709</v>
      </c>
      <c r="BD1043" s="157"/>
    </row>
    <row r="1044" spans="2:56">
      <c r="B1044" s="156"/>
      <c r="C1044" s="128" t="s">
        <v>394</v>
      </c>
      <c r="D1044" s="128">
        <f ca="1">IF(C1036&gt;=2,D1043,D1041)</f>
        <v>8888</v>
      </c>
      <c r="E1044" s="139">
        <f ca="1">IF(C1036&gt;=2,E1042-P1029,E1041)</f>
        <v>8888</v>
      </c>
      <c r="F1044" s="157"/>
      <c r="G1044" s="2" t="s">
        <v>394</v>
      </c>
      <c r="H1044" s="128">
        <f ca="1">IF(G1036&gt;=2,H1039,H1041)</f>
        <v>8888</v>
      </c>
      <c r="I1044" s="139">
        <f ca="1">IF(G1036&gt;=2,I1043-P1029,I1041)</f>
        <v>8888</v>
      </c>
      <c r="K1044" s="128" t="s">
        <v>394</v>
      </c>
      <c r="L1044" s="128">
        <f ca="1">L1043</f>
        <v>8888</v>
      </c>
      <c r="M1044" s="139">
        <f ca="1">IF(K1036&gt;=2,M1043-P1029,M1041)</f>
        <v>8888</v>
      </c>
      <c r="AA1044" s="143" t="s">
        <v>394</v>
      </c>
      <c r="AB1044" s="128">
        <f ca="1">IF($AA1036,D1044,AB1042)</f>
        <v>8888</v>
      </c>
      <c r="AC1044" s="129">
        <f ca="1">IF($AA1036,E1044,AC1042)</f>
        <v>8888</v>
      </c>
      <c r="AD1044" s="157"/>
      <c r="AE1044" s="2" t="s">
        <v>394</v>
      </c>
      <c r="AF1044" s="128">
        <f ca="1">IF($AE1036,H1044,AF1042)</f>
        <v>8888</v>
      </c>
      <c r="AG1044" s="129">
        <f ca="1">IF($AE1036,I1044,AG1042)</f>
        <v>8888</v>
      </c>
      <c r="AI1044" s="128" t="s">
        <v>394</v>
      </c>
      <c r="AJ1044" s="128">
        <f ca="1">IF($AI1036,L1044,AJ1042)</f>
        <v>8888</v>
      </c>
      <c r="AK1044" s="129">
        <f ca="1">IF($AI1036,M1044,AK1042)</f>
        <v>8888</v>
      </c>
      <c r="BD1044" s="157"/>
    </row>
    <row r="1045" spans="2:56">
      <c r="B1045" s="156"/>
      <c r="C1045" s="188" t="s">
        <v>454</v>
      </c>
      <c r="D1045" s="188">
        <f ca="1">IF(C1036&gt;=2,D1038,D1041)</f>
        <v>8888</v>
      </c>
      <c r="E1045" s="189">
        <f ca="1">E1044</f>
        <v>8888</v>
      </c>
      <c r="F1045" s="157"/>
      <c r="G1045" s="115" t="s">
        <v>454</v>
      </c>
      <c r="H1045" s="188">
        <f ca="1">IF(G1036&gt;=2,H1038,H1041)</f>
        <v>8888</v>
      </c>
      <c r="I1045" s="189">
        <f ca="1">IF(G1036&gt;=2,I1044,I1041)</f>
        <v>8888</v>
      </c>
      <c r="K1045" s="188" t="s">
        <v>454</v>
      </c>
      <c r="L1045" s="188">
        <f ca="1">IF(K1036&gt;=2,L1038,L1041)</f>
        <v>8888</v>
      </c>
      <c r="M1045" s="189">
        <f ca="1">IF(K1036&gt;=2,M1044,M1041)</f>
        <v>8888</v>
      </c>
      <c r="AA1045" s="195" t="s">
        <v>454</v>
      </c>
      <c r="AB1045" s="128">
        <f ca="1">IF($AA1036,D1045,AB1042)</f>
        <v>8888</v>
      </c>
      <c r="AC1045" s="129">
        <f ca="1">IF($AA1036,E1045,AC1042)</f>
        <v>8888</v>
      </c>
      <c r="AD1045" s="157"/>
      <c r="AE1045" s="115" t="s">
        <v>454</v>
      </c>
      <c r="AF1045" s="188">
        <f ca="1">IF($AE1036,H1045,AF1042)</f>
        <v>8888</v>
      </c>
      <c r="AG1045" s="196">
        <f ca="1">IF($AE1036,I1045,AG1042)</f>
        <v>8888</v>
      </c>
      <c r="AI1045" s="188" t="s">
        <v>454</v>
      </c>
      <c r="AJ1045" s="188">
        <f ca="1">IF($AI1036,L1045,AJ1042)</f>
        <v>8888</v>
      </c>
      <c r="AK1045" s="196">
        <f ca="1">IF($AI1036,M1045,AK1042)</f>
        <v>8888</v>
      </c>
      <c r="BD1045" s="157"/>
    </row>
    <row r="1046" spans="2:56">
      <c r="B1046" s="156"/>
      <c r="C1046" s="128" t="s">
        <v>507</v>
      </c>
      <c r="D1046" s="128">
        <f ca="1">IF(C1036&gt;=3,D1038,D1045)</f>
        <v>8888</v>
      </c>
      <c r="E1046" s="139">
        <f ca="1">IF(C1036&gt;=3,E1045-P1031,E1045)</f>
        <v>8888</v>
      </c>
      <c r="F1046" s="157"/>
      <c r="G1046" s="2" t="s">
        <v>507</v>
      </c>
      <c r="H1046" s="128">
        <f ca="1">IF(G1036&gt;=3,H1038,H1045)</f>
        <v>8888</v>
      </c>
      <c r="I1046" s="139">
        <f ca="1">IF(G1036&gt;=3,I1045-P1031,I1045)</f>
        <v>8888</v>
      </c>
      <c r="K1046" s="128" t="s">
        <v>507</v>
      </c>
      <c r="L1046" s="128">
        <f ca="1">IF(K1036&gt;=3,L1038,L1045)</f>
        <v>8888</v>
      </c>
      <c r="M1046" s="139">
        <f ca="1">IF(K1036&gt;=3,M1045-P1031,M1045)</f>
        <v>8888</v>
      </c>
      <c r="AA1046" s="143" t="s">
        <v>507</v>
      </c>
      <c r="AB1046" s="128">
        <f ca="1">IF($AA1036,D1046,AB1042)</f>
        <v>8888</v>
      </c>
      <c r="AC1046" s="129">
        <f ca="1">IF($AA1036,E1046,AC1042)</f>
        <v>8888</v>
      </c>
      <c r="AD1046" s="157"/>
      <c r="AE1046" s="2" t="s">
        <v>507</v>
      </c>
      <c r="AF1046" s="128">
        <f ca="1">IF($AE1036,H1046,AF1042)</f>
        <v>8888</v>
      </c>
      <c r="AG1046" s="129">
        <f ca="1">IF($AE1036,I1046,AG1042)</f>
        <v>8888</v>
      </c>
      <c r="AI1046" s="128" t="s">
        <v>507</v>
      </c>
      <c r="AJ1046" s="128">
        <f ca="1">IF($AI1036,L1046,AJ1042)</f>
        <v>8888</v>
      </c>
      <c r="AK1046" s="129">
        <f ca="1">IF($AI1036,M1046,AK1042)</f>
        <v>8888</v>
      </c>
      <c r="BD1046" s="157"/>
    </row>
    <row r="1047" spans="2:56">
      <c r="B1047" s="156"/>
      <c r="C1047" s="128" t="s">
        <v>455</v>
      </c>
      <c r="D1047" s="128">
        <f ca="1">IF(C1036&gt;=3,D1043,D1045)</f>
        <v>8888</v>
      </c>
      <c r="E1047" s="139">
        <f ca="1">E1046</f>
        <v>8888</v>
      </c>
      <c r="F1047" s="157"/>
      <c r="G1047" s="2" t="s">
        <v>455</v>
      </c>
      <c r="H1047" s="128">
        <f ca="1">IF(G1036&gt;=3,H1039,H1045)</f>
        <v>8888</v>
      </c>
      <c r="I1047" s="139">
        <f ca="1">IF(G1036&gt;=3,I1046,I1045)</f>
        <v>8888</v>
      </c>
      <c r="K1047" s="128" t="s">
        <v>455</v>
      </c>
      <c r="L1047" s="128">
        <f ca="1">IF(K1036&gt;=3,IF(X1031,IF(K1036=3,L1038+P1030/4,L1038+P1030),L1038+P1030),L1041)</f>
        <v>8888</v>
      </c>
      <c r="M1047" s="139">
        <f ca="1">IF(K1036&gt;=3,M1046,M1045)</f>
        <v>8888</v>
      </c>
      <c r="AA1047" s="143" t="s">
        <v>455</v>
      </c>
      <c r="AB1047" s="128">
        <f ca="1">IF($AA1036,D1047,AB1042)</f>
        <v>8888</v>
      </c>
      <c r="AC1047" s="129">
        <f ca="1">IF($AA1036,E1047,AC1042)</f>
        <v>8888</v>
      </c>
      <c r="AD1047" s="157"/>
      <c r="AE1047" s="2" t="s">
        <v>455</v>
      </c>
      <c r="AF1047" s="128">
        <f ca="1">IF($AE1036,H1047,AF1042)</f>
        <v>8888</v>
      </c>
      <c r="AG1047" s="129">
        <f ca="1">IF($AE1036,I1047,AG1042)</f>
        <v>8888</v>
      </c>
      <c r="AI1047" s="128" t="s">
        <v>455</v>
      </c>
      <c r="AJ1047" s="128">
        <f ca="1">IF($AI1036,L1047,AJ1042)</f>
        <v>8888</v>
      </c>
      <c r="AK1047" s="129">
        <f ca="1">IF($AI1036,M1047,AK1042)</f>
        <v>8888</v>
      </c>
      <c r="AL1047" s="156"/>
      <c r="BD1047" s="157"/>
    </row>
    <row r="1048" spans="2:56">
      <c r="B1048" s="156"/>
      <c r="C1048" s="128" t="s">
        <v>311</v>
      </c>
      <c r="D1048" s="128">
        <f ca="1">IF(C1036&gt;=3,D1043,D1045)</f>
        <v>8888</v>
      </c>
      <c r="E1048" s="139">
        <f ca="1">IF(C1036&gt;=3,E1047-P1029,E1045)</f>
        <v>8888</v>
      </c>
      <c r="F1048" s="157"/>
      <c r="G1048" s="2" t="s">
        <v>311</v>
      </c>
      <c r="H1048" s="128">
        <f ca="1">IF(G1036&gt;=3,H1039,H1045)</f>
        <v>8888</v>
      </c>
      <c r="I1048" s="139">
        <f ca="1">IF(G1036&gt;=3,I1047-P1029,I1045)</f>
        <v>8888</v>
      </c>
      <c r="K1048" s="128" t="s">
        <v>311</v>
      </c>
      <c r="L1048" s="128">
        <f ca="1">L1047</f>
        <v>8888</v>
      </c>
      <c r="M1048" s="139">
        <f ca="1">IF(K1036&gt;=3,M1047-P1029,M1045)</f>
        <v>8888</v>
      </c>
      <c r="AA1048" s="143" t="s">
        <v>311</v>
      </c>
      <c r="AB1048" s="128">
        <f ca="1">IF($AA1036,D1048,AB1042)</f>
        <v>8888</v>
      </c>
      <c r="AC1048" s="129">
        <f ca="1">IF($AA1036,E1048,AC1042)</f>
        <v>8888</v>
      </c>
      <c r="AD1048" s="157"/>
      <c r="AE1048" s="2" t="s">
        <v>311</v>
      </c>
      <c r="AF1048" s="128">
        <f ca="1">IF($AE1036,H1048,AF1042)</f>
        <v>8888</v>
      </c>
      <c r="AG1048" s="129">
        <f ca="1">IF($AE1036,I1048,AG1042)</f>
        <v>8888</v>
      </c>
      <c r="AI1048" s="128" t="s">
        <v>311</v>
      </c>
      <c r="AJ1048" s="128">
        <f ca="1">IF($AI1036,L1048,AJ1042)</f>
        <v>8888</v>
      </c>
      <c r="AK1048" s="129">
        <f ca="1">IF($AI1036,M1048,AK1042)</f>
        <v>8888</v>
      </c>
      <c r="AL1048" s="156"/>
      <c r="BD1048" s="157"/>
    </row>
    <row r="1049" spans="2:56">
      <c r="B1049" s="156"/>
      <c r="C1049" s="188" t="s">
        <v>35</v>
      </c>
      <c r="D1049" s="188">
        <f ca="1">IF(C1036&gt;=3,D1038,D1045)</f>
        <v>8888</v>
      </c>
      <c r="E1049" s="189">
        <f ca="1">E1048</f>
        <v>8888</v>
      </c>
      <c r="F1049" s="157"/>
      <c r="G1049" s="2" t="s">
        <v>35</v>
      </c>
      <c r="H1049" s="188">
        <f ca="1">IF(G1036&gt;=3,H1038,H1045)</f>
        <v>8888</v>
      </c>
      <c r="I1049" s="189">
        <f ca="1">IF(G1036&gt;=3,I1048,I1045)</f>
        <v>8888</v>
      </c>
      <c r="K1049" s="188" t="s">
        <v>35</v>
      </c>
      <c r="L1049" s="188">
        <f ca="1">IF(K1036&gt;=3,L1038,L1045)</f>
        <v>8888</v>
      </c>
      <c r="M1049" s="189">
        <f ca="1">IF(K1036&gt;=3,M1048,M1045)</f>
        <v>8888</v>
      </c>
      <c r="AA1049" s="143" t="s">
        <v>35</v>
      </c>
      <c r="AB1049" s="128">
        <f ca="1">IF($AA1036,D1049,AB1042)</f>
        <v>8888</v>
      </c>
      <c r="AC1049" s="129">
        <f ca="1">IF($AA1036,E1049,AC1042)</f>
        <v>8888</v>
      </c>
      <c r="AD1049" s="157"/>
      <c r="AE1049" s="2" t="s">
        <v>35</v>
      </c>
      <c r="AF1049" s="188">
        <f ca="1">IF($AE1036,H1049,AF1042)</f>
        <v>8888</v>
      </c>
      <c r="AG1049" s="196">
        <f ca="1">IF($AE1036,I1049,AG1042)</f>
        <v>8888</v>
      </c>
      <c r="AI1049" s="128" t="s">
        <v>35</v>
      </c>
      <c r="AJ1049" s="128">
        <f ca="1">IF($AI1036,L1049,AJ1042)</f>
        <v>8888</v>
      </c>
      <c r="AK1049" s="129">
        <f ca="1">IF($AI1036,M1049,AK1042)</f>
        <v>8888</v>
      </c>
      <c r="AL1049" s="156"/>
      <c r="BD1049" s="157"/>
    </row>
    <row r="1050" spans="2:56" ht="15" thickBot="1">
      <c r="B1050" s="156"/>
      <c r="C1050" s="130" t="s">
        <v>396</v>
      </c>
      <c r="D1050" s="130">
        <f ca="1">D1038</f>
        <v>8888</v>
      </c>
      <c r="E1050" s="140">
        <f ca="1">E1038</f>
        <v>8888</v>
      </c>
      <c r="F1050" s="157"/>
      <c r="G1050" s="192" t="s">
        <v>312</v>
      </c>
      <c r="H1050" s="128">
        <f ca="1">IF(G1036&gt;=4,H1038,H1049)</f>
        <v>8888</v>
      </c>
      <c r="I1050" s="139">
        <f ca="1">IF(G1036&gt;=4,I1049-P1031,I1049)</f>
        <v>8888</v>
      </c>
      <c r="K1050" s="130" t="s">
        <v>396</v>
      </c>
      <c r="L1050" s="130">
        <f ca="1">L1038</f>
        <v>8888</v>
      </c>
      <c r="M1050" s="140">
        <f ca="1">M1038</f>
        <v>8888</v>
      </c>
      <c r="AA1050" s="144" t="s">
        <v>396</v>
      </c>
      <c r="AB1050" s="130">
        <f ca="1">IF($AA1036,D1050,AB1042)</f>
        <v>8888</v>
      </c>
      <c r="AC1050" s="132">
        <f ca="1">IF($AA1036,E1050,AC1042)</f>
        <v>8888</v>
      </c>
      <c r="AD1050" s="157"/>
      <c r="AE1050" s="192" t="s">
        <v>312</v>
      </c>
      <c r="AF1050" s="128">
        <f ca="1">IF($AE1036,H1050,AF1042)</f>
        <v>8888</v>
      </c>
      <c r="AG1050" s="129">
        <f ca="1">IF($AE1036,I1050,AG1042)</f>
        <v>8888</v>
      </c>
      <c r="AI1050" s="130" t="s">
        <v>396</v>
      </c>
      <c r="AJ1050" s="130">
        <f ca="1">IF($AI1036,L1050,AJ1042)</f>
        <v>8888</v>
      </c>
      <c r="AK1050" s="132">
        <f ca="1">IF($AI1036,M1050,AK1042)</f>
        <v>8888</v>
      </c>
      <c r="BD1050" s="157"/>
    </row>
    <row r="1051" spans="2:56">
      <c r="B1051" s="156"/>
      <c r="F1051" s="157"/>
      <c r="G1051" s="2" t="s">
        <v>313</v>
      </c>
      <c r="H1051" s="128">
        <f ca="1">IF(G1036&gt;=4,H1039,H1049)</f>
        <v>8888</v>
      </c>
      <c r="I1051" s="139">
        <f ca="1">IF(G1036&gt;=4,I1050,I1049)</f>
        <v>8888</v>
      </c>
      <c r="AD1051" s="157"/>
      <c r="AE1051" s="2" t="s">
        <v>313</v>
      </c>
      <c r="AF1051" s="128">
        <f ca="1">IF($AE1036,H1051,AF1042)</f>
        <v>8888</v>
      </c>
      <c r="AG1051" s="129">
        <f ca="1">IF($AE1036,I1051,AG1042)</f>
        <v>8888</v>
      </c>
      <c r="BD1051" s="157"/>
    </row>
    <row r="1052" spans="2:56">
      <c r="B1052" s="156"/>
      <c r="F1052" s="157"/>
      <c r="G1052" s="2" t="s">
        <v>7</v>
      </c>
      <c r="H1052" s="128">
        <f ca="1">IF(G1036&gt;=4,H1039,H1049)</f>
        <v>8888</v>
      </c>
      <c r="I1052" s="139">
        <f ca="1">IF(G1036&gt;=4,I1051-P1029,I1049)</f>
        <v>8888</v>
      </c>
      <c r="AD1052" s="157"/>
      <c r="AE1052" s="2" t="s">
        <v>7</v>
      </c>
      <c r="AF1052" s="128">
        <f ca="1">IF($AE1036,H1052,AF1042)</f>
        <v>8888</v>
      </c>
      <c r="AG1052" s="129">
        <f ca="1">IF($AE1036,I1052,AG1042)</f>
        <v>8888</v>
      </c>
      <c r="BD1052" s="157"/>
    </row>
    <row r="1053" spans="2:56">
      <c r="B1053" s="156"/>
      <c r="F1053" s="157"/>
      <c r="G1053" s="115" t="s">
        <v>8</v>
      </c>
      <c r="H1053" s="188">
        <f ca="1">IF(G1036&gt;=4,H1038,H1049)</f>
        <v>8888</v>
      </c>
      <c r="I1053" s="189">
        <f ca="1">IF(G1036&gt;=4,I1052,I1049)</f>
        <v>8888</v>
      </c>
      <c r="AD1053" s="157"/>
      <c r="AE1053" s="115" t="s">
        <v>8</v>
      </c>
      <c r="AF1053" s="188">
        <f ca="1">IF($AE1036,H1053,AF1042)</f>
        <v>8888</v>
      </c>
      <c r="AG1053" s="196">
        <f ca="1">IF($AE1036,I1053,AG1042)</f>
        <v>8888</v>
      </c>
      <c r="BD1053" s="157"/>
    </row>
    <row r="1054" spans="2:56">
      <c r="B1054" s="156"/>
      <c r="F1054" s="157"/>
      <c r="G1054" s="2" t="s">
        <v>9</v>
      </c>
      <c r="H1054" s="128">
        <f ca="1">IF(G1036&gt;=5,H1038,H1053)</f>
        <v>8888</v>
      </c>
      <c r="I1054" s="139">
        <f ca="1">IF(G1036&gt;=5,I1053-P1031,I1053)</f>
        <v>8888</v>
      </c>
      <c r="AD1054" s="157"/>
      <c r="AE1054" s="2" t="s">
        <v>9</v>
      </c>
      <c r="AF1054" s="128">
        <f ca="1">IF($AE1036,H1054,AF1042)</f>
        <v>8888</v>
      </c>
      <c r="AG1054" s="129">
        <f ca="1">IF($AE1036,I1054,AG1042)</f>
        <v>8888</v>
      </c>
      <c r="BD1054" s="157"/>
    </row>
    <row r="1055" spans="2:56">
      <c r="B1055" s="156"/>
      <c r="F1055" s="157"/>
      <c r="G1055" s="2" t="s">
        <v>196</v>
      </c>
      <c r="H1055" s="128">
        <f ca="1">IF(G1036&gt;=5,H1039,H1053)</f>
        <v>8888</v>
      </c>
      <c r="I1055" s="139">
        <f ca="1">IF(G1036&gt;=5,I1054,I1053)</f>
        <v>8888</v>
      </c>
      <c r="AD1055" s="157"/>
      <c r="AE1055" s="2" t="s">
        <v>196</v>
      </c>
      <c r="AF1055" s="128">
        <f ca="1">IF($AE1036,H1055,AF1042)</f>
        <v>8888</v>
      </c>
      <c r="AG1055" s="129">
        <f ca="1">IF($AE1036,I1055,AG1042)</f>
        <v>8888</v>
      </c>
      <c r="BD1055" s="157"/>
    </row>
    <row r="1056" spans="2:56">
      <c r="B1056" s="156"/>
      <c r="F1056" s="157"/>
      <c r="G1056" s="2" t="s">
        <v>10</v>
      </c>
      <c r="H1056" s="128">
        <f ca="1">IF(G1036&gt;=5,H1039,H1053)</f>
        <v>8888</v>
      </c>
      <c r="I1056" s="139">
        <f ca="1">IF(G1036&gt;=5,I1055-P1029,I1053)</f>
        <v>8888</v>
      </c>
      <c r="AD1056" s="157"/>
      <c r="AE1056" s="2" t="s">
        <v>10</v>
      </c>
      <c r="AF1056" s="128">
        <f ca="1">IF($AE1036,H1056,AF1042)</f>
        <v>8888</v>
      </c>
      <c r="AG1056" s="129">
        <f ca="1">IF($AE1036,I1056,AG1042)</f>
        <v>8888</v>
      </c>
      <c r="BD1056" s="157"/>
    </row>
    <row r="1057" spans="2:56">
      <c r="B1057" s="156"/>
      <c r="F1057" s="157"/>
      <c r="G1057" s="2" t="s">
        <v>161</v>
      </c>
      <c r="H1057" s="188">
        <f ca="1">IF(G1036&gt;=5,H1038,H1053)</f>
        <v>8888</v>
      </c>
      <c r="I1057" s="189">
        <f ca="1">IF(G1036&gt;=5,I1056,I1053)</f>
        <v>8888</v>
      </c>
      <c r="AD1057" s="157"/>
      <c r="AE1057" s="2" t="s">
        <v>161</v>
      </c>
      <c r="AF1057" s="188">
        <f ca="1">IF($AE1036,H1057,AF1042)</f>
        <v>8888</v>
      </c>
      <c r="AG1057" s="196">
        <f ca="1">IF($AE1036,I1057,AG1042)</f>
        <v>8888</v>
      </c>
      <c r="BD1057" s="157"/>
    </row>
    <row r="1058" spans="2:56">
      <c r="B1058" s="156"/>
      <c r="F1058" s="157"/>
      <c r="G1058" s="192" t="s">
        <v>11</v>
      </c>
      <c r="H1058" s="128">
        <f ca="1">IF(G1036&gt;=6,H1038,H1057)</f>
        <v>8888</v>
      </c>
      <c r="I1058" s="139">
        <f ca="1">IF(G1036&gt;=6,I1057-P1031,I1057)</f>
        <v>8888</v>
      </c>
      <c r="AD1058" s="157"/>
      <c r="AE1058" s="192" t="s">
        <v>11</v>
      </c>
      <c r="AF1058" s="128">
        <f ca="1">IF($AE1036,H1058,AF1042)</f>
        <v>8888</v>
      </c>
      <c r="AG1058" s="129">
        <f ca="1">IF($AE1036,I1058,AG1042)</f>
        <v>8888</v>
      </c>
      <c r="BD1058" s="157"/>
    </row>
    <row r="1059" spans="2:56">
      <c r="B1059" s="156"/>
      <c r="F1059" s="157"/>
      <c r="G1059" s="2" t="s">
        <v>12</v>
      </c>
      <c r="H1059" s="128">
        <f ca="1">IF(G1036&gt;=6,H1039,H1057)</f>
        <v>8888</v>
      </c>
      <c r="I1059" s="139">
        <f ca="1">IF(G1036&gt;=6,I1058,I1057)</f>
        <v>8888</v>
      </c>
      <c r="AD1059" s="157"/>
      <c r="AE1059" s="2" t="s">
        <v>12</v>
      </c>
      <c r="AF1059" s="128">
        <f ca="1">IF($AE1036,H1059,AF1042)</f>
        <v>8888</v>
      </c>
      <c r="AG1059" s="129">
        <f ca="1">IF($AE1036,I1059,AG1042)</f>
        <v>8888</v>
      </c>
      <c r="BD1059" s="157"/>
    </row>
    <row r="1060" spans="2:56">
      <c r="B1060" s="156"/>
      <c r="F1060" s="157"/>
      <c r="G1060" s="2" t="s">
        <v>13</v>
      </c>
      <c r="H1060" s="128">
        <f ca="1">IF(G1036&gt;=6,H1039,H1057)</f>
        <v>8888</v>
      </c>
      <c r="I1060" s="139">
        <f ca="1">IF(G1036&gt;=6,I1059-P1029,I1057)</f>
        <v>8888</v>
      </c>
      <c r="AD1060" s="157"/>
      <c r="AE1060" s="2" t="s">
        <v>13</v>
      </c>
      <c r="AF1060" s="128">
        <f ca="1">IF($AE1036,H1060,AF1042)</f>
        <v>8888</v>
      </c>
      <c r="AG1060" s="129">
        <f ca="1">IF($AE1036,I1060,AG1042)</f>
        <v>8888</v>
      </c>
      <c r="BD1060" s="157"/>
    </row>
    <row r="1061" spans="2:56">
      <c r="B1061" s="156"/>
      <c r="F1061" s="157"/>
      <c r="G1061" s="115" t="s">
        <v>14</v>
      </c>
      <c r="H1061" s="188">
        <f ca="1">IF(G1036&gt;=6,H1038,H1057)</f>
        <v>8888</v>
      </c>
      <c r="I1061" s="189">
        <f ca="1">IF(G1036&gt;=6,I1060,I1057)</f>
        <v>8888</v>
      </c>
      <c r="AD1061" s="157"/>
      <c r="AE1061" s="115" t="s">
        <v>14</v>
      </c>
      <c r="AF1061" s="188">
        <f ca="1">IF($AE1036,H1061,AF1042)</f>
        <v>8888</v>
      </c>
      <c r="AG1061" s="196">
        <f ca="1">IF($AE1036,I1061,AG1042)</f>
        <v>8888</v>
      </c>
      <c r="BD1061" s="157"/>
    </row>
    <row r="1062" spans="2:56" ht="15" thickBot="1">
      <c r="B1062" s="156"/>
      <c r="G1062" s="130" t="s">
        <v>396</v>
      </c>
      <c r="H1062" s="130">
        <f ca="1">H1038</f>
        <v>8888</v>
      </c>
      <c r="I1062" s="140">
        <f ca="1">I1038</f>
        <v>8888</v>
      </c>
      <c r="AE1062" s="130" t="s">
        <v>396</v>
      </c>
      <c r="AF1062" s="130">
        <f ca="1">IF($AE1036,H1062,AF1042)</f>
        <v>8888</v>
      </c>
      <c r="AG1062" s="132">
        <f ca="1">IF($AE1036,I1062,AG1042)</f>
        <v>8888</v>
      </c>
      <c r="BD1062" s="157"/>
    </row>
    <row r="1063" spans="2:56">
      <c r="B1063" s="156"/>
      <c r="BD1063" s="157"/>
    </row>
    <row r="1064" spans="2:56">
      <c r="B1064" s="156"/>
      <c r="BD1064" s="157"/>
    </row>
    <row r="1065" spans="2:56">
      <c r="B1065" s="156"/>
      <c r="C1065" s="200" t="s">
        <v>336</v>
      </c>
      <c r="D1065">
        <f>D1029+1</f>
        <v>25</v>
      </c>
      <c r="G1065" s="200" t="s">
        <v>638</v>
      </c>
      <c r="H1065">
        <f ca="1">LOOKUP(D1068,$C$191:$C$196,$D$191:$D$196)</f>
        <v>0</v>
      </c>
      <c r="K1065" s="200" t="s">
        <v>644</v>
      </c>
      <c r="L1065">
        <f ca="1">L1029-H1070</f>
        <v>-16.562000000000005</v>
      </c>
      <c r="O1065" s="200" t="s">
        <v>404</v>
      </c>
      <c r="P1065">
        <f ca="1">IF(D1067=1,SEAT_w_cushion_FC,IF(D1067=2,SEAT_w_cushion_BC,IF(D1067=3,SEAT_w_cushion_YC,0)))</f>
        <v>0</v>
      </c>
      <c r="S1065" s="200" t="s">
        <v>647</v>
      </c>
      <c r="T1065">
        <f ca="1">LOOKUP(D1068,$C$191:$C$196,$E$191:$E$196)</f>
        <v>0</v>
      </c>
      <c r="W1065" t="s">
        <v>130</v>
      </c>
      <c r="X1065" t="str">
        <f ca="1">OFFSET(Fuselage!$B$275,D1065,5)</f>
        <v>None</v>
      </c>
      <c r="AN1065" s="200" t="s">
        <v>135</v>
      </c>
      <c r="AO1065">
        <f ca="1">MAX(0,H1070-MAX(T1065,T1067,T1069,P1066)-X1066)</f>
        <v>0</v>
      </c>
      <c r="BD1065" s="157"/>
    </row>
    <row r="1066" spans="2:56">
      <c r="B1066" s="156"/>
      <c r="C1066" s="200" t="s">
        <v>200</v>
      </c>
      <c r="D1066" t="str">
        <f ca="1">OFFSET(Fuselage!$B$275,D1065,0)</f>
        <v/>
      </c>
      <c r="G1066" s="200" t="s">
        <v>639</v>
      </c>
      <c r="H1066">
        <f ca="1">LOOKUP(D1069,$C$191:$C$196,$D$191:$D$196)</f>
        <v>0</v>
      </c>
      <c r="O1066" s="200" t="s">
        <v>535</v>
      </c>
      <c r="P1066">
        <f ca="1">IF(D1067=1,SEAT_length_FC,IF(D1067=2,SEAT_length_BC,IF(D1067=3,SEAT_length_YC,0)))</f>
        <v>0</v>
      </c>
      <c r="S1066" s="200" t="s">
        <v>648</v>
      </c>
      <c r="T1066">
        <f ca="1">LOOKUP(D1068,$C$191:$C$196,$F$191:$F$196)</f>
        <v>0</v>
      </c>
      <c r="W1066" t="s">
        <v>131</v>
      </c>
      <c r="X1066">
        <f ca="1">LOOKUP(X1065,$I$191:$I$198,$J$191:$J$198)</f>
        <v>0</v>
      </c>
      <c r="BD1066" s="157"/>
    </row>
    <row r="1067" spans="2:56">
      <c r="B1067" s="156"/>
      <c r="C1067" s="200" t="s">
        <v>337</v>
      </c>
      <c r="D1067" t="str">
        <f ca="1">OFFSET(Fuselage!$B$275,D1065,4)</f>
        <v/>
      </c>
      <c r="G1067" s="200" t="s">
        <v>309</v>
      </c>
      <c r="H1067">
        <f ca="1">LOOKUP(D1070,$C$191:$C$196,$D$191:$D$196)</f>
        <v>0</v>
      </c>
      <c r="K1067" s="200" t="s">
        <v>645</v>
      </c>
      <c r="L1067">
        <f ca="1">IF(D1067=1,FUSELAGE_nseats_left_FC,IF(D1067=2,FUSELAGE_nseats_left_BC,IF(D1067=3,FUSELAGE_nseats_left_YC,0)))</f>
        <v>0</v>
      </c>
      <c r="O1067" s="200" t="s">
        <v>405</v>
      </c>
      <c r="P1067">
        <f ca="1">IF(D1067=1,SEAT_w_armrest_FC,IF(D1067=2,SEAT_w_armrest_BC,IF(D1067=3,SEAT_w_armrest_YC,0)))</f>
        <v>0</v>
      </c>
      <c r="S1067" s="200" t="s">
        <v>652</v>
      </c>
      <c r="T1067">
        <f ca="1">LOOKUP(D1069,$C$191:$C$196,$E$191:$E$196)</f>
        <v>0</v>
      </c>
      <c r="W1067" s="200" t="s">
        <v>393</v>
      </c>
      <c r="X1067" t="b">
        <f ca="1">IF(OFFSET(Fuselage!$B$275,D1065,6)="YES",TRUE(),FALSE())</f>
        <v>0</v>
      </c>
      <c r="BD1067" s="157"/>
    </row>
    <row r="1068" spans="2:56">
      <c r="B1068" s="156"/>
      <c r="C1068" s="200" t="s">
        <v>640</v>
      </c>
      <c r="D1068" t="str">
        <f ca="1">OFFSET(Fuselage!$B$275,D1065,1)</f>
        <v>None</v>
      </c>
      <c r="G1068" s="200" t="s">
        <v>132</v>
      </c>
      <c r="H1068">
        <f ca="1">IF(D1067=1,SEAT_pitch_FC,IF(D1067=2,SEAT_pitch_BC,IF(D1067=3,SEAT_pitch_YC,0)))</f>
        <v>0</v>
      </c>
      <c r="K1068" s="200" t="s">
        <v>646</v>
      </c>
      <c r="L1068">
        <f ca="1">IF(D1067=1,FUSELAGE_nseats_middle_FC,IF(D1067=2,FUSELAGE_nseats_middle_BC,IF(D1067=3,FUSELAGE_nseats_middle_YC,0)))</f>
        <v>0</v>
      </c>
      <c r="S1068" s="200" t="s">
        <v>653</v>
      </c>
      <c r="T1068">
        <f ca="1">LOOKUP(D1069,$C$191:$C$196,$F$191:$F$196)</f>
        <v>0</v>
      </c>
      <c r="BD1068" s="157"/>
    </row>
    <row r="1069" spans="2:56">
      <c r="B1069" s="156"/>
      <c r="C1069" s="200" t="s">
        <v>642</v>
      </c>
      <c r="D1069" t="str">
        <f ca="1">OFFSET(Fuselage!$B$275,D1065,2)</f>
        <v>None</v>
      </c>
      <c r="G1069" s="200" t="s">
        <v>129</v>
      </c>
      <c r="H1069">
        <f ca="1">IF(OR(X1065="Type A",X1065="Type B"),MAX(H1065:H1068)+42*0.0254,IF(X1065="Type C",MAX(H1065:H1068)+X1066,IF(X1065&lt;&gt;"None",24*0.0254,0)))</f>
        <v>0</v>
      </c>
      <c r="K1069" s="200" t="s">
        <v>655</v>
      </c>
      <c r="L1069">
        <f ca="1">IF(D1067=1,FUSELAGE_nseats_right_FC,IF(D1067=2,FUSELAGE_nseats_right_BC,IF(D1067=3,FUSELAGE_nseats_right_YC,0)))</f>
        <v>0</v>
      </c>
      <c r="O1069" s="200" t="s">
        <v>407</v>
      </c>
      <c r="P1069">
        <f ca="1">($C$13-(L1067+L1068+L1069)*(P1065+P1067)+(FUSELAGE_n_aisles-1)*P1067)/FUSELAGE_n_aisles</f>
        <v>2.76</v>
      </c>
      <c r="S1069" s="200" t="s">
        <v>651</v>
      </c>
      <c r="T1069">
        <f ca="1">LOOKUP(D1070,$C$191:$C$196,$E$191:$E$196)</f>
        <v>0</v>
      </c>
      <c r="BD1069" s="157"/>
    </row>
    <row r="1070" spans="2:56">
      <c r="B1070" s="156"/>
      <c r="C1070" s="200" t="s">
        <v>641</v>
      </c>
      <c r="D1070" t="str">
        <f ca="1">OFFSET(Fuselage!$B$275,D1065,3)</f>
        <v>None</v>
      </c>
      <c r="G1070" s="200" t="s">
        <v>643</v>
      </c>
      <c r="H1070">
        <f ca="1">MAX(H1065:H1069)</f>
        <v>0</v>
      </c>
      <c r="S1070" s="200" t="s">
        <v>654</v>
      </c>
      <c r="T1070">
        <f ca="1">LOOKUP(D1070,$C$191:$C$196,$F$191:$F$196)</f>
        <v>0</v>
      </c>
      <c r="BD1070" s="157"/>
    </row>
    <row r="1071" spans="2:56" ht="15" thickBot="1">
      <c r="B1071" s="156"/>
      <c r="BD1071" s="157"/>
    </row>
    <row r="1072" spans="2:56" ht="15" thickBot="1">
      <c r="B1072" s="156"/>
      <c r="C1072" s="141">
        <f ca="1">L1069</f>
        <v>0</v>
      </c>
      <c r="D1072" s="197" t="str">
        <f ca="1">IF($D1067=1,"FC",IF($D1067=2,"BC",IF($D1067=3,"YC","Nothing")))</f>
        <v>Nothing</v>
      </c>
      <c r="E1072" s="198"/>
      <c r="G1072" s="141">
        <f ca="1">L1068</f>
        <v>0</v>
      </c>
      <c r="H1072" s="197" t="str">
        <f ca="1">IF($D1067=1,"FC",IF($D1067=2,"BC",IF($D1067=3,"YC","Nothing")))</f>
        <v>Nothing</v>
      </c>
      <c r="I1072" s="198"/>
      <c r="K1072" s="141">
        <f ca="1" xml:space="preserve"> L1067</f>
        <v>0</v>
      </c>
      <c r="L1072" s="197" t="str">
        <f ca="1">IF($D1067=1,"FC",IF($D1067=2,"BC",IF($D1067=3,"YC","Nothing")))</f>
        <v>Nothing</v>
      </c>
      <c r="M1072" s="198"/>
      <c r="O1072" s="141">
        <f ca="1">IF($D1070&lt;&gt;"None",1,0)</f>
        <v>0</v>
      </c>
      <c r="P1072" s="326" t="s">
        <v>380</v>
      </c>
      <c r="Q1072" s="327"/>
      <c r="S1072" s="141">
        <f ca="1">IF($D1069&lt;&gt;"None",1,0)</f>
        <v>0</v>
      </c>
      <c r="T1072" s="326" t="s">
        <v>381</v>
      </c>
      <c r="U1072" s="327"/>
      <c r="W1072" s="141">
        <f ca="1">IF($D1068&lt;&gt;"None",1,0)</f>
        <v>0</v>
      </c>
      <c r="X1072" s="326" t="s">
        <v>382</v>
      </c>
      <c r="Y1072" s="327"/>
      <c r="AA1072" s="141">
        <f ca="1">IF($D1070="None",1,0)</f>
        <v>1</v>
      </c>
      <c r="AB1072" s="326" t="str">
        <f ca="1">IF(AA1072,D1072,$D1070)</f>
        <v>Nothing</v>
      </c>
      <c r="AC1072" s="327"/>
      <c r="AE1072" s="141">
        <f ca="1">IF($D1069="None",1,0)</f>
        <v>1</v>
      </c>
      <c r="AF1072" s="326" t="str">
        <f ca="1">IF(AE1072,H1072,$D1069)</f>
        <v>Nothing</v>
      </c>
      <c r="AG1072" s="327"/>
      <c r="AI1072" s="141">
        <f ca="1">IF($D1068="None",1,0)</f>
        <v>1</v>
      </c>
      <c r="AJ1072" s="326" t="str">
        <f ca="1">IF(AI1072,L1072,$D1068)</f>
        <v>Nothing</v>
      </c>
      <c r="AK1072" s="327"/>
      <c r="AM1072" s="141">
        <f ca="1">IF($X1065="None",0,1)</f>
        <v>0</v>
      </c>
      <c r="AN1072" s="197" t="s">
        <v>133</v>
      </c>
      <c r="AO1072" s="198"/>
      <c r="AQ1072" s="141">
        <f ca="1">IF($X1065="None",0,1)</f>
        <v>0</v>
      </c>
      <c r="AR1072" s="197" t="s">
        <v>134</v>
      </c>
      <c r="AS1072" s="198"/>
      <c r="BD1072" s="157"/>
    </row>
    <row r="1073" spans="2:56" ht="15" thickBot="1">
      <c r="B1073" s="156"/>
      <c r="C1073" s="136" t="s">
        <v>452</v>
      </c>
      <c r="D1073" s="136" t="s">
        <v>384</v>
      </c>
      <c r="E1073" s="138" t="s">
        <v>385</v>
      </c>
      <c r="G1073" s="136" t="s">
        <v>452</v>
      </c>
      <c r="H1073" s="136" t="s">
        <v>384</v>
      </c>
      <c r="I1073" s="138" t="s">
        <v>385</v>
      </c>
      <c r="K1073" s="193" t="s">
        <v>452</v>
      </c>
      <c r="L1073" s="193" t="s">
        <v>384</v>
      </c>
      <c r="M1073" s="194" t="s">
        <v>385</v>
      </c>
      <c r="O1073" s="136" t="s">
        <v>452</v>
      </c>
      <c r="P1073" s="136" t="s">
        <v>384</v>
      </c>
      <c r="Q1073" s="138" t="s">
        <v>385</v>
      </c>
      <c r="S1073" s="136" t="s">
        <v>452</v>
      </c>
      <c r="T1073" s="136" t="s">
        <v>384</v>
      </c>
      <c r="U1073" s="138" t="s">
        <v>385</v>
      </c>
      <c r="W1073" s="136" t="s">
        <v>452</v>
      </c>
      <c r="X1073" s="136" t="s">
        <v>384</v>
      </c>
      <c r="Y1073" s="138" t="s">
        <v>385</v>
      </c>
      <c r="AA1073" s="136" t="s">
        <v>452</v>
      </c>
      <c r="AB1073" s="136" t="s">
        <v>384</v>
      </c>
      <c r="AC1073" s="138" t="s">
        <v>385</v>
      </c>
      <c r="AE1073" s="136" t="s">
        <v>452</v>
      </c>
      <c r="AF1073" s="136" t="s">
        <v>384</v>
      </c>
      <c r="AG1073" s="138" t="s">
        <v>385</v>
      </c>
      <c r="AI1073" s="193" t="s">
        <v>452</v>
      </c>
      <c r="AJ1073" s="193" t="s">
        <v>384</v>
      </c>
      <c r="AK1073" s="194" t="s">
        <v>385</v>
      </c>
      <c r="AM1073" s="193" t="s">
        <v>452</v>
      </c>
      <c r="AN1073" s="193" t="s">
        <v>384</v>
      </c>
      <c r="AO1073" s="194" t="s">
        <v>385</v>
      </c>
      <c r="AQ1073" s="193" t="s">
        <v>452</v>
      </c>
      <c r="AR1073" s="193" t="s">
        <v>384</v>
      </c>
      <c r="AS1073" s="194" t="s">
        <v>385</v>
      </c>
      <c r="BD1073" s="157"/>
    </row>
    <row r="1074" spans="2:56">
      <c r="B1074" s="156"/>
      <c r="C1074" s="128" t="s">
        <v>396</v>
      </c>
      <c r="D1074" s="158">
        <f ca="1">IF(C1072&gt;=1,L1065,8888)</f>
        <v>8888</v>
      </c>
      <c r="E1074" s="160">
        <f ca="1">IF(C1072&gt;=1,1/2*($C$13-P1065-2*P1067)+1/2*P1065,8888)</f>
        <v>8888</v>
      </c>
      <c r="G1074" s="128" t="s">
        <v>396</v>
      </c>
      <c r="H1074" s="158">
        <f ca="1">IF(G1072&gt;=1,L1065,8888)</f>
        <v>8888</v>
      </c>
      <c r="I1074" s="160">
        <f ca="1">IF(G1072&gt;=1,E1085-P1069,8888)</f>
        <v>8888</v>
      </c>
      <c r="K1074" s="128" t="s">
        <v>396</v>
      </c>
      <c r="L1074" s="158">
        <f ca="1">IF(K1072&gt;=1,L1065,8888)</f>
        <v>8888</v>
      </c>
      <c r="M1074" s="160">
        <f ca="1">IF(K1072&gt;=1,IF(FUSELAGE_n_aisles=1,E1085-P1069,I1097-P1069),8888)</f>
        <v>8888</v>
      </c>
      <c r="O1074" s="128" t="s">
        <v>396</v>
      </c>
      <c r="P1074" s="158">
        <f ca="1">IF(O1072,$L1065,8888)</f>
        <v>8888</v>
      </c>
      <c r="Q1074" s="209">
        <f ca="1">IF(O1072,FUSELAGE_y_position_of_left_seat_YC-(FUSELAGE_nseats_right_YC-1)*(SEAT_w_cushion_YC+SEAT_w_armrest_YC)/2+T1070/2,8888)</f>
        <v>8888</v>
      </c>
      <c r="S1074" s="128" t="s">
        <v>396</v>
      </c>
      <c r="T1074" s="158">
        <f ca="1">IF(S1072,$L1065,8888)</f>
        <v>8888</v>
      </c>
      <c r="U1074" s="160">
        <f ca="1">IF(S1072,T1068/2,8888)</f>
        <v>8888</v>
      </c>
      <c r="W1074" s="128" t="s">
        <v>396</v>
      </c>
      <c r="X1074" s="158">
        <f ca="1">IF(W1072,$L1065,8888)</f>
        <v>8888</v>
      </c>
      <c r="Y1074" s="160">
        <f ca="1">IF(W1072,-FUSELAGE_y_position_of_left_seat_YC+(FUSELAGE_nseats_left_YC-1)*(SEAT_w_cushion_YC+SEAT_w_armrest_YC)/2-T1066/2,8888)</f>
        <v>8888</v>
      </c>
      <c r="AA1074" s="128" t="s">
        <v>396</v>
      </c>
      <c r="AB1074" s="158">
        <f ca="1">IF($AA1072,D1074,P1074)</f>
        <v>8888</v>
      </c>
      <c r="AC1074" s="174">
        <f ca="1">IF($AA1072,E1074,Q1074)</f>
        <v>8888</v>
      </c>
      <c r="AE1074" s="128" t="s">
        <v>396</v>
      </c>
      <c r="AF1074" s="158">
        <f ca="1">IF($AE1072,H1074,T1074)</f>
        <v>8888</v>
      </c>
      <c r="AG1074" s="174">
        <f ca="1">IF($AE1072,I1074,U1074)</f>
        <v>8888</v>
      </c>
      <c r="AI1074" s="128" t="s">
        <v>396</v>
      </c>
      <c r="AJ1074" s="158">
        <f ca="1">IF($AI1072,L1074,X1074)</f>
        <v>8888</v>
      </c>
      <c r="AK1074" s="174">
        <f ca="1">IF($AI1072,M1074,Y1074)</f>
        <v>8888</v>
      </c>
      <c r="AM1074" s="128" t="s">
        <v>396</v>
      </c>
      <c r="AN1074" s="158">
        <f ca="1">AN1043</f>
        <v>-16.562000000000005</v>
      </c>
      <c r="AO1074" s="174">
        <f ca="1">IF(AN1074&gt;-Fuselage!$D$366,(FUSELAGE_a_ellipse)*SQRT(1-((AN1074+Fuselage!$D$366)/(Fuselage!$K$364-FUSELAGE_t_fuselage))^2),IF(AN1074&gt;$L$2505+Fuselage!$K$370,FUSELAGE_a_ellipse,(FUSELAGE_a_ellipse+FUSELAGE_t_fuselage-FUSELAGE_d_fo/4)/Fuselage!$K$368*(AN1074-$L$2505-Fuselage!$K$370)+FUSELAGE_a_ellipse))</f>
        <v>1.4960570012328709</v>
      </c>
      <c r="AQ1074" s="128" t="s">
        <v>396</v>
      </c>
      <c r="AR1074" s="158">
        <f t="shared" ref="AR1074:AR1079" ca="1" si="114">AN1074</f>
        <v>-16.562000000000005</v>
      </c>
      <c r="AS1074" s="174">
        <f t="shared" ref="AS1074:AS1079" ca="1" si="115">-AO1074</f>
        <v>-1.4960570012328709</v>
      </c>
      <c r="BD1074" s="157"/>
    </row>
    <row r="1075" spans="2:56">
      <c r="B1075" s="156"/>
      <c r="C1075" s="128" t="s">
        <v>213</v>
      </c>
      <c r="D1075" s="128">
        <f ca="1">IF(X1067,D1074+P1066/4,D1074+P1066)</f>
        <v>8888</v>
      </c>
      <c r="E1075" s="139">
        <f ca="1">E1074</f>
        <v>8888</v>
      </c>
      <c r="G1075" s="128" t="s">
        <v>213</v>
      </c>
      <c r="H1075" s="128">
        <f ca="1">H1074+P1066</f>
        <v>8888</v>
      </c>
      <c r="I1075" s="139">
        <f ca="1">I1074</f>
        <v>8888</v>
      </c>
      <c r="K1075" s="128" t="s">
        <v>213</v>
      </c>
      <c r="L1075" s="128">
        <f ca="1">IF(X1067,IF(K1072=1,L1074+P1066/4,L1074+P1066),L1074+P1066)</f>
        <v>8888</v>
      </c>
      <c r="M1075" s="139">
        <f ca="1">M1074</f>
        <v>8888</v>
      </c>
      <c r="O1075" s="128" t="s">
        <v>213</v>
      </c>
      <c r="P1075" s="128">
        <f ca="1">P1074+$T1069</f>
        <v>8888</v>
      </c>
      <c r="Q1075" s="139">
        <f ca="1">Q1074</f>
        <v>8888</v>
      </c>
      <c r="S1075" s="128" t="s">
        <v>213</v>
      </c>
      <c r="T1075" s="128">
        <f ca="1">T1074+$T1067</f>
        <v>8888</v>
      </c>
      <c r="U1075" s="139">
        <f ca="1">U1074</f>
        <v>8888</v>
      </c>
      <c r="W1075" s="128" t="s">
        <v>213</v>
      </c>
      <c r="X1075" s="128">
        <f ca="1">X1074+$T1065</f>
        <v>8888</v>
      </c>
      <c r="Y1075" s="139">
        <f ca="1">Y1074</f>
        <v>8888</v>
      </c>
      <c r="AA1075" s="143" t="s">
        <v>213</v>
      </c>
      <c r="AB1075" s="128">
        <f ca="1">IF($AA1072,D1075,P1075)</f>
        <v>8888</v>
      </c>
      <c r="AC1075" s="129">
        <f ca="1">IF($AA1072,E1075,Q1075)</f>
        <v>8888</v>
      </c>
      <c r="AE1075" s="128" t="s">
        <v>213</v>
      </c>
      <c r="AF1075" s="128">
        <f ca="1">IF($AE1072,H1075,T1075)</f>
        <v>8888</v>
      </c>
      <c r="AG1075" s="129">
        <f ca="1">IF($AE1072,I1075,U1075)</f>
        <v>8888</v>
      </c>
      <c r="AI1075" s="128" t="s">
        <v>213</v>
      </c>
      <c r="AJ1075" s="128">
        <f ca="1">IF($AI1072,L1075,X1075)</f>
        <v>8888</v>
      </c>
      <c r="AK1075" s="129">
        <f ca="1">IF($AI1072,M1075,Y1075)</f>
        <v>8888</v>
      </c>
      <c r="AM1075" s="128" t="s">
        <v>213</v>
      </c>
      <c r="AN1075" s="128">
        <f ca="1">AN1074-AO1065/2</f>
        <v>-16.562000000000005</v>
      </c>
      <c r="AO1075" s="129">
        <f ca="1">IF(AN1075&gt;-Fuselage!$D$366,(FUSELAGE_a_ellipse)*SQRT(1-((AN1075+Fuselage!$D$366)/(Fuselage!$K$364-FUSELAGE_t_fuselage))^2),IF(AN1075&gt;$L$2505+Fuselage!$K$370,FUSELAGE_a_ellipse,(FUSELAGE_a_ellipse+FUSELAGE_t_fuselage-FUSELAGE_d_fo/4)/Fuselage!$K$368*(AN1075-$L$2505-Fuselage!$K$370)+FUSELAGE_a_ellipse))</f>
        <v>1.4960570012328709</v>
      </c>
      <c r="AQ1075" s="128" t="s">
        <v>213</v>
      </c>
      <c r="AR1075" s="128">
        <f t="shared" ca="1" si="114"/>
        <v>-16.562000000000005</v>
      </c>
      <c r="AS1075" s="129">
        <f t="shared" ca="1" si="115"/>
        <v>-1.4960570012328709</v>
      </c>
      <c r="BD1075" s="157"/>
    </row>
    <row r="1076" spans="2:56">
      <c r="B1076" s="156"/>
      <c r="C1076" s="128" t="s">
        <v>286</v>
      </c>
      <c r="D1076" s="128">
        <f ca="1">D1075</f>
        <v>8888</v>
      </c>
      <c r="E1076" s="139">
        <f ca="1">E1075-P1065</f>
        <v>8888</v>
      </c>
      <c r="G1076" s="128" t="s">
        <v>286</v>
      </c>
      <c r="H1076" s="128">
        <f ca="1">H1075</f>
        <v>8888</v>
      </c>
      <c r="I1076" s="139">
        <f ca="1">I1075-P1065</f>
        <v>8888</v>
      </c>
      <c r="K1076" s="128" t="s">
        <v>286</v>
      </c>
      <c r="L1076" s="128">
        <f ca="1">L1075</f>
        <v>8888</v>
      </c>
      <c r="M1076" s="139">
        <f ca="1">M1075-P1065</f>
        <v>8888</v>
      </c>
      <c r="O1076" s="128" t="s">
        <v>286</v>
      </c>
      <c r="P1076" s="128">
        <f ca="1">P1075</f>
        <v>8888</v>
      </c>
      <c r="Q1076" s="139">
        <f ca="1">Q1075-$T1070</f>
        <v>8888</v>
      </c>
      <c r="S1076" s="128" t="s">
        <v>286</v>
      </c>
      <c r="T1076" s="128">
        <f ca="1">T1075</f>
        <v>8888</v>
      </c>
      <c r="U1076" s="139">
        <f ca="1">U1075-$T1068</f>
        <v>8888</v>
      </c>
      <c r="W1076" s="128" t="s">
        <v>286</v>
      </c>
      <c r="X1076" s="128">
        <f ca="1">X1075</f>
        <v>8888</v>
      </c>
      <c r="Y1076" s="139">
        <f ca="1">Y1075+$T1066</f>
        <v>8888</v>
      </c>
      <c r="AA1076" s="143" t="s">
        <v>286</v>
      </c>
      <c r="AB1076" s="128">
        <f ca="1">IF($AA1072,D1076,P1076)</f>
        <v>8888</v>
      </c>
      <c r="AC1076" s="129">
        <f ca="1">IF($AA1072,E1076,Q1076)</f>
        <v>8888</v>
      </c>
      <c r="AE1076" s="128" t="s">
        <v>286</v>
      </c>
      <c r="AF1076" s="128">
        <f ca="1">IF($AE1072,H1076,T1076)</f>
        <v>8888</v>
      </c>
      <c r="AG1076" s="129">
        <f ca="1">IF($AE1072,I1076,U1076)</f>
        <v>8888</v>
      </c>
      <c r="AI1076" s="128" t="s">
        <v>286</v>
      </c>
      <c r="AJ1076" s="128">
        <f ca="1">IF($AI1072,L1076,X1076)</f>
        <v>8888</v>
      </c>
      <c r="AK1076" s="129">
        <f ca="1">IF($AI1072,M1076,Y1076)</f>
        <v>8888</v>
      </c>
      <c r="AM1076" s="128" t="s">
        <v>286</v>
      </c>
      <c r="AN1076" s="128">
        <f ca="1">AN1075</f>
        <v>-16.562000000000005</v>
      </c>
      <c r="AO1076" s="129">
        <f ca="1">IF(AN1076&gt;-Fuselage!$D$366,IF(AM1072,(FUSELAGE_a_ellipse+FUSELAGE_t_fuselage)*SQRT(1-((AN1076+Fuselage!$D$366)/Fuselage!$K$364)^2),(FUSELAGE_a_ellipse)*SQRT(1-((AN1076+Fuselage!$D$366)/Fuselage!$K$364)^2)),IF(AN1076&gt;$L$2505+Fuselage!$K$370,(IF(AM1072,FUSELAGE_a_ellipse+FUSELAGE_t_fuselage,FUSELAGE_a_ellipse)),IF(AM1072,(FUSELAGE_a_ellipse+FUSELAGE_t_fuselage-FUSELAGE_d_fo/4)/Fuselage!$K$368*(AN1076-$L$2505-Fuselage!$K$370)+FUSELAGE_a_ellipse+FUSELAGE_t_fuselage,(FUSELAGE_a_ellipse+FUSELAGE_t_fuselage-FUSELAGE_d_fo/4)/Fuselage!$K$368*(AN1076-$L$2505-Fuselage!$K$370)+FUSELAGE_a_ellipse)))</f>
        <v>1.4960570012328709</v>
      </c>
      <c r="AQ1076" s="128" t="s">
        <v>286</v>
      </c>
      <c r="AR1076" s="128">
        <f t="shared" ca="1" si="114"/>
        <v>-16.562000000000005</v>
      </c>
      <c r="AS1076" s="129">
        <f t="shared" ca="1" si="115"/>
        <v>-1.4960570012328709</v>
      </c>
      <c r="BD1076" s="157"/>
    </row>
    <row r="1077" spans="2:56">
      <c r="B1077" s="156"/>
      <c r="C1077" s="188" t="s">
        <v>522</v>
      </c>
      <c r="D1077" s="188">
        <f ca="1">D1074</f>
        <v>8888</v>
      </c>
      <c r="E1077" s="189">
        <f ca="1">E1076</f>
        <v>8888</v>
      </c>
      <c r="F1077" s="157"/>
      <c r="G1077" s="2" t="s">
        <v>522</v>
      </c>
      <c r="H1077" s="128">
        <f ca="1">H1074</f>
        <v>8888</v>
      </c>
      <c r="I1077" s="139">
        <f ca="1">I1076</f>
        <v>8888</v>
      </c>
      <c r="K1077" s="128" t="s">
        <v>522</v>
      </c>
      <c r="L1077" s="128">
        <f ca="1">L1074</f>
        <v>8888</v>
      </c>
      <c r="M1077" s="139">
        <f ca="1">M1076</f>
        <v>8888</v>
      </c>
      <c r="O1077" s="188" t="s">
        <v>522</v>
      </c>
      <c r="P1077" s="188">
        <f ca="1">P1074</f>
        <v>8888</v>
      </c>
      <c r="Q1077" s="189">
        <f ca="1">Q1076</f>
        <v>8888</v>
      </c>
      <c r="S1077" s="188" t="s">
        <v>522</v>
      </c>
      <c r="T1077" s="188">
        <f ca="1">T1074</f>
        <v>8888</v>
      </c>
      <c r="U1077" s="189">
        <f ca="1">U1076</f>
        <v>8888</v>
      </c>
      <c r="W1077" s="188" t="s">
        <v>522</v>
      </c>
      <c r="X1077" s="188">
        <f ca="1">X1074</f>
        <v>8888</v>
      </c>
      <c r="Y1077" s="189">
        <f ca="1">Y1076</f>
        <v>8888</v>
      </c>
      <c r="AA1077" s="195" t="s">
        <v>522</v>
      </c>
      <c r="AB1077" s="128">
        <f ca="1">IF($AA1072,D1077,P1077)</f>
        <v>8888</v>
      </c>
      <c r="AC1077" s="129">
        <f ca="1">IF($AA1072,E1077,Q1077)</f>
        <v>8888</v>
      </c>
      <c r="AD1077" s="157"/>
      <c r="AE1077" s="2" t="s">
        <v>522</v>
      </c>
      <c r="AF1077" s="188">
        <f ca="1">IF($AE1072,H1077,T1077)</f>
        <v>8888</v>
      </c>
      <c r="AG1077" s="196">
        <f ca="1">IF($AE1072,I1077,U1077)</f>
        <v>8888</v>
      </c>
      <c r="AI1077" s="128" t="s">
        <v>522</v>
      </c>
      <c r="AJ1077" s="188">
        <f ca="1">IF($AI1072,L1077,X1077)</f>
        <v>8888</v>
      </c>
      <c r="AK1077" s="196">
        <f ca="1">IF($AI1072,M1077,Y1077)</f>
        <v>8888</v>
      </c>
      <c r="AM1077" s="128" t="s">
        <v>522</v>
      </c>
      <c r="AN1077" s="128">
        <f ca="1">AN1076-X1066</f>
        <v>-16.562000000000005</v>
      </c>
      <c r="AO1077" s="129">
        <f ca="1">IF(AN1077&gt;-Fuselage!$D$366,IF(AM1072,(FUSELAGE_a_ellipse+FUSELAGE_t_fuselage)*SQRT(1-((AN1077+Fuselage!$D$366)/Fuselage!$K$364)^2),(FUSELAGE_a_ellipse)*SQRT(1-((AN1077+Fuselage!$D$366)/Fuselage!$K$364)^2)),IF(AN1077&gt;$L$2505+Fuselage!$K$370,(IF(AM1072,FUSELAGE_a_ellipse+FUSELAGE_t_fuselage,FUSELAGE_a_ellipse)),IF(AM1072,(FUSELAGE_a_ellipse+FUSELAGE_t_fuselage-FUSELAGE_d_fo/4)/Fuselage!$K$368*(AN1077-$L$2505-Fuselage!$K$370)+FUSELAGE_a_ellipse+FUSELAGE_t_fuselage,(FUSELAGE_a_ellipse+FUSELAGE_t_fuselage-FUSELAGE_d_fo/4)/Fuselage!$K$368*(AN1077-$L$2505-Fuselage!$K$370)+FUSELAGE_a_ellipse)))</f>
        <v>1.4960570012328709</v>
      </c>
      <c r="AQ1077" s="128" t="s">
        <v>522</v>
      </c>
      <c r="AR1077" s="128">
        <f t="shared" ca="1" si="114"/>
        <v>-16.562000000000005</v>
      </c>
      <c r="AS1077" s="129">
        <f t="shared" ca="1" si="115"/>
        <v>-1.4960570012328709</v>
      </c>
      <c r="BD1077" s="157"/>
    </row>
    <row r="1078" spans="2:56" ht="15" thickBot="1">
      <c r="B1078" s="156"/>
      <c r="C1078" s="128" t="s">
        <v>49</v>
      </c>
      <c r="D1078" s="128">
        <f ca="1">IF(C1072&gt;=2,D1074,D1077)</f>
        <v>8888</v>
      </c>
      <c r="E1078" s="139">
        <f ca="1">IF(C1072&gt;=2,E1077-P1067,E1077)</f>
        <v>8888</v>
      </c>
      <c r="F1078" s="157"/>
      <c r="G1078" s="192" t="s">
        <v>49</v>
      </c>
      <c r="H1078" s="190">
        <f ca="1">IF(G1072&gt;=2,H1074,H1077)</f>
        <v>8888</v>
      </c>
      <c r="I1078" s="191">
        <f ca="1">IF(G1072&gt;=2,I1077-P1067,I1077)</f>
        <v>8888</v>
      </c>
      <c r="K1078" s="190" t="s">
        <v>49</v>
      </c>
      <c r="L1078" s="190">
        <f ca="1">IF(K1072&gt;=2,L1074,L1077)</f>
        <v>8888</v>
      </c>
      <c r="M1078" s="191">
        <f ca="1">IF(K1072&gt;=2,M1077-P1067,M1077)</f>
        <v>8888</v>
      </c>
      <c r="O1078" s="130" t="s">
        <v>396</v>
      </c>
      <c r="P1078" s="130">
        <f ca="1">P1074</f>
        <v>8888</v>
      </c>
      <c r="Q1078" s="140">
        <f ca="1">Q1074</f>
        <v>8888</v>
      </c>
      <c r="S1078" s="130" t="s">
        <v>396</v>
      </c>
      <c r="T1078" s="130">
        <f ca="1">T1074</f>
        <v>8888</v>
      </c>
      <c r="U1078" s="140">
        <f ca="1">U1074</f>
        <v>8888</v>
      </c>
      <c r="W1078" s="130" t="s">
        <v>396</v>
      </c>
      <c r="X1078" s="130">
        <f ca="1">X1074</f>
        <v>8888</v>
      </c>
      <c r="Y1078" s="140">
        <f ca="1">Y1074</f>
        <v>8888</v>
      </c>
      <c r="AA1078" s="143" t="s">
        <v>49</v>
      </c>
      <c r="AB1078" s="128">
        <f ca="1">IF($AA1072,D1078,P1078)</f>
        <v>8888</v>
      </c>
      <c r="AC1078" s="129">
        <f ca="1">IF($AA1072,E1078,Q1078)</f>
        <v>8888</v>
      </c>
      <c r="AD1078" s="157"/>
      <c r="AE1078" s="192" t="s">
        <v>49</v>
      </c>
      <c r="AF1078" s="128">
        <f ca="1">IF($AE1072,H1078,T1078)</f>
        <v>8888</v>
      </c>
      <c r="AG1078" s="129">
        <f ca="1">IF($AE1072,I1078,U1078)</f>
        <v>8888</v>
      </c>
      <c r="AI1078" s="190" t="s">
        <v>49</v>
      </c>
      <c r="AJ1078" s="128">
        <f ca="1">IF($AI1072,L1078,X1078)</f>
        <v>8888</v>
      </c>
      <c r="AK1078" s="129">
        <f ca="1">IF($AI1072,M1078,Y1078)</f>
        <v>8888</v>
      </c>
      <c r="AM1078" s="128" t="s">
        <v>49</v>
      </c>
      <c r="AN1078" s="128">
        <f ca="1">AN1077</f>
        <v>-16.562000000000005</v>
      </c>
      <c r="AO1078" s="129">
        <f ca="1">IF(AN1078&gt;-Fuselage!$D$366,(FUSELAGE_a_ellipse)*SQRT(1-((AN1078+Fuselage!$D$366)/(Fuselage!$K$364-FUSELAGE_t_fuselage))^2),IF(AN1078&gt;$L$2505+Fuselage!$K$370,FUSELAGE_a_ellipse,(FUSELAGE_a_ellipse+FUSELAGE_t_fuselage-FUSELAGE_d_fo/4)/Fuselage!$K$368*(AN1078-$L$2505-Fuselage!$K$370)+FUSELAGE_a_ellipse))</f>
        <v>1.4960570012328709</v>
      </c>
      <c r="AQ1078" s="128" t="s">
        <v>49</v>
      </c>
      <c r="AR1078" s="128">
        <f t="shared" ca="1" si="114"/>
        <v>-16.562000000000005</v>
      </c>
      <c r="AS1078" s="129">
        <f t="shared" ca="1" si="115"/>
        <v>-1.4960570012328709</v>
      </c>
      <c r="BD1078" s="157"/>
    </row>
    <row r="1079" spans="2:56">
      <c r="B1079" s="156"/>
      <c r="C1079" s="128" t="s">
        <v>453</v>
      </c>
      <c r="D1079" s="128">
        <f ca="1">IF(C1072&gt;=2,D1074+P1066,D1077)</f>
        <v>8888</v>
      </c>
      <c r="E1079" s="139">
        <f ca="1">E1078</f>
        <v>8888</v>
      </c>
      <c r="F1079" s="157"/>
      <c r="G1079" s="2" t="s">
        <v>453</v>
      </c>
      <c r="H1079" s="128">
        <f ca="1">IF(G1072&gt;=2,H1075,H1077)</f>
        <v>8888</v>
      </c>
      <c r="I1079" s="139">
        <f ca="1">IF(G1072&gt;=2,I1078,I1077)</f>
        <v>8888</v>
      </c>
      <c r="K1079" s="128" t="s">
        <v>453</v>
      </c>
      <c r="L1079" s="128">
        <f ca="1">IF(K1072&gt;=2,IF(X1067,IF(K1072=2,L1074+P1066/4,L1074+P1066),L1074+P1066),L1077)</f>
        <v>8888</v>
      </c>
      <c r="M1079" s="139">
        <f ca="1">IF(K1072&gt;=2,M1078,M1077)</f>
        <v>8888</v>
      </c>
      <c r="AA1079" s="143" t="s">
        <v>453</v>
      </c>
      <c r="AB1079" s="128">
        <f ca="1">IF($AA1072,D1079,AB1078)</f>
        <v>8888</v>
      </c>
      <c r="AC1079" s="129">
        <f ca="1">IF($AA1072,E1079,AC1078)</f>
        <v>8888</v>
      </c>
      <c r="AD1079" s="157"/>
      <c r="AE1079" s="2" t="s">
        <v>453</v>
      </c>
      <c r="AF1079" s="128">
        <f ca="1">IF($AE1072,H1079,AF1078)</f>
        <v>8888</v>
      </c>
      <c r="AG1079" s="129">
        <f ca="1">IF($AE1072,I1079,AG1078)</f>
        <v>8888</v>
      </c>
      <c r="AI1079" s="128" t="s">
        <v>453</v>
      </c>
      <c r="AJ1079" s="128">
        <f ca="1">IF($AI1072,L1079,AJ1078)</f>
        <v>8888</v>
      </c>
      <c r="AK1079" s="129">
        <f ca="1">IF($AI1072,M1079,AK1078)</f>
        <v>8888</v>
      </c>
      <c r="AM1079" s="128" t="s">
        <v>453</v>
      </c>
      <c r="AN1079" s="128">
        <f ca="1">L1065</f>
        <v>-16.562000000000005</v>
      </c>
      <c r="AO1079" s="129">
        <f ca="1">IF(AN1079&gt;-Fuselage!$D$366,(FUSELAGE_a_ellipse)*SQRT(1-((AN1079+Fuselage!$D$366)/(Fuselage!$K$364-FUSELAGE_t_fuselage))^2),IF(AN1079&gt;$L$2505+Fuselage!$K$370,FUSELAGE_a_ellipse,(FUSELAGE_a_ellipse+FUSELAGE_t_fuselage-FUSELAGE_d_fo/4)/Fuselage!$K$368*(AN1079-$L$2505-Fuselage!$K$370)+FUSELAGE_a_ellipse))</f>
        <v>1.4960570012328709</v>
      </c>
      <c r="AQ1079" s="128" t="s">
        <v>453</v>
      </c>
      <c r="AR1079" s="128">
        <f t="shared" ca="1" si="114"/>
        <v>-16.562000000000005</v>
      </c>
      <c r="AS1079" s="129">
        <f t="shared" ca="1" si="115"/>
        <v>-1.4960570012328709</v>
      </c>
      <c r="BD1079" s="157"/>
    </row>
    <row r="1080" spans="2:56">
      <c r="B1080" s="156"/>
      <c r="C1080" s="128" t="s">
        <v>394</v>
      </c>
      <c r="D1080" s="128">
        <f ca="1">IF(C1072&gt;=2,D1079,D1077)</f>
        <v>8888</v>
      </c>
      <c r="E1080" s="139">
        <f ca="1">IF(C1072&gt;=2,E1078-P1065,E1077)</f>
        <v>8888</v>
      </c>
      <c r="F1080" s="157"/>
      <c r="G1080" s="2" t="s">
        <v>394</v>
      </c>
      <c r="H1080" s="128">
        <f ca="1">IF(G1072&gt;=2,H1075,H1077)</f>
        <v>8888</v>
      </c>
      <c r="I1080" s="139">
        <f ca="1">IF(G1072&gt;=2,I1079-P1065,I1077)</f>
        <v>8888</v>
      </c>
      <c r="K1080" s="128" t="s">
        <v>394</v>
      </c>
      <c r="L1080" s="128">
        <f ca="1">L1079</f>
        <v>8888</v>
      </c>
      <c r="M1080" s="139">
        <f ca="1">IF(K1072&gt;=2,M1079-P1065,M1077)</f>
        <v>8888</v>
      </c>
      <c r="AA1080" s="143" t="s">
        <v>394</v>
      </c>
      <c r="AB1080" s="128">
        <f ca="1">IF($AA1072,D1080,AB1078)</f>
        <v>8888</v>
      </c>
      <c r="AC1080" s="129">
        <f ca="1">IF($AA1072,E1080,AC1078)</f>
        <v>8888</v>
      </c>
      <c r="AD1080" s="157"/>
      <c r="AE1080" s="2" t="s">
        <v>394</v>
      </c>
      <c r="AF1080" s="128">
        <f ca="1">IF($AE1072,H1080,AF1078)</f>
        <v>8888</v>
      </c>
      <c r="AG1080" s="129">
        <f ca="1">IF($AE1072,I1080,AG1078)</f>
        <v>8888</v>
      </c>
      <c r="AI1080" s="128" t="s">
        <v>394</v>
      </c>
      <c r="AJ1080" s="128">
        <f ca="1">IF($AI1072,L1080,AJ1078)</f>
        <v>8888</v>
      </c>
      <c r="AK1080" s="129">
        <f ca="1">IF($AI1072,M1080,AK1078)</f>
        <v>8888</v>
      </c>
      <c r="BD1080" s="157"/>
    </row>
    <row r="1081" spans="2:56">
      <c r="B1081" s="156"/>
      <c r="C1081" s="188" t="s">
        <v>454</v>
      </c>
      <c r="D1081" s="188">
        <f ca="1">IF(C1072&gt;=2,D1074,D1077)</f>
        <v>8888</v>
      </c>
      <c r="E1081" s="189">
        <f ca="1">E1080</f>
        <v>8888</v>
      </c>
      <c r="F1081" s="157"/>
      <c r="G1081" s="115" t="s">
        <v>454</v>
      </c>
      <c r="H1081" s="188">
        <f ca="1">IF(G1072&gt;=2,H1074,H1077)</f>
        <v>8888</v>
      </c>
      <c r="I1081" s="189">
        <f ca="1">IF(G1072&gt;=2,I1080,I1077)</f>
        <v>8888</v>
      </c>
      <c r="K1081" s="188" t="s">
        <v>454</v>
      </c>
      <c r="L1081" s="188">
        <f ca="1">IF(K1072&gt;=2,L1074,L1077)</f>
        <v>8888</v>
      </c>
      <c r="M1081" s="189">
        <f ca="1">IF(K1072&gt;=2,M1080,M1077)</f>
        <v>8888</v>
      </c>
      <c r="AA1081" s="195" t="s">
        <v>454</v>
      </c>
      <c r="AB1081" s="128">
        <f ca="1">IF($AA1072,D1081,AB1078)</f>
        <v>8888</v>
      </c>
      <c r="AC1081" s="129">
        <f ca="1">IF($AA1072,E1081,AC1078)</f>
        <v>8888</v>
      </c>
      <c r="AD1081" s="157"/>
      <c r="AE1081" s="115" t="s">
        <v>454</v>
      </c>
      <c r="AF1081" s="188">
        <f ca="1">IF($AE1072,H1081,AF1078)</f>
        <v>8888</v>
      </c>
      <c r="AG1081" s="196">
        <f ca="1">IF($AE1072,I1081,AG1078)</f>
        <v>8888</v>
      </c>
      <c r="AI1081" s="188" t="s">
        <v>454</v>
      </c>
      <c r="AJ1081" s="188">
        <f ca="1">IF($AI1072,L1081,AJ1078)</f>
        <v>8888</v>
      </c>
      <c r="AK1081" s="196">
        <f ca="1">IF($AI1072,M1081,AK1078)</f>
        <v>8888</v>
      </c>
      <c r="BD1081" s="157"/>
    </row>
    <row r="1082" spans="2:56">
      <c r="B1082" s="156"/>
      <c r="C1082" s="128" t="s">
        <v>507</v>
      </c>
      <c r="D1082" s="128">
        <f ca="1">IF(C1072&gt;=3,D1074,D1081)</f>
        <v>8888</v>
      </c>
      <c r="E1082" s="139">
        <f ca="1">IF(C1072&gt;=3,E1081-P1067,E1081)</f>
        <v>8888</v>
      </c>
      <c r="F1082" s="157"/>
      <c r="G1082" s="2" t="s">
        <v>507</v>
      </c>
      <c r="H1082" s="128">
        <f ca="1">IF(G1072&gt;=3,H1074,H1081)</f>
        <v>8888</v>
      </c>
      <c r="I1082" s="139">
        <f ca="1">IF(G1072&gt;=3,I1081-P1067,I1081)</f>
        <v>8888</v>
      </c>
      <c r="K1082" s="128" t="s">
        <v>507</v>
      </c>
      <c r="L1082" s="128">
        <f ca="1">IF(K1072&gt;=3,L1074,L1081)</f>
        <v>8888</v>
      </c>
      <c r="M1082" s="139">
        <f ca="1">IF(K1072&gt;=3,M1081-P1067,M1081)</f>
        <v>8888</v>
      </c>
      <c r="AA1082" s="143" t="s">
        <v>507</v>
      </c>
      <c r="AB1082" s="128">
        <f ca="1">IF($AA1072,D1082,AB1078)</f>
        <v>8888</v>
      </c>
      <c r="AC1082" s="129">
        <f ca="1">IF($AA1072,E1082,AC1078)</f>
        <v>8888</v>
      </c>
      <c r="AD1082" s="157"/>
      <c r="AE1082" s="2" t="s">
        <v>507</v>
      </c>
      <c r="AF1082" s="128">
        <f ca="1">IF($AE1072,H1082,AF1078)</f>
        <v>8888</v>
      </c>
      <c r="AG1082" s="129">
        <f ca="1">IF($AE1072,I1082,AG1078)</f>
        <v>8888</v>
      </c>
      <c r="AI1082" s="128" t="s">
        <v>507</v>
      </c>
      <c r="AJ1082" s="128">
        <f ca="1">IF($AI1072,L1082,AJ1078)</f>
        <v>8888</v>
      </c>
      <c r="AK1082" s="129">
        <f ca="1">IF($AI1072,M1082,AK1078)</f>
        <v>8888</v>
      </c>
      <c r="BD1082" s="157"/>
    </row>
    <row r="1083" spans="2:56">
      <c r="B1083" s="156"/>
      <c r="C1083" s="128" t="s">
        <v>455</v>
      </c>
      <c r="D1083" s="128">
        <f ca="1">IF(C1072&gt;=3,D1079,D1081)</f>
        <v>8888</v>
      </c>
      <c r="E1083" s="139">
        <f ca="1">E1082</f>
        <v>8888</v>
      </c>
      <c r="F1083" s="157"/>
      <c r="G1083" s="2" t="s">
        <v>455</v>
      </c>
      <c r="H1083" s="128">
        <f ca="1">IF(G1072&gt;=3,H1075,H1081)</f>
        <v>8888</v>
      </c>
      <c r="I1083" s="139">
        <f ca="1">IF(G1072&gt;=3,I1082,I1081)</f>
        <v>8888</v>
      </c>
      <c r="K1083" s="128" t="s">
        <v>455</v>
      </c>
      <c r="L1083" s="128">
        <f ca="1">IF(K1072&gt;=3,IF(X1067,IF(K1072=3,L1074+P1066/4,L1074+P1066),L1074+P1066),L1077)</f>
        <v>8888</v>
      </c>
      <c r="M1083" s="139">
        <f ca="1">IF(K1072&gt;=3,M1082,M1081)</f>
        <v>8888</v>
      </c>
      <c r="AA1083" s="143" t="s">
        <v>455</v>
      </c>
      <c r="AB1083" s="128">
        <f ca="1">IF($AA1072,D1083,AB1078)</f>
        <v>8888</v>
      </c>
      <c r="AC1083" s="129">
        <f ca="1">IF($AA1072,E1083,AC1078)</f>
        <v>8888</v>
      </c>
      <c r="AD1083" s="157"/>
      <c r="AE1083" s="2" t="s">
        <v>455</v>
      </c>
      <c r="AF1083" s="128">
        <f ca="1">IF($AE1072,H1083,AF1078)</f>
        <v>8888</v>
      </c>
      <c r="AG1083" s="129">
        <f ca="1">IF($AE1072,I1083,AG1078)</f>
        <v>8888</v>
      </c>
      <c r="AI1083" s="128" t="s">
        <v>455</v>
      </c>
      <c r="AJ1083" s="128">
        <f ca="1">IF($AI1072,L1083,AJ1078)</f>
        <v>8888</v>
      </c>
      <c r="AK1083" s="129">
        <f ca="1">IF($AI1072,M1083,AK1078)</f>
        <v>8888</v>
      </c>
      <c r="AL1083" s="156"/>
      <c r="BD1083" s="157"/>
    </row>
    <row r="1084" spans="2:56">
      <c r="B1084" s="156"/>
      <c r="C1084" s="128" t="s">
        <v>311</v>
      </c>
      <c r="D1084" s="128">
        <f ca="1">IF(C1072&gt;=3,D1079,D1081)</f>
        <v>8888</v>
      </c>
      <c r="E1084" s="139">
        <f ca="1">IF(C1072&gt;=3,E1083-P1065,E1081)</f>
        <v>8888</v>
      </c>
      <c r="F1084" s="157"/>
      <c r="G1084" s="2" t="s">
        <v>311</v>
      </c>
      <c r="H1084" s="128">
        <f ca="1">IF(G1072&gt;=3,H1075,H1081)</f>
        <v>8888</v>
      </c>
      <c r="I1084" s="139">
        <f ca="1">IF(G1072&gt;=3,I1083-P1065,I1081)</f>
        <v>8888</v>
      </c>
      <c r="K1084" s="128" t="s">
        <v>311</v>
      </c>
      <c r="L1084" s="128">
        <f ca="1">L1083</f>
        <v>8888</v>
      </c>
      <c r="M1084" s="139">
        <f ca="1">IF(K1072&gt;=3,M1083-P1065,M1081)</f>
        <v>8888</v>
      </c>
      <c r="AA1084" s="143" t="s">
        <v>311</v>
      </c>
      <c r="AB1084" s="128">
        <f ca="1">IF($AA1072,D1084,AB1078)</f>
        <v>8888</v>
      </c>
      <c r="AC1084" s="129">
        <f ca="1">IF($AA1072,E1084,AC1078)</f>
        <v>8888</v>
      </c>
      <c r="AD1084" s="157"/>
      <c r="AE1084" s="2" t="s">
        <v>311</v>
      </c>
      <c r="AF1084" s="128">
        <f ca="1">IF($AE1072,H1084,AF1078)</f>
        <v>8888</v>
      </c>
      <c r="AG1084" s="129">
        <f ca="1">IF($AE1072,I1084,AG1078)</f>
        <v>8888</v>
      </c>
      <c r="AI1084" s="128" t="s">
        <v>311</v>
      </c>
      <c r="AJ1084" s="128">
        <f ca="1">IF($AI1072,L1084,AJ1078)</f>
        <v>8888</v>
      </c>
      <c r="AK1084" s="129">
        <f ca="1">IF($AI1072,M1084,AK1078)</f>
        <v>8888</v>
      </c>
      <c r="AL1084" s="156"/>
      <c r="BD1084" s="157"/>
    </row>
    <row r="1085" spans="2:56">
      <c r="B1085" s="156"/>
      <c r="C1085" s="188" t="s">
        <v>35</v>
      </c>
      <c r="D1085" s="188">
        <f ca="1">IF(C1072&gt;=3,D1074,D1081)</f>
        <v>8888</v>
      </c>
      <c r="E1085" s="189">
        <f ca="1">E1084</f>
        <v>8888</v>
      </c>
      <c r="F1085" s="157"/>
      <c r="G1085" s="2" t="s">
        <v>35</v>
      </c>
      <c r="H1085" s="188">
        <f ca="1">IF(G1072&gt;=3,H1074,H1081)</f>
        <v>8888</v>
      </c>
      <c r="I1085" s="189">
        <f ca="1">IF(G1072&gt;=3,I1084,I1081)</f>
        <v>8888</v>
      </c>
      <c r="K1085" s="188" t="s">
        <v>35</v>
      </c>
      <c r="L1085" s="188">
        <f ca="1">IF(K1072&gt;=3,L1074,L1081)</f>
        <v>8888</v>
      </c>
      <c r="M1085" s="189">
        <f ca="1">IF(K1072&gt;=3,M1084,M1081)</f>
        <v>8888</v>
      </c>
      <c r="AA1085" s="143" t="s">
        <v>35</v>
      </c>
      <c r="AB1085" s="128">
        <f ca="1">IF($AA1072,D1085,AB1078)</f>
        <v>8888</v>
      </c>
      <c r="AC1085" s="129">
        <f ca="1">IF($AA1072,E1085,AC1078)</f>
        <v>8888</v>
      </c>
      <c r="AD1085" s="157"/>
      <c r="AE1085" s="2" t="s">
        <v>35</v>
      </c>
      <c r="AF1085" s="188">
        <f ca="1">IF($AE1072,H1085,AF1078)</f>
        <v>8888</v>
      </c>
      <c r="AG1085" s="196">
        <f ca="1">IF($AE1072,I1085,AG1078)</f>
        <v>8888</v>
      </c>
      <c r="AI1085" s="128" t="s">
        <v>35</v>
      </c>
      <c r="AJ1085" s="128">
        <f ca="1">IF($AI1072,L1085,AJ1078)</f>
        <v>8888</v>
      </c>
      <c r="AK1085" s="129">
        <f ca="1">IF($AI1072,M1085,AK1078)</f>
        <v>8888</v>
      </c>
      <c r="AL1085" s="156"/>
      <c r="BD1085" s="157"/>
    </row>
    <row r="1086" spans="2:56" ht="15" thickBot="1">
      <c r="B1086" s="156"/>
      <c r="C1086" s="130" t="s">
        <v>396</v>
      </c>
      <c r="D1086" s="130">
        <f ca="1">D1074</f>
        <v>8888</v>
      </c>
      <c r="E1086" s="140">
        <f ca="1">E1074</f>
        <v>8888</v>
      </c>
      <c r="F1086" s="157"/>
      <c r="G1086" s="192" t="s">
        <v>312</v>
      </c>
      <c r="H1086" s="128">
        <f ca="1">IF(G1072&gt;=4,H1074,H1085)</f>
        <v>8888</v>
      </c>
      <c r="I1086" s="139">
        <f ca="1">IF(G1072&gt;=4,I1085-P1067,I1085)</f>
        <v>8888</v>
      </c>
      <c r="K1086" s="130" t="s">
        <v>396</v>
      </c>
      <c r="L1086" s="130">
        <f ca="1">L1074</f>
        <v>8888</v>
      </c>
      <c r="M1086" s="140">
        <f ca="1">M1074</f>
        <v>8888</v>
      </c>
      <c r="AA1086" s="144" t="s">
        <v>396</v>
      </c>
      <c r="AB1086" s="130">
        <f ca="1">IF($AA1072,D1086,AB1078)</f>
        <v>8888</v>
      </c>
      <c r="AC1086" s="132">
        <f ca="1">IF($AA1072,E1086,AC1078)</f>
        <v>8888</v>
      </c>
      <c r="AD1086" s="157"/>
      <c r="AE1086" s="192" t="s">
        <v>312</v>
      </c>
      <c r="AF1086" s="128">
        <f ca="1">IF($AE1072,H1086,AF1078)</f>
        <v>8888</v>
      </c>
      <c r="AG1086" s="129">
        <f ca="1">IF($AE1072,I1086,AG1078)</f>
        <v>8888</v>
      </c>
      <c r="AI1086" s="130" t="s">
        <v>396</v>
      </c>
      <c r="AJ1086" s="130">
        <f ca="1">IF($AI1072,L1086,AJ1078)</f>
        <v>8888</v>
      </c>
      <c r="AK1086" s="132">
        <f ca="1">IF($AI1072,M1086,AK1078)</f>
        <v>8888</v>
      </c>
      <c r="BD1086" s="157"/>
    </row>
    <row r="1087" spans="2:56">
      <c r="B1087" s="156"/>
      <c r="F1087" s="157"/>
      <c r="G1087" s="2" t="s">
        <v>313</v>
      </c>
      <c r="H1087" s="128">
        <f ca="1">IF(G1072&gt;=4,H1075,H1085)</f>
        <v>8888</v>
      </c>
      <c r="I1087" s="139">
        <f ca="1">IF(G1072&gt;=4,I1086,I1085)</f>
        <v>8888</v>
      </c>
      <c r="AD1087" s="157"/>
      <c r="AE1087" s="2" t="s">
        <v>313</v>
      </c>
      <c r="AF1087" s="128">
        <f ca="1">IF($AE1072,H1087,AF1078)</f>
        <v>8888</v>
      </c>
      <c r="AG1087" s="129">
        <f ca="1">IF($AE1072,I1087,AG1078)</f>
        <v>8888</v>
      </c>
      <c r="BD1087" s="157"/>
    </row>
    <row r="1088" spans="2:56">
      <c r="B1088" s="156"/>
      <c r="F1088" s="157"/>
      <c r="G1088" s="2" t="s">
        <v>7</v>
      </c>
      <c r="H1088" s="128">
        <f ca="1">IF(G1072&gt;=4,H1075,H1085)</f>
        <v>8888</v>
      </c>
      <c r="I1088" s="139">
        <f ca="1">IF(G1072&gt;=4,I1087-P1065,I1085)</f>
        <v>8888</v>
      </c>
      <c r="AD1088" s="157"/>
      <c r="AE1088" s="2" t="s">
        <v>7</v>
      </c>
      <c r="AF1088" s="128">
        <f ca="1">IF($AE1072,H1088,AF1078)</f>
        <v>8888</v>
      </c>
      <c r="AG1088" s="129">
        <f ca="1">IF($AE1072,I1088,AG1078)</f>
        <v>8888</v>
      </c>
      <c r="BD1088" s="157"/>
    </row>
    <row r="1089" spans="2:56">
      <c r="B1089" s="156"/>
      <c r="F1089" s="157"/>
      <c r="G1089" s="115" t="s">
        <v>8</v>
      </c>
      <c r="H1089" s="188">
        <f ca="1">IF(G1072&gt;=4,H1074,H1085)</f>
        <v>8888</v>
      </c>
      <c r="I1089" s="189">
        <f ca="1">IF(G1072&gt;=4,I1088,I1085)</f>
        <v>8888</v>
      </c>
      <c r="AD1089" s="157"/>
      <c r="AE1089" s="115" t="s">
        <v>8</v>
      </c>
      <c r="AF1089" s="188">
        <f ca="1">IF($AE1072,H1089,AF1078)</f>
        <v>8888</v>
      </c>
      <c r="AG1089" s="196">
        <f ca="1">IF($AE1072,I1089,AG1078)</f>
        <v>8888</v>
      </c>
      <c r="BD1089" s="157"/>
    </row>
    <row r="1090" spans="2:56">
      <c r="B1090" s="156"/>
      <c r="F1090" s="157"/>
      <c r="G1090" s="2" t="s">
        <v>9</v>
      </c>
      <c r="H1090" s="128">
        <f ca="1">IF(G1072&gt;=5,H1074,H1089)</f>
        <v>8888</v>
      </c>
      <c r="I1090" s="139">
        <f ca="1">IF(G1072&gt;=5,I1089-P1067,I1089)</f>
        <v>8888</v>
      </c>
      <c r="AD1090" s="157"/>
      <c r="AE1090" s="2" t="s">
        <v>9</v>
      </c>
      <c r="AF1090" s="128">
        <f ca="1">IF($AE1072,H1090,AF1078)</f>
        <v>8888</v>
      </c>
      <c r="AG1090" s="129">
        <f ca="1">IF($AE1072,I1090,AG1078)</f>
        <v>8888</v>
      </c>
      <c r="BD1090" s="157"/>
    </row>
    <row r="1091" spans="2:56">
      <c r="B1091" s="156"/>
      <c r="F1091" s="157"/>
      <c r="G1091" s="2" t="s">
        <v>196</v>
      </c>
      <c r="H1091" s="128">
        <f ca="1">IF(G1072&gt;=5,H1075,H1089)</f>
        <v>8888</v>
      </c>
      <c r="I1091" s="139">
        <f ca="1">IF(G1072&gt;=5,I1090,I1089)</f>
        <v>8888</v>
      </c>
      <c r="AD1091" s="157"/>
      <c r="AE1091" s="2" t="s">
        <v>196</v>
      </c>
      <c r="AF1091" s="128">
        <f ca="1">IF($AE1072,H1091,AF1078)</f>
        <v>8888</v>
      </c>
      <c r="AG1091" s="129">
        <f ca="1">IF($AE1072,I1091,AG1078)</f>
        <v>8888</v>
      </c>
      <c r="BD1091" s="157"/>
    </row>
    <row r="1092" spans="2:56">
      <c r="B1092" s="156"/>
      <c r="F1092" s="157"/>
      <c r="G1092" s="2" t="s">
        <v>10</v>
      </c>
      <c r="H1092" s="128">
        <f ca="1">IF(G1072&gt;=5,H1075,H1089)</f>
        <v>8888</v>
      </c>
      <c r="I1092" s="139">
        <f ca="1">IF(G1072&gt;=5,I1091-P1065,I1089)</f>
        <v>8888</v>
      </c>
      <c r="AD1092" s="157"/>
      <c r="AE1092" s="2" t="s">
        <v>10</v>
      </c>
      <c r="AF1092" s="128">
        <f ca="1">IF($AE1072,H1092,AF1078)</f>
        <v>8888</v>
      </c>
      <c r="AG1092" s="129">
        <f ca="1">IF($AE1072,I1092,AG1078)</f>
        <v>8888</v>
      </c>
      <c r="BD1092" s="157"/>
    </row>
    <row r="1093" spans="2:56">
      <c r="B1093" s="156"/>
      <c r="F1093" s="157"/>
      <c r="G1093" s="2" t="s">
        <v>161</v>
      </c>
      <c r="H1093" s="188">
        <f ca="1">IF(G1072&gt;=5,H1074,H1089)</f>
        <v>8888</v>
      </c>
      <c r="I1093" s="189">
        <f ca="1">IF(G1072&gt;=5,I1092,I1089)</f>
        <v>8888</v>
      </c>
      <c r="AD1093" s="157"/>
      <c r="AE1093" s="2" t="s">
        <v>161</v>
      </c>
      <c r="AF1093" s="188">
        <f ca="1">IF($AE1072,H1093,AF1078)</f>
        <v>8888</v>
      </c>
      <c r="AG1093" s="196">
        <f ca="1">IF($AE1072,I1093,AG1078)</f>
        <v>8888</v>
      </c>
      <c r="BD1093" s="157"/>
    </row>
    <row r="1094" spans="2:56">
      <c r="B1094" s="156"/>
      <c r="F1094" s="157"/>
      <c r="G1094" s="192" t="s">
        <v>11</v>
      </c>
      <c r="H1094" s="128">
        <f ca="1">IF(G1072&gt;=6,H1074,H1093)</f>
        <v>8888</v>
      </c>
      <c r="I1094" s="139">
        <f ca="1">IF(G1072&gt;=6,I1093-P1067,I1093)</f>
        <v>8888</v>
      </c>
      <c r="AD1094" s="157"/>
      <c r="AE1094" s="192" t="s">
        <v>11</v>
      </c>
      <c r="AF1094" s="128">
        <f ca="1">IF($AE1072,H1094,AF1078)</f>
        <v>8888</v>
      </c>
      <c r="AG1094" s="129">
        <f ca="1">IF($AE1072,I1094,AG1078)</f>
        <v>8888</v>
      </c>
      <c r="BD1094" s="157"/>
    </row>
    <row r="1095" spans="2:56">
      <c r="B1095" s="156"/>
      <c r="F1095" s="157"/>
      <c r="G1095" s="2" t="s">
        <v>12</v>
      </c>
      <c r="H1095" s="128">
        <f ca="1">IF(G1072&gt;=6,H1075,H1093)</f>
        <v>8888</v>
      </c>
      <c r="I1095" s="139">
        <f ca="1">IF(G1072&gt;=6,I1094,I1093)</f>
        <v>8888</v>
      </c>
      <c r="AD1095" s="157"/>
      <c r="AE1095" s="2" t="s">
        <v>12</v>
      </c>
      <c r="AF1095" s="128">
        <f ca="1">IF($AE1072,H1095,AF1078)</f>
        <v>8888</v>
      </c>
      <c r="AG1095" s="129">
        <f ca="1">IF($AE1072,I1095,AG1078)</f>
        <v>8888</v>
      </c>
      <c r="BD1095" s="157"/>
    </row>
    <row r="1096" spans="2:56">
      <c r="B1096" s="156"/>
      <c r="F1096" s="157"/>
      <c r="G1096" s="2" t="s">
        <v>13</v>
      </c>
      <c r="H1096" s="128">
        <f ca="1">IF(G1072&gt;=6,H1075,H1093)</f>
        <v>8888</v>
      </c>
      <c r="I1096" s="139">
        <f ca="1">IF(G1072&gt;=6,I1095-P1065,I1093)</f>
        <v>8888</v>
      </c>
      <c r="AD1096" s="157"/>
      <c r="AE1096" s="2" t="s">
        <v>13</v>
      </c>
      <c r="AF1096" s="128">
        <f ca="1">IF($AE1072,H1096,AF1078)</f>
        <v>8888</v>
      </c>
      <c r="AG1096" s="129">
        <f ca="1">IF($AE1072,I1096,AG1078)</f>
        <v>8888</v>
      </c>
      <c r="BD1096" s="157"/>
    </row>
    <row r="1097" spans="2:56">
      <c r="B1097" s="156"/>
      <c r="F1097" s="157"/>
      <c r="G1097" s="115" t="s">
        <v>14</v>
      </c>
      <c r="H1097" s="188">
        <f ca="1">IF(G1072&gt;=6,H1074,H1093)</f>
        <v>8888</v>
      </c>
      <c r="I1097" s="189">
        <f ca="1">IF(G1072&gt;=6,I1096,I1093)</f>
        <v>8888</v>
      </c>
      <c r="AD1097" s="157"/>
      <c r="AE1097" s="115" t="s">
        <v>14</v>
      </c>
      <c r="AF1097" s="188">
        <f ca="1">IF($AE1072,H1097,AF1078)</f>
        <v>8888</v>
      </c>
      <c r="AG1097" s="196">
        <f ca="1">IF($AE1072,I1097,AG1078)</f>
        <v>8888</v>
      </c>
      <c r="BD1097" s="157"/>
    </row>
    <row r="1098" spans="2:56" ht="15" thickBot="1">
      <c r="B1098" s="156"/>
      <c r="G1098" s="130" t="s">
        <v>396</v>
      </c>
      <c r="H1098" s="130">
        <f ca="1">H1074</f>
        <v>8888</v>
      </c>
      <c r="I1098" s="140">
        <f ca="1">I1074</f>
        <v>8888</v>
      </c>
      <c r="AE1098" s="130" t="s">
        <v>396</v>
      </c>
      <c r="AF1098" s="130">
        <f ca="1">IF($AE1072,H1098,AF1078)</f>
        <v>8888</v>
      </c>
      <c r="AG1098" s="132">
        <f ca="1">IF($AE1072,I1098,AG1078)</f>
        <v>8888</v>
      </c>
      <c r="BD1098" s="157"/>
    </row>
    <row r="1099" spans="2:56">
      <c r="B1099" s="156"/>
      <c r="BD1099" s="157"/>
    </row>
    <row r="1100" spans="2:56">
      <c r="B1100" s="156"/>
      <c r="BD1100" s="157"/>
    </row>
    <row r="1101" spans="2:56">
      <c r="B1101" s="156"/>
      <c r="C1101" s="200" t="s">
        <v>336</v>
      </c>
      <c r="D1101">
        <f>D1065+1</f>
        <v>26</v>
      </c>
      <c r="G1101" s="200" t="s">
        <v>638</v>
      </c>
      <c r="H1101">
        <f ca="1">LOOKUP(D1104,$C$191:$C$196,$D$191:$D$196)</f>
        <v>0</v>
      </c>
      <c r="K1101" s="200" t="s">
        <v>644</v>
      </c>
      <c r="L1101">
        <f ca="1">L1065-H1106</f>
        <v>-16.562000000000005</v>
      </c>
      <c r="O1101" s="200" t="s">
        <v>404</v>
      </c>
      <c r="P1101">
        <f ca="1">IF(D1103=1,SEAT_w_cushion_FC,IF(D1103=2,SEAT_w_cushion_BC,IF(D1103=3,SEAT_w_cushion_YC,0)))</f>
        <v>0</v>
      </c>
      <c r="S1101" s="200" t="s">
        <v>647</v>
      </c>
      <c r="T1101">
        <f ca="1">LOOKUP(D1104,$C$191:$C$196,$E$191:$E$196)</f>
        <v>0</v>
      </c>
      <c r="W1101" t="s">
        <v>130</v>
      </c>
      <c r="X1101" t="str">
        <f ca="1">OFFSET(Fuselage!$B$275,D1101,5)</f>
        <v>None</v>
      </c>
      <c r="AN1101" s="200" t="s">
        <v>135</v>
      </c>
      <c r="AO1101">
        <f ca="1">MAX(0,H1106-MAX(T1101,T1103,T1105,P1102)-X1102)</f>
        <v>0</v>
      </c>
      <c r="BD1101" s="157"/>
    </row>
    <row r="1102" spans="2:56">
      <c r="B1102" s="156"/>
      <c r="C1102" s="200" t="s">
        <v>200</v>
      </c>
      <c r="D1102" t="str">
        <f ca="1">OFFSET(Fuselage!$B$275,D1101,0)</f>
        <v/>
      </c>
      <c r="G1102" s="200" t="s">
        <v>639</v>
      </c>
      <c r="H1102">
        <f ca="1">LOOKUP(D1105,$C$191:$C$196,$D$191:$D$196)</f>
        <v>0</v>
      </c>
      <c r="O1102" s="200" t="s">
        <v>535</v>
      </c>
      <c r="P1102">
        <f ca="1">IF(D1103=1,SEAT_length_FC,IF(D1103=2,SEAT_length_BC,IF(D1103=3,SEAT_length_YC,0)))</f>
        <v>0</v>
      </c>
      <c r="S1102" s="200" t="s">
        <v>648</v>
      </c>
      <c r="T1102">
        <f ca="1">LOOKUP(D1104,$C$191:$C$196,$F$191:$F$196)</f>
        <v>0</v>
      </c>
      <c r="W1102" t="s">
        <v>131</v>
      </c>
      <c r="X1102">
        <f ca="1">LOOKUP(X1101,$I$191:$I$198,$J$191:$J$198)</f>
        <v>0</v>
      </c>
      <c r="BD1102" s="157"/>
    </row>
    <row r="1103" spans="2:56">
      <c r="B1103" s="156"/>
      <c r="C1103" s="200" t="s">
        <v>337</v>
      </c>
      <c r="D1103" t="str">
        <f ca="1">OFFSET(Fuselage!$B$275,D1101,4)</f>
        <v/>
      </c>
      <c r="G1103" s="200" t="s">
        <v>309</v>
      </c>
      <c r="H1103">
        <f ca="1">LOOKUP(D1106,$C$191:$C$196,$D$191:$D$196)</f>
        <v>0</v>
      </c>
      <c r="K1103" s="200" t="s">
        <v>645</v>
      </c>
      <c r="L1103">
        <f ca="1">IF(D1103=1,FUSELAGE_nseats_left_FC,IF(D1103=2,FUSELAGE_nseats_left_BC,IF(D1103=3,FUSELAGE_nseats_left_YC,0)))</f>
        <v>0</v>
      </c>
      <c r="O1103" s="200" t="s">
        <v>405</v>
      </c>
      <c r="P1103">
        <f ca="1">IF(D1103=1,SEAT_w_armrest_FC,IF(D1103=2,SEAT_w_armrest_BC,IF(D1103=3,SEAT_w_armrest_YC,0)))</f>
        <v>0</v>
      </c>
      <c r="S1103" s="200" t="s">
        <v>652</v>
      </c>
      <c r="T1103">
        <f ca="1">LOOKUP(D1105,$C$191:$C$196,$E$191:$E$196)</f>
        <v>0</v>
      </c>
      <c r="W1103" s="200" t="s">
        <v>393</v>
      </c>
      <c r="X1103" t="b">
        <f ca="1">IF(OFFSET(Fuselage!$B$275,D1101,6)="YES",TRUE(),FALSE())</f>
        <v>0</v>
      </c>
      <c r="BD1103" s="157"/>
    </row>
    <row r="1104" spans="2:56">
      <c r="B1104" s="156"/>
      <c r="C1104" s="200" t="s">
        <v>640</v>
      </c>
      <c r="D1104" t="str">
        <f ca="1">OFFSET(Fuselage!$B$275,D1101,1)</f>
        <v>None</v>
      </c>
      <c r="G1104" s="200" t="s">
        <v>132</v>
      </c>
      <c r="H1104">
        <f ca="1">IF(D1103=1,SEAT_pitch_FC,IF(D1103=2,SEAT_pitch_BC,IF(D1103=3,SEAT_pitch_YC,0)))</f>
        <v>0</v>
      </c>
      <c r="K1104" s="200" t="s">
        <v>646</v>
      </c>
      <c r="L1104">
        <f ca="1">IF(D1103=1,FUSELAGE_nseats_middle_FC,IF(D1103=2,FUSELAGE_nseats_middle_BC,IF(D1103=3,FUSELAGE_nseats_middle_YC,0)))</f>
        <v>0</v>
      </c>
      <c r="S1104" s="200" t="s">
        <v>653</v>
      </c>
      <c r="T1104">
        <f ca="1">LOOKUP(D1105,$C$191:$C$196,$F$191:$F$196)</f>
        <v>0</v>
      </c>
      <c r="BD1104" s="157"/>
    </row>
    <row r="1105" spans="2:56">
      <c r="B1105" s="156"/>
      <c r="C1105" s="200" t="s">
        <v>642</v>
      </c>
      <c r="D1105" t="str">
        <f ca="1">OFFSET(Fuselage!$B$275,D1101,2)</f>
        <v>None</v>
      </c>
      <c r="G1105" s="200" t="s">
        <v>129</v>
      </c>
      <c r="H1105">
        <f ca="1">IF(OR(X1101="Type A",X1101="Type B"),MAX(H1101:H1104)+42*0.0254,IF(X1101="Type C",MAX(H1101:H1104)+X1102,IF(X1101&lt;&gt;"None",24*0.0254,0)))</f>
        <v>0</v>
      </c>
      <c r="K1105" s="200" t="s">
        <v>655</v>
      </c>
      <c r="L1105">
        <f ca="1">IF(D1103=1,FUSELAGE_nseats_right_FC,IF(D1103=2,FUSELAGE_nseats_right_BC,IF(D1103=3,FUSELAGE_nseats_right_YC,0)))</f>
        <v>0</v>
      </c>
      <c r="O1105" s="200" t="s">
        <v>407</v>
      </c>
      <c r="P1105">
        <f ca="1">($C$13-(L1103+L1104+L1105)*(P1101+P1103)+(FUSELAGE_n_aisles-1)*P1103)/FUSELAGE_n_aisles</f>
        <v>2.76</v>
      </c>
      <c r="S1105" s="200" t="s">
        <v>651</v>
      </c>
      <c r="T1105">
        <f ca="1">LOOKUP(D1106,$C$191:$C$196,$E$191:$E$196)</f>
        <v>0</v>
      </c>
      <c r="BD1105" s="157"/>
    </row>
    <row r="1106" spans="2:56">
      <c r="B1106" s="156"/>
      <c r="C1106" s="200" t="s">
        <v>641</v>
      </c>
      <c r="D1106" t="str">
        <f ca="1">OFFSET(Fuselage!$B$275,D1101,3)</f>
        <v>None</v>
      </c>
      <c r="G1106" s="200" t="s">
        <v>643</v>
      </c>
      <c r="H1106">
        <f ca="1">MAX(H1101:H1105)</f>
        <v>0</v>
      </c>
      <c r="S1106" s="200" t="s">
        <v>654</v>
      </c>
      <c r="T1106">
        <f ca="1">LOOKUP(D1106,$C$191:$C$196,$F$191:$F$196)</f>
        <v>0</v>
      </c>
      <c r="BD1106" s="157"/>
    </row>
    <row r="1107" spans="2:56" ht="15" thickBot="1">
      <c r="B1107" s="156"/>
      <c r="BD1107" s="157"/>
    </row>
    <row r="1108" spans="2:56" ht="15" thickBot="1">
      <c r="B1108" s="156"/>
      <c r="C1108" s="141">
        <f ca="1">L1105</f>
        <v>0</v>
      </c>
      <c r="D1108" s="197" t="str">
        <f ca="1">IF($D1103=1,"FC",IF($D1103=2,"BC",IF($D1103=3,"YC","Nothing")))</f>
        <v>Nothing</v>
      </c>
      <c r="E1108" s="198"/>
      <c r="G1108" s="141">
        <f ca="1">L1104</f>
        <v>0</v>
      </c>
      <c r="H1108" s="197" t="str">
        <f ca="1">IF($D1103=1,"FC",IF($D1103=2,"BC",IF($D1103=3,"YC","Nothing")))</f>
        <v>Nothing</v>
      </c>
      <c r="I1108" s="198"/>
      <c r="K1108" s="141">
        <f ca="1" xml:space="preserve"> L1103</f>
        <v>0</v>
      </c>
      <c r="L1108" s="197" t="str">
        <f ca="1">IF($D1103=1,"FC",IF($D1103=2,"BC",IF($D1103=3,"YC","Nothing")))</f>
        <v>Nothing</v>
      </c>
      <c r="M1108" s="198"/>
      <c r="O1108" s="141">
        <f ca="1">IF($D1106&lt;&gt;"None",1,0)</f>
        <v>0</v>
      </c>
      <c r="P1108" s="326" t="s">
        <v>380</v>
      </c>
      <c r="Q1108" s="327"/>
      <c r="S1108" s="141">
        <f ca="1">IF($D1105&lt;&gt;"None",1,0)</f>
        <v>0</v>
      </c>
      <c r="T1108" s="326" t="s">
        <v>381</v>
      </c>
      <c r="U1108" s="327"/>
      <c r="W1108" s="141">
        <f ca="1">IF($D1104&lt;&gt;"None",1,0)</f>
        <v>0</v>
      </c>
      <c r="X1108" s="326" t="s">
        <v>382</v>
      </c>
      <c r="Y1108" s="327"/>
      <c r="AA1108" s="141">
        <f ca="1">IF($D1106="None",1,0)</f>
        <v>1</v>
      </c>
      <c r="AB1108" s="326" t="str">
        <f ca="1">IF(AA1108,D1108,$D1106)</f>
        <v>Nothing</v>
      </c>
      <c r="AC1108" s="327"/>
      <c r="AE1108" s="141">
        <f ca="1">IF($D1105="None",1,0)</f>
        <v>1</v>
      </c>
      <c r="AF1108" s="326" t="str">
        <f ca="1">IF(AE1108,H1108,$D1105)</f>
        <v>Nothing</v>
      </c>
      <c r="AG1108" s="327"/>
      <c r="AI1108" s="141">
        <f ca="1">IF($D1104="None",1,0)</f>
        <v>1</v>
      </c>
      <c r="AJ1108" s="326" t="str">
        <f ca="1">IF(AI1108,L1108,$D1104)</f>
        <v>Nothing</v>
      </c>
      <c r="AK1108" s="327"/>
      <c r="AM1108" s="141">
        <f ca="1">IF($X1101="None",0,1)</f>
        <v>0</v>
      </c>
      <c r="AN1108" s="197" t="s">
        <v>133</v>
      </c>
      <c r="AO1108" s="198"/>
      <c r="AQ1108" s="141">
        <f ca="1">IF($X1101="None",0,1)</f>
        <v>0</v>
      </c>
      <c r="AR1108" s="197" t="s">
        <v>134</v>
      </c>
      <c r="AS1108" s="198"/>
      <c r="BD1108" s="157"/>
    </row>
    <row r="1109" spans="2:56" ht="15" thickBot="1">
      <c r="B1109" s="156"/>
      <c r="C1109" s="136" t="s">
        <v>452</v>
      </c>
      <c r="D1109" s="136" t="s">
        <v>384</v>
      </c>
      <c r="E1109" s="138" t="s">
        <v>385</v>
      </c>
      <c r="G1109" s="136" t="s">
        <v>452</v>
      </c>
      <c r="H1109" s="136" t="s">
        <v>384</v>
      </c>
      <c r="I1109" s="138" t="s">
        <v>385</v>
      </c>
      <c r="K1109" s="193" t="s">
        <v>452</v>
      </c>
      <c r="L1109" s="193" t="s">
        <v>384</v>
      </c>
      <c r="M1109" s="194" t="s">
        <v>385</v>
      </c>
      <c r="O1109" s="136" t="s">
        <v>452</v>
      </c>
      <c r="P1109" s="136" t="s">
        <v>384</v>
      </c>
      <c r="Q1109" s="138" t="s">
        <v>385</v>
      </c>
      <c r="S1109" s="136" t="s">
        <v>452</v>
      </c>
      <c r="T1109" s="136" t="s">
        <v>384</v>
      </c>
      <c r="U1109" s="138" t="s">
        <v>385</v>
      </c>
      <c r="W1109" s="136" t="s">
        <v>452</v>
      </c>
      <c r="X1109" s="136" t="s">
        <v>384</v>
      </c>
      <c r="Y1109" s="138" t="s">
        <v>385</v>
      </c>
      <c r="AA1109" s="136" t="s">
        <v>452</v>
      </c>
      <c r="AB1109" s="136" t="s">
        <v>384</v>
      </c>
      <c r="AC1109" s="138" t="s">
        <v>385</v>
      </c>
      <c r="AE1109" s="136" t="s">
        <v>452</v>
      </c>
      <c r="AF1109" s="136" t="s">
        <v>384</v>
      </c>
      <c r="AG1109" s="138" t="s">
        <v>385</v>
      </c>
      <c r="AI1109" s="193" t="s">
        <v>452</v>
      </c>
      <c r="AJ1109" s="193" t="s">
        <v>384</v>
      </c>
      <c r="AK1109" s="194" t="s">
        <v>385</v>
      </c>
      <c r="AM1109" s="193" t="s">
        <v>452</v>
      </c>
      <c r="AN1109" s="193" t="s">
        <v>384</v>
      </c>
      <c r="AO1109" s="194" t="s">
        <v>385</v>
      </c>
      <c r="AQ1109" s="193" t="s">
        <v>452</v>
      </c>
      <c r="AR1109" s="193" t="s">
        <v>384</v>
      </c>
      <c r="AS1109" s="194" t="s">
        <v>385</v>
      </c>
      <c r="BD1109" s="157"/>
    </row>
    <row r="1110" spans="2:56">
      <c r="B1110" s="156"/>
      <c r="C1110" s="128" t="s">
        <v>396</v>
      </c>
      <c r="D1110" s="158">
        <f ca="1">IF(C1108&gt;=1,L1101,8888)</f>
        <v>8888</v>
      </c>
      <c r="E1110" s="160">
        <f ca="1">IF(C1108&gt;=1,1/2*($C$13-P1101-2*P1103)+1/2*P1101,8888)</f>
        <v>8888</v>
      </c>
      <c r="G1110" s="128" t="s">
        <v>396</v>
      </c>
      <c r="H1110" s="158">
        <f ca="1">IF(G1108&gt;=1,L1101,8888)</f>
        <v>8888</v>
      </c>
      <c r="I1110" s="160">
        <f ca="1">IF(G1108&gt;=1,E1121-P1105,8888)</f>
        <v>8888</v>
      </c>
      <c r="K1110" s="128" t="s">
        <v>396</v>
      </c>
      <c r="L1110" s="158">
        <f ca="1">IF(K1108&gt;=1,L1101,8888)</f>
        <v>8888</v>
      </c>
      <c r="M1110" s="160">
        <f ca="1">IF(K1108&gt;=1,IF(FUSELAGE_n_aisles=1,E1121-P1105,I1133-P1105),8888)</f>
        <v>8888</v>
      </c>
      <c r="O1110" s="128" t="s">
        <v>396</v>
      </c>
      <c r="P1110" s="158">
        <f ca="1">IF(O1108,$L1101,8888)</f>
        <v>8888</v>
      </c>
      <c r="Q1110" s="209">
        <f ca="1">IF(O1108,FUSELAGE_y_position_of_left_seat_YC-(FUSELAGE_nseats_right_YC-1)*(SEAT_w_cushion_YC+SEAT_w_armrest_YC)/2+T1106/2,8888)</f>
        <v>8888</v>
      </c>
      <c r="S1110" s="128" t="s">
        <v>396</v>
      </c>
      <c r="T1110" s="158">
        <f ca="1">IF(S1108,$L1101,8888)</f>
        <v>8888</v>
      </c>
      <c r="U1110" s="160">
        <f ca="1">IF(S1108,T1104/2,8888)</f>
        <v>8888</v>
      </c>
      <c r="W1110" s="128" t="s">
        <v>396</v>
      </c>
      <c r="X1110" s="158">
        <f ca="1">IF(W1108,$L1101,8888)</f>
        <v>8888</v>
      </c>
      <c r="Y1110" s="160">
        <f ca="1">IF(W1108,-FUSELAGE_y_position_of_left_seat_YC+(FUSELAGE_nseats_left_YC-1)*(SEAT_w_cushion_YC+SEAT_w_armrest_YC)/2-T1102/2,8888)</f>
        <v>8888</v>
      </c>
      <c r="AA1110" s="128" t="s">
        <v>396</v>
      </c>
      <c r="AB1110" s="158">
        <f ca="1">IF($AA1108,D1110,P1110)</f>
        <v>8888</v>
      </c>
      <c r="AC1110" s="174">
        <f ca="1">IF($AA1108,E1110,Q1110)</f>
        <v>8888</v>
      </c>
      <c r="AE1110" s="128" t="s">
        <v>396</v>
      </c>
      <c r="AF1110" s="158">
        <f ca="1">IF($AE1108,H1110,T1110)</f>
        <v>8888</v>
      </c>
      <c r="AG1110" s="174">
        <f ca="1">IF($AE1108,I1110,U1110)</f>
        <v>8888</v>
      </c>
      <c r="AI1110" s="128" t="s">
        <v>396</v>
      </c>
      <c r="AJ1110" s="158">
        <f ca="1">IF($AI1108,L1110,X1110)</f>
        <v>8888</v>
      </c>
      <c r="AK1110" s="174">
        <f ca="1">IF($AI1108,M1110,Y1110)</f>
        <v>8888</v>
      </c>
      <c r="AM1110" s="128" t="s">
        <v>396</v>
      </c>
      <c r="AN1110" s="158">
        <f ca="1">AN1079</f>
        <v>-16.562000000000005</v>
      </c>
      <c r="AO1110" s="174">
        <f ca="1">IF(AN1110&gt;-Fuselage!$D$366,(FUSELAGE_a_ellipse)*SQRT(1-((AN1110+Fuselage!$D$366)/(Fuselage!$K$364-FUSELAGE_t_fuselage))^2),IF(AN1110&gt;$L$2505+Fuselage!$K$370,FUSELAGE_a_ellipse,(FUSELAGE_a_ellipse+FUSELAGE_t_fuselage-FUSELAGE_d_fo/4)/Fuselage!$K$368*(AN1110-$L$2505-Fuselage!$K$370)+FUSELAGE_a_ellipse))</f>
        <v>1.4960570012328709</v>
      </c>
      <c r="AQ1110" s="128" t="s">
        <v>396</v>
      </c>
      <c r="AR1110" s="158">
        <f t="shared" ref="AR1110:AR1115" ca="1" si="116">AN1110</f>
        <v>-16.562000000000005</v>
      </c>
      <c r="AS1110" s="174">
        <f t="shared" ref="AS1110:AS1115" ca="1" si="117">-AO1110</f>
        <v>-1.4960570012328709</v>
      </c>
      <c r="BD1110" s="157"/>
    </row>
    <row r="1111" spans="2:56">
      <c r="B1111" s="156"/>
      <c r="C1111" s="128" t="s">
        <v>213</v>
      </c>
      <c r="D1111" s="128">
        <f ca="1">IF(X1103,D1110+P1102/4,D1110+P1102)</f>
        <v>8888</v>
      </c>
      <c r="E1111" s="139">
        <f ca="1">E1110</f>
        <v>8888</v>
      </c>
      <c r="G1111" s="128" t="s">
        <v>213</v>
      </c>
      <c r="H1111" s="128">
        <f ca="1">H1110+P1102</f>
        <v>8888</v>
      </c>
      <c r="I1111" s="139">
        <f ca="1">I1110</f>
        <v>8888</v>
      </c>
      <c r="K1111" s="128" t="s">
        <v>213</v>
      </c>
      <c r="L1111" s="128">
        <f ca="1">IF(X1103,IF(K1108=1,L1110+P1102/4,L1110+P1102),L1110+P1102)</f>
        <v>8888</v>
      </c>
      <c r="M1111" s="139">
        <f ca="1">M1110</f>
        <v>8888</v>
      </c>
      <c r="O1111" s="128" t="s">
        <v>213</v>
      </c>
      <c r="P1111" s="128">
        <f ca="1">P1110+$T1105</f>
        <v>8888</v>
      </c>
      <c r="Q1111" s="139">
        <f ca="1">Q1110</f>
        <v>8888</v>
      </c>
      <c r="S1111" s="128" t="s">
        <v>213</v>
      </c>
      <c r="T1111" s="128">
        <f ca="1">T1110+$T1103</f>
        <v>8888</v>
      </c>
      <c r="U1111" s="139">
        <f ca="1">U1110</f>
        <v>8888</v>
      </c>
      <c r="W1111" s="128" t="s">
        <v>213</v>
      </c>
      <c r="X1111" s="128">
        <f ca="1">X1110+$T1101</f>
        <v>8888</v>
      </c>
      <c r="Y1111" s="139">
        <f ca="1">Y1110</f>
        <v>8888</v>
      </c>
      <c r="AA1111" s="143" t="s">
        <v>213</v>
      </c>
      <c r="AB1111" s="128">
        <f ca="1">IF($AA1108,D1111,P1111)</f>
        <v>8888</v>
      </c>
      <c r="AC1111" s="129">
        <f ca="1">IF($AA1108,E1111,Q1111)</f>
        <v>8888</v>
      </c>
      <c r="AE1111" s="128" t="s">
        <v>213</v>
      </c>
      <c r="AF1111" s="128">
        <f ca="1">IF($AE1108,H1111,T1111)</f>
        <v>8888</v>
      </c>
      <c r="AG1111" s="129">
        <f ca="1">IF($AE1108,I1111,U1111)</f>
        <v>8888</v>
      </c>
      <c r="AI1111" s="128" t="s">
        <v>213</v>
      </c>
      <c r="AJ1111" s="128">
        <f ca="1">IF($AI1108,L1111,X1111)</f>
        <v>8888</v>
      </c>
      <c r="AK1111" s="129">
        <f ca="1">IF($AI1108,M1111,Y1111)</f>
        <v>8888</v>
      </c>
      <c r="AM1111" s="128" t="s">
        <v>213</v>
      </c>
      <c r="AN1111" s="128">
        <f ca="1">AN1110-AO1101/2</f>
        <v>-16.562000000000005</v>
      </c>
      <c r="AO1111" s="129">
        <f ca="1">IF(AN1111&gt;-Fuselage!$D$366,(FUSELAGE_a_ellipse)*SQRT(1-((AN1111+Fuselage!$D$366)/(Fuselage!$K$364-FUSELAGE_t_fuselage))^2),IF(AN1111&gt;$L$2505+Fuselage!$K$370,FUSELAGE_a_ellipse,(FUSELAGE_a_ellipse+FUSELAGE_t_fuselage-FUSELAGE_d_fo/4)/Fuselage!$K$368*(AN1111-$L$2505-Fuselage!$K$370)+FUSELAGE_a_ellipse))</f>
        <v>1.4960570012328709</v>
      </c>
      <c r="AQ1111" s="128" t="s">
        <v>213</v>
      </c>
      <c r="AR1111" s="128">
        <f t="shared" ca="1" si="116"/>
        <v>-16.562000000000005</v>
      </c>
      <c r="AS1111" s="129">
        <f t="shared" ca="1" si="117"/>
        <v>-1.4960570012328709</v>
      </c>
      <c r="BD1111" s="157"/>
    </row>
    <row r="1112" spans="2:56">
      <c r="B1112" s="156"/>
      <c r="C1112" s="128" t="s">
        <v>286</v>
      </c>
      <c r="D1112" s="128">
        <f ca="1">D1111</f>
        <v>8888</v>
      </c>
      <c r="E1112" s="139">
        <f ca="1">E1111-P1101</f>
        <v>8888</v>
      </c>
      <c r="G1112" s="128" t="s">
        <v>286</v>
      </c>
      <c r="H1112" s="128">
        <f ca="1">H1111</f>
        <v>8888</v>
      </c>
      <c r="I1112" s="139">
        <f ca="1">I1111-P1101</f>
        <v>8888</v>
      </c>
      <c r="K1112" s="128" t="s">
        <v>286</v>
      </c>
      <c r="L1112" s="128">
        <f ca="1">L1111</f>
        <v>8888</v>
      </c>
      <c r="M1112" s="139">
        <f ca="1">M1111-P1101</f>
        <v>8888</v>
      </c>
      <c r="O1112" s="128" t="s">
        <v>286</v>
      </c>
      <c r="P1112" s="128">
        <f ca="1">P1111</f>
        <v>8888</v>
      </c>
      <c r="Q1112" s="139">
        <f ca="1">Q1111-$T1106</f>
        <v>8888</v>
      </c>
      <c r="S1112" s="128" t="s">
        <v>286</v>
      </c>
      <c r="T1112" s="128">
        <f ca="1">T1111</f>
        <v>8888</v>
      </c>
      <c r="U1112" s="139">
        <f ca="1">U1111-$T1104</f>
        <v>8888</v>
      </c>
      <c r="W1112" s="128" t="s">
        <v>286</v>
      </c>
      <c r="X1112" s="128">
        <f ca="1">X1111</f>
        <v>8888</v>
      </c>
      <c r="Y1112" s="139">
        <f ca="1">Y1111+$T1102</f>
        <v>8888</v>
      </c>
      <c r="AA1112" s="143" t="s">
        <v>286</v>
      </c>
      <c r="AB1112" s="128">
        <f ca="1">IF($AA1108,D1112,P1112)</f>
        <v>8888</v>
      </c>
      <c r="AC1112" s="129">
        <f ca="1">IF($AA1108,E1112,Q1112)</f>
        <v>8888</v>
      </c>
      <c r="AE1112" s="128" t="s">
        <v>286</v>
      </c>
      <c r="AF1112" s="128">
        <f ca="1">IF($AE1108,H1112,T1112)</f>
        <v>8888</v>
      </c>
      <c r="AG1112" s="129">
        <f ca="1">IF($AE1108,I1112,U1112)</f>
        <v>8888</v>
      </c>
      <c r="AI1112" s="128" t="s">
        <v>286</v>
      </c>
      <c r="AJ1112" s="128">
        <f ca="1">IF($AI1108,L1112,X1112)</f>
        <v>8888</v>
      </c>
      <c r="AK1112" s="129">
        <f ca="1">IF($AI1108,M1112,Y1112)</f>
        <v>8888</v>
      </c>
      <c r="AM1112" s="128" t="s">
        <v>286</v>
      </c>
      <c r="AN1112" s="128">
        <f ca="1">AN1111</f>
        <v>-16.562000000000005</v>
      </c>
      <c r="AO1112" s="129">
        <f ca="1">IF(AN1112&gt;-Fuselage!$D$366,IF(AM1108,(FUSELAGE_a_ellipse+FUSELAGE_t_fuselage)*SQRT(1-((AN1112+Fuselage!$D$366)/Fuselage!$K$364)^2),(FUSELAGE_a_ellipse)*SQRT(1-((AN1112+Fuselage!$D$366)/Fuselage!$K$364)^2)),IF(AN1112&gt;$L$2505+Fuselage!$K$370,(IF(AM1108,FUSELAGE_a_ellipse+FUSELAGE_t_fuselage,FUSELAGE_a_ellipse)),IF(AM1108,(FUSELAGE_a_ellipse+FUSELAGE_t_fuselage-FUSELAGE_d_fo/4)/Fuselage!$K$368*(AN1112-$L$2505-Fuselage!$K$370)+FUSELAGE_a_ellipse+FUSELAGE_t_fuselage,(FUSELAGE_a_ellipse+FUSELAGE_t_fuselage-FUSELAGE_d_fo/4)/Fuselage!$K$368*(AN1112-$L$2505-Fuselage!$K$370)+FUSELAGE_a_ellipse)))</f>
        <v>1.4960570012328709</v>
      </c>
      <c r="AQ1112" s="128" t="s">
        <v>286</v>
      </c>
      <c r="AR1112" s="128">
        <f t="shared" ca="1" si="116"/>
        <v>-16.562000000000005</v>
      </c>
      <c r="AS1112" s="129">
        <f t="shared" ca="1" si="117"/>
        <v>-1.4960570012328709</v>
      </c>
      <c r="BD1112" s="157"/>
    </row>
    <row r="1113" spans="2:56">
      <c r="B1113" s="156"/>
      <c r="C1113" s="188" t="s">
        <v>522</v>
      </c>
      <c r="D1113" s="188">
        <f ca="1">D1110</f>
        <v>8888</v>
      </c>
      <c r="E1113" s="189">
        <f ca="1">E1112</f>
        <v>8888</v>
      </c>
      <c r="F1113" s="157"/>
      <c r="G1113" s="2" t="s">
        <v>522</v>
      </c>
      <c r="H1113" s="128">
        <f ca="1">H1110</f>
        <v>8888</v>
      </c>
      <c r="I1113" s="139">
        <f ca="1">I1112</f>
        <v>8888</v>
      </c>
      <c r="K1113" s="128" t="s">
        <v>522</v>
      </c>
      <c r="L1113" s="128">
        <f ca="1">L1110</f>
        <v>8888</v>
      </c>
      <c r="M1113" s="139">
        <f ca="1">M1112</f>
        <v>8888</v>
      </c>
      <c r="O1113" s="188" t="s">
        <v>522</v>
      </c>
      <c r="P1113" s="188">
        <f ca="1">P1110</f>
        <v>8888</v>
      </c>
      <c r="Q1113" s="189">
        <f ca="1">Q1112</f>
        <v>8888</v>
      </c>
      <c r="S1113" s="188" t="s">
        <v>522</v>
      </c>
      <c r="T1113" s="188">
        <f ca="1">T1110</f>
        <v>8888</v>
      </c>
      <c r="U1113" s="189">
        <f ca="1">U1112</f>
        <v>8888</v>
      </c>
      <c r="W1113" s="188" t="s">
        <v>522</v>
      </c>
      <c r="X1113" s="188">
        <f ca="1">X1110</f>
        <v>8888</v>
      </c>
      <c r="Y1113" s="189">
        <f ca="1">Y1112</f>
        <v>8888</v>
      </c>
      <c r="AA1113" s="195" t="s">
        <v>522</v>
      </c>
      <c r="AB1113" s="128">
        <f ca="1">IF($AA1108,D1113,P1113)</f>
        <v>8888</v>
      </c>
      <c r="AC1113" s="129">
        <f ca="1">IF($AA1108,E1113,Q1113)</f>
        <v>8888</v>
      </c>
      <c r="AD1113" s="157"/>
      <c r="AE1113" s="2" t="s">
        <v>522</v>
      </c>
      <c r="AF1113" s="188">
        <f ca="1">IF($AE1108,H1113,T1113)</f>
        <v>8888</v>
      </c>
      <c r="AG1113" s="196">
        <f ca="1">IF($AE1108,I1113,U1113)</f>
        <v>8888</v>
      </c>
      <c r="AI1113" s="128" t="s">
        <v>522</v>
      </c>
      <c r="AJ1113" s="188">
        <f ca="1">IF($AI1108,L1113,X1113)</f>
        <v>8888</v>
      </c>
      <c r="AK1113" s="196">
        <f ca="1">IF($AI1108,M1113,Y1113)</f>
        <v>8888</v>
      </c>
      <c r="AM1113" s="128" t="s">
        <v>522</v>
      </c>
      <c r="AN1113" s="128">
        <f ca="1">AN1112-X1102</f>
        <v>-16.562000000000005</v>
      </c>
      <c r="AO1113" s="129">
        <f ca="1">IF(AN1113&gt;-Fuselage!$D$366,IF(AM1108,(FUSELAGE_a_ellipse+FUSELAGE_t_fuselage)*SQRT(1-((AN1113+Fuselage!$D$366)/Fuselage!$K$364)^2),(FUSELAGE_a_ellipse)*SQRT(1-((AN1113+Fuselage!$D$366)/Fuselage!$K$364)^2)),IF(AN1113&gt;$L$2505+Fuselage!$K$370,(IF(AM1108,FUSELAGE_a_ellipse+FUSELAGE_t_fuselage,FUSELAGE_a_ellipse)),IF(AM1108,(FUSELAGE_a_ellipse+FUSELAGE_t_fuselage-FUSELAGE_d_fo/4)/Fuselage!$K$368*(AN1113-$L$2505-Fuselage!$K$370)+FUSELAGE_a_ellipse+FUSELAGE_t_fuselage,(FUSELAGE_a_ellipse+FUSELAGE_t_fuselage-FUSELAGE_d_fo/4)/Fuselage!$K$368*(AN1113-$L$2505-Fuselage!$K$370)+FUSELAGE_a_ellipse)))</f>
        <v>1.4960570012328709</v>
      </c>
      <c r="AQ1113" s="128" t="s">
        <v>522</v>
      </c>
      <c r="AR1113" s="128">
        <f t="shared" ca="1" si="116"/>
        <v>-16.562000000000005</v>
      </c>
      <c r="AS1113" s="129">
        <f t="shared" ca="1" si="117"/>
        <v>-1.4960570012328709</v>
      </c>
      <c r="BD1113" s="157"/>
    </row>
    <row r="1114" spans="2:56" ht="15" thickBot="1">
      <c r="B1114" s="156"/>
      <c r="C1114" s="128" t="s">
        <v>49</v>
      </c>
      <c r="D1114" s="128">
        <f ca="1">IF(C1108&gt;=2,D1110,D1113)</f>
        <v>8888</v>
      </c>
      <c r="E1114" s="139">
        <f ca="1">IF(C1108&gt;=2,E1113-P1103,E1113)</f>
        <v>8888</v>
      </c>
      <c r="F1114" s="157"/>
      <c r="G1114" s="192" t="s">
        <v>49</v>
      </c>
      <c r="H1114" s="190">
        <f ca="1">IF(G1108&gt;=2,H1110,H1113)</f>
        <v>8888</v>
      </c>
      <c r="I1114" s="191">
        <f ca="1">IF(G1108&gt;=2,I1113-P1103,I1113)</f>
        <v>8888</v>
      </c>
      <c r="K1114" s="190" t="s">
        <v>49</v>
      </c>
      <c r="L1114" s="190">
        <f ca="1">IF(K1108&gt;=2,L1110,L1113)</f>
        <v>8888</v>
      </c>
      <c r="M1114" s="191">
        <f ca="1">IF(K1108&gt;=2,M1113-P1103,M1113)</f>
        <v>8888</v>
      </c>
      <c r="O1114" s="130" t="s">
        <v>396</v>
      </c>
      <c r="P1114" s="130">
        <f ca="1">P1110</f>
        <v>8888</v>
      </c>
      <c r="Q1114" s="140">
        <f ca="1">Q1110</f>
        <v>8888</v>
      </c>
      <c r="S1114" s="130" t="s">
        <v>396</v>
      </c>
      <c r="T1114" s="130">
        <f ca="1">T1110</f>
        <v>8888</v>
      </c>
      <c r="U1114" s="140">
        <f ca="1">U1110</f>
        <v>8888</v>
      </c>
      <c r="W1114" s="130" t="s">
        <v>396</v>
      </c>
      <c r="X1114" s="130">
        <f ca="1">X1110</f>
        <v>8888</v>
      </c>
      <c r="Y1114" s="140">
        <f ca="1">Y1110</f>
        <v>8888</v>
      </c>
      <c r="AA1114" s="143" t="s">
        <v>49</v>
      </c>
      <c r="AB1114" s="128">
        <f ca="1">IF($AA1108,D1114,P1114)</f>
        <v>8888</v>
      </c>
      <c r="AC1114" s="129">
        <f ca="1">IF($AA1108,E1114,Q1114)</f>
        <v>8888</v>
      </c>
      <c r="AD1114" s="157"/>
      <c r="AE1114" s="192" t="s">
        <v>49</v>
      </c>
      <c r="AF1114" s="128">
        <f ca="1">IF($AE1108,H1114,T1114)</f>
        <v>8888</v>
      </c>
      <c r="AG1114" s="129">
        <f ca="1">IF($AE1108,I1114,U1114)</f>
        <v>8888</v>
      </c>
      <c r="AI1114" s="190" t="s">
        <v>49</v>
      </c>
      <c r="AJ1114" s="128">
        <f ca="1">IF($AI1108,L1114,X1114)</f>
        <v>8888</v>
      </c>
      <c r="AK1114" s="129">
        <f ca="1">IF($AI1108,M1114,Y1114)</f>
        <v>8888</v>
      </c>
      <c r="AM1114" s="128" t="s">
        <v>49</v>
      </c>
      <c r="AN1114" s="128">
        <f ca="1">AN1113</f>
        <v>-16.562000000000005</v>
      </c>
      <c r="AO1114" s="129">
        <f ca="1">IF(AN1114&gt;-Fuselage!$D$366,(FUSELAGE_a_ellipse)*SQRT(1-((AN1114+Fuselage!$D$366)/(Fuselage!$K$364-FUSELAGE_t_fuselage))^2),IF(AN1114&gt;$L$2505+Fuselage!$K$370,FUSELAGE_a_ellipse,(FUSELAGE_a_ellipse+FUSELAGE_t_fuselage-FUSELAGE_d_fo/4)/Fuselage!$K$368*(AN1114-$L$2505-Fuselage!$K$370)+FUSELAGE_a_ellipse))</f>
        <v>1.4960570012328709</v>
      </c>
      <c r="AQ1114" s="128" t="s">
        <v>49</v>
      </c>
      <c r="AR1114" s="128">
        <f t="shared" ca="1" si="116"/>
        <v>-16.562000000000005</v>
      </c>
      <c r="AS1114" s="129">
        <f t="shared" ca="1" si="117"/>
        <v>-1.4960570012328709</v>
      </c>
      <c r="BD1114" s="157"/>
    </row>
    <row r="1115" spans="2:56">
      <c r="B1115" s="156"/>
      <c r="C1115" s="128" t="s">
        <v>453</v>
      </c>
      <c r="D1115" s="128">
        <f ca="1">IF(C1108&gt;=2,D1110+P1102,D1113)</f>
        <v>8888</v>
      </c>
      <c r="E1115" s="139">
        <f ca="1">E1114</f>
        <v>8888</v>
      </c>
      <c r="F1115" s="157"/>
      <c r="G1115" s="2" t="s">
        <v>453</v>
      </c>
      <c r="H1115" s="128">
        <f ca="1">IF(G1108&gt;=2,H1111,H1113)</f>
        <v>8888</v>
      </c>
      <c r="I1115" s="139">
        <f ca="1">IF(G1108&gt;=2,I1114,I1113)</f>
        <v>8888</v>
      </c>
      <c r="K1115" s="128" t="s">
        <v>453</v>
      </c>
      <c r="L1115" s="128">
        <f ca="1">IF(K1108&gt;=2,IF(X1103,IF(K1108=2,L1110+P1102/4,L1110+P1102),L1110+P1102),L1113)</f>
        <v>8888</v>
      </c>
      <c r="M1115" s="139">
        <f ca="1">IF(K1108&gt;=2,M1114,M1113)</f>
        <v>8888</v>
      </c>
      <c r="AA1115" s="143" t="s">
        <v>453</v>
      </c>
      <c r="AB1115" s="128">
        <f ca="1">IF($AA1108,D1115,AB1114)</f>
        <v>8888</v>
      </c>
      <c r="AC1115" s="129">
        <f ca="1">IF($AA1108,E1115,AC1114)</f>
        <v>8888</v>
      </c>
      <c r="AD1115" s="157"/>
      <c r="AE1115" s="2" t="s">
        <v>453</v>
      </c>
      <c r="AF1115" s="128">
        <f ca="1">IF($AE1108,H1115,AF1114)</f>
        <v>8888</v>
      </c>
      <c r="AG1115" s="129">
        <f ca="1">IF($AE1108,I1115,AG1114)</f>
        <v>8888</v>
      </c>
      <c r="AI1115" s="128" t="s">
        <v>453</v>
      </c>
      <c r="AJ1115" s="128">
        <f ca="1">IF($AI1108,L1115,AJ1114)</f>
        <v>8888</v>
      </c>
      <c r="AK1115" s="129">
        <f ca="1">IF($AI1108,M1115,AK1114)</f>
        <v>8888</v>
      </c>
      <c r="AM1115" s="128" t="s">
        <v>453</v>
      </c>
      <c r="AN1115" s="128">
        <f ca="1">L1101</f>
        <v>-16.562000000000005</v>
      </c>
      <c r="AO1115" s="129">
        <f ca="1">IF(AN1115&gt;-Fuselage!$D$366,(FUSELAGE_a_ellipse)*SQRT(1-((AN1115+Fuselage!$D$366)/(Fuselage!$K$364-FUSELAGE_t_fuselage))^2),IF(AN1115&gt;$L$2505+Fuselage!$K$370,FUSELAGE_a_ellipse,(FUSELAGE_a_ellipse+FUSELAGE_t_fuselage-FUSELAGE_d_fo/4)/Fuselage!$K$368*(AN1115-$L$2505-Fuselage!$K$370)+FUSELAGE_a_ellipse))</f>
        <v>1.4960570012328709</v>
      </c>
      <c r="AQ1115" s="128" t="s">
        <v>453</v>
      </c>
      <c r="AR1115" s="128">
        <f t="shared" ca="1" si="116"/>
        <v>-16.562000000000005</v>
      </c>
      <c r="AS1115" s="129">
        <f t="shared" ca="1" si="117"/>
        <v>-1.4960570012328709</v>
      </c>
      <c r="BD1115" s="157"/>
    </row>
    <row r="1116" spans="2:56">
      <c r="B1116" s="156"/>
      <c r="C1116" s="128" t="s">
        <v>394</v>
      </c>
      <c r="D1116" s="128">
        <f ca="1">IF(C1108&gt;=2,D1115,D1113)</f>
        <v>8888</v>
      </c>
      <c r="E1116" s="139">
        <f ca="1">IF(C1108&gt;=2,E1114-P1101,E1113)</f>
        <v>8888</v>
      </c>
      <c r="F1116" s="157"/>
      <c r="G1116" s="2" t="s">
        <v>394</v>
      </c>
      <c r="H1116" s="128">
        <f ca="1">IF(G1108&gt;=2,H1111,H1113)</f>
        <v>8888</v>
      </c>
      <c r="I1116" s="139">
        <f ca="1">IF(G1108&gt;=2,I1115-P1101,I1113)</f>
        <v>8888</v>
      </c>
      <c r="K1116" s="128" t="s">
        <v>394</v>
      </c>
      <c r="L1116" s="128">
        <f ca="1">L1115</f>
        <v>8888</v>
      </c>
      <c r="M1116" s="139">
        <f ca="1">IF(K1108&gt;=2,M1115-P1101,M1113)</f>
        <v>8888</v>
      </c>
      <c r="AA1116" s="143" t="s">
        <v>394</v>
      </c>
      <c r="AB1116" s="128">
        <f ca="1">IF($AA1108,D1116,AB1114)</f>
        <v>8888</v>
      </c>
      <c r="AC1116" s="129">
        <f ca="1">IF($AA1108,E1116,AC1114)</f>
        <v>8888</v>
      </c>
      <c r="AD1116" s="157"/>
      <c r="AE1116" s="2" t="s">
        <v>394</v>
      </c>
      <c r="AF1116" s="128">
        <f ca="1">IF($AE1108,H1116,AF1114)</f>
        <v>8888</v>
      </c>
      <c r="AG1116" s="129">
        <f ca="1">IF($AE1108,I1116,AG1114)</f>
        <v>8888</v>
      </c>
      <c r="AI1116" s="128" t="s">
        <v>394</v>
      </c>
      <c r="AJ1116" s="128">
        <f ca="1">IF($AI1108,L1116,AJ1114)</f>
        <v>8888</v>
      </c>
      <c r="AK1116" s="129">
        <f ca="1">IF($AI1108,M1116,AK1114)</f>
        <v>8888</v>
      </c>
      <c r="BD1116" s="157"/>
    </row>
    <row r="1117" spans="2:56">
      <c r="B1117" s="156"/>
      <c r="C1117" s="188" t="s">
        <v>454</v>
      </c>
      <c r="D1117" s="188">
        <f ca="1">IF(C1108&gt;=2,D1110,D1113)</f>
        <v>8888</v>
      </c>
      <c r="E1117" s="189">
        <f ca="1">E1116</f>
        <v>8888</v>
      </c>
      <c r="F1117" s="157"/>
      <c r="G1117" s="115" t="s">
        <v>454</v>
      </c>
      <c r="H1117" s="188">
        <f ca="1">IF(G1108&gt;=2,H1110,H1113)</f>
        <v>8888</v>
      </c>
      <c r="I1117" s="189">
        <f ca="1">IF(G1108&gt;=2,I1116,I1113)</f>
        <v>8888</v>
      </c>
      <c r="K1117" s="188" t="s">
        <v>454</v>
      </c>
      <c r="L1117" s="188">
        <f ca="1">IF(K1108&gt;=2,L1110,L1113)</f>
        <v>8888</v>
      </c>
      <c r="M1117" s="189">
        <f ca="1">IF(K1108&gt;=2,M1116,M1113)</f>
        <v>8888</v>
      </c>
      <c r="AA1117" s="195" t="s">
        <v>454</v>
      </c>
      <c r="AB1117" s="128">
        <f ca="1">IF($AA1108,D1117,AB1114)</f>
        <v>8888</v>
      </c>
      <c r="AC1117" s="129">
        <f ca="1">IF($AA1108,E1117,AC1114)</f>
        <v>8888</v>
      </c>
      <c r="AD1117" s="157"/>
      <c r="AE1117" s="115" t="s">
        <v>454</v>
      </c>
      <c r="AF1117" s="188">
        <f ca="1">IF($AE1108,H1117,AF1114)</f>
        <v>8888</v>
      </c>
      <c r="AG1117" s="196">
        <f ca="1">IF($AE1108,I1117,AG1114)</f>
        <v>8888</v>
      </c>
      <c r="AI1117" s="188" t="s">
        <v>454</v>
      </c>
      <c r="AJ1117" s="188">
        <f ca="1">IF($AI1108,L1117,AJ1114)</f>
        <v>8888</v>
      </c>
      <c r="AK1117" s="196">
        <f ca="1">IF($AI1108,M1117,AK1114)</f>
        <v>8888</v>
      </c>
      <c r="BD1117" s="157"/>
    </row>
    <row r="1118" spans="2:56">
      <c r="B1118" s="156"/>
      <c r="C1118" s="128" t="s">
        <v>507</v>
      </c>
      <c r="D1118" s="128">
        <f ca="1">IF(C1108&gt;=3,D1110,D1117)</f>
        <v>8888</v>
      </c>
      <c r="E1118" s="139">
        <f ca="1">IF(C1108&gt;=3,E1117-P1103,E1117)</f>
        <v>8888</v>
      </c>
      <c r="F1118" s="157"/>
      <c r="G1118" s="2" t="s">
        <v>507</v>
      </c>
      <c r="H1118" s="128">
        <f ca="1">IF(G1108&gt;=3,H1110,H1117)</f>
        <v>8888</v>
      </c>
      <c r="I1118" s="139">
        <f ca="1">IF(G1108&gt;=3,I1117-P1103,I1117)</f>
        <v>8888</v>
      </c>
      <c r="K1118" s="128" t="s">
        <v>507</v>
      </c>
      <c r="L1118" s="128">
        <f ca="1">IF(K1108&gt;=3,L1110,L1117)</f>
        <v>8888</v>
      </c>
      <c r="M1118" s="139">
        <f ca="1">IF(K1108&gt;=3,M1117-P1103,M1117)</f>
        <v>8888</v>
      </c>
      <c r="AA1118" s="143" t="s">
        <v>507</v>
      </c>
      <c r="AB1118" s="128">
        <f ca="1">IF($AA1108,D1118,AB1114)</f>
        <v>8888</v>
      </c>
      <c r="AC1118" s="129">
        <f ca="1">IF($AA1108,E1118,AC1114)</f>
        <v>8888</v>
      </c>
      <c r="AD1118" s="157"/>
      <c r="AE1118" s="2" t="s">
        <v>507</v>
      </c>
      <c r="AF1118" s="128">
        <f ca="1">IF($AE1108,H1118,AF1114)</f>
        <v>8888</v>
      </c>
      <c r="AG1118" s="129">
        <f ca="1">IF($AE1108,I1118,AG1114)</f>
        <v>8888</v>
      </c>
      <c r="AI1118" s="128" t="s">
        <v>507</v>
      </c>
      <c r="AJ1118" s="128">
        <f ca="1">IF($AI1108,L1118,AJ1114)</f>
        <v>8888</v>
      </c>
      <c r="AK1118" s="129">
        <f ca="1">IF($AI1108,M1118,AK1114)</f>
        <v>8888</v>
      </c>
      <c r="BD1118" s="157"/>
    </row>
    <row r="1119" spans="2:56">
      <c r="B1119" s="156"/>
      <c r="C1119" s="128" t="s">
        <v>455</v>
      </c>
      <c r="D1119" s="128">
        <f ca="1">IF(C1108&gt;=3,D1115,D1117)</f>
        <v>8888</v>
      </c>
      <c r="E1119" s="139">
        <f ca="1">E1118</f>
        <v>8888</v>
      </c>
      <c r="F1119" s="157"/>
      <c r="G1119" s="2" t="s">
        <v>455</v>
      </c>
      <c r="H1119" s="128">
        <f ca="1">IF(G1108&gt;=3,H1111,H1117)</f>
        <v>8888</v>
      </c>
      <c r="I1119" s="139">
        <f ca="1">IF(G1108&gt;=3,I1118,I1117)</f>
        <v>8888</v>
      </c>
      <c r="K1119" s="128" t="s">
        <v>455</v>
      </c>
      <c r="L1119" s="128">
        <f ca="1">IF(K1108&gt;=3,IF(X1103,IF(K1108=3,L1110+P1102/4,L1110+P1102),L1110+P1102),L1113)</f>
        <v>8888</v>
      </c>
      <c r="M1119" s="139">
        <f ca="1">IF(K1108&gt;=3,M1118,M1117)</f>
        <v>8888</v>
      </c>
      <c r="AA1119" s="143" t="s">
        <v>455</v>
      </c>
      <c r="AB1119" s="128">
        <f ca="1">IF($AA1108,D1119,AB1114)</f>
        <v>8888</v>
      </c>
      <c r="AC1119" s="129">
        <f ca="1">IF($AA1108,E1119,AC1114)</f>
        <v>8888</v>
      </c>
      <c r="AD1119" s="157"/>
      <c r="AE1119" s="2" t="s">
        <v>455</v>
      </c>
      <c r="AF1119" s="128">
        <f ca="1">IF($AE1108,H1119,AF1114)</f>
        <v>8888</v>
      </c>
      <c r="AG1119" s="129">
        <f ca="1">IF($AE1108,I1119,AG1114)</f>
        <v>8888</v>
      </c>
      <c r="AI1119" s="128" t="s">
        <v>455</v>
      </c>
      <c r="AJ1119" s="128">
        <f ca="1">IF($AI1108,L1119,AJ1114)</f>
        <v>8888</v>
      </c>
      <c r="AK1119" s="129">
        <f ca="1">IF($AI1108,M1119,AK1114)</f>
        <v>8888</v>
      </c>
      <c r="AL1119" s="156"/>
      <c r="BD1119" s="157"/>
    </row>
    <row r="1120" spans="2:56">
      <c r="B1120" s="156"/>
      <c r="C1120" s="128" t="s">
        <v>311</v>
      </c>
      <c r="D1120" s="128">
        <f ca="1">IF(C1108&gt;=3,D1115,D1117)</f>
        <v>8888</v>
      </c>
      <c r="E1120" s="139">
        <f ca="1">IF(C1108&gt;=3,E1119-P1101,E1117)</f>
        <v>8888</v>
      </c>
      <c r="F1120" s="157"/>
      <c r="G1120" s="2" t="s">
        <v>311</v>
      </c>
      <c r="H1120" s="128">
        <f ca="1">IF(G1108&gt;=3,H1111,H1117)</f>
        <v>8888</v>
      </c>
      <c r="I1120" s="139">
        <f ca="1">IF(G1108&gt;=3,I1119-P1101,I1117)</f>
        <v>8888</v>
      </c>
      <c r="K1120" s="128" t="s">
        <v>311</v>
      </c>
      <c r="L1120" s="128">
        <f ca="1">L1119</f>
        <v>8888</v>
      </c>
      <c r="M1120" s="139">
        <f ca="1">IF(K1108&gt;=3,M1119-P1101,M1117)</f>
        <v>8888</v>
      </c>
      <c r="AA1120" s="143" t="s">
        <v>311</v>
      </c>
      <c r="AB1120" s="128">
        <f ca="1">IF($AA1108,D1120,AB1114)</f>
        <v>8888</v>
      </c>
      <c r="AC1120" s="129">
        <f ca="1">IF($AA1108,E1120,AC1114)</f>
        <v>8888</v>
      </c>
      <c r="AD1120" s="157"/>
      <c r="AE1120" s="2" t="s">
        <v>311</v>
      </c>
      <c r="AF1120" s="128">
        <f ca="1">IF($AE1108,H1120,AF1114)</f>
        <v>8888</v>
      </c>
      <c r="AG1120" s="129">
        <f ca="1">IF($AE1108,I1120,AG1114)</f>
        <v>8888</v>
      </c>
      <c r="AI1120" s="128" t="s">
        <v>311</v>
      </c>
      <c r="AJ1120" s="128">
        <f ca="1">IF($AI1108,L1120,AJ1114)</f>
        <v>8888</v>
      </c>
      <c r="AK1120" s="129">
        <f ca="1">IF($AI1108,M1120,AK1114)</f>
        <v>8888</v>
      </c>
      <c r="AL1120" s="156"/>
      <c r="BD1120" s="157"/>
    </row>
    <row r="1121" spans="2:56">
      <c r="B1121" s="156"/>
      <c r="C1121" s="188" t="s">
        <v>35</v>
      </c>
      <c r="D1121" s="188">
        <f ca="1">IF(C1108&gt;=3,D1110,D1117)</f>
        <v>8888</v>
      </c>
      <c r="E1121" s="189">
        <f ca="1">E1120</f>
        <v>8888</v>
      </c>
      <c r="F1121" s="157"/>
      <c r="G1121" s="2" t="s">
        <v>35</v>
      </c>
      <c r="H1121" s="188">
        <f ca="1">IF(G1108&gt;=3,H1110,H1117)</f>
        <v>8888</v>
      </c>
      <c r="I1121" s="189">
        <f ca="1">IF(G1108&gt;=3,I1120,I1117)</f>
        <v>8888</v>
      </c>
      <c r="K1121" s="188" t="s">
        <v>35</v>
      </c>
      <c r="L1121" s="188">
        <f ca="1">IF(K1108&gt;=3,L1110,L1117)</f>
        <v>8888</v>
      </c>
      <c r="M1121" s="189">
        <f ca="1">IF(K1108&gt;=3,M1120,M1117)</f>
        <v>8888</v>
      </c>
      <c r="AA1121" s="143" t="s">
        <v>35</v>
      </c>
      <c r="AB1121" s="128">
        <f ca="1">IF($AA1108,D1121,AB1114)</f>
        <v>8888</v>
      </c>
      <c r="AC1121" s="129">
        <f ca="1">IF($AA1108,E1121,AC1114)</f>
        <v>8888</v>
      </c>
      <c r="AD1121" s="157"/>
      <c r="AE1121" s="2" t="s">
        <v>35</v>
      </c>
      <c r="AF1121" s="188">
        <f ca="1">IF($AE1108,H1121,AF1114)</f>
        <v>8888</v>
      </c>
      <c r="AG1121" s="196">
        <f ca="1">IF($AE1108,I1121,AG1114)</f>
        <v>8888</v>
      </c>
      <c r="AI1121" s="128" t="s">
        <v>35</v>
      </c>
      <c r="AJ1121" s="128">
        <f ca="1">IF($AI1108,L1121,AJ1114)</f>
        <v>8888</v>
      </c>
      <c r="AK1121" s="129">
        <f ca="1">IF($AI1108,M1121,AK1114)</f>
        <v>8888</v>
      </c>
      <c r="AL1121" s="156"/>
      <c r="BD1121" s="157"/>
    </row>
    <row r="1122" spans="2:56" ht="15" thickBot="1">
      <c r="B1122" s="156"/>
      <c r="C1122" s="130" t="s">
        <v>396</v>
      </c>
      <c r="D1122" s="130">
        <f ca="1">D1110</f>
        <v>8888</v>
      </c>
      <c r="E1122" s="140">
        <f ca="1">E1110</f>
        <v>8888</v>
      </c>
      <c r="F1122" s="157"/>
      <c r="G1122" s="192" t="s">
        <v>312</v>
      </c>
      <c r="H1122" s="128">
        <f ca="1">IF(G1108&gt;=4,H1110,H1121)</f>
        <v>8888</v>
      </c>
      <c r="I1122" s="139">
        <f ca="1">IF(G1108&gt;=4,I1121-P1103,I1121)</f>
        <v>8888</v>
      </c>
      <c r="K1122" s="130" t="s">
        <v>396</v>
      </c>
      <c r="L1122" s="130">
        <f ca="1">L1110</f>
        <v>8888</v>
      </c>
      <c r="M1122" s="140">
        <f ca="1">M1110</f>
        <v>8888</v>
      </c>
      <c r="AA1122" s="144" t="s">
        <v>396</v>
      </c>
      <c r="AB1122" s="130">
        <f ca="1">IF($AA1108,D1122,AB1114)</f>
        <v>8888</v>
      </c>
      <c r="AC1122" s="132">
        <f ca="1">IF($AA1108,E1122,AC1114)</f>
        <v>8888</v>
      </c>
      <c r="AD1122" s="157"/>
      <c r="AE1122" s="192" t="s">
        <v>312</v>
      </c>
      <c r="AF1122" s="128">
        <f ca="1">IF($AE1108,H1122,AF1114)</f>
        <v>8888</v>
      </c>
      <c r="AG1122" s="129">
        <f ca="1">IF($AE1108,I1122,AG1114)</f>
        <v>8888</v>
      </c>
      <c r="AI1122" s="130" t="s">
        <v>396</v>
      </c>
      <c r="AJ1122" s="130">
        <f ca="1">IF($AI1108,L1122,AJ1114)</f>
        <v>8888</v>
      </c>
      <c r="AK1122" s="132">
        <f ca="1">IF($AI1108,M1122,AK1114)</f>
        <v>8888</v>
      </c>
      <c r="BD1122" s="157"/>
    </row>
    <row r="1123" spans="2:56">
      <c r="B1123" s="156"/>
      <c r="F1123" s="157"/>
      <c r="G1123" s="2" t="s">
        <v>313</v>
      </c>
      <c r="H1123" s="128">
        <f ca="1">IF(G1108&gt;=4,H1111,H1121)</f>
        <v>8888</v>
      </c>
      <c r="I1123" s="139">
        <f ca="1">IF(G1108&gt;=4,I1122,I1121)</f>
        <v>8888</v>
      </c>
      <c r="AD1123" s="157"/>
      <c r="AE1123" s="2" t="s">
        <v>313</v>
      </c>
      <c r="AF1123" s="128">
        <f ca="1">IF($AE1108,H1123,AF1114)</f>
        <v>8888</v>
      </c>
      <c r="AG1123" s="129">
        <f ca="1">IF($AE1108,I1123,AG1114)</f>
        <v>8888</v>
      </c>
      <c r="BD1123" s="157"/>
    </row>
    <row r="1124" spans="2:56">
      <c r="B1124" s="156"/>
      <c r="F1124" s="157"/>
      <c r="G1124" s="2" t="s">
        <v>7</v>
      </c>
      <c r="H1124" s="128">
        <f ca="1">IF(G1108&gt;=4,H1111,H1121)</f>
        <v>8888</v>
      </c>
      <c r="I1124" s="139">
        <f ca="1">IF(G1108&gt;=4,I1123-P1101,I1121)</f>
        <v>8888</v>
      </c>
      <c r="AD1124" s="157"/>
      <c r="AE1124" s="2" t="s">
        <v>7</v>
      </c>
      <c r="AF1124" s="128">
        <f ca="1">IF($AE1108,H1124,AF1114)</f>
        <v>8888</v>
      </c>
      <c r="AG1124" s="129">
        <f ca="1">IF($AE1108,I1124,AG1114)</f>
        <v>8888</v>
      </c>
      <c r="BD1124" s="157"/>
    </row>
    <row r="1125" spans="2:56">
      <c r="B1125" s="156"/>
      <c r="F1125" s="157"/>
      <c r="G1125" s="115" t="s">
        <v>8</v>
      </c>
      <c r="H1125" s="188">
        <f ca="1">IF(G1108&gt;=4,H1110,H1121)</f>
        <v>8888</v>
      </c>
      <c r="I1125" s="189">
        <f ca="1">IF(G1108&gt;=4,I1124,I1121)</f>
        <v>8888</v>
      </c>
      <c r="AD1125" s="157"/>
      <c r="AE1125" s="115" t="s">
        <v>8</v>
      </c>
      <c r="AF1125" s="188">
        <f ca="1">IF($AE1108,H1125,AF1114)</f>
        <v>8888</v>
      </c>
      <c r="AG1125" s="196">
        <f ca="1">IF($AE1108,I1125,AG1114)</f>
        <v>8888</v>
      </c>
      <c r="BD1125" s="157"/>
    </row>
    <row r="1126" spans="2:56">
      <c r="B1126" s="156"/>
      <c r="F1126" s="157"/>
      <c r="G1126" s="2" t="s">
        <v>9</v>
      </c>
      <c r="H1126" s="128">
        <f ca="1">IF(G1108&gt;=5,H1110,H1125)</f>
        <v>8888</v>
      </c>
      <c r="I1126" s="139">
        <f ca="1">IF(G1108&gt;=5,I1125-P1103,I1125)</f>
        <v>8888</v>
      </c>
      <c r="AD1126" s="157"/>
      <c r="AE1126" s="2" t="s">
        <v>9</v>
      </c>
      <c r="AF1126" s="128">
        <f ca="1">IF($AE1108,H1126,AF1114)</f>
        <v>8888</v>
      </c>
      <c r="AG1126" s="129">
        <f ca="1">IF($AE1108,I1126,AG1114)</f>
        <v>8888</v>
      </c>
      <c r="BD1126" s="157"/>
    </row>
    <row r="1127" spans="2:56">
      <c r="B1127" s="156"/>
      <c r="F1127" s="157"/>
      <c r="G1127" s="2" t="s">
        <v>196</v>
      </c>
      <c r="H1127" s="128">
        <f ca="1">IF(G1108&gt;=5,H1111,H1125)</f>
        <v>8888</v>
      </c>
      <c r="I1127" s="139">
        <f ca="1">IF(G1108&gt;=5,I1126,I1125)</f>
        <v>8888</v>
      </c>
      <c r="AD1127" s="157"/>
      <c r="AE1127" s="2" t="s">
        <v>196</v>
      </c>
      <c r="AF1127" s="128">
        <f ca="1">IF($AE1108,H1127,AF1114)</f>
        <v>8888</v>
      </c>
      <c r="AG1127" s="129">
        <f ca="1">IF($AE1108,I1127,AG1114)</f>
        <v>8888</v>
      </c>
      <c r="BD1127" s="157"/>
    </row>
    <row r="1128" spans="2:56">
      <c r="B1128" s="156"/>
      <c r="F1128" s="157"/>
      <c r="G1128" s="2" t="s">
        <v>10</v>
      </c>
      <c r="H1128" s="128">
        <f ca="1">IF(G1108&gt;=5,H1111,H1125)</f>
        <v>8888</v>
      </c>
      <c r="I1128" s="139">
        <f ca="1">IF(G1108&gt;=5,I1127-P1101,I1125)</f>
        <v>8888</v>
      </c>
      <c r="AD1128" s="157"/>
      <c r="AE1128" s="2" t="s">
        <v>10</v>
      </c>
      <c r="AF1128" s="128">
        <f ca="1">IF($AE1108,H1128,AF1114)</f>
        <v>8888</v>
      </c>
      <c r="AG1128" s="129">
        <f ca="1">IF($AE1108,I1128,AG1114)</f>
        <v>8888</v>
      </c>
      <c r="BD1128" s="157"/>
    </row>
    <row r="1129" spans="2:56">
      <c r="B1129" s="156"/>
      <c r="F1129" s="157"/>
      <c r="G1129" s="2" t="s">
        <v>161</v>
      </c>
      <c r="H1129" s="188">
        <f ca="1">IF(G1108&gt;=5,H1110,H1125)</f>
        <v>8888</v>
      </c>
      <c r="I1129" s="189">
        <f ca="1">IF(G1108&gt;=5,I1128,I1125)</f>
        <v>8888</v>
      </c>
      <c r="AD1129" s="157"/>
      <c r="AE1129" s="2" t="s">
        <v>161</v>
      </c>
      <c r="AF1129" s="188">
        <f ca="1">IF($AE1108,H1129,AF1114)</f>
        <v>8888</v>
      </c>
      <c r="AG1129" s="196">
        <f ca="1">IF($AE1108,I1129,AG1114)</f>
        <v>8888</v>
      </c>
      <c r="BD1129" s="157"/>
    </row>
    <row r="1130" spans="2:56">
      <c r="B1130" s="156"/>
      <c r="F1130" s="157"/>
      <c r="G1130" s="192" t="s">
        <v>11</v>
      </c>
      <c r="H1130" s="128">
        <f ca="1">IF(G1108&gt;=6,H1110,H1129)</f>
        <v>8888</v>
      </c>
      <c r="I1130" s="139">
        <f ca="1">IF(G1108&gt;=6,I1129-P1103,I1129)</f>
        <v>8888</v>
      </c>
      <c r="AD1130" s="157"/>
      <c r="AE1130" s="192" t="s">
        <v>11</v>
      </c>
      <c r="AF1130" s="128">
        <f ca="1">IF($AE1108,H1130,AF1114)</f>
        <v>8888</v>
      </c>
      <c r="AG1130" s="129">
        <f ca="1">IF($AE1108,I1130,AG1114)</f>
        <v>8888</v>
      </c>
      <c r="BD1130" s="157"/>
    </row>
    <row r="1131" spans="2:56">
      <c r="B1131" s="156"/>
      <c r="F1131" s="157"/>
      <c r="G1131" s="2" t="s">
        <v>12</v>
      </c>
      <c r="H1131" s="128">
        <f ca="1">IF(G1108&gt;=6,H1111,H1129)</f>
        <v>8888</v>
      </c>
      <c r="I1131" s="139">
        <f ca="1">IF(G1108&gt;=6,I1130,I1129)</f>
        <v>8888</v>
      </c>
      <c r="AD1131" s="157"/>
      <c r="AE1131" s="2" t="s">
        <v>12</v>
      </c>
      <c r="AF1131" s="128">
        <f ca="1">IF($AE1108,H1131,AF1114)</f>
        <v>8888</v>
      </c>
      <c r="AG1131" s="129">
        <f ca="1">IF($AE1108,I1131,AG1114)</f>
        <v>8888</v>
      </c>
      <c r="BD1131" s="157"/>
    </row>
    <row r="1132" spans="2:56">
      <c r="B1132" s="156"/>
      <c r="F1132" s="157"/>
      <c r="G1132" s="2" t="s">
        <v>13</v>
      </c>
      <c r="H1132" s="128">
        <f ca="1">IF(G1108&gt;=6,H1111,H1129)</f>
        <v>8888</v>
      </c>
      <c r="I1132" s="139">
        <f ca="1">IF(G1108&gt;=6,I1131-P1101,I1129)</f>
        <v>8888</v>
      </c>
      <c r="AD1132" s="157"/>
      <c r="AE1132" s="2" t="s">
        <v>13</v>
      </c>
      <c r="AF1132" s="128">
        <f ca="1">IF($AE1108,H1132,AF1114)</f>
        <v>8888</v>
      </c>
      <c r="AG1132" s="129">
        <f ca="1">IF($AE1108,I1132,AG1114)</f>
        <v>8888</v>
      </c>
      <c r="BD1132" s="157"/>
    </row>
    <row r="1133" spans="2:56">
      <c r="B1133" s="156"/>
      <c r="F1133" s="157"/>
      <c r="G1133" s="115" t="s">
        <v>14</v>
      </c>
      <c r="H1133" s="188">
        <f ca="1">IF(G1108&gt;=6,H1110,H1129)</f>
        <v>8888</v>
      </c>
      <c r="I1133" s="189">
        <f ca="1">IF(G1108&gt;=6,I1132,I1129)</f>
        <v>8888</v>
      </c>
      <c r="AD1133" s="157"/>
      <c r="AE1133" s="115" t="s">
        <v>14</v>
      </c>
      <c r="AF1133" s="188">
        <f ca="1">IF($AE1108,H1133,AF1114)</f>
        <v>8888</v>
      </c>
      <c r="AG1133" s="196">
        <f ca="1">IF($AE1108,I1133,AG1114)</f>
        <v>8888</v>
      </c>
      <c r="BD1133" s="157"/>
    </row>
    <row r="1134" spans="2:56" ht="15" thickBot="1">
      <c r="B1134" s="156"/>
      <c r="G1134" s="130" t="s">
        <v>396</v>
      </c>
      <c r="H1134" s="130">
        <f ca="1">H1110</f>
        <v>8888</v>
      </c>
      <c r="I1134" s="140">
        <f ca="1">I1110</f>
        <v>8888</v>
      </c>
      <c r="AE1134" s="130" t="s">
        <v>396</v>
      </c>
      <c r="AF1134" s="130">
        <f ca="1">IF($AE1108,H1134,AF1114)</f>
        <v>8888</v>
      </c>
      <c r="AG1134" s="132">
        <f ca="1">IF($AE1108,I1134,AG1114)</f>
        <v>8888</v>
      </c>
      <c r="BD1134" s="157"/>
    </row>
    <row r="1135" spans="2:56">
      <c r="B1135" s="156"/>
      <c r="BD1135" s="157"/>
    </row>
    <row r="1136" spans="2:56">
      <c r="B1136" s="156"/>
      <c r="BD1136" s="157"/>
    </row>
    <row r="1137" spans="2:56">
      <c r="B1137" s="156"/>
      <c r="C1137" s="200" t="s">
        <v>336</v>
      </c>
      <c r="D1137">
        <f>D1101+1</f>
        <v>27</v>
      </c>
      <c r="G1137" s="200" t="s">
        <v>638</v>
      </c>
      <c r="H1137">
        <f ca="1">LOOKUP(D1140,$C$191:$C$196,$D$191:$D$196)</f>
        <v>0</v>
      </c>
      <c r="K1137" s="200" t="s">
        <v>644</v>
      </c>
      <c r="L1137">
        <f ca="1">L1101-H1142</f>
        <v>-16.562000000000005</v>
      </c>
      <c r="O1137" s="200" t="s">
        <v>404</v>
      </c>
      <c r="P1137">
        <f ca="1">IF(D1139=1,SEAT_w_cushion_FC,IF(D1139=2,SEAT_w_cushion_BC,IF(D1139=3,SEAT_w_cushion_YC,0)))</f>
        <v>0</v>
      </c>
      <c r="S1137" s="200" t="s">
        <v>647</v>
      </c>
      <c r="T1137">
        <f ca="1">LOOKUP(D1140,$C$191:$C$196,$E$191:$E$196)</f>
        <v>0</v>
      </c>
      <c r="W1137" t="s">
        <v>130</v>
      </c>
      <c r="X1137" t="str">
        <f ca="1">OFFSET(Fuselage!$B$275,D1137,5)</f>
        <v>None</v>
      </c>
      <c r="AN1137" s="200" t="s">
        <v>135</v>
      </c>
      <c r="AO1137">
        <f ca="1">MAX(0,H1142-MAX(T1137,T1139,T1141,P1138)-X1138)</f>
        <v>0</v>
      </c>
      <c r="BD1137" s="157"/>
    </row>
    <row r="1138" spans="2:56">
      <c r="B1138" s="156"/>
      <c r="C1138" s="200" t="s">
        <v>200</v>
      </c>
      <c r="D1138" t="str">
        <f ca="1">OFFSET(Fuselage!$B$275,D1137,0)</f>
        <v/>
      </c>
      <c r="G1138" s="200" t="s">
        <v>639</v>
      </c>
      <c r="H1138">
        <f ca="1">LOOKUP(D1141,$C$191:$C$196,$D$191:$D$196)</f>
        <v>0</v>
      </c>
      <c r="O1138" s="200" t="s">
        <v>535</v>
      </c>
      <c r="P1138">
        <f ca="1">IF(D1139=1,SEAT_length_FC,IF(D1139=2,SEAT_length_BC,IF(D1139=3,SEAT_length_YC,0)))</f>
        <v>0</v>
      </c>
      <c r="S1138" s="200" t="s">
        <v>648</v>
      </c>
      <c r="T1138">
        <f ca="1">LOOKUP(D1140,$C$191:$C$196,$F$191:$F$196)</f>
        <v>0</v>
      </c>
      <c r="W1138" t="s">
        <v>131</v>
      </c>
      <c r="X1138">
        <f ca="1">LOOKUP(X1137,$I$191:$I$198,$J$191:$J$198)</f>
        <v>0</v>
      </c>
      <c r="BD1138" s="157"/>
    </row>
    <row r="1139" spans="2:56">
      <c r="B1139" s="156"/>
      <c r="C1139" s="200" t="s">
        <v>337</v>
      </c>
      <c r="D1139" t="str">
        <f ca="1">OFFSET(Fuselage!$B$275,D1137,4)</f>
        <v/>
      </c>
      <c r="G1139" s="200" t="s">
        <v>309</v>
      </c>
      <c r="H1139">
        <f ca="1">LOOKUP(D1142,$C$191:$C$196,$D$191:$D$196)</f>
        <v>0</v>
      </c>
      <c r="K1139" s="200" t="s">
        <v>645</v>
      </c>
      <c r="L1139">
        <f ca="1">IF(D1139=1,FUSELAGE_nseats_left_FC,IF(D1139=2,FUSELAGE_nseats_left_BC,IF(D1139=3,FUSELAGE_nseats_left_YC,0)))</f>
        <v>0</v>
      </c>
      <c r="O1139" s="200" t="s">
        <v>405</v>
      </c>
      <c r="P1139">
        <f ca="1">IF(D1139=1,SEAT_w_armrest_FC,IF(D1139=2,SEAT_w_armrest_BC,IF(D1139=3,SEAT_w_armrest_YC,0)))</f>
        <v>0</v>
      </c>
      <c r="S1139" s="200" t="s">
        <v>652</v>
      </c>
      <c r="T1139">
        <f ca="1">LOOKUP(D1141,$C$191:$C$196,$E$191:$E$196)</f>
        <v>0</v>
      </c>
      <c r="W1139" s="200" t="s">
        <v>393</v>
      </c>
      <c r="X1139" t="b">
        <f ca="1">IF(OFFSET(Fuselage!$B$275,D1137,6)="YES",TRUE(),FALSE())</f>
        <v>0</v>
      </c>
      <c r="BD1139" s="157"/>
    </row>
    <row r="1140" spans="2:56">
      <c r="B1140" s="156"/>
      <c r="C1140" s="200" t="s">
        <v>640</v>
      </c>
      <c r="D1140" t="str">
        <f ca="1">OFFSET(Fuselage!$B$275,D1137,1)</f>
        <v>None</v>
      </c>
      <c r="G1140" s="200" t="s">
        <v>132</v>
      </c>
      <c r="H1140">
        <f ca="1">IF(D1139=1,SEAT_pitch_FC,IF(D1139=2,SEAT_pitch_BC,IF(D1139=3,SEAT_pitch_YC,0)))</f>
        <v>0</v>
      </c>
      <c r="K1140" s="200" t="s">
        <v>646</v>
      </c>
      <c r="L1140">
        <f ca="1">IF(D1139=1,FUSELAGE_nseats_middle_FC,IF(D1139=2,FUSELAGE_nseats_middle_BC,IF(D1139=3,FUSELAGE_nseats_middle_YC,0)))</f>
        <v>0</v>
      </c>
      <c r="S1140" s="200" t="s">
        <v>653</v>
      </c>
      <c r="T1140">
        <f ca="1">LOOKUP(D1141,$C$191:$C$196,$F$191:$F$196)</f>
        <v>0</v>
      </c>
      <c r="BD1140" s="157"/>
    </row>
    <row r="1141" spans="2:56">
      <c r="B1141" s="156"/>
      <c r="C1141" s="200" t="s">
        <v>642</v>
      </c>
      <c r="D1141" t="str">
        <f ca="1">OFFSET(Fuselage!$B$275,D1137,2)</f>
        <v>None</v>
      </c>
      <c r="G1141" s="200" t="s">
        <v>129</v>
      </c>
      <c r="H1141">
        <f ca="1">IF(OR(X1137="Type A",X1137="Type B"),MAX(H1137:H1140)+42*0.0254,IF(X1137="Type C",MAX(H1137:H1140)+X1138,IF(X1137&lt;&gt;"None",24*0.0254,0)))</f>
        <v>0</v>
      </c>
      <c r="K1141" s="200" t="s">
        <v>655</v>
      </c>
      <c r="L1141">
        <f ca="1">IF(D1139=1,FUSELAGE_nseats_right_FC,IF(D1139=2,FUSELAGE_nseats_right_BC,IF(D1139=3,FUSELAGE_nseats_right_YC,0)))</f>
        <v>0</v>
      </c>
      <c r="O1141" s="200" t="s">
        <v>407</v>
      </c>
      <c r="P1141">
        <f ca="1">($C$13-(L1139+L1140+L1141)*(P1137+P1139)+(FUSELAGE_n_aisles-1)*P1139)/FUSELAGE_n_aisles</f>
        <v>2.76</v>
      </c>
      <c r="S1141" s="200" t="s">
        <v>651</v>
      </c>
      <c r="T1141">
        <f ca="1">LOOKUP(D1142,$C$191:$C$196,$E$191:$E$196)</f>
        <v>0</v>
      </c>
      <c r="BD1141" s="157"/>
    </row>
    <row r="1142" spans="2:56">
      <c r="B1142" s="156"/>
      <c r="C1142" s="200" t="s">
        <v>641</v>
      </c>
      <c r="D1142" t="str">
        <f ca="1">OFFSET(Fuselage!$B$275,D1137,3)</f>
        <v>None</v>
      </c>
      <c r="G1142" s="200" t="s">
        <v>643</v>
      </c>
      <c r="H1142">
        <f ca="1">MAX(H1137:H1141)</f>
        <v>0</v>
      </c>
      <c r="S1142" s="200" t="s">
        <v>654</v>
      </c>
      <c r="T1142">
        <f ca="1">LOOKUP(D1142,$C$191:$C$196,$F$191:$F$196)</f>
        <v>0</v>
      </c>
      <c r="BD1142" s="157"/>
    </row>
    <row r="1143" spans="2:56" ht="15" thickBot="1">
      <c r="B1143" s="156"/>
      <c r="BD1143" s="157"/>
    </row>
    <row r="1144" spans="2:56" ht="15" thickBot="1">
      <c r="B1144" s="156"/>
      <c r="C1144" s="141">
        <f ca="1">L1141</f>
        <v>0</v>
      </c>
      <c r="D1144" s="197" t="str">
        <f ca="1">IF($D1139=1,"FC",IF($D1139=2,"BC",IF($D1139=3,"YC","Nothing")))</f>
        <v>Nothing</v>
      </c>
      <c r="E1144" s="198"/>
      <c r="G1144" s="141">
        <f ca="1">L1140</f>
        <v>0</v>
      </c>
      <c r="H1144" s="197" t="str">
        <f ca="1">IF($D1139=1,"FC",IF($D1139=2,"BC",IF($D1139=3,"YC","Nothing")))</f>
        <v>Nothing</v>
      </c>
      <c r="I1144" s="198"/>
      <c r="K1144" s="141">
        <f ca="1" xml:space="preserve"> L1139</f>
        <v>0</v>
      </c>
      <c r="L1144" s="197" t="str">
        <f ca="1">IF($D1139=1,"FC",IF($D1139=2,"BC",IF($D1139=3,"YC","Nothing")))</f>
        <v>Nothing</v>
      </c>
      <c r="M1144" s="198"/>
      <c r="O1144" s="141">
        <f ca="1">IF($D1142&lt;&gt;"None",1,0)</f>
        <v>0</v>
      </c>
      <c r="P1144" s="326" t="s">
        <v>380</v>
      </c>
      <c r="Q1144" s="327"/>
      <c r="S1144" s="141">
        <f ca="1">IF($D1141&lt;&gt;"None",1,0)</f>
        <v>0</v>
      </c>
      <c r="T1144" s="326" t="s">
        <v>381</v>
      </c>
      <c r="U1144" s="327"/>
      <c r="W1144" s="141">
        <f ca="1">IF($D1140&lt;&gt;"None",1,0)</f>
        <v>0</v>
      </c>
      <c r="X1144" s="326" t="s">
        <v>382</v>
      </c>
      <c r="Y1144" s="327"/>
      <c r="AA1144" s="141">
        <f ca="1">IF($D1142="None",1,0)</f>
        <v>1</v>
      </c>
      <c r="AB1144" s="326" t="str">
        <f ca="1">IF(AA1144,D1144,$D1142)</f>
        <v>Nothing</v>
      </c>
      <c r="AC1144" s="327"/>
      <c r="AE1144" s="141">
        <f ca="1">IF($D1141="None",1,0)</f>
        <v>1</v>
      </c>
      <c r="AF1144" s="326" t="str">
        <f ca="1">IF(AE1144,H1144,$D1141)</f>
        <v>Nothing</v>
      </c>
      <c r="AG1144" s="327"/>
      <c r="AI1144" s="141">
        <f ca="1">IF($D1140="None",1,0)</f>
        <v>1</v>
      </c>
      <c r="AJ1144" s="326" t="str">
        <f ca="1">IF(AI1144,L1144,$D1140)</f>
        <v>Nothing</v>
      </c>
      <c r="AK1144" s="327"/>
      <c r="AM1144" s="141">
        <f ca="1">IF($X1137="None",0,1)</f>
        <v>0</v>
      </c>
      <c r="AN1144" s="197" t="s">
        <v>133</v>
      </c>
      <c r="AO1144" s="198"/>
      <c r="AQ1144" s="141">
        <f ca="1">IF($X1137="None",0,1)</f>
        <v>0</v>
      </c>
      <c r="AR1144" s="197" t="s">
        <v>134</v>
      </c>
      <c r="AS1144" s="198"/>
      <c r="BD1144" s="157"/>
    </row>
    <row r="1145" spans="2:56" ht="15" thickBot="1">
      <c r="B1145" s="156"/>
      <c r="C1145" s="136" t="s">
        <v>452</v>
      </c>
      <c r="D1145" s="136" t="s">
        <v>384</v>
      </c>
      <c r="E1145" s="138" t="s">
        <v>385</v>
      </c>
      <c r="G1145" s="136" t="s">
        <v>452</v>
      </c>
      <c r="H1145" s="136" t="s">
        <v>384</v>
      </c>
      <c r="I1145" s="138" t="s">
        <v>385</v>
      </c>
      <c r="K1145" s="193" t="s">
        <v>452</v>
      </c>
      <c r="L1145" s="193" t="s">
        <v>384</v>
      </c>
      <c r="M1145" s="194" t="s">
        <v>385</v>
      </c>
      <c r="O1145" s="136" t="s">
        <v>452</v>
      </c>
      <c r="P1145" s="136" t="s">
        <v>384</v>
      </c>
      <c r="Q1145" s="138" t="s">
        <v>385</v>
      </c>
      <c r="S1145" s="136" t="s">
        <v>452</v>
      </c>
      <c r="T1145" s="136" t="s">
        <v>384</v>
      </c>
      <c r="U1145" s="138" t="s">
        <v>385</v>
      </c>
      <c r="W1145" s="136" t="s">
        <v>452</v>
      </c>
      <c r="X1145" s="136" t="s">
        <v>384</v>
      </c>
      <c r="Y1145" s="138" t="s">
        <v>385</v>
      </c>
      <c r="AA1145" s="136" t="s">
        <v>452</v>
      </c>
      <c r="AB1145" s="136" t="s">
        <v>384</v>
      </c>
      <c r="AC1145" s="138" t="s">
        <v>385</v>
      </c>
      <c r="AE1145" s="136" t="s">
        <v>452</v>
      </c>
      <c r="AF1145" s="136" t="s">
        <v>384</v>
      </c>
      <c r="AG1145" s="138" t="s">
        <v>385</v>
      </c>
      <c r="AI1145" s="193" t="s">
        <v>452</v>
      </c>
      <c r="AJ1145" s="193" t="s">
        <v>384</v>
      </c>
      <c r="AK1145" s="194" t="s">
        <v>385</v>
      </c>
      <c r="AM1145" s="193" t="s">
        <v>452</v>
      </c>
      <c r="AN1145" s="193" t="s">
        <v>384</v>
      </c>
      <c r="AO1145" s="194" t="s">
        <v>385</v>
      </c>
      <c r="AQ1145" s="193" t="s">
        <v>452</v>
      </c>
      <c r="AR1145" s="193" t="s">
        <v>384</v>
      </c>
      <c r="AS1145" s="194" t="s">
        <v>385</v>
      </c>
      <c r="BD1145" s="157"/>
    </row>
    <row r="1146" spans="2:56">
      <c r="B1146" s="156"/>
      <c r="C1146" s="128" t="s">
        <v>396</v>
      </c>
      <c r="D1146" s="158">
        <f ca="1">IF(C1144&gt;=1,L1137,8888)</f>
        <v>8888</v>
      </c>
      <c r="E1146" s="160">
        <f ca="1">IF(C1144&gt;=1,1/2*($C$13-P1137-2*P1139)+1/2*P1137,8888)</f>
        <v>8888</v>
      </c>
      <c r="G1146" s="128" t="s">
        <v>396</v>
      </c>
      <c r="H1146" s="158">
        <f ca="1">IF(G1144&gt;=1,L1137,8888)</f>
        <v>8888</v>
      </c>
      <c r="I1146" s="160">
        <f ca="1">IF(G1144&gt;=1,E1157-P1141,8888)</f>
        <v>8888</v>
      </c>
      <c r="K1146" s="128" t="s">
        <v>396</v>
      </c>
      <c r="L1146" s="158">
        <f ca="1">IF(K1144&gt;=1,L1137,8888)</f>
        <v>8888</v>
      </c>
      <c r="M1146" s="160">
        <f ca="1">IF(K1144&gt;=1,IF(FUSELAGE_n_aisles=1,E1157-P1141,I1169-P1141),8888)</f>
        <v>8888</v>
      </c>
      <c r="O1146" s="128" t="s">
        <v>396</v>
      </c>
      <c r="P1146" s="158">
        <f ca="1">IF(O1144,$L1137,8888)</f>
        <v>8888</v>
      </c>
      <c r="Q1146" s="209">
        <f ca="1">IF(O1144,FUSELAGE_y_position_of_left_seat_YC-(FUSELAGE_nseats_right_YC-1)*(SEAT_w_cushion_YC+SEAT_w_armrest_YC)/2+T1142/2,8888)</f>
        <v>8888</v>
      </c>
      <c r="S1146" s="128" t="s">
        <v>396</v>
      </c>
      <c r="T1146" s="158">
        <f ca="1">IF(S1144,$L1137,8888)</f>
        <v>8888</v>
      </c>
      <c r="U1146" s="160">
        <f ca="1">IF(S1144,T1140/2,8888)</f>
        <v>8888</v>
      </c>
      <c r="W1146" s="128" t="s">
        <v>396</v>
      </c>
      <c r="X1146" s="158">
        <f ca="1">IF(W1144,$L1137,8888)</f>
        <v>8888</v>
      </c>
      <c r="Y1146" s="160">
        <f ca="1">IF(W1144,-FUSELAGE_y_position_of_left_seat_YC+(FUSELAGE_nseats_left_YC-1)*(SEAT_w_cushion_YC+SEAT_w_armrest_YC)/2-T1138/2,8888)</f>
        <v>8888</v>
      </c>
      <c r="AA1146" s="128" t="s">
        <v>396</v>
      </c>
      <c r="AB1146" s="158">
        <f ca="1">IF($AA1144,D1146,P1146)</f>
        <v>8888</v>
      </c>
      <c r="AC1146" s="174">
        <f ca="1">IF($AA1144,E1146,Q1146)</f>
        <v>8888</v>
      </c>
      <c r="AE1146" s="128" t="s">
        <v>396</v>
      </c>
      <c r="AF1146" s="158">
        <f ca="1">IF($AE1144,H1146,T1146)</f>
        <v>8888</v>
      </c>
      <c r="AG1146" s="174">
        <f ca="1">IF($AE1144,I1146,U1146)</f>
        <v>8888</v>
      </c>
      <c r="AI1146" s="128" t="s">
        <v>396</v>
      </c>
      <c r="AJ1146" s="158">
        <f ca="1">IF($AI1144,L1146,X1146)</f>
        <v>8888</v>
      </c>
      <c r="AK1146" s="174">
        <f ca="1">IF($AI1144,M1146,Y1146)</f>
        <v>8888</v>
      </c>
      <c r="AM1146" s="128" t="s">
        <v>396</v>
      </c>
      <c r="AN1146" s="158">
        <f ca="1">AN1115</f>
        <v>-16.562000000000005</v>
      </c>
      <c r="AO1146" s="174">
        <f ca="1">IF(AN1146&gt;-Fuselage!$D$366,(FUSELAGE_a_ellipse)*SQRT(1-((AN1146+Fuselage!$D$366)/(Fuselage!$K$364-FUSELAGE_t_fuselage))^2),IF(AN1146&gt;$L$2505+Fuselage!$K$370,FUSELAGE_a_ellipse,(FUSELAGE_a_ellipse+FUSELAGE_t_fuselage-FUSELAGE_d_fo/4)/Fuselage!$K$368*(AN1146-$L$2505-Fuselage!$K$370)+FUSELAGE_a_ellipse))</f>
        <v>1.4960570012328709</v>
      </c>
      <c r="AQ1146" s="128" t="s">
        <v>396</v>
      </c>
      <c r="AR1146" s="158">
        <f t="shared" ref="AR1146:AR1151" ca="1" si="118">AN1146</f>
        <v>-16.562000000000005</v>
      </c>
      <c r="AS1146" s="174">
        <f t="shared" ref="AS1146:AS1151" ca="1" si="119">-AO1146</f>
        <v>-1.4960570012328709</v>
      </c>
      <c r="BD1146" s="157"/>
    </row>
    <row r="1147" spans="2:56">
      <c r="B1147" s="156"/>
      <c r="C1147" s="128" t="s">
        <v>213</v>
      </c>
      <c r="D1147" s="128">
        <f ca="1">IF(X1139,D1146+P1138/4,D1146+P1138)</f>
        <v>8888</v>
      </c>
      <c r="E1147" s="139">
        <f ca="1">E1146</f>
        <v>8888</v>
      </c>
      <c r="G1147" s="128" t="s">
        <v>213</v>
      </c>
      <c r="H1147" s="128">
        <f ca="1">H1146+P1138</f>
        <v>8888</v>
      </c>
      <c r="I1147" s="139">
        <f ca="1">I1146</f>
        <v>8888</v>
      </c>
      <c r="K1147" s="128" t="s">
        <v>213</v>
      </c>
      <c r="L1147" s="128">
        <f ca="1">IF(X1139,IF(K1144=1,L1146+P1138/4,L1146+P1138),L1146+P1138)</f>
        <v>8888</v>
      </c>
      <c r="M1147" s="139">
        <f ca="1">M1146</f>
        <v>8888</v>
      </c>
      <c r="O1147" s="128" t="s">
        <v>213</v>
      </c>
      <c r="P1147" s="128">
        <f ca="1">P1146+$T1141</f>
        <v>8888</v>
      </c>
      <c r="Q1147" s="139">
        <f ca="1">Q1146</f>
        <v>8888</v>
      </c>
      <c r="S1147" s="128" t="s">
        <v>213</v>
      </c>
      <c r="T1147" s="128">
        <f ca="1">T1146+$T1139</f>
        <v>8888</v>
      </c>
      <c r="U1147" s="139">
        <f ca="1">U1146</f>
        <v>8888</v>
      </c>
      <c r="W1147" s="128" t="s">
        <v>213</v>
      </c>
      <c r="X1147" s="128">
        <f ca="1">X1146+$T1137</f>
        <v>8888</v>
      </c>
      <c r="Y1147" s="139">
        <f ca="1">Y1146</f>
        <v>8888</v>
      </c>
      <c r="AA1147" s="143" t="s">
        <v>213</v>
      </c>
      <c r="AB1147" s="128">
        <f ca="1">IF($AA1144,D1147,P1147)</f>
        <v>8888</v>
      </c>
      <c r="AC1147" s="129">
        <f ca="1">IF($AA1144,E1147,Q1147)</f>
        <v>8888</v>
      </c>
      <c r="AE1147" s="128" t="s">
        <v>213</v>
      </c>
      <c r="AF1147" s="128">
        <f ca="1">IF($AE1144,H1147,T1147)</f>
        <v>8888</v>
      </c>
      <c r="AG1147" s="129">
        <f ca="1">IF($AE1144,I1147,U1147)</f>
        <v>8888</v>
      </c>
      <c r="AI1147" s="128" t="s">
        <v>213</v>
      </c>
      <c r="AJ1147" s="128">
        <f ca="1">IF($AI1144,L1147,X1147)</f>
        <v>8888</v>
      </c>
      <c r="AK1147" s="129">
        <f ca="1">IF($AI1144,M1147,Y1147)</f>
        <v>8888</v>
      </c>
      <c r="AM1147" s="128" t="s">
        <v>213</v>
      </c>
      <c r="AN1147" s="128">
        <f ca="1">AN1146-AO1137/2</f>
        <v>-16.562000000000005</v>
      </c>
      <c r="AO1147" s="129">
        <f ca="1">IF(AN1147&gt;-Fuselage!$D$366,(FUSELAGE_a_ellipse)*SQRT(1-((AN1147+Fuselage!$D$366)/(Fuselage!$K$364-FUSELAGE_t_fuselage))^2),IF(AN1147&gt;$L$2505+Fuselage!$K$370,FUSELAGE_a_ellipse,(FUSELAGE_a_ellipse+FUSELAGE_t_fuselage-FUSELAGE_d_fo/4)/Fuselage!$K$368*(AN1147-$L$2505-Fuselage!$K$370)+FUSELAGE_a_ellipse))</f>
        <v>1.4960570012328709</v>
      </c>
      <c r="AQ1147" s="128" t="s">
        <v>213</v>
      </c>
      <c r="AR1147" s="128">
        <f t="shared" ca="1" si="118"/>
        <v>-16.562000000000005</v>
      </c>
      <c r="AS1147" s="129">
        <f t="shared" ca="1" si="119"/>
        <v>-1.4960570012328709</v>
      </c>
      <c r="BD1147" s="157"/>
    </row>
    <row r="1148" spans="2:56">
      <c r="B1148" s="156"/>
      <c r="C1148" s="128" t="s">
        <v>286</v>
      </c>
      <c r="D1148" s="128">
        <f ca="1">D1147</f>
        <v>8888</v>
      </c>
      <c r="E1148" s="139">
        <f ca="1">E1147-P1137</f>
        <v>8888</v>
      </c>
      <c r="G1148" s="128" t="s">
        <v>286</v>
      </c>
      <c r="H1148" s="128">
        <f ca="1">H1147</f>
        <v>8888</v>
      </c>
      <c r="I1148" s="139">
        <f ca="1">I1147-P1137</f>
        <v>8888</v>
      </c>
      <c r="K1148" s="128" t="s">
        <v>286</v>
      </c>
      <c r="L1148" s="128">
        <f ca="1">L1147</f>
        <v>8888</v>
      </c>
      <c r="M1148" s="139">
        <f ca="1">M1147-P1137</f>
        <v>8888</v>
      </c>
      <c r="O1148" s="128" t="s">
        <v>286</v>
      </c>
      <c r="P1148" s="128">
        <f ca="1">P1147</f>
        <v>8888</v>
      </c>
      <c r="Q1148" s="139">
        <f ca="1">Q1147-$T1142</f>
        <v>8888</v>
      </c>
      <c r="S1148" s="128" t="s">
        <v>286</v>
      </c>
      <c r="T1148" s="128">
        <f ca="1">T1147</f>
        <v>8888</v>
      </c>
      <c r="U1148" s="139">
        <f ca="1">U1147-$T1140</f>
        <v>8888</v>
      </c>
      <c r="W1148" s="128" t="s">
        <v>286</v>
      </c>
      <c r="X1148" s="128">
        <f ca="1">X1147</f>
        <v>8888</v>
      </c>
      <c r="Y1148" s="139">
        <f ca="1">Y1147+$T1138</f>
        <v>8888</v>
      </c>
      <c r="AA1148" s="143" t="s">
        <v>286</v>
      </c>
      <c r="AB1148" s="128">
        <f ca="1">IF($AA1144,D1148,P1148)</f>
        <v>8888</v>
      </c>
      <c r="AC1148" s="129">
        <f ca="1">IF($AA1144,E1148,Q1148)</f>
        <v>8888</v>
      </c>
      <c r="AE1148" s="128" t="s">
        <v>286</v>
      </c>
      <c r="AF1148" s="128">
        <f ca="1">IF($AE1144,H1148,T1148)</f>
        <v>8888</v>
      </c>
      <c r="AG1148" s="129">
        <f ca="1">IF($AE1144,I1148,U1148)</f>
        <v>8888</v>
      </c>
      <c r="AI1148" s="128" t="s">
        <v>286</v>
      </c>
      <c r="AJ1148" s="128">
        <f ca="1">IF($AI1144,L1148,X1148)</f>
        <v>8888</v>
      </c>
      <c r="AK1148" s="129">
        <f ca="1">IF($AI1144,M1148,Y1148)</f>
        <v>8888</v>
      </c>
      <c r="AM1148" s="128" t="s">
        <v>286</v>
      </c>
      <c r="AN1148" s="128">
        <f ca="1">AN1147</f>
        <v>-16.562000000000005</v>
      </c>
      <c r="AO1148" s="129">
        <f ca="1">IF(AN1148&gt;-Fuselage!$D$366,IF(AM1144,(FUSELAGE_a_ellipse+FUSELAGE_t_fuselage)*SQRT(1-((AN1148+Fuselage!$D$366)/Fuselage!$K$364)^2),(FUSELAGE_a_ellipse)*SQRT(1-((AN1148+Fuselage!$D$366)/Fuselage!$K$364)^2)),IF(AN1148&gt;$L$2505+Fuselage!$K$370,(IF(AM1144,FUSELAGE_a_ellipse+FUSELAGE_t_fuselage,FUSELAGE_a_ellipse)),IF(AM1144,(FUSELAGE_a_ellipse+FUSELAGE_t_fuselage-FUSELAGE_d_fo/4)/Fuselage!$K$368*(AN1148-$L$2505-Fuselage!$K$370)+FUSELAGE_a_ellipse+FUSELAGE_t_fuselage,(FUSELAGE_a_ellipse+FUSELAGE_t_fuselage-FUSELAGE_d_fo/4)/Fuselage!$K$368*(AN1148-$L$2505-Fuselage!$K$370)+FUSELAGE_a_ellipse)))</f>
        <v>1.4960570012328709</v>
      </c>
      <c r="AQ1148" s="128" t="s">
        <v>286</v>
      </c>
      <c r="AR1148" s="128">
        <f t="shared" ca="1" si="118"/>
        <v>-16.562000000000005</v>
      </c>
      <c r="AS1148" s="129">
        <f t="shared" ca="1" si="119"/>
        <v>-1.4960570012328709</v>
      </c>
      <c r="BD1148" s="157"/>
    </row>
    <row r="1149" spans="2:56">
      <c r="B1149" s="156"/>
      <c r="C1149" s="188" t="s">
        <v>522</v>
      </c>
      <c r="D1149" s="188">
        <f ca="1">D1146</f>
        <v>8888</v>
      </c>
      <c r="E1149" s="189">
        <f ca="1">E1148</f>
        <v>8888</v>
      </c>
      <c r="F1149" s="157"/>
      <c r="G1149" s="2" t="s">
        <v>522</v>
      </c>
      <c r="H1149" s="128">
        <f ca="1">H1146</f>
        <v>8888</v>
      </c>
      <c r="I1149" s="139">
        <f ca="1">I1148</f>
        <v>8888</v>
      </c>
      <c r="K1149" s="128" t="s">
        <v>522</v>
      </c>
      <c r="L1149" s="128">
        <f ca="1">L1146</f>
        <v>8888</v>
      </c>
      <c r="M1149" s="139">
        <f ca="1">M1148</f>
        <v>8888</v>
      </c>
      <c r="O1149" s="188" t="s">
        <v>522</v>
      </c>
      <c r="P1149" s="188">
        <f ca="1">P1146</f>
        <v>8888</v>
      </c>
      <c r="Q1149" s="189">
        <f ca="1">Q1148</f>
        <v>8888</v>
      </c>
      <c r="S1149" s="188" t="s">
        <v>522</v>
      </c>
      <c r="T1149" s="188">
        <f ca="1">T1146</f>
        <v>8888</v>
      </c>
      <c r="U1149" s="189">
        <f ca="1">U1148</f>
        <v>8888</v>
      </c>
      <c r="W1149" s="188" t="s">
        <v>522</v>
      </c>
      <c r="X1149" s="188">
        <f ca="1">X1146</f>
        <v>8888</v>
      </c>
      <c r="Y1149" s="189">
        <f ca="1">Y1148</f>
        <v>8888</v>
      </c>
      <c r="AA1149" s="195" t="s">
        <v>522</v>
      </c>
      <c r="AB1149" s="128">
        <f ca="1">IF($AA1144,D1149,P1149)</f>
        <v>8888</v>
      </c>
      <c r="AC1149" s="129">
        <f ca="1">IF($AA1144,E1149,Q1149)</f>
        <v>8888</v>
      </c>
      <c r="AD1149" s="157"/>
      <c r="AE1149" s="2" t="s">
        <v>522</v>
      </c>
      <c r="AF1149" s="188">
        <f ca="1">IF($AE1144,H1149,T1149)</f>
        <v>8888</v>
      </c>
      <c r="AG1149" s="196">
        <f ca="1">IF($AE1144,I1149,U1149)</f>
        <v>8888</v>
      </c>
      <c r="AI1149" s="128" t="s">
        <v>522</v>
      </c>
      <c r="AJ1149" s="188">
        <f ca="1">IF($AI1144,L1149,X1149)</f>
        <v>8888</v>
      </c>
      <c r="AK1149" s="196">
        <f ca="1">IF($AI1144,M1149,Y1149)</f>
        <v>8888</v>
      </c>
      <c r="AM1149" s="128" t="s">
        <v>522</v>
      </c>
      <c r="AN1149" s="128">
        <f ca="1">AN1148-X1138</f>
        <v>-16.562000000000005</v>
      </c>
      <c r="AO1149" s="129">
        <f ca="1">IF(AN1149&gt;-Fuselage!$D$366,IF(AM1144,(FUSELAGE_a_ellipse+FUSELAGE_t_fuselage)*SQRT(1-((AN1149+Fuselage!$D$366)/Fuselage!$K$364)^2),(FUSELAGE_a_ellipse)*SQRT(1-((AN1149+Fuselage!$D$366)/Fuselage!$K$364)^2)),IF(AN1149&gt;$L$2505+Fuselage!$K$370,(IF(AM1144,FUSELAGE_a_ellipse+FUSELAGE_t_fuselage,FUSELAGE_a_ellipse)),IF(AM1144,(FUSELAGE_a_ellipse+FUSELAGE_t_fuselage-FUSELAGE_d_fo/4)/Fuselage!$K$368*(AN1149-$L$2505-Fuselage!$K$370)+FUSELAGE_a_ellipse+FUSELAGE_t_fuselage,(FUSELAGE_a_ellipse+FUSELAGE_t_fuselage-FUSELAGE_d_fo/4)/Fuselage!$K$368*(AN1149-$L$2505-Fuselage!$K$370)+FUSELAGE_a_ellipse)))</f>
        <v>1.4960570012328709</v>
      </c>
      <c r="AQ1149" s="128" t="s">
        <v>522</v>
      </c>
      <c r="AR1149" s="128">
        <f t="shared" ca="1" si="118"/>
        <v>-16.562000000000005</v>
      </c>
      <c r="AS1149" s="129">
        <f t="shared" ca="1" si="119"/>
        <v>-1.4960570012328709</v>
      </c>
      <c r="BD1149" s="157"/>
    </row>
    <row r="1150" spans="2:56" ht="15" thickBot="1">
      <c r="B1150" s="156"/>
      <c r="C1150" s="128" t="s">
        <v>49</v>
      </c>
      <c r="D1150" s="128">
        <f ca="1">IF(C1144&gt;=2,D1146,D1149)</f>
        <v>8888</v>
      </c>
      <c r="E1150" s="139">
        <f ca="1">IF(C1144&gt;=2,E1149-P1139,E1149)</f>
        <v>8888</v>
      </c>
      <c r="F1150" s="157"/>
      <c r="G1150" s="192" t="s">
        <v>49</v>
      </c>
      <c r="H1150" s="190">
        <f ca="1">IF(G1144&gt;=2,H1146,H1149)</f>
        <v>8888</v>
      </c>
      <c r="I1150" s="191">
        <f ca="1">IF(G1144&gt;=2,I1149-P1139,I1149)</f>
        <v>8888</v>
      </c>
      <c r="K1150" s="190" t="s">
        <v>49</v>
      </c>
      <c r="L1150" s="190">
        <f ca="1">IF(K1144&gt;=2,L1146,L1149)</f>
        <v>8888</v>
      </c>
      <c r="M1150" s="191">
        <f ca="1">IF(K1144&gt;=2,M1149-P1139,M1149)</f>
        <v>8888</v>
      </c>
      <c r="O1150" s="130" t="s">
        <v>396</v>
      </c>
      <c r="P1150" s="130">
        <f ca="1">P1146</f>
        <v>8888</v>
      </c>
      <c r="Q1150" s="140">
        <f ca="1">Q1146</f>
        <v>8888</v>
      </c>
      <c r="S1150" s="130" t="s">
        <v>396</v>
      </c>
      <c r="T1150" s="130">
        <f ca="1">T1146</f>
        <v>8888</v>
      </c>
      <c r="U1150" s="140">
        <f ca="1">U1146</f>
        <v>8888</v>
      </c>
      <c r="W1150" s="130" t="s">
        <v>396</v>
      </c>
      <c r="X1150" s="130">
        <f ca="1">X1146</f>
        <v>8888</v>
      </c>
      <c r="Y1150" s="140">
        <f ca="1">Y1146</f>
        <v>8888</v>
      </c>
      <c r="AA1150" s="143" t="s">
        <v>49</v>
      </c>
      <c r="AB1150" s="128">
        <f ca="1">IF($AA1144,D1150,P1150)</f>
        <v>8888</v>
      </c>
      <c r="AC1150" s="129">
        <f ca="1">IF($AA1144,E1150,Q1150)</f>
        <v>8888</v>
      </c>
      <c r="AD1150" s="157"/>
      <c r="AE1150" s="192" t="s">
        <v>49</v>
      </c>
      <c r="AF1150" s="128">
        <f ca="1">IF($AE1144,H1150,T1150)</f>
        <v>8888</v>
      </c>
      <c r="AG1150" s="129">
        <f ca="1">IF($AE1144,I1150,U1150)</f>
        <v>8888</v>
      </c>
      <c r="AI1150" s="190" t="s">
        <v>49</v>
      </c>
      <c r="AJ1150" s="128">
        <f ca="1">IF($AI1144,L1150,X1150)</f>
        <v>8888</v>
      </c>
      <c r="AK1150" s="129">
        <f ca="1">IF($AI1144,M1150,Y1150)</f>
        <v>8888</v>
      </c>
      <c r="AM1150" s="128" t="s">
        <v>49</v>
      </c>
      <c r="AN1150" s="128">
        <f ca="1">AN1149</f>
        <v>-16.562000000000005</v>
      </c>
      <c r="AO1150" s="129">
        <f ca="1">IF(AN1150&gt;-Fuselage!$D$366,(FUSELAGE_a_ellipse)*SQRT(1-((AN1150+Fuselage!$D$366)/(Fuselage!$K$364-FUSELAGE_t_fuselage))^2),IF(AN1150&gt;$L$2505+Fuselage!$K$370,FUSELAGE_a_ellipse,(FUSELAGE_a_ellipse+FUSELAGE_t_fuselage-FUSELAGE_d_fo/4)/Fuselage!$K$368*(AN1150-$L$2505-Fuselage!$K$370)+FUSELAGE_a_ellipse))</f>
        <v>1.4960570012328709</v>
      </c>
      <c r="AQ1150" s="128" t="s">
        <v>49</v>
      </c>
      <c r="AR1150" s="128">
        <f t="shared" ca="1" si="118"/>
        <v>-16.562000000000005</v>
      </c>
      <c r="AS1150" s="129">
        <f t="shared" ca="1" si="119"/>
        <v>-1.4960570012328709</v>
      </c>
      <c r="BD1150" s="157"/>
    </row>
    <row r="1151" spans="2:56">
      <c r="B1151" s="156"/>
      <c r="C1151" s="128" t="s">
        <v>453</v>
      </c>
      <c r="D1151" s="128">
        <f ca="1">IF(C1144&gt;=2,D1146+P1138,D1149)</f>
        <v>8888</v>
      </c>
      <c r="E1151" s="139">
        <f ca="1">E1150</f>
        <v>8888</v>
      </c>
      <c r="F1151" s="157"/>
      <c r="G1151" s="2" t="s">
        <v>453</v>
      </c>
      <c r="H1151" s="128">
        <f ca="1">IF(G1144&gt;=2,H1147,H1149)</f>
        <v>8888</v>
      </c>
      <c r="I1151" s="139">
        <f ca="1">IF(G1144&gt;=2,I1150,I1149)</f>
        <v>8888</v>
      </c>
      <c r="K1151" s="128" t="s">
        <v>453</v>
      </c>
      <c r="L1151" s="128">
        <f ca="1">IF(K1144&gt;=2,IF(X1139,IF(K1144=2,L1146+P1138/4,L1146+P1138),L1146+P1138),L1149)</f>
        <v>8888</v>
      </c>
      <c r="M1151" s="139">
        <f ca="1">IF(K1144&gt;=2,M1150,M1149)</f>
        <v>8888</v>
      </c>
      <c r="AA1151" s="143" t="s">
        <v>453</v>
      </c>
      <c r="AB1151" s="128">
        <f ca="1">IF($AA1144,D1151,AB1150)</f>
        <v>8888</v>
      </c>
      <c r="AC1151" s="129">
        <f ca="1">IF($AA1144,E1151,AC1150)</f>
        <v>8888</v>
      </c>
      <c r="AD1151" s="157"/>
      <c r="AE1151" s="2" t="s">
        <v>453</v>
      </c>
      <c r="AF1151" s="128">
        <f ca="1">IF($AE1144,H1151,AF1150)</f>
        <v>8888</v>
      </c>
      <c r="AG1151" s="129">
        <f ca="1">IF($AE1144,I1151,AG1150)</f>
        <v>8888</v>
      </c>
      <c r="AI1151" s="128" t="s">
        <v>453</v>
      </c>
      <c r="AJ1151" s="128">
        <f ca="1">IF($AI1144,L1151,AJ1150)</f>
        <v>8888</v>
      </c>
      <c r="AK1151" s="129">
        <f ca="1">IF($AI1144,M1151,AK1150)</f>
        <v>8888</v>
      </c>
      <c r="AM1151" s="128" t="s">
        <v>453</v>
      </c>
      <c r="AN1151" s="128">
        <f ca="1">L1137</f>
        <v>-16.562000000000005</v>
      </c>
      <c r="AO1151" s="129">
        <f ca="1">IF(AN1151&gt;-Fuselage!$D$366,(FUSELAGE_a_ellipse)*SQRT(1-((AN1151+Fuselage!$D$366)/(Fuselage!$K$364-FUSELAGE_t_fuselage))^2),IF(AN1151&gt;$L$2505+Fuselage!$K$370,FUSELAGE_a_ellipse,(FUSELAGE_a_ellipse+FUSELAGE_t_fuselage-FUSELAGE_d_fo/4)/Fuselage!$K$368*(AN1151-$L$2505-Fuselage!$K$370)+FUSELAGE_a_ellipse))</f>
        <v>1.4960570012328709</v>
      </c>
      <c r="AQ1151" s="128" t="s">
        <v>453</v>
      </c>
      <c r="AR1151" s="128">
        <f t="shared" ca="1" si="118"/>
        <v>-16.562000000000005</v>
      </c>
      <c r="AS1151" s="129">
        <f t="shared" ca="1" si="119"/>
        <v>-1.4960570012328709</v>
      </c>
      <c r="BD1151" s="157"/>
    </row>
    <row r="1152" spans="2:56">
      <c r="B1152" s="156"/>
      <c r="C1152" s="128" t="s">
        <v>394</v>
      </c>
      <c r="D1152" s="128">
        <f ca="1">IF(C1144&gt;=2,D1151,D1149)</f>
        <v>8888</v>
      </c>
      <c r="E1152" s="139">
        <f ca="1">IF(C1144&gt;=2,E1150-P1137,E1149)</f>
        <v>8888</v>
      </c>
      <c r="F1152" s="157"/>
      <c r="G1152" s="2" t="s">
        <v>394</v>
      </c>
      <c r="H1152" s="128">
        <f ca="1">IF(G1144&gt;=2,H1147,H1149)</f>
        <v>8888</v>
      </c>
      <c r="I1152" s="139">
        <f ca="1">IF(G1144&gt;=2,I1151-P1137,I1149)</f>
        <v>8888</v>
      </c>
      <c r="K1152" s="128" t="s">
        <v>394</v>
      </c>
      <c r="L1152" s="128">
        <f ca="1">L1151</f>
        <v>8888</v>
      </c>
      <c r="M1152" s="139">
        <f ca="1">IF(K1144&gt;=2,M1151-P1137,M1149)</f>
        <v>8888</v>
      </c>
      <c r="AA1152" s="143" t="s">
        <v>394</v>
      </c>
      <c r="AB1152" s="128">
        <f ca="1">IF($AA1144,D1152,AB1150)</f>
        <v>8888</v>
      </c>
      <c r="AC1152" s="129">
        <f ca="1">IF($AA1144,E1152,AC1150)</f>
        <v>8888</v>
      </c>
      <c r="AD1152" s="157"/>
      <c r="AE1152" s="2" t="s">
        <v>394</v>
      </c>
      <c r="AF1152" s="128">
        <f ca="1">IF($AE1144,H1152,AF1150)</f>
        <v>8888</v>
      </c>
      <c r="AG1152" s="129">
        <f ca="1">IF($AE1144,I1152,AG1150)</f>
        <v>8888</v>
      </c>
      <c r="AI1152" s="128" t="s">
        <v>394</v>
      </c>
      <c r="AJ1152" s="128">
        <f ca="1">IF($AI1144,L1152,AJ1150)</f>
        <v>8888</v>
      </c>
      <c r="AK1152" s="129">
        <f ca="1">IF($AI1144,M1152,AK1150)</f>
        <v>8888</v>
      </c>
      <c r="BD1152" s="157"/>
    </row>
    <row r="1153" spans="2:56">
      <c r="B1153" s="156"/>
      <c r="C1153" s="188" t="s">
        <v>454</v>
      </c>
      <c r="D1153" s="188">
        <f ca="1">IF(C1144&gt;=2,D1146,D1149)</f>
        <v>8888</v>
      </c>
      <c r="E1153" s="189">
        <f ca="1">E1152</f>
        <v>8888</v>
      </c>
      <c r="F1153" s="157"/>
      <c r="G1153" s="115" t="s">
        <v>454</v>
      </c>
      <c r="H1153" s="188">
        <f ca="1">IF(G1144&gt;=2,H1146,H1149)</f>
        <v>8888</v>
      </c>
      <c r="I1153" s="189">
        <f ca="1">IF(G1144&gt;=2,I1152,I1149)</f>
        <v>8888</v>
      </c>
      <c r="K1153" s="188" t="s">
        <v>454</v>
      </c>
      <c r="L1153" s="188">
        <f ca="1">IF(K1144&gt;=2,L1146,L1149)</f>
        <v>8888</v>
      </c>
      <c r="M1153" s="189">
        <f ca="1">IF(K1144&gt;=2,M1152,M1149)</f>
        <v>8888</v>
      </c>
      <c r="AA1153" s="195" t="s">
        <v>454</v>
      </c>
      <c r="AB1153" s="128">
        <f ca="1">IF($AA1144,D1153,AB1150)</f>
        <v>8888</v>
      </c>
      <c r="AC1153" s="129">
        <f ca="1">IF($AA1144,E1153,AC1150)</f>
        <v>8888</v>
      </c>
      <c r="AD1153" s="157"/>
      <c r="AE1153" s="115" t="s">
        <v>454</v>
      </c>
      <c r="AF1153" s="188">
        <f ca="1">IF($AE1144,H1153,AF1150)</f>
        <v>8888</v>
      </c>
      <c r="AG1153" s="196">
        <f ca="1">IF($AE1144,I1153,AG1150)</f>
        <v>8888</v>
      </c>
      <c r="AI1153" s="188" t="s">
        <v>454</v>
      </c>
      <c r="AJ1153" s="188">
        <f ca="1">IF($AI1144,L1153,AJ1150)</f>
        <v>8888</v>
      </c>
      <c r="AK1153" s="196">
        <f ca="1">IF($AI1144,M1153,AK1150)</f>
        <v>8888</v>
      </c>
      <c r="BD1153" s="157"/>
    </row>
    <row r="1154" spans="2:56">
      <c r="B1154" s="156"/>
      <c r="C1154" s="128" t="s">
        <v>507</v>
      </c>
      <c r="D1154" s="128">
        <f ca="1">IF(C1144&gt;=3,D1146,D1153)</f>
        <v>8888</v>
      </c>
      <c r="E1154" s="139">
        <f ca="1">IF(C1144&gt;=3,E1153-P1139,E1153)</f>
        <v>8888</v>
      </c>
      <c r="F1154" s="157"/>
      <c r="G1154" s="2" t="s">
        <v>507</v>
      </c>
      <c r="H1154" s="128">
        <f ca="1">IF(G1144&gt;=3,H1146,H1153)</f>
        <v>8888</v>
      </c>
      <c r="I1154" s="139">
        <f ca="1">IF(G1144&gt;=3,I1153-P1139,I1153)</f>
        <v>8888</v>
      </c>
      <c r="K1154" s="128" t="s">
        <v>507</v>
      </c>
      <c r="L1154" s="128">
        <f ca="1">IF(K1144&gt;=3,L1146,L1153)</f>
        <v>8888</v>
      </c>
      <c r="M1154" s="139">
        <f ca="1">IF(K1144&gt;=3,M1153-P1139,M1153)</f>
        <v>8888</v>
      </c>
      <c r="AA1154" s="143" t="s">
        <v>507</v>
      </c>
      <c r="AB1154" s="128">
        <f ca="1">IF($AA1144,D1154,AB1150)</f>
        <v>8888</v>
      </c>
      <c r="AC1154" s="129">
        <f ca="1">IF($AA1144,E1154,AC1150)</f>
        <v>8888</v>
      </c>
      <c r="AD1154" s="157"/>
      <c r="AE1154" s="2" t="s">
        <v>507</v>
      </c>
      <c r="AF1154" s="128">
        <f ca="1">IF($AE1144,H1154,AF1150)</f>
        <v>8888</v>
      </c>
      <c r="AG1154" s="129">
        <f ca="1">IF($AE1144,I1154,AG1150)</f>
        <v>8888</v>
      </c>
      <c r="AI1154" s="128" t="s">
        <v>507</v>
      </c>
      <c r="AJ1154" s="128">
        <f ca="1">IF($AI1144,L1154,AJ1150)</f>
        <v>8888</v>
      </c>
      <c r="AK1154" s="129">
        <f ca="1">IF($AI1144,M1154,AK1150)</f>
        <v>8888</v>
      </c>
      <c r="BD1154" s="157"/>
    </row>
    <row r="1155" spans="2:56">
      <c r="B1155" s="156"/>
      <c r="C1155" s="128" t="s">
        <v>455</v>
      </c>
      <c r="D1155" s="128">
        <f ca="1">IF(C1144&gt;=3,D1151,D1153)</f>
        <v>8888</v>
      </c>
      <c r="E1155" s="139">
        <f ca="1">E1154</f>
        <v>8888</v>
      </c>
      <c r="F1155" s="157"/>
      <c r="G1155" s="2" t="s">
        <v>455</v>
      </c>
      <c r="H1155" s="128">
        <f ca="1">IF(G1144&gt;=3,H1147,H1153)</f>
        <v>8888</v>
      </c>
      <c r="I1155" s="139">
        <f ca="1">IF(G1144&gt;=3,I1154,I1153)</f>
        <v>8888</v>
      </c>
      <c r="K1155" s="128" t="s">
        <v>455</v>
      </c>
      <c r="L1155" s="128">
        <f ca="1">IF(K1144&gt;=3,IF(X1139,IF(K1144=3,L1146+P1138/4,L1146+P1138),L1146+P1138),L1149)</f>
        <v>8888</v>
      </c>
      <c r="M1155" s="139">
        <f ca="1">IF(K1144&gt;=3,M1154,M1153)</f>
        <v>8888</v>
      </c>
      <c r="AA1155" s="143" t="s">
        <v>455</v>
      </c>
      <c r="AB1155" s="128">
        <f ca="1">IF($AA1144,D1155,AB1150)</f>
        <v>8888</v>
      </c>
      <c r="AC1155" s="129">
        <f ca="1">IF($AA1144,E1155,AC1150)</f>
        <v>8888</v>
      </c>
      <c r="AD1155" s="157"/>
      <c r="AE1155" s="2" t="s">
        <v>455</v>
      </c>
      <c r="AF1155" s="128">
        <f ca="1">IF($AE1144,H1155,AF1150)</f>
        <v>8888</v>
      </c>
      <c r="AG1155" s="129">
        <f ca="1">IF($AE1144,I1155,AG1150)</f>
        <v>8888</v>
      </c>
      <c r="AI1155" s="128" t="s">
        <v>455</v>
      </c>
      <c r="AJ1155" s="128">
        <f ca="1">IF($AI1144,L1155,AJ1150)</f>
        <v>8888</v>
      </c>
      <c r="AK1155" s="129">
        <f ca="1">IF($AI1144,M1155,AK1150)</f>
        <v>8888</v>
      </c>
      <c r="AL1155" s="156"/>
      <c r="BD1155" s="157"/>
    </row>
    <row r="1156" spans="2:56">
      <c r="B1156" s="156"/>
      <c r="C1156" s="128" t="s">
        <v>311</v>
      </c>
      <c r="D1156" s="128">
        <f ca="1">IF(C1144&gt;=3,D1151,D1153)</f>
        <v>8888</v>
      </c>
      <c r="E1156" s="139">
        <f ca="1">IF(C1144&gt;=3,E1155-P1137,E1153)</f>
        <v>8888</v>
      </c>
      <c r="F1156" s="157"/>
      <c r="G1156" s="2" t="s">
        <v>311</v>
      </c>
      <c r="H1156" s="128">
        <f ca="1">IF(G1144&gt;=3,H1147,H1153)</f>
        <v>8888</v>
      </c>
      <c r="I1156" s="139">
        <f ca="1">IF(G1144&gt;=3,I1155-P1137,I1153)</f>
        <v>8888</v>
      </c>
      <c r="K1156" s="128" t="s">
        <v>311</v>
      </c>
      <c r="L1156" s="128">
        <f ca="1">L1155</f>
        <v>8888</v>
      </c>
      <c r="M1156" s="139">
        <f ca="1">IF(K1144&gt;=3,M1155-P1137,M1153)</f>
        <v>8888</v>
      </c>
      <c r="AA1156" s="143" t="s">
        <v>311</v>
      </c>
      <c r="AB1156" s="128">
        <f ca="1">IF($AA1144,D1156,AB1150)</f>
        <v>8888</v>
      </c>
      <c r="AC1156" s="129">
        <f ca="1">IF($AA1144,E1156,AC1150)</f>
        <v>8888</v>
      </c>
      <c r="AD1156" s="157"/>
      <c r="AE1156" s="2" t="s">
        <v>311</v>
      </c>
      <c r="AF1156" s="128">
        <f ca="1">IF($AE1144,H1156,AF1150)</f>
        <v>8888</v>
      </c>
      <c r="AG1156" s="129">
        <f ca="1">IF($AE1144,I1156,AG1150)</f>
        <v>8888</v>
      </c>
      <c r="AI1156" s="128" t="s">
        <v>311</v>
      </c>
      <c r="AJ1156" s="128">
        <f ca="1">IF($AI1144,L1156,AJ1150)</f>
        <v>8888</v>
      </c>
      <c r="AK1156" s="129">
        <f ca="1">IF($AI1144,M1156,AK1150)</f>
        <v>8888</v>
      </c>
      <c r="AL1156" s="156"/>
      <c r="BD1156" s="157"/>
    </row>
    <row r="1157" spans="2:56">
      <c r="B1157" s="156"/>
      <c r="C1157" s="188" t="s">
        <v>35</v>
      </c>
      <c r="D1157" s="188">
        <f ca="1">IF(C1144&gt;=3,D1146,D1153)</f>
        <v>8888</v>
      </c>
      <c r="E1157" s="189">
        <f ca="1">E1156</f>
        <v>8888</v>
      </c>
      <c r="F1157" s="157"/>
      <c r="G1157" s="2" t="s">
        <v>35</v>
      </c>
      <c r="H1157" s="188">
        <f ca="1">IF(G1144&gt;=3,H1146,H1153)</f>
        <v>8888</v>
      </c>
      <c r="I1157" s="189">
        <f ca="1">IF(G1144&gt;=3,I1156,I1153)</f>
        <v>8888</v>
      </c>
      <c r="K1157" s="188" t="s">
        <v>35</v>
      </c>
      <c r="L1157" s="188">
        <f ca="1">IF(K1144&gt;=3,L1146,L1153)</f>
        <v>8888</v>
      </c>
      <c r="M1157" s="189">
        <f ca="1">IF(K1144&gt;=3,M1156,M1153)</f>
        <v>8888</v>
      </c>
      <c r="AA1157" s="143" t="s">
        <v>35</v>
      </c>
      <c r="AB1157" s="128">
        <f ca="1">IF($AA1144,D1157,AB1150)</f>
        <v>8888</v>
      </c>
      <c r="AC1157" s="129">
        <f ca="1">IF($AA1144,E1157,AC1150)</f>
        <v>8888</v>
      </c>
      <c r="AD1157" s="157"/>
      <c r="AE1157" s="2" t="s">
        <v>35</v>
      </c>
      <c r="AF1157" s="188">
        <f ca="1">IF($AE1144,H1157,AF1150)</f>
        <v>8888</v>
      </c>
      <c r="AG1157" s="196">
        <f ca="1">IF($AE1144,I1157,AG1150)</f>
        <v>8888</v>
      </c>
      <c r="AI1157" s="128" t="s">
        <v>35</v>
      </c>
      <c r="AJ1157" s="128">
        <f ca="1">IF($AI1144,L1157,AJ1150)</f>
        <v>8888</v>
      </c>
      <c r="AK1157" s="129">
        <f ca="1">IF($AI1144,M1157,AK1150)</f>
        <v>8888</v>
      </c>
      <c r="AL1157" s="156"/>
      <c r="BD1157" s="157"/>
    </row>
    <row r="1158" spans="2:56" ht="15" thickBot="1">
      <c r="B1158" s="156"/>
      <c r="C1158" s="130" t="s">
        <v>396</v>
      </c>
      <c r="D1158" s="130">
        <f ca="1">D1146</f>
        <v>8888</v>
      </c>
      <c r="E1158" s="140">
        <f ca="1">E1146</f>
        <v>8888</v>
      </c>
      <c r="F1158" s="157"/>
      <c r="G1158" s="192" t="s">
        <v>312</v>
      </c>
      <c r="H1158" s="128">
        <f ca="1">IF(G1144&gt;=4,H1146,H1157)</f>
        <v>8888</v>
      </c>
      <c r="I1158" s="139">
        <f ca="1">IF(G1144&gt;=4,I1157-P1139,I1157)</f>
        <v>8888</v>
      </c>
      <c r="K1158" s="130" t="s">
        <v>396</v>
      </c>
      <c r="L1158" s="130">
        <f ca="1">L1146</f>
        <v>8888</v>
      </c>
      <c r="M1158" s="140">
        <f ca="1">M1146</f>
        <v>8888</v>
      </c>
      <c r="AA1158" s="144" t="s">
        <v>396</v>
      </c>
      <c r="AB1158" s="130">
        <f ca="1">IF($AA1144,D1158,AB1150)</f>
        <v>8888</v>
      </c>
      <c r="AC1158" s="132">
        <f ca="1">IF($AA1144,E1158,AC1150)</f>
        <v>8888</v>
      </c>
      <c r="AD1158" s="157"/>
      <c r="AE1158" s="192" t="s">
        <v>312</v>
      </c>
      <c r="AF1158" s="128">
        <f ca="1">IF($AE1144,H1158,AF1150)</f>
        <v>8888</v>
      </c>
      <c r="AG1158" s="129">
        <f ca="1">IF($AE1144,I1158,AG1150)</f>
        <v>8888</v>
      </c>
      <c r="AI1158" s="130" t="s">
        <v>396</v>
      </c>
      <c r="AJ1158" s="130">
        <f ca="1">IF($AI1144,L1158,AJ1150)</f>
        <v>8888</v>
      </c>
      <c r="AK1158" s="132">
        <f ca="1">IF($AI1144,M1158,AK1150)</f>
        <v>8888</v>
      </c>
      <c r="BD1158" s="157"/>
    </row>
    <row r="1159" spans="2:56">
      <c r="B1159" s="156"/>
      <c r="F1159" s="157"/>
      <c r="G1159" s="2" t="s">
        <v>313</v>
      </c>
      <c r="H1159" s="128">
        <f ca="1">IF(G1144&gt;=4,H1147,H1157)</f>
        <v>8888</v>
      </c>
      <c r="I1159" s="139">
        <f ca="1">IF(G1144&gt;=4,I1158,I1157)</f>
        <v>8888</v>
      </c>
      <c r="AD1159" s="157"/>
      <c r="AE1159" s="2" t="s">
        <v>313</v>
      </c>
      <c r="AF1159" s="128">
        <f ca="1">IF($AE1144,H1159,AF1150)</f>
        <v>8888</v>
      </c>
      <c r="AG1159" s="129">
        <f ca="1">IF($AE1144,I1159,AG1150)</f>
        <v>8888</v>
      </c>
      <c r="BD1159" s="157"/>
    </row>
    <row r="1160" spans="2:56">
      <c r="B1160" s="156"/>
      <c r="F1160" s="157"/>
      <c r="G1160" s="2" t="s">
        <v>7</v>
      </c>
      <c r="H1160" s="128">
        <f ca="1">IF(G1144&gt;=4,H1147,H1157)</f>
        <v>8888</v>
      </c>
      <c r="I1160" s="139">
        <f ca="1">IF(G1144&gt;=4,I1159-P1137,I1157)</f>
        <v>8888</v>
      </c>
      <c r="AD1160" s="157"/>
      <c r="AE1160" s="2" t="s">
        <v>7</v>
      </c>
      <c r="AF1160" s="128">
        <f ca="1">IF($AE1144,H1160,AF1150)</f>
        <v>8888</v>
      </c>
      <c r="AG1160" s="129">
        <f ca="1">IF($AE1144,I1160,AG1150)</f>
        <v>8888</v>
      </c>
      <c r="BD1160" s="157"/>
    </row>
    <row r="1161" spans="2:56">
      <c r="B1161" s="156"/>
      <c r="F1161" s="157"/>
      <c r="G1161" s="115" t="s">
        <v>8</v>
      </c>
      <c r="H1161" s="188">
        <f ca="1">IF(G1144&gt;=4,H1146,H1157)</f>
        <v>8888</v>
      </c>
      <c r="I1161" s="189">
        <f ca="1">IF(G1144&gt;=4,I1160,I1157)</f>
        <v>8888</v>
      </c>
      <c r="AD1161" s="157"/>
      <c r="AE1161" s="115" t="s">
        <v>8</v>
      </c>
      <c r="AF1161" s="188">
        <f ca="1">IF($AE1144,H1161,AF1150)</f>
        <v>8888</v>
      </c>
      <c r="AG1161" s="196">
        <f ca="1">IF($AE1144,I1161,AG1150)</f>
        <v>8888</v>
      </c>
      <c r="BD1161" s="157"/>
    </row>
    <row r="1162" spans="2:56">
      <c r="B1162" s="156"/>
      <c r="F1162" s="157"/>
      <c r="G1162" s="2" t="s">
        <v>9</v>
      </c>
      <c r="H1162" s="128">
        <f ca="1">IF(G1144&gt;=5,H1146,H1161)</f>
        <v>8888</v>
      </c>
      <c r="I1162" s="139">
        <f ca="1">IF(G1144&gt;=5,I1161-P1139,I1161)</f>
        <v>8888</v>
      </c>
      <c r="AD1162" s="157"/>
      <c r="AE1162" s="2" t="s">
        <v>9</v>
      </c>
      <c r="AF1162" s="128">
        <f ca="1">IF($AE1144,H1162,AF1150)</f>
        <v>8888</v>
      </c>
      <c r="AG1162" s="129">
        <f ca="1">IF($AE1144,I1162,AG1150)</f>
        <v>8888</v>
      </c>
      <c r="BD1162" s="157"/>
    </row>
    <row r="1163" spans="2:56">
      <c r="B1163" s="156"/>
      <c r="F1163" s="157"/>
      <c r="G1163" s="2" t="s">
        <v>196</v>
      </c>
      <c r="H1163" s="128">
        <f ca="1">IF(G1144&gt;=5,H1147,H1161)</f>
        <v>8888</v>
      </c>
      <c r="I1163" s="139">
        <f ca="1">IF(G1144&gt;=5,I1162,I1161)</f>
        <v>8888</v>
      </c>
      <c r="AD1163" s="157"/>
      <c r="AE1163" s="2" t="s">
        <v>196</v>
      </c>
      <c r="AF1163" s="128">
        <f ca="1">IF($AE1144,H1163,AF1150)</f>
        <v>8888</v>
      </c>
      <c r="AG1163" s="129">
        <f ca="1">IF($AE1144,I1163,AG1150)</f>
        <v>8888</v>
      </c>
      <c r="BD1163" s="157"/>
    </row>
    <row r="1164" spans="2:56">
      <c r="B1164" s="156"/>
      <c r="F1164" s="157"/>
      <c r="G1164" s="2" t="s">
        <v>10</v>
      </c>
      <c r="H1164" s="128">
        <f ca="1">IF(G1144&gt;=5,H1147,H1161)</f>
        <v>8888</v>
      </c>
      <c r="I1164" s="139">
        <f ca="1">IF(G1144&gt;=5,I1163-P1137,I1161)</f>
        <v>8888</v>
      </c>
      <c r="AD1164" s="157"/>
      <c r="AE1164" s="2" t="s">
        <v>10</v>
      </c>
      <c r="AF1164" s="128">
        <f ca="1">IF($AE1144,H1164,AF1150)</f>
        <v>8888</v>
      </c>
      <c r="AG1164" s="129">
        <f ca="1">IF($AE1144,I1164,AG1150)</f>
        <v>8888</v>
      </c>
      <c r="BD1164" s="157"/>
    </row>
    <row r="1165" spans="2:56">
      <c r="B1165" s="156"/>
      <c r="F1165" s="157"/>
      <c r="G1165" s="2" t="s">
        <v>161</v>
      </c>
      <c r="H1165" s="188">
        <f ca="1">IF(G1144&gt;=5,H1146,H1161)</f>
        <v>8888</v>
      </c>
      <c r="I1165" s="189">
        <f ca="1">IF(G1144&gt;=5,I1164,I1161)</f>
        <v>8888</v>
      </c>
      <c r="AD1165" s="157"/>
      <c r="AE1165" s="2" t="s">
        <v>161</v>
      </c>
      <c r="AF1165" s="188">
        <f ca="1">IF($AE1144,H1165,AF1150)</f>
        <v>8888</v>
      </c>
      <c r="AG1165" s="196">
        <f ca="1">IF($AE1144,I1165,AG1150)</f>
        <v>8888</v>
      </c>
      <c r="BD1165" s="157"/>
    </row>
    <row r="1166" spans="2:56">
      <c r="B1166" s="156"/>
      <c r="F1166" s="157"/>
      <c r="G1166" s="192" t="s">
        <v>11</v>
      </c>
      <c r="H1166" s="128">
        <f ca="1">IF(G1144&gt;=6,H1146,H1165)</f>
        <v>8888</v>
      </c>
      <c r="I1166" s="139">
        <f ca="1">IF(G1144&gt;=6,I1165-P1139,I1165)</f>
        <v>8888</v>
      </c>
      <c r="AD1166" s="157"/>
      <c r="AE1166" s="192" t="s">
        <v>11</v>
      </c>
      <c r="AF1166" s="128">
        <f ca="1">IF($AE1144,H1166,AF1150)</f>
        <v>8888</v>
      </c>
      <c r="AG1166" s="129">
        <f ca="1">IF($AE1144,I1166,AG1150)</f>
        <v>8888</v>
      </c>
      <c r="BD1166" s="157"/>
    </row>
    <row r="1167" spans="2:56">
      <c r="B1167" s="156"/>
      <c r="F1167" s="157"/>
      <c r="G1167" s="2" t="s">
        <v>12</v>
      </c>
      <c r="H1167" s="128">
        <f ca="1">IF(G1144&gt;=6,H1147,H1165)</f>
        <v>8888</v>
      </c>
      <c r="I1167" s="139">
        <f ca="1">IF(G1144&gt;=6,I1166,I1165)</f>
        <v>8888</v>
      </c>
      <c r="AD1167" s="157"/>
      <c r="AE1167" s="2" t="s">
        <v>12</v>
      </c>
      <c r="AF1167" s="128">
        <f ca="1">IF($AE1144,H1167,AF1150)</f>
        <v>8888</v>
      </c>
      <c r="AG1167" s="129">
        <f ca="1">IF($AE1144,I1167,AG1150)</f>
        <v>8888</v>
      </c>
      <c r="BD1167" s="157"/>
    </row>
    <row r="1168" spans="2:56">
      <c r="B1168" s="156"/>
      <c r="F1168" s="157"/>
      <c r="G1168" s="2" t="s">
        <v>13</v>
      </c>
      <c r="H1168" s="128">
        <f ca="1">IF(G1144&gt;=6,H1147,H1165)</f>
        <v>8888</v>
      </c>
      <c r="I1168" s="139">
        <f ca="1">IF(G1144&gt;=6,I1167-P1137,I1165)</f>
        <v>8888</v>
      </c>
      <c r="AD1168" s="157"/>
      <c r="AE1168" s="2" t="s">
        <v>13</v>
      </c>
      <c r="AF1168" s="128">
        <f ca="1">IF($AE1144,H1168,AF1150)</f>
        <v>8888</v>
      </c>
      <c r="AG1168" s="129">
        <f ca="1">IF($AE1144,I1168,AG1150)</f>
        <v>8888</v>
      </c>
      <c r="BD1168" s="157"/>
    </row>
    <row r="1169" spans="2:56">
      <c r="B1169" s="156"/>
      <c r="F1169" s="157"/>
      <c r="G1169" s="115" t="s">
        <v>14</v>
      </c>
      <c r="H1169" s="188">
        <f ca="1">IF(G1144&gt;=6,H1146,H1165)</f>
        <v>8888</v>
      </c>
      <c r="I1169" s="189">
        <f ca="1">IF(G1144&gt;=6,I1168,I1165)</f>
        <v>8888</v>
      </c>
      <c r="AD1169" s="157"/>
      <c r="AE1169" s="115" t="s">
        <v>14</v>
      </c>
      <c r="AF1169" s="188">
        <f ca="1">IF($AE1144,H1169,AF1150)</f>
        <v>8888</v>
      </c>
      <c r="AG1169" s="196">
        <f ca="1">IF($AE1144,I1169,AG1150)</f>
        <v>8888</v>
      </c>
      <c r="BD1169" s="157"/>
    </row>
    <row r="1170" spans="2:56" ht="15" thickBot="1">
      <c r="B1170" s="156"/>
      <c r="G1170" s="130" t="s">
        <v>396</v>
      </c>
      <c r="H1170" s="130">
        <f ca="1">H1146</f>
        <v>8888</v>
      </c>
      <c r="I1170" s="140">
        <f ca="1">I1146</f>
        <v>8888</v>
      </c>
      <c r="AE1170" s="130" t="s">
        <v>396</v>
      </c>
      <c r="AF1170" s="130">
        <f ca="1">IF($AE1144,H1170,AF1150)</f>
        <v>8888</v>
      </c>
      <c r="AG1170" s="132">
        <f ca="1">IF($AE1144,I1170,AG1150)</f>
        <v>8888</v>
      </c>
      <c r="BD1170" s="157"/>
    </row>
    <row r="1171" spans="2:56">
      <c r="B1171" s="156"/>
      <c r="BD1171" s="157"/>
    </row>
    <row r="1172" spans="2:56">
      <c r="B1172" s="156"/>
      <c r="BD1172" s="157"/>
    </row>
    <row r="1173" spans="2:56">
      <c r="B1173" s="156"/>
      <c r="C1173" s="200" t="s">
        <v>336</v>
      </c>
      <c r="D1173">
        <f>D1137+1</f>
        <v>28</v>
      </c>
      <c r="G1173" s="200" t="s">
        <v>638</v>
      </c>
      <c r="H1173">
        <f ca="1">LOOKUP(D1176,$C$191:$C$196,$D$191:$D$196)</f>
        <v>0</v>
      </c>
      <c r="K1173" s="200" t="s">
        <v>644</v>
      </c>
      <c r="L1173">
        <f ca="1">L1137-H1178</f>
        <v>-16.562000000000005</v>
      </c>
      <c r="O1173" s="200" t="s">
        <v>404</v>
      </c>
      <c r="P1173">
        <f ca="1">IF(D1175=1,SEAT_w_cushion_FC,IF(D1175=2,SEAT_w_cushion_BC,IF(D1175=3,SEAT_w_cushion_YC,0)))</f>
        <v>0</v>
      </c>
      <c r="S1173" s="200" t="s">
        <v>647</v>
      </c>
      <c r="T1173">
        <f ca="1">LOOKUP(D1176,$C$191:$C$196,$E$191:$E$196)</f>
        <v>0</v>
      </c>
      <c r="W1173" t="s">
        <v>130</v>
      </c>
      <c r="X1173" t="str">
        <f ca="1">OFFSET(Fuselage!$B$275,D1173,5)</f>
        <v>None</v>
      </c>
      <c r="AN1173" s="200" t="s">
        <v>135</v>
      </c>
      <c r="AO1173">
        <f ca="1">MAX(0,H1178-MAX(T1173,T1175,T1177,P1174)-X1174)</f>
        <v>0</v>
      </c>
      <c r="BD1173" s="157"/>
    </row>
    <row r="1174" spans="2:56">
      <c r="B1174" s="156"/>
      <c r="C1174" s="200" t="s">
        <v>200</v>
      </c>
      <c r="D1174" t="str">
        <f ca="1">OFFSET(Fuselage!$B$275,D1173,0)</f>
        <v/>
      </c>
      <c r="G1174" s="200" t="s">
        <v>639</v>
      </c>
      <c r="H1174">
        <f ca="1">LOOKUP(D1177,$C$191:$C$196,$D$191:$D$196)</f>
        <v>0</v>
      </c>
      <c r="O1174" s="200" t="s">
        <v>535</v>
      </c>
      <c r="P1174">
        <f ca="1">IF(D1175=1,SEAT_length_FC,IF(D1175=2,SEAT_length_BC,IF(D1175=3,SEAT_length_YC,0)))</f>
        <v>0</v>
      </c>
      <c r="S1174" s="200" t="s">
        <v>648</v>
      </c>
      <c r="T1174">
        <f ca="1">LOOKUP(D1176,$C$191:$C$196,$F$191:$F$196)</f>
        <v>0</v>
      </c>
      <c r="W1174" t="s">
        <v>131</v>
      </c>
      <c r="X1174">
        <f ca="1">LOOKUP(X1173,$I$191:$I$198,$J$191:$J$198)</f>
        <v>0</v>
      </c>
      <c r="BD1174" s="157"/>
    </row>
    <row r="1175" spans="2:56">
      <c r="B1175" s="156"/>
      <c r="C1175" s="200" t="s">
        <v>337</v>
      </c>
      <c r="D1175" t="str">
        <f ca="1">OFFSET(Fuselage!$B$275,D1173,4)</f>
        <v/>
      </c>
      <c r="G1175" s="200" t="s">
        <v>309</v>
      </c>
      <c r="H1175">
        <f ca="1">LOOKUP(D1178,$C$191:$C$196,$D$191:$D$196)</f>
        <v>0</v>
      </c>
      <c r="K1175" s="200" t="s">
        <v>645</v>
      </c>
      <c r="L1175">
        <f ca="1">IF(D1175=1,FUSELAGE_nseats_left_FC,IF(D1175=2,FUSELAGE_nseats_left_BC,IF(D1175=3,FUSELAGE_nseats_left_YC,0)))</f>
        <v>0</v>
      </c>
      <c r="O1175" s="200" t="s">
        <v>405</v>
      </c>
      <c r="P1175">
        <f ca="1">IF(D1175=1,SEAT_w_armrest_FC,IF(D1175=2,SEAT_w_armrest_BC,IF(D1175=3,SEAT_w_armrest_YC,0)))</f>
        <v>0</v>
      </c>
      <c r="S1175" s="200" t="s">
        <v>652</v>
      </c>
      <c r="T1175">
        <f ca="1">LOOKUP(D1177,$C$191:$C$196,$E$191:$E$196)</f>
        <v>0</v>
      </c>
      <c r="W1175" s="200" t="s">
        <v>393</v>
      </c>
      <c r="X1175" t="b">
        <f ca="1">IF(OFFSET(Fuselage!$B$275,D1173,6)="YES",TRUE(),FALSE())</f>
        <v>0</v>
      </c>
      <c r="BD1175" s="157"/>
    </row>
    <row r="1176" spans="2:56">
      <c r="B1176" s="156"/>
      <c r="C1176" s="200" t="s">
        <v>640</v>
      </c>
      <c r="D1176" t="str">
        <f ca="1">OFFSET(Fuselage!$B$275,D1173,1)</f>
        <v>None</v>
      </c>
      <c r="G1176" s="200" t="s">
        <v>132</v>
      </c>
      <c r="H1176">
        <f ca="1">IF(D1175=1,SEAT_pitch_FC,IF(D1175=2,SEAT_pitch_BC,IF(D1175=3,SEAT_pitch_YC,0)))</f>
        <v>0</v>
      </c>
      <c r="K1176" s="200" t="s">
        <v>646</v>
      </c>
      <c r="L1176">
        <f ca="1">IF(D1175=1,FUSELAGE_nseats_middle_FC,IF(D1175=2,FUSELAGE_nseats_middle_BC,IF(D1175=3,FUSELAGE_nseats_middle_YC,0)))</f>
        <v>0</v>
      </c>
      <c r="S1176" s="200" t="s">
        <v>653</v>
      </c>
      <c r="T1176">
        <f ca="1">LOOKUP(D1177,$C$191:$C$196,$F$191:$F$196)</f>
        <v>0</v>
      </c>
      <c r="BD1176" s="157"/>
    </row>
    <row r="1177" spans="2:56">
      <c r="B1177" s="156"/>
      <c r="C1177" s="200" t="s">
        <v>642</v>
      </c>
      <c r="D1177" t="str">
        <f ca="1">OFFSET(Fuselage!$B$275,D1173,2)</f>
        <v>None</v>
      </c>
      <c r="G1177" s="200" t="s">
        <v>129</v>
      </c>
      <c r="H1177">
        <f ca="1">IF(OR(X1173="Type A",X1173="Type B"),MAX(H1173:H1176)+42*0.0254,IF(X1173="Type C",MAX(H1173:H1176)+X1174,IF(X1173&lt;&gt;"None",24*0.0254,0)))</f>
        <v>0</v>
      </c>
      <c r="K1177" s="200" t="s">
        <v>655</v>
      </c>
      <c r="L1177">
        <f ca="1">IF(D1175=1,FUSELAGE_nseats_right_FC,IF(D1175=2,FUSELAGE_nseats_right_BC,IF(D1175=3,FUSELAGE_nseats_right_YC,0)))</f>
        <v>0</v>
      </c>
      <c r="O1177" s="200" t="s">
        <v>407</v>
      </c>
      <c r="P1177">
        <f ca="1">($C$13-(L1175+L1176+L1177)*(P1173+P1175)+(FUSELAGE_n_aisles-1)*P1175)/FUSELAGE_n_aisles</f>
        <v>2.76</v>
      </c>
      <c r="S1177" s="200" t="s">
        <v>651</v>
      </c>
      <c r="T1177">
        <f ca="1">LOOKUP(D1178,$C$191:$C$196,$E$191:$E$196)</f>
        <v>0</v>
      </c>
      <c r="BD1177" s="157"/>
    </row>
    <row r="1178" spans="2:56">
      <c r="B1178" s="156"/>
      <c r="C1178" s="200" t="s">
        <v>641</v>
      </c>
      <c r="D1178" t="str">
        <f ca="1">OFFSET(Fuselage!$B$275,D1173,3)</f>
        <v>None</v>
      </c>
      <c r="G1178" s="200" t="s">
        <v>643</v>
      </c>
      <c r="H1178">
        <f ca="1">MAX(H1173:H1177)</f>
        <v>0</v>
      </c>
      <c r="S1178" s="200" t="s">
        <v>654</v>
      </c>
      <c r="T1178">
        <f ca="1">LOOKUP(D1178,$C$191:$C$196,$F$191:$F$196)</f>
        <v>0</v>
      </c>
      <c r="BD1178" s="157"/>
    </row>
    <row r="1179" spans="2:56" ht="15" thickBot="1">
      <c r="B1179" s="156"/>
      <c r="BD1179" s="157"/>
    </row>
    <row r="1180" spans="2:56" ht="15" thickBot="1">
      <c r="B1180" s="156"/>
      <c r="C1180" s="141">
        <f ca="1">L1177</f>
        <v>0</v>
      </c>
      <c r="D1180" s="197" t="str">
        <f ca="1">IF($D1175=1,"FC",IF($D1175=2,"BC",IF($D1175=3,"YC","Nothing")))</f>
        <v>Nothing</v>
      </c>
      <c r="E1180" s="198"/>
      <c r="G1180" s="141">
        <f ca="1">L1176</f>
        <v>0</v>
      </c>
      <c r="H1180" s="197" t="str">
        <f ca="1">IF($D1175=1,"FC",IF($D1175=2,"BC",IF($D1175=3,"YC","Nothing")))</f>
        <v>Nothing</v>
      </c>
      <c r="I1180" s="198"/>
      <c r="K1180" s="141">
        <f ca="1" xml:space="preserve"> L1175</f>
        <v>0</v>
      </c>
      <c r="L1180" s="197" t="str">
        <f ca="1">IF($D1175=1,"FC",IF($D1175=2,"BC",IF($D1175=3,"YC","Nothing")))</f>
        <v>Nothing</v>
      </c>
      <c r="M1180" s="198"/>
      <c r="O1180" s="141">
        <f ca="1">IF($D1178&lt;&gt;"None",1,0)</f>
        <v>0</v>
      </c>
      <c r="P1180" s="326" t="s">
        <v>380</v>
      </c>
      <c r="Q1180" s="327"/>
      <c r="S1180" s="141">
        <f ca="1">IF($D1177&lt;&gt;"None",1,0)</f>
        <v>0</v>
      </c>
      <c r="T1180" s="326" t="s">
        <v>381</v>
      </c>
      <c r="U1180" s="327"/>
      <c r="W1180" s="141">
        <f ca="1">IF($D1176&lt;&gt;"None",1,0)</f>
        <v>0</v>
      </c>
      <c r="X1180" s="326" t="s">
        <v>382</v>
      </c>
      <c r="Y1180" s="327"/>
      <c r="AA1180" s="141">
        <f ca="1">IF($D1178="None",1,0)</f>
        <v>1</v>
      </c>
      <c r="AB1180" s="326" t="str">
        <f ca="1">IF(AA1180,D1180,$D1178)</f>
        <v>Nothing</v>
      </c>
      <c r="AC1180" s="327"/>
      <c r="AE1180" s="141">
        <f ca="1">IF($D1177="None",1,0)</f>
        <v>1</v>
      </c>
      <c r="AF1180" s="326" t="str">
        <f ca="1">IF(AE1180,H1180,$D1177)</f>
        <v>Nothing</v>
      </c>
      <c r="AG1180" s="327"/>
      <c r="AI1180" s="141">
        <f ca="1">IF($D1176="None",1,0)</f>
        <v>1</v>
      </c>
      <c r="AJ1180" s="326" t="str">
        <f ca="1">IF(AI1180,L1180,$D1176)</f>
        <v>Nothing</v>
      </c>
      <c r="AK1180" s="327"/>
      <c r="AM1180" s="141">
        <f ca="1">IF($X1173="None",0,1)</f>
        <v>0</v>
      </c>
      <c r="AN1180" s="197" t="s">
        <v>133</v>
      </c>
      <c r="AO1180" s="198"/>
      <c r="AQ1180" s="141">
        <f ca="1">IF($X1173="None",0,1)</f>
        <v>0</v>
      </c>
      <c r="AR1180" s="197" t="s">
        <v>134</v>
      </c>
      <c r="AS1180" s="198"/>
      <c r="BD1180" s="157"/>
    </row>
    <row r="1181" spans="2:56" ht="15" thickBot="1">
      <c r="B1181" s="156"/>
      <c r="C1181" s="136" t="s">
        <v>452</v>
      </c>
      <c r="D1181" s="136" t="s">
        <v>384</v>
      </c>
      <c r="E1181" s="138" t="s">
        <v>385</v>
      </c>
      <c r="G1181" s="136" t="s">
        <v>452</v>
      </c>
      <c r="H1181" s="136" t="s">
        <v>384</v>
      </c>
      <c r="I1181" s="138" t="s">
        <v>385</v>
      </c>
      <c r="K1181" s="193" t="s">
        <v>452</v>
      </c>
      <c r="L1181" s="193" t="s">
        <v>384</v>
      </c>
      <c r="M1181" s="194" t="s">
        <v>385</v>
      </c>
      <c r="O1181" s="136" t="s">
        <v>452</v>
      </c>
      <c r="P1181" s="136" t="s">
        <v>384</v>
      </c>
      <c r="Q1181" s="138" t="s">
        <v>385</v>
      </c>
      <c r="S1181" s="136" t="s">
        <v>452</v>
      </c>
      <c r="T1181" s="136" t="s">
        <v>384</v>
      </c>
      <c r="U1181" s="138" t="s">
        <v>385</v>
      </c>
      <c r="W1181" s="136" t="s">
        <v>452</v>
      </c>
      <c r="X1181" s="136" t="s">
        <v>384</v>
      </c>
      <c r="Y1181" s="138" t="s">
        <v>385</v>
      </c>
      <c r="AA1181" s="136" t="s">
        <v>452</v>
      </c>
      <c r="AB1181" s="136" t="s">
        <v>384</v>
      </c>
      <c r="AC1181" s="138" t="s">
        <v>385</v>
      </c>
      <c r="AE1181" s="136" t="s">
        <v>452</v>
      </c>
      <c r="AF1181" s="136" t="s">
        <v>384</v>
      </c>
      <c r="AG1181" s="138" t="s">
        <v>385</v>
      </c>
      <c r="AI1181" s="193" t="s">
        <v>452</v>
      </c>
      <c r="AJ1181" s="193" t="s">
        <v>384</v>
      </c>
      <c r="AK1181" s="194" t="s">
        <v>385</v>
      </c>
      <c r="AM1181" s="193" t="s">
        <v>452</v>
      </c>
      <c r="AN1181" s="193" t="s">
        <v>384</v>
      </c>
      <c r="AO1181" s="194" t="s">
        <v>385</v>
      </c>
      <c r="AQ1181" s="193" t="s">
        <v>452</v>
      </c>
      <c r="AR1181" s="193" t="s">
        <v>384</v>
      </c>
      <c r="AS1181" s="194" t="s">
        <v>385</v>
      </c>
      <c r="BD1181" s="157"/>
    </row>
    <row r="1182" spans="2:56">
      <c r="B1182" s="156"/>
      <c r="C1182" s="128" t="s">
        <v>396</v>
      </c>
      <c r="D1182" s="158">
        <f ca="1">IF(C1180&gt;=1,L1173,8888)</f>
        <v>8888</v>
      </c>
      <c r="E1182" s="160">
        <f ca="1">IF(C1180&gt;=1,1/2*($C$13-P1173-2*P1175)+1/2*P1173,8888)</f>
        <v>8888</v>
      </c>
      <c r="G1182" s="128" t="s">
        <v>396</v>
      </c>
      <c r="H1182" s="158">
        <f ca="1">IF(G1180&gt;=1,L1173,8888)</f>
        <v>8888</v>
      </c>
      <c r="I1182" s="160">
        <f ca="1">IF(G1180&gt;=1,E1193-P1177,8888)</f>
        <v>8888</v>
      </c>
      <c r="K1182" s="128" t="s">
        <v>396</v>
      </c>
      <c r="L1182" s="158">
        <f ca="1">IF(K1180&gt;=1,L1173,8888)</f>
        <v>8888</v>
      </c>
      <c r="M1182" s="160">
        <f ca="1">IF(K1180&gt;=1,IF(FUSELAGE_n_aisles=1,E1193-P1177,I1205-P1177),8888)</f>
        <v>8888</v>
      </c>
      <c r="O1182" s="128" t="s">
        <v>396</v>
      </c>
      <c r="P1182" s="158">
        <f ca="1">IF(O1180,$L1173,8888)</f>
        <v>8888</v>
      </c>
      <c r="Q1182" s="209">
        <f ca="1">IF(O1180,FUSELAGE_y_position_of_left_seat_YC-(FUSELAGE_nseats_right_YC-1)*(SEAT_w_cushion_YC+SEAT_w_armrest_YC)/2+T1178/2,8888)</f>
        <v>8888</v>
      </c>
      <c r="S1182" s="128" t="s">
        <v>396</v>
      </c>
      <c r="T1182" s="158">
        <f ca="1">IF(S1180,$L1173,8888)</f>
        <v>8888</v>
      </c>
      <c r="U1182" s="160">
        <f ca="1">IF(S1180,T1176/2,8888)</f>
        <v>8888</v>
      </c>
      <c r="W1182" s="128" t="s">
        <v>396</v>
      </c>
      <c r="X1182" s="158">
        <f ca="1">IF(W1180,$L1173,8888)</f>
        <v>8888</v>
      </c>
      <c r="Y1182" s="160">
        <f ca="1">IF(W1180,-FUSELAGE_y_position_of_left_seat_YC+(FUSELAGE_nseats_left_YC-1)*(SEAT_w_cushion_YC+SEAT_w_armrest_YC)/2-T1174/2,8888)</f>
        <v>8888</v>
      </c>
      <c r="AA1182" s="128" t="s">
        <v>396</v>
      </c>
      <c r="AB1182" s="158">
        <f ca="1">IF($AA1180,D1182,P1182)</f>
        <v>8888</v>
      </c>
      <c r="AC1182" s="174">
        <f ca="1">IF($AA1180,E1182,Q1182)</f>
        <v>8888</v>
      </c>
      <c r="AE1182" s="128" t="s">
        <v>396</v>
      </c>
      <c r="AF1182" s="158">
        <f ca="1">IF($AE1180,H1182,T1182)</f>
        <v>8888</v>
      </c>
      <c r="AG1182" s="174">
        <f ca="1">IF($AE1180,I1182,U1182)</f>
        <v>8888</v>
      </c>
      <c r="AI1182" s="128" t="s">
        <v>396</v>
      </c>
      <c r="AJ1182" s="158">
        <f ca="1">IF($AI1180,L1182,X1182)</f>
        <v>8888</v>
      </c>
      <c r="AK1182" s="174">
        <f ca="1">IF($AI1180,M1182,Y1182)</f>
        <v>8888</v>
      </c>
      <c r="AM1182" s="128" t="s">
        <v>396</v>
      </c>
      <c r="AN1182" s="158">
        <f ca="1">AN1151</f>
        <v>-16.562000000000005</v>
      </c>
      <c r="AO1182" s="174">
        <f ca="1">IF(AN1182&gt;-Fuselage!$D$366,(FUSELAGE_a_ellipse)*SQRT(1-((AN1182+Fuselage!$D$366)/(Fuselage!$K$364-FUSELAGE_t_fuselage))^2),IF(AN1182&gt;$L$2505+Fuselage!$K$370,FUSELAGE_a_ellipse,(FUSELAGE_a_ellipse+FUSELAGE_t_fuselage-FUSELAGE_d_fo/4)/Fuselage!$K$368*(AN1182-$L$2505-Fuselage!$K$370)+FUSELAGE_a_ellipse))</f>
        <v>1.4960570012328709</v>
      </c>
      <c r="AQ1182" s="128" t="s">
        <v>396</v>
      </c>
      <c r="AR1182" s="158">
        <f t="shared" ref="AR1182:AR1187" ca="1" si="120">AN1182</f>
        <v>-16.562000000000005</v>
      </c>
      <c r="AS1182" s="174">
        <f t="shared" ref="AS1182:AS1187" ca="1" si="121">-AO1182</f>
        <v>-1.4960570012328709</v>
      </c>
      <c r="BD1182" s="157"/>
    </row>
    <row r="1183" spans="2:56">
      <c r="B1183" s="156"/>
      <c r="C1183" s="128" t="s">
        <v>213</v>
      </c>
      <c r="D1183" s="128">
        <f ca="1">IF(X1175,D1182+P1174/4,D1182+P1174)</f>
        <v>8888</v>
      </c>
      <c r="E1183" s="139">
        <f ca="1">E1182</f>
        <v>8888</v>
      </c>
      <c r="G1183" s="128" t="s">
        <v>213</v>
      </c>
      <c r="H1183" s="128">
        <f ca="1">H1182+P1174</f>
        <v>8888</v>
      </c>
      <c r="I1183" s="139">
        <f ca="1">I1182</f>
        <v>8888</v>
      </c>
      <c r="K1183" s="128" t="s">
        <v>213</v>
      </c>
      <c r="L1183" s="128">
        <f ca="1">IF(X1175,IF(K1180=1,L1182+P1174/4,L1182+P1174),L1182+P1174)</f>
        <v>8888</v>
      </c>
      <c r="M1183" s="139">
        <f ca="1">M1182</f>
        <v>8888</v>
      </c>
      <c r="O1183" s="128" t="s">
        <v>213</v>
      </c>
      <c r="P1183" s="128">
        <f ca="1">P1182+$T1177</f>
        <v>8888</v>
      </c>
      <c r="Q1183" s="139">
        <f ca="1">Q1182</f>
        <v>8888</v>
      </c>
      <c r="S1183" s="128" t="s">
        <v>213</v>
      </c>
      <c r="T1183" s="128">
        <f ca="1">T1182+$T1175</f>
        <v>8888</v>
      </c>
      <c r="U1183" s="139">
        <f ca="1">U1182</f>
        <v>8888</v>
      </c>
      <c r="W1183" s="128" t="s">
        <v>213</v>
      </c>
      <c r="X1183" s="128">
        <f ca="1">X1182+$T1173</f>
        <v>8888</v>
      </c>
      <c r="Y1183" s="139">
        <f ca="1">Y1182</f>
        <v>8888</v>
      </c>
      <c r="AA1183" s="143" t="s">
        <v>213</v>
      </c>
      <c r="AB1183" s="128">
        <f ca="1">IF($AA1180,D1183,P1183)</f>
        <v>8888</v>
      </c>
      <c r="AC1183" s="129">
        <f ca="1">IF($AA1180,E1183,Q1183)</f>
        <v>8888</v>
      </c>
      <c r="AE1183" s="128" t="s">
        <v>213</v>
      </c>
      <c r="AF1183" s="128">
        <f ca="1">IF($AE1180,H1183,T1183)</f>
        <v>8888</v>
      </c>
      <c r="AG1183" s="129">
        <f ca="1">IF($AE1180,I1183,U1183)</f>
        <v>8888</v>
      </c>
      <c r="AI1183" s="128" t="s">
        <v>213</v>
      </c>
      <c r="AJ1183" s="128">
        <f ca="1">IF($AI1180,L1183,X1183)</f>
        <v>8888</v>
      </c>
      <c r="AK1183" s="129">
        <f ca="1">IF($AI1180,M1183,Y1183)</f>
        <v>8888</v>
      </c>
      <c r="AM1183" s="128" t="s">
        <v>213</v>
      </c>
      <c r="AN1183" s="128">
        <f ca="1">AN1182-AO1173/2</f>
        <v>-16.562000000000005</v>
      </c>
      <c r="AO1183" s="129">
        <f ca="1">IF(AN1183&gt;-Fuselage!$D$366,(FUSELAGE_a_ellipse)*SQRT(1-((AN1183+Fuselage!$D$366)/(Fuselage!$K$364-FUSELAGE_t_fuselage))^2),IF(AN1183&gt;$L$2505+Fuselage!$K$370,FUSELAGE_a_ellipse,(FUSELAGE_a_ellipse+FUSELAGE_t_fuselage-FUSELAGE_d_fo/4)/Fuselage!$K$368*(AN1183-$L$2505-Fuselage!$K$370)+FUSELAGE_a_ellipse))</f>
        <v>1.4960570012328709</v>
      </c>
      <c r="AQ1183" s="128" t="s">
        <v>213</v>
      </c>
      <c r="AR1183" s="128">
        <f t="shared" ca="1" si="120"/>
        <v>-16.562000000000005</v>
      </c>
      <c r="AS1183" s="129">
        <f t="shared" ca="1" si="121"/>
        <v>-1.4960570012328709</v>
      </c>
      <c r="BD1183" s="157"/>
    </row>
    <row r="1184" spans="2:56">
      <c r="B1184" s="156"/>
      <c r="C1184" s="128" t="s">
        <v>286</v>
      </c>
      <c r="D1184" s="128">
        <f ca="1">D1183</f>
        <v>8888</v>
      </c>
      <c r="E1184" s="139">
        <f ca="1">E1183-P1173</f>
        <v>8888</v>
      </c>
      <c r="G1184" s="128" t="s">
        <v>286</v>
      </c>
      <c r="H1184" s="128">
        <f ca="1">H1183</f>
        <v>8888</v>
      </c>
      <c r="I1184" s="139">
        <f ca="1">I1183-P1173</f>
        <v>8888</v>
      </c>
      <c r="K1184" s="128" t="s">
        <v>286</v>
      </c>
      <c r="L1184" s="128">
        <f ca="1">L1183</f>
        <v>8888</v>
      </c>
      <c r="M1184" s="139">
        <f ca="1">M1183-P1173</f>
        <v>8888</v>
      </c>
      <c r="O1184" s="128" t="s">
        <v>286</v>
      </c>
      <c r="P1184" s="128">
        <f ca="1">P1183</f>
        <v>8888</v>
      </c>
      <c r="Q1184" s="139">
        <f ca="1">Q1183-$T1178</f>
        <v>8888</v>
      </c>
      <c r="S1184" s="128" t="s">
        <v>286</v>
      </c>
      <c r="T1184" s="128">
        <f ca="1">T1183</f>
        <v>8888</v>
      </c>
      <c r="U1184" s="139">
        <f ca="1">U1183-$T1176</f>
        <v>8888</v>
      </c>
      <c r="W1184" s="128" t="s">
        <v>286</v>
      </c>
      <c r="X1184" s="128">
        <f ca="1">X1183</f>
        <v>8888</v>
      </c>
      <c r="Y1184" s="139">
        <f ca="1">Y1183+$T1174</f>
        <v>8888</v>
      </c>
      <c r="AA1184" s="143" t="s">
        <v>286</v>
      </c>
      <c r="AB1184" s="128">
        <f ca="1">IF($AA1180,D1184,P1184)</f>
        <v>8888</v>
      </c>
      <c r="AC1184" s="129">
        <f ca="1">IF($AA1180,E1184,Q1184)</f>
        <v>8888</v>
      </c>
      <c r="AE1184" s="128" t="s">
        <v>286</v>
      </c>
      <c r="AF1184" s="128">
        <f ca="1">IF($AE1180,H1184,T1184)</f>
        <v>8888</v>
      </c>
      <c r="AG1184" s="129">
        <f ca="1">IF($AE1180,I1184,U1184)</f>
        <v>8888</v>
      </c>
      <c r="AI1184" s="128" t="s">
        <v>286</v>
      </c>
      <c r="AJ1184" s="128">
        <f ca="1">IF($AI1180,L1184,X1184)</f>
        <v>8888</v>
      </c>
      <c r="AK1184" s="129">
        <f ca="1">IF($AI1180,M1184,Y1184)</f>
        <v>8888</v>
      </c>
      <c r="AM1184" s="128" t="s">
        <v>286</v>
      </c>
      <c r="AN1184" s="128">
        <f ca="1">AN1183</f>
        <v>-16.562000000000005</v>
      </c>
      <c r="AO1184" s="129">
        <f ca="1">IF(AN1184&gt;-Fuselage!$D$366,IF(AM1180,(FUSELAGE_a_ellipse+FUSELAGE_t_fuselage)*SQRT(1-((AN1184+Fuselage!$D$366)/Fuselage!$K$364)^2),(FUSELAGE_a_ellipse)*SQRT(1-((AN1184+Fuselage!$D$366)/Fuselage!$K$364)^2)),IF(AN1184&gt;$L$2505+Fuselage!$K$370,(IF(AM1180,FUSELAGE_a_ellipse+FUSELAGE_t_fuselage,FUSELAGE_a_ellipse)),IF(AM1180,(FUSELAGE_a_ellipse+FUSELAGE_t_fuselage-FUSELAGE_d_fo/4)/Fuselage!$K$368*(AN1184-$L$2505-Fuselage!$K$370)+FUSELAGE_a_ellipse+FUSELAGE_t_fuselage,(FUSELAGE_a_ellipse+FUSELAGE_t_fuselage-FUSELAGE_d_fo/4)/Fuselage!$K$368*(AN1184-$L$2505-Fuselage!$K$370)+FUSELAGE_a_ellipse)))</f>
        <v>1.4960570012328709</v>
      </c>
      <c r="AQ1184" s="128" t="s">
        <v>286</v>
      </c>
      <c r="AR1184" s="128">
        <f t="shared" ca="1" si="120"/>
        <v>-16.562000000000005</v>
      </c>
      <c r="AS1184" s="129">
        <f t="shared" ca="1" si="121"/>
        <v>-1.4960570012328709</v>
      </c>
      <c r="BD1184" s="157"/>
    </row>
    <row r="1185" spans="2:56">
      <c r="B1185" s="156"/>
      <c r="C1185" s="188" t="s">
        <v>522</v>
      </c>
      <c r="D1185" s="188">
        <f ca="1">D1182</f>
        <v>8888</v>
      </c>
      <c r="E1185" s="189">
        <f ca="1">E1184</f>
        <v>8888</v>
      </c>
      <c r="F1185" s="157"/>
      <c r="G1185" s="2" t="s">
        <v>522</v>
      </c>
      <c r="H1185" s="128">
        <f ca="1">H1182</f>
        <v>8888</v>
      </c>
      <c r="I1185" s="139">
        <f ca="1">I1184</f>
        <v>8888</v>
      </c>
      <c r="K1185" s="128" t="s">
        <v>522</v>
      </c>
      <c r="L1185" s="128">
        <f ca="1">L1182</f>
        <v>8888</v>
      </c>
      <c r="M1185" s="139">
        <f ca="1">M1184</f>
        <v>8888</v>
      </c>
      <c r="O1185" s="188" t="s">
        <v>522</v>
      </c>
      <c r="P1185" s="188">
        <f ca="1">P1182</f>
        <v>8888</v>
      </c>
      <c r="Q1185" s="189">
        <f ca="1">Q1184</f>
        <v>8888</v>
      </c>
      <c r="S1185" s="188" t="s">
        <v>522</v>
      </c>
      <c r="T1185" s="188">
        <f ca="1">T1182</f>
        <v>8888</v>
      </c>
      <c r="U1185" s="189">
        <f ca="1">U1184</f>
        <v>8888</v>
      </c>
      <c r="W1185" s="188" t="s">
        <v>522</v>
      </c>
      <c r="X1185" s="188">
        <f ca="1">X1182</f>
        <v>8888</v>
      </c>
      <c r="Y1185" s="189">
        <f ca="1">Y1184</f>
        <v>8888</v>
      </c>
      <c r="AA1185" s="195" t="s">
        <v>522</v>
      </c>
      <c r="AB1185" s="128">
        <f ca="1">IF($AA1180,D1185,P1185)</f>
        <v>8888</v>
      </c>
      <c r="AC1185" s="129">
        <f ca="1">IF($AA1180,E1185,Q1185)</f>
        <v>8888</v>
      </c>
      <c r="AD1185" s="157"/>
      <c r="AE1185" s="2" t="s">
        <v>522</v>
      </c>
      <c r="AF1185" s="188">
        <f ca="1">IF($AE1180,H1185,T1185)</f>
        <v>8888</v>
      </c>
      <c r="AG1185" s="196">
        <f ca="1">IF($AE1180,I1185,U1185)</f>
        <v>8888</v>
      </c>
      <c r="AI1185" s="128" t="s">
        <v>522</v>
      </c>
      <c r="AJ1185" s="188">
        <f ca="1">IF($AI1180,L1185,X1185)</f>
        <v>8888</v>
      </c>
      <c r="AK1185" s="196">
        <f ca="1">IF($AI1180,M1185,Y1185)</f>
        <v>8888</v>
      </c>
      <c r="AM1185" s="128" t="s">
        <v>522</v>
      </c>
      <c r="AN1185" s="128">
        <f ca="1">AN1184-X1174</f>
        <v>-16.562000000000005</v>
      </c>
      <c r="AO1185" s="129">
        <f ca="1">IF(AN1185&gt;-Fuselage!$D$366,IF(AM1180,(FUSELAGE_a_ellipse+FUSELAGE_t_fuselage)*SQRT(1-((AN1185+Fuselage!$D$366)/Fuselage!$K$364)^2),(FUSELAGE_a_ellipse)*SQRT(1-((AN1185+Fuselage!$D$366)/Fuselage!$K$364)^2)),IF(AN1185&gt;$L$2505+Fuselage!$K$370,(IF(AM1180,FUSELAGE_a_ellipse+FUSELAGE_t_fuselage,FUSELAGE_a_ellipse)),IF(AM1180,(FUSELAGE_a_ellipse+FUSELAGE_t_fuselage-FUSELAGE_d_fo/4)/Fuselage!$K$368*(AN1185-$L$2505-Fuselage!$K$370)+FUSELAGE_a_ellipse+FUSELAGE_t_fuselage,(FUSELAGE_a_ellipse+FUSELAGE_t_fuselage-FUSELAGE_d_fo/4)/Fuselage!$K$368*(AN1185-$L$2505-Fuselage!$K$370)+FUSELAGE_a_ellipse)))</f>
        <v>1.4960570012328709</v>
      </c>
      <c r="AQ1185" s="128" t="s">
        <v>522</v>
      </c>
      <c r="AR1185" s="128">
        <f t="shared" ca="1" si="120"/>
        <v>-16.562000000000005</v>
      </c>
      <c r="AS1185" s="129">
        <f t="shared" ca="1" si="121"/>
        <v>-1.4960570012328709</v>
      </c>
      <c r="BD1185" s="157"/>
    </row>
    <row r="1186" spans="2:56" ht="15" thickBot="1">
      <c r="B1186" s="156"/>
      <c r="C1186" s="128" t="s">
        <v>49</v>
      </c>
      <c r="D1186" s="128">
        <f ca="1">IF(C1180&gt;=2,D1182,D1185)</f>
        <v>8888</v>
      </c>
      <c r="E1186" s="139">
        <f ca="1">IF(C1180&gt;=2,E1185-P1175,E1185)</f>
        <v>8888</v>
      </c>
      <c r="F1186" s="157"/>
      <c r="G1186" s="192" t="s">
        <v>49</v>
      </c>
      <c r="H1186" s="190">
        <f ca="1">IF(G1180&gt;=2,H1182,H1185)</f>
        <v>8888</v>
      </c>
      <c r="I1186" s="191">
        <f ca="1">IF(G1180&gt;=2,I1185-P1175,I1185)</f>
        <v>8888</v>
      </c>
      <c r="K1186" s="190" t="s">
        <v>49</v>
      </c>
      <c r="L1186" s="190">
        <f ca="1">IF(K1180&gt;=2,L1182,L1185)</f>
        <v>8888</v>
      </c>
      <c r="M1186" s="191">
        <f ca="1">IF(K1180&gt;=2,M1185-P1175,M1185)</f>
        <v>8888</v>
      </c>
      <c r="O1186" s="130" t="s">
        <v>396</v>
      </c>
      <c r="P1186" s="130">
        <f ca="1">P1182</f>
        <v>8888</v>
      </c>
      <c r="Q1186" s="140">
        <f ca="1">Q1182</f>
        <v>8888</v>
      </c>
      <c r="S1186" s="130" t="s">
        <v>396</v>
      </c>
      <c r="T1186" s="130">
        <f ca="1">T1182</f>
        <v>8888</v>
      </c>
      <c r="U1186" s="140">
        <f ca="1">U1182</f>
        <v>8888</v>
      </c>
      <c r="W1186" s="130" t="s">
        <v>396</v>
      </c>
      <c r="X1186" s="130">
        <f ca="1">X1182</f>
        <v>8888</v>
      </c>
      <c r="Y1186" s="140">
        <f ca="1">Y1182</f>
        <v>8888</v>
      </c>
      <c r="AA1186" s="143" t="s">
        <v>49</v>
      </c>
      <c r="AB1186" s="128">
        <f ca="1">IF($AA1180,D1186,P1186)</f>
        <v>8888</v>
      </c>
      <c r="AC1186" s="129">
        <f ca="1">IF($AA1180,E1186,Q1186)</f>
        <v>8888</v>
      </c>
      <c r="AD1186" s="157"/>
      <c r="AE1186" s="192" t="s">
        <v>49</v>
      </c>
      <c r="AF1186" s="128">
        <f ca="1">IF($AE1180,H1186,T1186)</f>
        <v>8888</v>
      </c>
      <c r="AG1186" s="129">
        <f ca="1">IF($AE1180,I1186,U1186)</f>
        <v>8888</v>
      </c>
      <c r="AI1186" s="190" t="s">
        <v>49</v>
      </c>
      <c r="AJ1186" s="128">
        <f ca="1">IF($AI1180,L1186,X1186)</f>
        <v>8888</v>
      </c>
      <c r="AK1186" s="129">
        <f ca="1">IF($AI1180,M1186,Y1186)</f>
        <v>8888</v>
      </c>
      <c r="AM1186" s="128" t="s">
        <v>49</v>
      </c>
      <c r="AN1186" s="128">
        <f ca="1">AN1185</f>
        <v>-16.562000000000005</v>
      </c>
      <c r="AO1186" s="129">
        <f ca="1">IF(AN1186&gt;-Fuselage!$D$366,(FUSELAGE_a_ellipse)*SQRT(1-((AN1186+Fuselage!$D$366)/(Fuselage!$K$364-FUSELAGE_t_fuselage))^2),IF(AN1186&gt;$L$2505+Fuselage!$K$370,FUSELAGE_a_ellipse,(FUSELAGE_a_ellipse+FUSELAGE_t_fuselage-FUSELAGE_d_fo/4)/Fuselage!$K$368*(AN1186-$L$2505-Fuselage!$K$370)+FUSELAGE_a_ellipse))</f>
        <v>1.4960570012328709</v>
      </c>
      <c r="AQ1186" s="128" t="s">
        <v>49</v>
      </c>
      <c r="AR1186" s="128">
        <f t="shared" ca="1" si="120"/>
        <v>-16.562000000000005</v>
      </c>
      <c r="AS1186" s="129">
        <f t="shared" ca="1" si="121"/>
        <v>-1.4960570012328709</v>
      </c>
      <c r="BD1186" s="157"/>
    </row>
    <row r="1187" spans="2:56">
      <c r="B1187" s="156"/>
      <c r="C1187" s="128" t="s">
        <v>453</v>
      </c>
      <c r="D1187" s="128">
        <f ca="1">IF(C1180&gt;=2,D1182+P1174,D1185)</f>
        <v>8888</v>
      </c>
      <c r="E1187" s="139">
        <f ca="1">E1186</f>
        <v>8888</v>
      </c>
      <c r="F1187" s="157"/>
      <c r="G1187" s="2" t="s">
        <v>453</v>
      </c>
      <c r="H1187" s="128">
        <f ca="1">IF(G1180&gt;=2,H1183,H1185)</f>
        <v>8888</v>
      </c>
      <c r="I1187" s="139">
        <f ca="1">IF(G1180&gt;=2,I1186,I1185)</f>
        <v>8888</v>
      </c>
      <c r="K1187" s="128" t="s">
        <v>453</v>
      </c>
      <c r="L1187" s="128">
        <f ca="1">IF(K1180&gt;=2,IF(X1175,IF(K1180=2,L1182+P1174/4,L1182+P1174),L1182+P1174),L1185)</f>
        <v>8888</v>
      </c>
      <c r="M1187" s="139">
        <f ca="1">IF(K1180&gt;=2,M1186,M1185)</f>
        <v>8888</v>
      </c>
      <c r="AA1187" s="143" t="s">
        <v>453</v>
      </c>
      <c r="AB1187" s="128">
        <f ca="1">IF($AA1180,D1187,AB1186)</f>
        <v>8888</v>
      </c>
      <c r="AC1187" s="129">
        <f ca="1">IF($AA1180,E1187,AC1186)</f>
        <v>8888</v>
      </c>
      <c r="AD1187" s="157"/>
      <c r="AE1187" s="2" t="s">
        <v>453</v>
      </c>
      <c r="AF1187" s="128">
        <f ca="1">IF($AE1180,H1187,AF1186)</f>
        <v>8888</v>
      </c>
      <c r="AG1187" s="129">
        <f ca="1">IF($AE1180,I1187,AG1186)</f>
        <v>8888</v>
      </c>
      <c r="AI1187" s="128" t="s">
        <v>453</v>
      </c>
      <c r="AJ1187" s="128">
        <f ca="1">IF($AI1180,L1187,AJ1186)</f>
        <v>8888</v>
      </c>
      <c r="AK1187" s="129">
        <f ca="1">IF($AI1180,M1187,AK1186)</f>
        <v>8888</v>
      </c>
      <c r="AM1187" s="128" t="s">
        <v>453</v>
      </c>
      <c r="AN1187" s="128">
        <f ca="1">L1173</f>
        <v>-16.562000000000005</v>
      </c>
      <c r="AO1187" s="129">
        <f ca="1">IF(AN1187&gt;-Fuselage!$D$366,(FUSELAGE_a_ellipse)*SQRT(1-((AN1187+Fuselage!$D$366)/(Fuselage!$K$364-FUSELAGE_t_fuselage))^2),IF(AN1187&gt;$L$2505+Fuselage!$K$370,FUSELAGE_a_ellipse,(FUSELAGE_a_ellipse+FUSELAGE_t_fuselage-FUSELAGE_d_fo/4)/Fuselage!$K$368*(AN1187-$L$2505-Fuselage!$K$370)+FUSELAGE_a_ellipse))</f>
        <v>1.4960570012328709</v>
      </c>
      <c r="AQ1187" s="128" t="s">
        <v>453</v>
      </c>
      <c r="AR1187" s="128">
        <f t="shared" ca="1" si="120"/>
        <v>-16.562000000000005</v>
      </c>
      <c r="AS1187" s="129">
        <f t="shared" ca="1" si="121"/>
        <v>-1.4960570012328709</v>
      </c>
      <c r="BD1187" s="157"/>
    </row>
    <row r="1188" spans="2:56">
      <c r="B1188" s="156"/>
      <c r="C1188" s="128" t="s">
        <v>394</v>
      </c>
      <c r="D1188" s="128">
        <f ca="1">IF(C1180&gt;=2,D1187,D1185)</f>
        <v>8888</v>
      </c>
      <c r="E1188" s="139">
        <f ca="1">IF(C1180&gt;=2,E1186-P1173,E1185)</f>
        <v>8888</v>
      </c>
      <c r="F1188" s="157"/>
      <c r="G1188" s="2" t="s">
        <v>394</v>
      </c>
      <c r="H1188" s="128">
        <f ca="1">IF(G1180&gt;=2,H1183,H1185)</f>
        <v>8888</v>
      </c>
      <c r="I1188" s="139">
        <f ca="1">IF(G1180&gt;=2,I1187-P1173,I1185)</f>
        <v>8888</v>
      </c>
      <c r="K1188" s="128" t="s">
        <v>394</v>
      </c>
      <c r="L1188" s="128">
        <f ca="1">L1187</f>
        <v>8888</v>
      </c>
      <c r="M1188" s="139">
        <f ca="1">IF(K1180&gt;=2,M1187-P1173,M1185)</f>
        <v>8888</v>
      </c>
      <c r="AA1188" s="143" t="s">
        <v>394</v>
      </c>
      <c r="AB1188" s="128">
        <f ca="1">IF($AA1180,D1188,AB1186)</f>
        <v>8888</v>
      </c>
      <c r="AC1188" s="129">
        <f ca="1">IF($AA1180,E1188,AC1186)</f>
        <v>8888</v>
      </c>
      <c r="AD1188" s="157"/>
      <c r="AE1188" s="2" t="s">
        <v>394</v>
      </c>
      <c r="AF1188" s="128">
        <f ca="1">IF($AE1180,H1188,AF1186)</f>
        <v>8888</v>
      </c>
      <c r="AG1188" s="129">
        <f ca="1">IF($AE1180,I1188,AG1186)</f>
        <v>8888</v>
      </c>
      <c r="AI1188" s="128" t="s">
        <v>394</v>
      </c>
      <c r="AJ1188" s="128">
        <f ca="1">IF($AI1180,L1188,AJ1186)</f>
        <v>8888</v>
      </c>
      <c r="AK1188" s="129">
        <f ca="1">IF($AI1180,M1188,AK1186)</f>
        <v>8888</v>
      </c>
      <c r="BD1188" s="157"/>
    </row>
    <row r="1189" spans="2:56">
      <c r="B1189" s="156"/>
      <c r="C1189" s="188" t="s">
        <v>454</v>
      </c>
      <c r="D1189" s="188">
        <f ca="1">IF(C1180&gt;=2,D1182,D1185)</f>
        <v>8888</v>
      </c>
      <c r="E1189" s="189">
        <f ca="1">E1188</f>
        <v>8888</v>
      </c>
      <c r="F1189" s="157"/>
      <c r="G1189" s="115" t="s">
        <v>454</v>
      </c>
      <c r="H1189" s="188">
        <f ca="1">IF(G1180&gt;=2,H1182,H1185)</f>
        <v>8888</v>
      </c>
      <c r="I1189" s="189">
        <f ca="1">IF(G1180&gt;=2,I1188,I1185)</f>
        <v>8888</v>
      </c>
      <c r="K1189" s="188" t="s">
        <v>454</v>
      </c>
      <c r="L1189" s="188">
        <f ca="1">IF(K1180&gt;=2,L1182,L1185)</f>
        <v>8888</v>
      </c>
      <c r="M1189" s="189">
        <f ca="1">IF(K1180&gt;=2,M1188,M1185)</f>
        <v>8888</v>
      </c>
      <c r="AA1189" s="195" t="s">
        <v>454</v>
      </c>
      <c r="AB1189" s="128">
        <f ca="1">IF($AA1180,D1189,AB1186)</f>
        <v>8888</v>
      </c>
      <c r="AC1189" s="129">
        <f ca="1">IF($AA1180,E1189,AC1186)</f>
        <v>8888</v>
      </c>
      <c r="AD1189" s="157"/>
      <c r="AE1189" s="115" t="s">
        <v>454</v>
      </c>
      <c r="AF1189" s="188">
        <f ca="1">IF($AE1180,H1189,AF1186)</f>
        <v>8888</v>
      </c>
      <c r="AG1189" s="196">
        <f ca="1">IF($AE1180,I1189,AG1186)</f>
        <v>8888</v>
      </c>
      <c r="AI1189" s="188" t="s">
        <v>454</v>
      </c>
      <c r="AJ1189" s="188">
        <f ca="1">IF($AI1180,L1189,AJ1186)</f>
        <v>8888</v>
      </c>
      <c r="AK1189" s="196">
        <f ca="1">IF($AI1180,M1189,AK1186)</f>
        <v>8888</v>
      </c>
      <c r="BD1189" s="157"/>
    </row>
    <row r="1190" spans="2:56">
      <c r="B1190" s="156"/>
      <c r="C1190" s="128" t="s">
        <v>507</v>
      </c>
      <c r="D1190" s="128">
        <f ca="1">IF(C1180&gt;=3,D1182,D1189)</f>
        <v>8888</v>
      </c>
      <c r="E1190" s="139">
        <f ca="1">IF(C1180&gt;=3,E1189-P1175,E1189)</f>
        <v>8888</v>
      </c>
      <c r="F1190" s="157"/>
      <c r="G1190" s="2" t="s">
        <v>507</v>
      </c>
      <c r="H1190" s="128">
        <f ca="1">IF(G1180&gt;=3,H1182,H1189)</f>
        <v>8888</v>
      </c>
      <c r="I1190" s="139">
        <f ca="1">IF(G1180&gt;=3,I1189-P1175,I1189)</f>
        <v>8888</v>
      </c>
      <c r="K1190" s="128" t="s">
        <v>507</v>
      </c>
      <c r="L1190" s="128">
        <f ca="1">IF(K1180&gt;=3,L1182,L1189)</f>
        <v>8888</v>
      </c>
      <c r="M1190" s="139">
        <f ca="1">IF(K1180&gt;=3,M1189-P1175,M1189)</f>
        <v>8888</v>
      </c>
      <c r="AA1190" s="143" t="s">
        <v>507</v>
      </c>
      <c r="AB1190" s="128">
        <f ca="1">IF($AA1180,D1190,AB1186)</f>
        <v>8888</v>
      </c>
      <c r="AC1190" s="129">
        <f ca="1">IF($AA1180,E1190,AC1186)</f>
        <v>8888</v>
      </c>
      <c r="AD1190" s="157"/>
      <c r="AE1190" s="2" t="s">
        <v>507</v>
      </c>
      <c r="AF1190" s="128">
        <f ca="1">IF($AE1180,H1190,AF1186)</f>
        <v>8888</v>
      </c>
      <c r="AG1190" s="129">
        <f ca="1">IF($AE1180,I1190,AG1186)</f>
        <v>8888</v>
      </c>
      <c r="AI1190" s="128" t="s">
        <v>507</v>
      </c>
      <c r="AJ1190" s="128">
        <f ca="1">IF($AI1180,L1190,AJ1186)</f>
        <v>8888</v>
      </c>
      <c r="AK1190" s="129">
        <f ca="1">IF($AI1180,M1190,AK1186)</f>
        <v>8888</v>
      </c>
      <c r="BD1190" s="157"/>
    </row>
    <row r="1191" spans="2:56">
      <c r="B1191" s="156"/>
      <c r="C1191" s="128" t="s">
        <v>455</v>
      </c>
      <c r="D1191" s="128">
        <f ca="1">IF(C1180&gt;=3,D1187,D1189)</f>
        <v>8888</v>
      </c>
      <c r="E1191" s="139">
        <f ca="1">E1190</f>
        <v>8888</v>
      </c>
      <c r="F1191" s="157"/>
      <c r="G1191" s="2" t="s">
        <v>455</v>
      </c>
      <c r="H1191" s="128">
        <f ca="1">IF(G1180&gt;=3,H1183,H1189)</f>
        <v>8888</v>
      </c>
      <c r="I1191" s="139">
        <f ca="1">IF(G1180&gt;=3,I1190,I1189)</f>
        <v>8888</v>
      </c>
      <c r="K1191" s="128" t="s">
        <v>455</v>
      </c>
      <c r="L1191" s="128">
        <f ca="1">IF(K1180&gt;=3,IF(X1175,IF(K1180=3,L1182+P1174/4,L1182+P1174),L1182+P1174),L1185)</f>
        <v>8888</v>
      </c>
      <c r="M1191" s="139">
        <f ca="1">IF(K1180&gt;=3,M1190,M1189)</f>
        <v>8888</v>
      </c>
      <c r="AA1191" s="143" t="s">
        <v>455</v>
      </c>
      <c r="AB1191" s="128">
        <f ca="1">IF($AA1180,D1191,AB1186)</f>
        <v>8888</v>
      </c>
      <c r="AC1191" s="129">
        <f ca="1">IF($AA1180,E1191,AC1186)</f>
        <v>8888</v>
      </c>
      <c r="AD1191" s="157"/>
      <c r="AE1191" s="2" t="s">
        <v>455</v>
      </c>
      <c r="AF1191" s="128">
        <f ca="1">IF($AE1180,H1191,AF1186)</f>
        <v>8888</v>
      </c>
      <c r="AG1191" s="129">
        <f ca="1">IF($AE1180,I1191,AG1186)</f>
        <v>8888</v>
      </c>
      <c r="AI1191" s="128" t="s">
        <v>455</v>
      </c>
      <c r="AJ1191" s="128">
        <f ca="1">IF($AI1180,L1191,AJ1186)</f>
        <v>8888</v>
      </c>
      <c r="AK1191" s="129">
        <f ca="1">IF($AI1180,M1191,AK1186)</f>
        <v>8888</v>
      </c>
      <c r="AL1191" s="156"/>
      <c r="BD1191" s="157"/>
    </row>
    <row r="1192" spans="2:56">
      <c r="B1192" s="156"/>
      <c r="C1192" s="128" t="s">
        <v>311</v>
      </c>
      <c r="D1192" s="128">
        <f ca="1">IF(C1180&gt;=3,D1187,D1189)</f>
        <v>8888</v>
      </c>
      <c r="E1192" s="139">
        <f ca="1">IF(C1180&gt;=3,E1191-P1173,E1189)</f>
        <v>8888</v>
      </c>
      <c r="F1192" s="157"/>
      <c r="G1192" s="2" t="s">
        <v>311</v>
      </c>
      <c r="H1192" s="128">
        <f ca="1">IF(G1180&gt;=3,H1183,H1189)</f>
        <v>8888</v>
      </c>
      <c r="I1192" s="139">
        <f ca="1">IF(G1180&gt;=3,I1191-P1173,I1189)</f>
        <v>8888</v>
      </c>
      <c r="K1192" s="128" t="s">
        <v>311</v>
      </c>
      <c r="L1192" s="128">
        <f ca="1">L1191</f>
        <v>8888</v>
      </c>
      <c r="M1192" s="139">
        <f ca="1">IF(K1180&gt;=3,M1191-P1173,M1189)</f>
        <v>8888</v>
      </c>
      <c r="AA1192" s="143" t="s">
        <v>311</v>
      </c>
      <c r="AB1192" s="128">
        <f ca="1">IF($AA1180,D1192,AB1186)</f>
        <v>8888</v>
      </c>
      <c r="AC1192" s="129">
        <f ca="1">IF($AA1180,E1192,AC1186)</f>
        <v>8888</v>
      </c>
      <c r="AD1192" s="157"/>
      <c r="AE1192" s="2" t="s">
        <v>311</v>
      </c>
      <c r="AF1192" s="128">
        <f ca="1">IF($AE1180,H1192,AF1186)</f>
        <v>8888</v>
      </c>
      <c r="AG1192" s="129">
        <f ca="1">IF($AE1180,I1192,AG1186)</f>
        <v>8888</v>
      </c>
      <c r="AI1192" s="128" t="s">
        <v>311</v>
      </c>
      <c r="AJ1192" s="128">
        <f ca="1">IF($AI1180,L1192,AJ1186)</f>
        <v>8888</v>
      </c>
      <c r="AK1192" s="129">
        <f ca="1">IF($AI1180,M1192,AK1186)</f>
        <v>8888</v>
      </c>
      <c r="AL1192" s="156"/>
      <c r="BD1192" s="157"/>
    </row>
    <row r="1193" spans="2:56">
      <c r="B1193" s="156"/>
      <c r="C1193" s="188" t="s">
        <v>35</v>
      </c>
      <c r="D1193" s="188">
        <f ca="1">IF(C1180&gt;=3,D1182,D1189)</f>
        <v>8888</v>
      </c>
      <c r="E1193" s="189">
        <f ca="1">E1192</f>
        <v>8888</v>
      </c>
      <c r="F1193" s="157"/>
      <c r="G1193" s="2" t="s">
        <v>35</v>
      </c>
      <c r="H1193" s="188">
        <f ca="1">IF(G1180&gt;=3,H1182,H1189)</f>
        <v>8888</v>
      </c>
      <c r="I1193" s="189">
        <f ca="1">IF(G1180&gt;=3,I1192,I1189)</f>
        <v>8888</v>
      </c>
      <c r="K1193" s="188" t="s">
        <v>35</v>
      </c>
      <c r="L1193" s="188">
        <f ca="1">IF(K1180&gt;=3,L1182,L1189)</f>
        <v>8888</v>
      </c>
      <c r="M1193" s="189">
        <f ca="1">IF(K1180&gt;=3,M1192,M1189)</f>
        <v>8888</v>
      </c>
      <c r="AA1193" s="143" t="s">
        <v>35</v>
      </c>
      <c r="AB1193" s="128">
        <f ca="1">IF($AA1180,D1193,AB1186)</f>
        <v>8888</v>
      </c>
      <c r="AC1193" s="129">
        <f ca="1">IF($AA1180,E1193,AC1186)</f>
        <v>8888</v>
      </c>
      <c r="AD1193" s="157"/>
      <c r="AE1193" s="2" t="s">
        <v>35</v>
      </c>
      <c r="AF1193" s="188">
        <f ca="1">IF($AE1180,H1193,AF1186)</f>
        <v>8888</v>
      </c>
      <c r="AG1193" s="196">
        <f ca="1">IF($AE1180,I1193,AG1186)</f>
        <v>8888</v>
      </c>
      <c r="AI1193" s="128" t="s">
        <v>35</v>
      </c>
      <c r="AJ1193" s="128">
        <f ca="1">IF($AI1180,L1193,AJ1186)</f>
        <v>8888</v>
      </c>
      <c r="AK1193" s="129">
        <f ca="1">IF($AI1180,M1193,AK1186)</f>
        <v>8888</v>
      </c>
      <c r="AL1193" s="156"/>
      <c r="BD1193" s="157"/>
    </row>
    <row r="1194" spans="2:56" ht="15" thickBot="1">
      <c r="B1194" s="156"/>
      <c r="C1194" s="130" t="s">
        <v>396</v>
      </c>
      <c r="D1194" s="130">
        <f ca="1">D1182</f>
        <v>8888</v>
      </c>
      <c r="E1194" s="140">
        <f ca="1">E1182</f>
        <v>8888</v>
      </c>
      <c r="F1194" s="157"/>
      <c r="G1194" s="192" t="s">
        <v>312</v>
      </c>
      <c r="H1194" s="128">
        <f ca="1">IF(G1180&gt;=4,H1182,H1193)</f>
        <v>8888</v>
      </c>
      <c r="I1194" s="139">
        <f ca="1">IF(G1180&gt;=4,I1193-P1175,I1193)</f>
        <v>8888</v>
      </c>
      <c r="K1194" s="130" t="s">
        <v>396</v>
      </c>
      <c r="L1194" s="130">
        <f ca="1">L1182</f>
        <v>8888</v>
      </c>
      <c r="M1194" s="140">
        <f ca="1">M1182</f>
        <v>8888</v>
      </c>
      <c r="AA1194" s="144" t="s">
        <v>396</v>
      </c>
      <c r="AB1194" s="130">
        <f ca="1">IF($AA1180,D1194,AB1186)</f>
        <v>8888</v>
      </c>
      <c r="AC1194" s="132">
        <f ca="1">IF($AA1180,E1194,AC1186)</f>
        <v>8888</v>
      </c>
      <c r="AD1194" s="157"/>
      <c r="AE1194" s="192" t="s">
        <v>312</v>
      </c>
      <c r="AF1194" s="128">
        <f ca="1">IF($AE1180,H1194,AF1186)</f>
        <v>8888</v>
      </c>
      <c r="AG1194" s="129">
        <f ca="1">IF($AE1180,I1194,AG1186)</f>
        <v>8888</v>
      </c>
      <c r="AI1194" s="130" t="s">
        <v>396</v>
      </c>
      <c r="AJ1194" s="130">
        <f ca="1">IF($AI1180,L1194,AJ1186)</f>
        <v>8888</v>
      </c>
      <c r="AK1194" s="132">
        <f ca="1">IF($AI1180,M1194,AK1186)</f>
        <v>8888</v>
      </c>
      <c r="BD1194" s="157"/>
    </row>
    <row r="1195" spans="2:56">
      <c r="B1195" s="156"/>
      <c r="F1195" s="157"/>
      <c r="G1195" s="2" t="s">
        <v>313</v>
      </c>
      <c r="H1195" s="128">
        <f ca="1">IF(G1180&gt;=4,H1183,H1193)</f>
        <v>8888</v>
      </c>
      <c r="I1195" s="139">
        <f ca="1">IF(G1180&gt;=4,I1194,I1193)</f>
        <v>8888</v>
      </c>
      <c r="AD1195" s="157"/>
      <c r="AE1195" s="2" t="s">
        <v>313</v>
      </c>
      <c r="AF1195" s="128">
        <f ca="1">IF($AE1180,H1195,AF1186)</f>
        <v>8888</v>
      </c>
      <c r="AG1195" s="129">
        <f ca="1">IF($AE1180,I1195,AG1186)</f>
        <v>8888</v>
      </c>
      <c r="BD1195" s="157"/>
    </row>
    <row r="1196" spans="2:56">
      <c r="B1196" s="156"/>
      <c r="F1196" s="157"/>
      <c r="G1196" s="2" t="s">
        <v>7</v>
      </c>
      <c r="H1196" s="128">
        <f ca="1">IF(G1180&gt;=4,H1183,H1193)</f>
        <v>8888</v>
      </c>
      <c r="I1196" s="139">
        <f ca="1">IF(G1180&gt;=4,I1195-P1173,I1193)</f>
        <v>8888</v>
      </c>
      <c r="AD1196" s="157"/>
      <c r="AE1196" s="2" t="s">
        <v>7</v>
      </c>
      <c r="AF1196" s="128">
        <f ca="1">IF($AE1180,H1196,AF1186)</f>
        <v>8888</v>
      </c>
      <c r="AG1196" s="129">
        <f ca="1">IF($AE1180,I1196,AG1186)</f>
        <v>8888</v>
      </c>
      <c r="BD1196" s="157"/>
    </row>
    <row r="1197" spans="2:56">
      <c r="B1197" s="156"/>
      <c r="F1197" s="157"/>
      <c r="G1197" s="115" t="s">
        <v>8</v>
      </c>
      <c r="H1197" s="188">
        <f ca="1">IF(G1180&gt;=4,H1182,H1193)</f>
        <v>8888</v>
      </c>
      <c r="I1197" s="189">
        <f ca="1">IF(G1180&gt;=4,I1196,I1193)</f>
        <v>8888</v>
      </c>
      <c r="AD1197" s="157"/>
      <c r="AE1197" s="115" t="s">
        <v>8</v>
      </c>
      <c r="AF1197" s="188">
        <f ca="1">IF($AE1180,H1197,AF1186)</f>
        <v>8888</v>
      </c>
      <c r="AG1197" s="196">
        <f ca="1">IF($AE1180,I1197,AG1186)</f>
        <v>8888</v>
      </c>
      <c r="BD1197" s="157"/>
    </row>
    <row r="1198" spans="2:56">
      <c r="B1198" s="156"/>
      <c r="F1198" s="157"/>
      <c r="G1198" s="2" t="s">
        <v>9</v>
      </c>
      <c r="H1198" s="128">
        <f ca="1">IF(G1180&gt;=5,H1182,H1197)</f>
        <v>8888</v>
      </c>
      <c r="I1198" s="139">
        <f ca="1">IF(G1180&gt;=5,I1197-P1175,I1197)</f>
        <v>8888</v>
      </c>
      <c r="AD1198" s="157"/>
      <c r="AE1198" s="2" t="s">
        <v>9</v>
      </c>
      <c r="AF1198" s="128">
        <f ca="1">IF($AE1180,H1198,AF1186)</f>
        <v>8888</v>
      </c>
      <c r="AG1198" s="129">
        <f ca="1">IF($AE1180,I1198,AG1186)</f>
        <v>8888</v>
      </c>
      <c r="BD1198" s="157"/>
    </row>
    <row r="1199" spans="2:56">
      <c r="B1199" s="156"/>
      <c r="F1199" s="157"/>
      <c r="G1199" s="2" t="s">
        <v>196</v>
      </c>
      <c r="H1199" s="128">
        <f ca="1">IF(G1180&gt;=5,H1183,H1197)</f>
        <v>8888</v>
      </c>
      <c r="I1199" s="139">
        <f ca="1">IF(G1180&gt;=5,I1198,I1197)</f>
        <v>8888</v>
      </c>
      <c r="AD1199" s="157"/>
      <c r="AE1199" s="2" t="s">
        <v>196</v>
      </c>
      <c r="AF1199" s="128">
        <f ca="1">IF($AE1180,H1199,AF1186)</f>
        <v>8888</v>
      </c>
      <c r="AG1199" s="129">
        <f ca="1">IF($AE1180,I1199,AG1186)</f>
        <v>8888</v>
      </c>
      <c r="BD1199" s="157"/>
    </row>
    <row r="1200" spans="2:56">
      <c r="B1200" s="156"/>
      <c r="F1200" s="157"/>
      <c r="G1200" s="2" t="s">
        <v>10</v>
      </c>
      <c r="H1200" s="128">
        <f ca="1">IF(G1180&gt;=5,H1183,H1197)</f>
        <v>8888</v>
      </c>
      <c r="I1200" s="139">
        <f ca="1">IF(G1180&gt;=5,I1199-P1173,I1197)</f>
        <v>8888</v>
      </c>
      <c r="AD1200" s="157"/>
      <c r="AE1200" s="2" t="s">
        <v>10</v>
      </c>
      <c r="AF1200" s="128">
        <f ca="1">IF($AE1180,H1200,AF1186)</f>
        <v>8888</v>
      </c>
      <c r="AG1200" s="129">
        <f ca="1">IF($AE1180,I1200,AG1186)</f>
        <v>8888</v>
      </c>
      <c r="BD1200" s="157"/>
    </row>
    <row r="1201" spans="2:56">
      <c r="B1201" s="156"/>
      <c r="F1201" s="157"/>
      <c r="G1201" s="2" t="s">
        <v>161</v>
      </c>
      <c r="H1201" s="188">
        <f ca="1">IF(G1180&gt;=5,H1182,H1197)</f>
        <v>8888</v>
      </c>
      <c r="I1201" s="189">
        <f ca="1">IF(G1180&gt;=5,I1200,I1197)</f>
        <v>8888</v>
      </c>
      <c r="AD1201" s="157"/>
      <c r="AE1201" s="2" t="s">
        <v>161</v>
      </c>
      <c r="AF1201" s="188">
        <f ca="1">IF($AE1180,H1201,AF1186)</f>
        <v>8888</v>
      </c>
      <c r="AG1201" s="196">
        <f ca="1">IF($AE1180,I1201,AG1186)</f>
        <v>8888</v>
      </c>
      <c r="BD1201" s="157"/>
    </row>
    <row r="1202" spans="2:56">
      <c r="B1202" s="156"/>
      <c r="F1202" s="157"/>
      <c r="G1202" s="192" t="s">
        <v>11</v>
      </c>
      <c r="H1202" s="128">
        <f ca="1">IF(G1180&gt;=6,H1182,H1201)</f>
        <v>8888</v>
      </c>
      <c r="I1202" s="139">
        <f ca="1">IF(G1180&gt;=6,I1201-P1175,I1201)</f>
        <v>8888</v>
      </c>
      <c r="AD1202" s="157"/>
      <c r="AE1202" s="192" t="s">
        <v>11</v>
      </c>
      <c r="AF1202" s="128">
        <f ca="1">IF($AE1180,H1202,AF1186)</f>
        <v>8888</v>
      </c>
      <c r="AG1202" s="129">
        <f ca="1">IF($AE1180,I1202,AG1186)</f>
        <v>8888</v>
      </c>
      <c r="BD1202" s="157"/>
    </row>
    <row r="1203" spans="2:56">
      <c r="B1203" s="156"/>
      <c r="F1203" s="157"/>
      <c r="G1203" s="2" t="s">
        <v>12</v>
      </c>
      <c r="H1203" s="128">
        <f ca="1">IF(G1180&gt;=6,H1183,H1201)</f>
        <v>8888</v>
      </c>
      <c r="I1203" s="139">
        <f ca="1">IF(G1180&gt;=6,I1202,I1201)</f>
        <v>8888</v>
      </c>
      <c r="AD1203" s="157"/>
      <c r="AE1203" s="2" t="s">
        <v>12</v>
      </c>
      <c r="AF1203" s="128">
        <f ca="1">IF($AE1180,H1203,AF1186)</f>
        <v>8888</v>
      </c>
      <c r="AG1203" s="129">
        <f ca="1">IF($AE1180,I1203,AG1186)</f>
        <v>8888</v>
      </c>
      <c r="BD1203" s="157"/>
    </row>
    <row r="1204" spans="2:56">
      <c r="B1204" s="156"/>
      <c r="F1204" s="157"/>
      <c r="G1204" s="2" t="s">
        <v>13</v>
      </c>
      <c r="H1204" s="128">
        <f ca="1">IF(G1180&gt;=6,H1183,H1201)</f>
        <v>8888</v>
      </c>
      <c r="I1204" s="139">
        <f ca="1">IF(G1180&gt;=6,I1203-P1173,I1201)</f>
        <v>8888</v>
      </c>
      <c r="AD1204" s="157"/>
      <c r="AE1204" s="2" t="s">
        <v>13</v>
      </c>
      <c r="AF1204" s="128">
        <f ca="1">IF($AE1180,H1204,AF1186)</f>
        <v>8888</v>
      </c>
      <c r="AG1204" s="129">
        <f ca="1">IF($AE1180,I1204,AG1186)</f>
        <v>8888</v>
      </c>
      <c r="BD1204" s="157"/>
    </row>
    <row r="1205" spans="2:56">
      <c r="B1205" s="156"/>
      <c r="F1205" s="157"/>
      <c r="G1205" s="115" t="s">
        <v>14</v>
      </c>
      <c r="H1205" s="188">
        <f ca="1">IF(G1180&gt;=6,H1182,H1201)</f>
        <v>8888</v>
      </c>
      <c r="I1205" s="189">
        <f ca="1">IF(G1180&gt;=6,I1204,I1201)</f>
        <v>8888</v>
      </c>
      <c r="AD1205" s="157"/>
      <c r="AE1205" s="115" t="s">
        <v>14</v>
      </c>
      <c r="AF1205" s="188">
        <f ca="1">IF($AE1180,H1205,AF1186)</f>
        <v>8888</v>
      </c>
      <c r="AG1205" s="196">
        <f ca="1">IF($AE1180,I1205,AG1186)</f>
        <v>8888</v>
      </c>
      <c r="BD1205" s="157"/>
    </row>
    <row r="1206" spans="2:56" ht="15" thickBot="1">
      <c r="B1206" s="156"/>
      <c r="G1206" s="130" t="s">
        <v>396</v>
      </c>
      <c r="H1206" s="130">
        <f ca="1">H1182</f>
        <v>8888</v>
      </c>
      <c r="I1206" s="140">
        <f ca="1">I1182</f>
        <v>8888</v>
      </c>
      <c r="AE1206" s="130" t="s">
        <v>396</v>
      </c>
      <c r="AF1206" s="130">
        <f ca="1">IF($AE1180,H1206,AF1186)</f>
        <v>8888</v>
      </c>
      <c r="AG1206" s="132">
        <f ca="1">IF($AE1180,I1206,AG1186)</f>
        <v>8888</v>
      </c>
      <c r="BD1206" s="157"/>
    </row>
    <row r="1207" spans="2:56">
      <c r="B1207" s="156"/>
      <c r="BD1207" s="157"/>
    </row>
    <row r="1208" spans="2:56">
      <c r="B1208" s="156"/>
      <c r="BD1208" s="157"/>
    </row>
    <row r="1209" spans="2:56">
      <c r="B1209" s="156"/>
      <c r="C1209" s="200" t="s">
        <v>336</v>
      </c>
      <c r="D1209">
        <f>D1173+1</f>
        <v>29</v>
      </c>
      <c r="G1209" s="200" t="s">
        <v>638</v>
      </c>
      <c r="H1209">
        <f ca="1">LOOKUP(D1212,$C$191:$C$196,$D$191:$D$196)</f>
        <v>0</v>
      </c>
      <c r="K1209" s="200" t="s">
        <v>644</v>
      </c>
      <c r="L1209">
        <f ca="1">L1173-H1214</f>
        <v>-16.562000000000005</v>
      </c>
      <c r="O1209" s="200" t="s">
        <v>404</v>
      </c>
      <c r="P1209">
        <f ca="1">IF(D1211=1,SEAT_w_cushion_FC,IF(D1211=2,SEAT_w_cushion_BC,IF(D1211=3,SEAT_w_cushion_YC,0)))</f>
        <v>0</v>
      </c>
      <c r="S1209" s="200" t="s">
        <v>647</v>
      </c>
      <c r="T1209">
        <f ca="1">LOOKUP(D1212,$C$191:$C$196,$E$191:$E$196)</f>
        <v>0</v>
      </c>
      <c r="W1209" t="s">
        <v>130</v>
      </c>
      <c r="X1209" t="str">
        <f ca="1">OFFSET(Fuselage!$B$275,D1209,5)</f>
        <v>None</v>
      </c>
      <c r="AN1209" s="200" t="s">
        <v>135</v>
      </c>
      <c r="AO1209">
        <f ca="1">MAX(0,H1214-MAX(T1209,T1211,T1213,P1210)-X1210)</f>
        <v>0</v>
      </c>
      <c r="BD1209" s="157"/>
    </row>
    <row r="1210" spans="2:56">
      <c r="B1210" s="156"/>
      <c r="C1210" s="200" t="s">
        <v>200</v>
      </c>
      <c r="D1210" t="str">
        <f ca="1">OFFSET(Fuselage!$B$275,D1209,0)</f>
        <v/>
      </c>
      <c r="G1210" s="200" t="s">
        <v>639</v>
      </c>
      <c r="H1210">
        <f ca="1">LOOKUP(D1213,$C$191:$C$196,$D$191:$D$196)</f>
        <v>0</v>
      </c>
      <c r="O1210" s="200" t="s">
        <v>535</v>
      </c>
      <c r="P1210">
        <f ca="1">IF(D1211=1,SEAT_length_FC,IF(D1211=2,SEAT_length_BC,IF(D1211=3,SEAT_length_YC,0)))</f>
        <v>0</v>
      </c>
      <c r="S1210" s="200" t="s">
        <v>648</v>
      </c>
      <c r="T1210">
        <f ca="1">LOOKUP(D1212,$C$191:$C$196,$F$191:$F$196)</f>
        <v>0</v>
      </c>
      <c r="W1210" t="s">
        <v>131</v>
      </c>
      <c r="X1210">
        <f ca="1">LOOKUP(X1209,$I$191:$I$198,$J$191:$J$198)</f>
        <v>0</v>
      </c>
      <c r="BD1210" s="157"/>
    </row>
    <row r="1211" spans="2:56">
      <c r="B1211" s="156"/>
      <c r="C1211" s="200" t="s">
        <v>337</v>
      </c>
      <c r="D1211" t="str">
        <f ca="1">OFFSET(Fuselage!$B$275,D1209,4)</f>
        <v/>
      </c>
      <c r="G1211" s="200" t="s">
        <v>309</v>
      </c>
      <c r="H1211">
        <f ca="1">LOOKUP(D1214,$C$191:$C$196,$D$191:$D$196)</f>
        <v>0</v>
      </c>
      <c r="K1211" s="200" t="s">
        <v>645</v>
      </c>
      <c r="L1211">
        <f ca="1">IF(D1211=1,FUSELAGE_nseats_left_FC,IF(D1211=2,FUSELAGE_nseats_left_BC,IF(D1211=3,FUSELAGE_nseats_left_YC,0)))</f>
        <v>0</v>
      </c>
      <c r="O1211" s="200" t="s">
        <v>405</v>
      </c>
      <c r="P1211">
        <f ca="1">IF(D1211=1,SEAT_w_armrest_FC,IF(D1211=2,SEAT_w_armrest_BC,IF(D1211=3,SEAT_w_armrest_YC,0)))</f>
        <v>0</v>
      </c>
      <c r="S1211" s="200" t="s">
        <v>652</v>
      </c>
      <c r="T1211">
        <f ca="1">LOOKUP(D1213,$C$191:$C$196,$E$191:$E$196)</f>
        <v>0</v>
      </c>
      <c r="W1211" s="200" t="s">
        <v>393</v>
      </c>
      <c r="X1211" t="b">
        <f ca="1">IF(OFFSET(Fuselage!$B$275,D1209,6)="YES",TRUE(),FALSE())</f>
        <v>0</v>
      </c>
      <c r="BD1211" s="157"/>
    </row>
    <row r="1212" spans="2:56">
      <c r="B1212" s="156"/>
      <c r="C1212" s="200" t="s">
        <v>640</v>
      </c>
      <c r="D1212" t="str">
        <f ca="1">OFFSET(Fuselage!$B$275,D1209,1)</f>
        <v>None</v>
      </c>
      <c r="G1212" s="200" t="s">
        <v>132</v>
      </c>
      <c r="H1212">
        <f ca="1">IF(D1211=1,SEAT_pitch_FC,IF(D1211=2,SEAT_pitch_BC,IF(D1211=3,SEAT_pitch_YC,0)))</f>
        <v>0</v>
      </c>
      <c r="K1212" s="200" t="s">
        <v>646</v>
      </c>
      <c r="L1212">
        <f ca="1">IF(D1211=1,FUSELAGE_nseats_middle_FC,IF(D1211=2,FUSELAGE_nseats_middle_BC,IF(D1211=3,FUSELAGE_nseats_middle_YC,0)))</f>
        <v>0</v>
      </c>
      <c r="S1212" s="200" t="s">
        <v>653</v>
      </c>
      <c r="T1212">
        <f ca="1">LOOKUP(D1213,$C$191:$C$196,$F$191:$F$196)</f>
        <v>0</v>
      </c>
      <c r="BD1212" s="157"/>
    </row>
    <row r="1213" spans="2:56">
      <c r="B1213" s="156"/>
      <c r="C1213" s="200" t="s">
        <v>642</v>
      </c>
      <c r="D1213" t="str">
        <f ca="1">OFFSET(Fuselage!$B$275,D1209,2)</f>
        <v>None</v>
      </c>
      <c r="G1213" s="200" t="s">
        <v>129</v>
      </c>
      <c r="H1213">
        <f ca="1">IF(OR(X1209="Type A",X1209="Type B"),MAX(H1209:H1212)+42*0.0254,IF(X1209="Type C",MAX(H1209:H1212)+X1210,IF(X1209&lt;&gt;"None",24*0.0254,0)))</f>
        <v>0</v>
      </c>
      <c r="K1213" s="200" t="s">
        <v>655</v>
      </c>
      <c r="L1213">
        <f ca="1">IF(D1211=1,FUSELAGE_nseats_right_FC,IF(D1211=2,FUSELAGE_nseats_right_BC,IF(D1211=3,FUSELAGE_nseats_right_YC,0)))</f>
        <v>0</v>
      </c>
      <c r="O1213" s="200" t="s">
        <v>407</v>
      </c>
      <c r="P1213">
        <f ca="1">($C$13-(L1211+L1212+L1213)*(P1209+P1211)+(FUSELAGE_n_aisles-1)*P1211)/FUSELAGE_n_aisles</f>
        <v>2.76</v>
      </c>
      <c r="S1213" s="200" t="s">
        <v>651</v>
      </c>
      <c r="T1213">
        <f ca="1">LOOKUP(D1214,$C$191:$C$196,$E$191:$E$196)</f>
        <v>0</v>
      </c>
      <c r="BD1213" s="157"/>
    </row>
    <row r="1214" spans="2:56">
      <c r="B1214" s="156"/>
      <c r="C1214" s="200" t="s">
        <v>641</v>
      </c>
      <c r="D1214" t="str">
        <f ca="1">OFFSET(Fuselage!$B$275,D1209,3)</f>
        <v>None</v>
      </c>
      <c r="G1214" s="200" t="s">
        <v>643</v>
      </c>
      <c r="H1214">
        <f ca="1">MAX(H1209:H1213)</f>
        <v>0</v>
      </c>
      <c r="S1214" s="200" t="s">
        <v>654</v>
      </c>
      <c r="T1214">
        <f ca="1">LOOKUP(D1214,$C$191:$C$196,$F$191:$F$196)</f>
        <v>0</v>
      </c>
      <c r="BD1214" s="157"/>
    </row>
    <row r="1215" spans="2:56" ht="15" thickBot="1">
      <c r="B1215" s="156"/>
      <c r="BD1215" s="157"/>
    </row>
    <row r="1216" spans="2:56" ht="15" thickBot="1">
      <c r="B1216" s="156"/>
      <c r="C1216" s="141">
        <f ca="1">L1213</f>
        <v>0</v>
      </c>
      <c r="D1216" s="197" t="str">
        <f ca="1">IF($D1211=1,"FC",IF($D1211=2,"BC",IF($D1211=3,"YC","Nothing")))</f>
        <v>Nothing</v>
      </c>
      <c r="E1216" s="198"/>
      <c r="G1216" s="141">
        <f ca="1">L1212</f>
        <v>0</v>
      </c>
      <c r="H1216" s="197" t="str">
        <f ca="1">IF($D1211=1,"FC",IF($D1211=2,"BC",IF($D1211=3,"YC","Nothing")))</f>
        <v>Nothing</v>
      </c>
      <c r="I1216" s="198"/>
      <c r="K1216" s="141">
        <f ca="1" xml:space="preserve"> L1211</f>
        <v>0</v>
      </c>
      <c r="L1216" s="197" t="str">
        <f ca="1">IF($D1211=1,"FC",IF($D1211=2,"BC",IF($D1211=3,"YC","Nothing")))</f>
        <v>Nothing</v>
      </c>
      <c r="M1216" s="198"/>
      <c r="O1216" s="141">
        <f ca="1">IF($D1214&lt;&gt;"None",1,0)</f>
        <v>0</v>
      </c>
      <c r="P1216" s="326" t="s">
        <v>380</v>
      </c>
      <c r="Q1216" s="327"/>
      <c r="S1216" s="141">
        <f ca="1">IF($D1213&lt;&gt;"None",1,0)</f>
        <v>0</v>
      </c>
      <c r="T1216" s="326" t="s">
        <v>381</v>
      </c>
      <c r="U1216" s="327"/>
      <c r="W1216" s="141">
        <f ca="1">IF($D1212&lt;&gt;"None",1,0)</f>
        <v>0</v>
      </c>
      <c r="X1216" s="326" t="s">
        <v>382</v>
      </c>
      <c r="Y1216" s="327"/>
      <c r="AA1216" s="141">
        <f ca="1">IF($D1214="None",1,0)</f>
        <v>1</v>
      </c>
      <c r="AB1216" s="326" t="str">
        <f ca="1">IF(AA1216,D1216,$D1214)</f>
        <v>Nothing</v>
      </c>
      <c r="AC1216" s="327"/>
      <c r="AE1216" s="141">
        <f ca="1">IF($D1213="None",1,0)</f>
        <v>1</v>
      </c>
      <c r="AF1216" s="326" t="str">
        <f ca="1">IF(AE1216,H1216,$D1213)</f>
        <v>Nothing</v>
      </c>
      <c r="AG1216" s="327"/>
      <c r="AI1216" s="141">
        <f ca="1">IF($D1212="None",1,0)</f>
        <v>1</v>
      </c>
      <c r="AJ1216" s="326" t="str">
        <f ca="1">IF(AI1216,L1216,$D1212)</f>
        <v>Nothing</v>
      </c>
      <c r="AK1216" s="327"/>
      <c r="AM1216" s="141">
        <f ca="1">IF($X1209="None",0,1)</f>
        <v>0</v>
      </c>
      <c r="AN1216" s="197" t="s">
        <v>133</v>
      </c>
      <c r="AO1216" s="198"/>
      <c r="AQ1216" s="141">
        <f ca="1">IF($X1209="None",0,1)</f>
        <v>0</v>
      </c>
      <c r="AR1216" s="197" t="s">
        <v>134</v>
      </c>
      <c r="AS1216" s="198"/>
      <c r="BD1216" s="157"/>
    </row>
    <row r="1217" spans="2:56" ht="15" thickBot="1">
      <c r="B1217" s="156"/>
      <c r="C1217" s="136" t="s">
        <v>452</v>
      </c>
      <c r="D1217" s="136" t="s">
        <v>384</v>
      </c>
      <c r="E1217" s="138" t="s">
        <v>385</v>
      </c>
      <c r="G1217" s="136" t="s">
        <v>452</v>
      </c>
      <c r="H1217" s="136" t="s">
        <v>384</v>
      </c>
      <c r="I1217" s="138" t="s">
        <v>385</v>
      </c>
      <c r="K1217" s="193" t="s">
        <v>452</v>
      </c>
      <c r="L1217" s="193" t="s">
        <v>384</v>
      </c>
      <c r="M1217" s="194" t="s">
        <v>385</v>
      </c>
      <c r="O1217" s="136" t="s">
        <v>452</v>
      </c>
      <c r="P1217" s="136" t="s">
        <v>384</v>
      </c>
      <c r="Q1217" s="138" t="s">
        <v>385</v>
      </c>
      <c r="S1217" s="136" t="s">
        <v>452</v>
      </c>
      <c r="T1217" s="136" t="s">
        <v>384</v>
      </c>
      <c r="U1217" s="138" t="s">
        <v>385</v>
      </c>
      <c r="W1217" s="136" t="s">
        <v>452</v>
      </c>
      <c r="X1217" s="136" t="s">
        <v>384</v>
      </c>
      <c r="Y1217" s="138" t="s">
        <v>385</v>
      </c>
      <c r="AA1217" s="136" t="s">
        <v>452</v>
      </c>
      <c r="AB1217" s="136" t="s">
        <v>384</v>
      </c>
      <c r="AC1217" s="138" t="s">
        <v>385</v>
      </c>
      <c r="AE1217" s="136" t="s">
        <v>452</v>
      </c>
      <c r="AF1217" s="136" t="s">
        <v>384</v>
      </c>
      <c r="AG1217" s="138" t="s">
        <v>385</v>
      </c>
      <c r="AI1217" s="193" t="s">
        <v>452</v>
      </c>
      <c r="AJ1217" s="193" t="s">
        <v>384</v>
      </c>
      <c r="AK1217" s="194" t="s">
        <v>385</v>
      </c>
      <c r="AM1217" s="193" t="s">
        <v>452</v>
      </c>
      <c r="AN1217" s="193" t="s">
        <v>384</v>
      </c>
      <c r="AO1217" s="194" t="s">
        <v>385</v>
      </c>
      <c r="AQ1217" s="193" t="s">
        <v>452</v>
      </c>
      <c r="AR1217" s="193" t="s">
        <v>384</v>
      </c>
      <c r="AS1217" s="194" t="s">
        <v>385</v>
      </c>
      <c r="BD1217" s="157"/>
    </row>
    <row r="1218" spans="2:56">
      <c r="B1218" s="156"/>
      <c r="C1218" s="128" t="s">
        <v>396</v>
      </c>
      <c r="D1218" s="158">
        <f ca="1">IF(C1216&gt;=1,L1209,8888)</f>
        <v>8888</v>
      </c>
      <c r="E1218" s="160">
        <f ca="1">IF(C1216&gt;=1,1/2*($C$13-P1209-2*P1211)+1/2*P1209,8888)</f>
        <v>8888</v>
      </c>
      <c r="G1218" s="128" t="s">
        <v>396</v>
      </c>
      <c r="H1218" s="158">
        <f ca="1">IF(G1216&gt;=1,L1209,8888)</f>
        <v>8888</v>
      </c>
      <c r="I1218" s="160">
        <f ca="1">IF(G1216&gt;=1,E1229-P1213,8888)</f>
        <v>8888</v>
      </c>
      <c r="K1218" s="128" t="s">
        <v>396</v>
      </c>
      <c r="L1218" s="158">
        <f ca="1">IF(K1216&gt;=1,L1209,8888)</f>
        <v>8888</v>
      </c>
      <c r="M1218" s="160">
        <f ca="1">IF(K1216&gt;=1,IF(FUSELAGE_n_aisles=1,E1229-P1213,I1241-P1213),8888)</f>
        <v>8888</v>
      </c>
      <c r="O1218" s="128" t="s">
        <v>396</v>
      </c>
      <c r="P1218" s="158">
        <f ca="1">IF(O1216,$L1209,8888)</f>
        <v>8888</v>
      </c>
      <c r="Q1218" s="209">
        <f ca="1">IF(O1216,FUSELAGE_y_position_of_left_seat_YC-(FUSELAGE_nseats_right_YC-1)*(SEAT_w_cushion_YC+SEAT_w_armrest_YC)/2+T1214/2,8888)</f>
        <v>8888</v>
      </c>
      <c r="S1218" s="128" t="s">
        <v>396</v>
      </c>
      <c r="T1218" s="158">
        <f ca="1">IF(S1216,$L1209,8888)</f>
        <v>8888</v>
      </c>
      <c r="U1218" s="160">
        <f ca="1">IF(S1216,T1212/2,8888)</f>
        <v>8888</v>
      </c>
      <c r="W1218" s="128" t="s">
        <v>396</v>
      </c>
      <c r="X1218" s="158">
        <f ca="1">IF(W1216,$L1209,8888)</f>
        <v>8888</v>
      </c>
      <c r="Y1218" s="160">
        <f ca="1">IF(W1216,-FUSELAGE_y_position_of_left_seat_YC+(FUSELAGE_nseats_left_YC-1)*(SEAT_w_cushion_YC+SEAT_w_armrest_YC)/2-T1210/2,8888)</f>
        <v>8888</v>
      </c>
      <c r="AA1218" s="128" t="s">
        <v>396</v>
      </c>
      <c r="AB1218" s="158">
        <f ca="1">IF($AA1216,D1218,P1218)</f>
        <v>8888</v>
      </c>
      <c r="AC1218" s="174">
        <f ca="1">IF($AA1216,E1218,Q1218)</f>
        <v>8888</v>
      </c>
      <c r="AE1218" s="128" t="s">
        <v>396</v>
      </c>
      <c r="AF1218" s="158">
        <f ca="1">IF($AE1216,H1218,T1218)</f>
        <v>8888</v>
      </c>
      <c r="AG1218" s="174">
        <f ca="1">IF($AE1216,I1218,U1218)</f>
        <v>8888</v>
      </c>
      <c r="AI1218" s="128" t="s">
        <v>396</v>
      </c>
      <c r="AJ1218" s="158">
        <f ca="1">IF($AI1216,L1218,X1218)</f>
        <v>8888</v>
      </c>
      <c r="AK1218" s="174">
        <f ca="1">IF($AI1216,M1218,Y1218)</f>
        <v>8888</v>
      </c>
      <c r="AM1218" s="128" t="s">
        <v>396</v>
      </c>
      <c r="AN1218" s="158">
        <f ca="1">AN1187</f>
        <v>-16.562000000000005</v>
      </c>
      <c r="AO1218" s="174">
        <f ca="1">IF(AN1218&gt;-Fuselage!$D$366,(FUSELAGE_a_ellipse)*SQRT(1-((AN1218+Fuselage!$D$366)/(Fuselage!$K$364-FUSELAGE_t_fuselage))^2),IF(AN1218&gt;$L$2505+Fuselage!$K$370,FUSELAGE_a_ellipse,(FUSELAGE_a_ellipse+FUSELAGE_t_fuselage-FUSELAGE_d_fo/4)/Fuselage!$K$368*(AN1218-$L$2505-Fuselage!$K$370)+FUSELAGE_a_ellipse))</f>
        <v>1.4960570012328709</v>
      </c>
      <c r="AQ1218" s="128" t="s">
        <v>396</v>
      </c>
      <c r="AR1218" s="158">
        <f t="shared" ref="AR1218:AR1223" ca="1" si="122">AN1218</f>
        <v>-16.562000000000005</v>
      </c>
      <c r="AS1218" s="174">
        <f t="shared" ref="AS1218:AS1223" ca="1" si="123">-AO1218</f>
        <v>-1.4960570012328709</v>
      </c>
      <c r="BD1218" s="157"/>
    </row>
    <row r="1219" spans="2:56">
      <c r="B1219" s="156"/>
      <c r="C1219" s="128" t="s">
        <v>213</v>
      </c>
      <c r="D1219" s="128">
        <f ca="1">IF(X1211,D1218+P1210/4,D1218+P1210)</f>
        <v>8888</v>
      </c>
      <c r="E1219" s="139">
        <f ca="1">E1218</f>
        <v>8888</v>
      </c>
      <c r="G1219" s="128" t="s">
        <v>213</v>
      </c>
      <c r="H1219" s="128">
        <f ca="1">H1218+P1210</f>
        <v>8888</v>
      </c>
      <c r="I1219" s="139">
        <f ca="1">I1218</f>
        <v>8888</v>
      </c>
      <c r="K1219" s="128" t="s">
        <v>213</v>
      </c>
      <c r="L1219" s="128">
        <f ca="1">IF(X1211,IF(K1216=1,L1218+P1210/4,L1218+P1210),L1218+P1210)</f>
        <v>8888</v>
      </c>
      <c r="M1219" s="139">
        <f ca="1">M1218</f>
        <v>8888</v>
      </c>
      <c r="O1219" s="128" t="s">
        <v>213</v>
      </c>
      <c r="P1219" s="128">
        <f ca="1">P1218+$T1213</f>
        <v>8888</v>
      </c>
      <c r="Q1219" s="139">
        <f ca="1">Q1218</f>
        <v>8888</v>
      </c>
      <c r="S1219" s="128" t="s">
        <v>213</v>
      </c>
      <c r="T1219" s="128">
        <f ca="1">T1218+$T1211</f>
        <v>8888</v>
      </c>
      <c r="U1219" s="139">
        <f ca="1">U1218</f>
        <v>8888</v>
      </c>
      <c r="W1219" s="128" t="s">
        <v>213</v>
      </c>
      <c r="X1219" s="128">
        <f ca="1">X1218+$T1209</f>
        <v>8888</v>
      </c>
      <c r="Y1219" s="139">
        <f ca="1">Y1218</f>
        <v>8888</v>
      </c>
      <c r="AA1219" s="143" t="s">
        <v>213</v>
      </c>
      <c r="AB1219" s="128">
        <f ca="1">IF($AA1216,D1219,P1219)</f>
        <v>8888</v>
      </c>
      <c r="AC1219" s="129">
        <f ca="1">IF($AA1216,E1219,Q1219)</f>
        <v>8888</v>
      </c>
      <c r="AE1219" s="128" t="s">
        <v>213</v>
      </c>
      <c r="AF1219" s="128">
        <f ca="1">IF($AE1216,H1219,T1219)</f>
        <v>8888</v>
      </c>
      <c r="AG1219" s="129">
        <f ca="1">IF($AE1216,I1219,U1219)</f>
        <v>8888</v>
      </c>
      <c r="AI1219" s="128" t="s">
        <v>213</v>
      </c>
      <c r="AJ1219" s="128">
        <f ca="1">IF($AI1216,L1219,X1219)</f>
        <v>8888</v>
      </c>
      <c r="AK1219" s="129">
        <f ca="1">IF($AI1216,M1219,Y1219)</f>
        <v>8888</v>
      </c>
      <c r="AM1219" s="128" t="s">
        <v>213</v>
      </c>
      <c r="AN1219" s="128">
        <f ca="1">AN1218-AO1209/2</f>
        <v>-16.562000000000005</v>
      </c>
      <c r="AO1219" s="129">
        <f ca="1">IF(AN1219&gt;-Fuselage!$D$366,(FUSELAGE_a_ellipse)*SQRT(1-((AN1219+Fuselage!$D$366)/(Fuselage!$K$364-FUSELAGE_t_fuselage))^2),IF(AN1219&gt;$L$2505+Fuselage!$K$370,FUSELAGE_a_ellipse,(FUSELAGE_a_ellipse+FUSELAGE_t_fuselage-FUSELAGE_d_fo/4)/Fuselage!$K$368*(AN1219-$L$2505-Fuselage!$K$370)+FUSELAGE_a_ellipse))</f>
        <v>1.4960570012328709</v>
      </c>
      <c r="AQ1219" s="128" t="s">
        <v>213</v>
      </c>
      <c r="AR1219" s="128">
        <f t="shared" ca="1" si="122"/>
        <v>-16.562000000000005</v>
      </c>
      <c r="AS1219" s="129">
        <f t="shared" ca="1" si="123"/>
        <v>-1.4960570012328709</v>
      </c>
      <c r="BD1219" s="157"/>
    </row>
    <row r="1220" spans="2:56">
      <c r="B1220" s="156"/>
      <c r="C1220" s="128" t="s">
        <v>286</v>
      </c>
      <c r="D1220" s="128">
        <f ca="1">D1219</f>
        <v>8888</v>
      </c>
      <c r="E1220" s="139">
        <f ca="1">E1219-P1209</f>
        <v>8888</v>
      </c>
      <c r="G1220" s="128" t="s">
        <v>286</v>
      </c>
      <c r="H1220" s="128">
        <f ca="1">H1219</f>
        <v>8888</v>
      </c>
      <c r="I1220" s="139">
        <f ca="1">I1219-P1209</f>
        <v>8888</v>
      </c>
      <c r="K1220" s="128" t="s">
        <v>286</v>
      </c>
      <c r="L1220" s="128">
        <f ca="1">L1219</f>
        <v>8888</v>
      </c>
      <c r="M1220" s="139">
        <f ca="1">M1219-P1209</f>
        <v>8888</v>
      </c>
      <c r="O1220" s="128" t="s">
        <v>286</v>
      </c>
      <c r="P1220" s="128">
        <f ca="1">P1219</f>
        <v>8888</v>
      </c>
      <c r="Q1220" s="139">
        <f ca="1">Q1219-$T1214</f>
        <v>8888</v>
      </c>
      <c r="S1220" s="128" t="s">
        <v>286</v>
      </c>
      <c r="T1220" s="128">
        <f ca="1">T1219</f>
        <v>8888</v>
      </c>
      <c r="U1220" s="139">
        <f ca="1">U1219-$T1212</f>
        <v>8888</v>
      </c>
      <c r="W1220" s="128" t="s">
        <v>286</v>
      </c>
      <c r="X1220" s="128">
        <f ca="1">X1219</f>
        <v>8888</v>
      </c>
      <c r="Y1220" s="139">
        <f ca="1">Y1219+$T1210</f>
        <v>8888</v>
      </c>
      <c r="AA1220" s="143" t="s">
        <v>286</v>
      </c>
      <c r="AB1220" s="128">
        <f ca="1">IF($AA1216,D1220,P1220)</f>
        <v>8888</v>
      </c>
      <c r="AC1220" s="129">
        <f ca="1">IF($AA1216,E1220,Q1220)</f>
        <v>8888</v>
      </c>
      <c r="AE1220" s="128" t="s">
        <v>286</v>
      </c>
      <c r="AF1220" s="128">
        <f ca="1">IF($AE1216,H1220,T1220)</f>
        <v>8888</v>
      </c>
      <c r="AG1220" s="129">
        <f ca="1">IF($AE1216,I1220,U1220)</f>
        <v>8888</v>
      </c>
      <c r="AI1220" s="128" t="s">
        <v>286</v>
      </c>
      <c r="AJ1220" s="128">
        <f ca="1">IF($AI1216,L1220,X1220)</f>
        <v>8888</v>
      </c>
      <c r="AK1220" s="129">
        <f ca="1">IF($AI1216,M1220,Y1220)</f>
        <v>8888</v>
      </c>
      <c r="AM1220" s="128" t="s">
        <v>286</v>
      </c>
      <c r="AN1220" s="128">
        <f ca="1">AN1219</f>
        <v>-16.562000000000005</v>
      </c>
      <c r="AO1220" s="129">
        <f ca="1">IF(AN1220&gt;-Fuselage!$D$366,IF(AM1216,(FUSELAGE_a_ellipse+FUSELAGE_t_fuselage)*SQRT(1-((AN1220+Fuselage!$D$366)/Fuselage!$K$364)^2),(FUSELAGE_a_ellipse)*SQRT(1-((AN1220+Fuselage!$D$366)/Fuselage!$K$364)^2)),IF(AN1220&gt;$L$2505+Fuselage!$K$370,(IF(AM1216,FUSELAGE_a_ellipse+FUSELAGE_t_fuselage,FUSELAGE_a_ellipse)),IF(AM1216,(FUSELAGE_a_ellipse+FUSELAGE_t_fuselage-FUSELAGE_d_fo/4)/Fuselage!$K$368*(AN1220-$L$2505-Fuselage!$K$370)+FUSELAGE_a_ellipse+FUSELAGE_t_fuselage,(FUSELAGE_a_ellipse+FUSELAGE_t_fuselage-FUSELAGE_d_fo/4)/Fuselage!$K$368*(AN1220-$L$2505-Fuselage!$K$370)+FUSELAGE_a_ellipse)))</f>
        <v>1.4960570012328709</v>
      </c>
      <c r="AQ1220" s="128" t="s">
        <v>286</v>
      </c>
      <c r="AR1220" s="128">
        <f t="shared" ca="1" si="122"/>
        <v>-16.562000000000005</v>
      </c>
      <c r="AS1220" s="129">
        <f t="shared" ca="1" si="123"/>
        <v>-1.4960570012328709</v>
      </c>
      <c r="BD1220" s="157"/>
    </row>
    <row r="1221" spans="2:56">
      <c r="B1221" s="156"/>
      <c r="C1221" s="188" t="s">
        <v>522</v>
      </c>
      <c r="D1221" s="188">
        <f ca="1">D1218</f>
        <v>8888</v>
      </c>
      <c r="E1221" s="189">
        <f ca="1">E1220</f>
        <v>8888</v>
      </c>
      <c r="F1221" s="157"/>
      <c r="G1221" s="2" t="s">
        <v>522</v>
      </c>
      <c r="H1221" s="128">
        <f ca="1">H1218</f>
        <v>8888</v>
      </c>
      <c r="I1221" s="139">
        <f ca="1">I1220</f>
        <v>8888</v>
      </c>
      <c r="K1221" s="128" t="s">
        <v>522</v>
      </c>
      <c r="L1221" s="128">
        <f ca="1">L1218</f>
        <v>8888</v>
      </c>
      <c r="M1221" s="139">
        <f ca="1">M1220</f>
        <v>8888</v>
      </c>
      <c r="O1221" s="188" t="s">
        <v>522</v>
      </c>
      <c r="P1221" s="188">
        <f ca="1">P1218</f>
        <v>8888</v>
      </c>
      <c r="Q1221" s="189">
        <f ca="1">Q1220</f>
        <v>8888</v>
      </c>
      <c r="S1221" s="188" t="s">
        <v>522</v>
      </c>
      <c r="T1221" s="188">
        <f ca="1">T1218</f>
        <v>8888</v>
      </c>
      <c r="U1221" s="189">
        <f ca="1">U1220</f>
        <v>8888</v>
      </c>
      <c r="W1221" s="188" t="s">
        <v>522</v>
      </c>
      <c r="X1221" s="188">
        <f ca="1">X1218</f>
        <v>8888</v>
      </c>
      <c r="Y1221" s="189">
        <f ca="1">Y1220</f>
        <v>8888</v>
      </c>
      <c r="AA1221" s="195" t="s">
        <v>522</v>
      </c>
      <c r="AB1221" s="128">
        <f ca="1">IF($AA1216,D1221,P1221)</f>
        <v>8888</v>
      </c>
      <c r="AC1221" s="129">
        <f ca="1">IF($AA1216,E1221,Q1221)</f>
        <v>8888</v>
      </c>
      <c r="AD1221" s="157"/>
      <c r="AE1221" s="2" t="s">
        <v>522</v>
      </c>
      <c r="AF1221" s="188">
        <f ca="1">IF($AE1216,H1221,T1221)</f>
        <v>8888</v>
      </c>
      <c r="AG1221" s="196">
        <f ca="1">IF($AE1216,I1221,U1221)</f>
        <v>8888</v>
      </c>
      <c r="AI1221" s="128" t="s">
        <v>522</v>
      </c>
      <c r="AJ1221" s="188">
        <f ca="1">IF($AI1216,L1221,X1221)</f>
        <v>8888</v>
      </c>
      <c r="AK1221" s="196">
        <f ca="1">IF($AI1216,M1221,Y1221)</f>
        <v>8888</v>
      </c>
      <c r="AM1221" s="128" t="s">
        <v>522</v>
      </c>
      <c r="AN1221" s="128">
        <f ca="1">AN1220-X1210</f>
        <v>-16.562000000000005</v>
      </c>
      <c r="AO1221" s="129">
        <f ca="1">IF(AN1221&gt;-Fuselage!$D$366,IF(AM1216,(FUSELAGE_a_ellipse+FUSELAGE_t_fuselage)*SQRT(1-((AN1221+Fuselage!$D$366)/Fuselage!$K$364)^2),(FUSELAGE_a_ellipse)*SQRT(1-((AN1221+Fuselage!$D$366)/Fuselage!$K$364)^2)),IF(AN1221&gt;$L$2505+Fuselage!$K$370,(IF(AM1216,FUSELAGE_a_ellipse+FUSELAGE_t_fuselage,FUSELAGE_a_ellipse)),IF(AM1216,(FUSELAGE_a_ellipse+FUSELAGE_t_fuselage-FUSELAGE_d_fo/4)/Fuselage!$K$368*(AN1221-$L$2505-Fuselage!$K$370)+FUSELAGE_a_ellipse+FUSELAGE_t_fuselage,(FUSELAGE_a_ellipse+FUSELAGE_t_fuselage-FUSELAGE_d_fo/4)/Fuselage!$K$368*(AN1221-$L$2505-Fuselage!$K$370)+FUSELAGE_a_ellipse)))</f>
        <v>1.4960570012328709</v>
      </c>
      <c r="AQ1221" s="128" t="s">
        <v>522</v>
      </c>
      <c r="AR1221" s="128">
        <f t="shared" ca="1" si="122"/>
        <v>-16.562000000000005</v>
      </c>
      <c r="AS1221" s="129">
        <f t="shared" ca="1" si="123"/>
        <v>-1.4960570012328709</v>
      </c>
      <c r="BD1221" s="157"/>
    </row>
    <row r="1222" spans="2:56" ht="15" thickBot="1">
      <c r="B1222" s="156"/>
      <c r="C1222" s="128" t="s">
        <v>49</v>
      </c>
      <c r="D1222" s="128">
        <f ca="1">IF(C1216&gt;=2,D1218,D1221)</f>
        <v>8888</v>
      </c>
      <c r="E1222" s="139">
        <f ca="1">IF(C1216&gt;=2,E1221-P1211,E1221)</f>
        <v>8888</v>
      </c>
      <c r="F1222" s="157"/>
      <c r="G1222" s="192" t="s">
        <v>49</v>
      </c>
      <c r="H1222" s="190">
        <f ca="1">IF(G1216&gt;=2,H1218,H1221)</f>
        <v>8888</v>
      </c>
      <c r="I1222" s="191">
        <f ca="1">IF(G1216&gt;=2,I1221-P1211,I1221)</f>
        <v>8888</v>
      </c>
      <c r="K1222" s="190" t="s">
        <v>49</v>
      </c>
      <c r="L1222" s="190">
        <f ca="1">IF(K1216&gt;=2,L1218,L1221)</f>
        <v>8888</v>
      </c>
      <c r="M1222" s="191">
        <f ca="1">IF(K1216&gt;=2,M1221-P1211,M1221)</f>
        <v>8888</v>
      </c>
      <c r="O1222" s="130" t="s">
        <v>396</v>
      </c>
      <c r="P1222" s="130">
        <f ca="1">P1218</f>
        <v>8888</v>
      </c>
      <c r="Q1222" s="140">
        <f ca="1">Q1218</f>
        <v>8888</v>
      </c>
      <c r="S1222" s="130" t="s">
        <v>396</v>
      </c>
      <c r="T1222" s="130">
        <f ca="1">T1218</f>
        <v>8888</v>
      </c>
      <c r="U1222" s="140">
        <f ca="1">U1218</f>
        <v>8888</v>
      </c>
      <c r="W1222" s="130" t="s">
        <v>396</v>
      </c>
      <c r="X1222" s="130">
        <f ca="1">X1218</f>
        <v>8888</v>
      </c>
      <c r="Y1222" s="140">
        <f ca="1">Y1218</f>
        <v>8888</v>
      </c>
      <c r="AA1222" s="143" t="s">
        <v>49</v>
      </c>
      <c r="AB1222" s="128">
        <f ca="1">IF($AA1216,D1222,P1222)</f>
        <v>8888</v>
      </c>
      <c r="AC1222" s="129">
        <f ca="1">IF($AA1216,E1222,Q1222)</f>
        <v>8888</v>
      </c>
      <c r="AD1222" s="157"/>
      <c r="AE1222" s="192" t="s">
        <v>49</v>
      </c>
      <c r="AF1222" s="128">
        <f ca="1">IF($AE1216,H1222,T1222)</f>
        <v>8888</v>
      </c>
      <c r="AG1222" s="129">
        <f ca="1">IF($AE1216,I1222,U1222)</f>
        <v>8888</v>
      </c>
      <c r="AI1222" s="190" t="s">
        <v>49</v>
      </c>
      <c r="AJ1222" s="128">
        <f ca="1">IF($AI1216,L1222,X1222)</f>
        <v>8888</v>
      </c>
      <c r="AK1222" s="129">
        <f ca="1">IF($AI1216,M1222,Y1222)</f>
        <v>8888</v>
      </c>
      <c r="AM1222" s="128" t="s">
        <v>49</v>
      </c>
      <c r="AN1222" s="128">
        <f ca="1">AN1221</f>
        <v>-16.562000000000005</v>
      </c>
      <c r="AO1222" s="129">
        <f ca="1">IF(AN1222&gt;-Fuselage!$D$366,(FUSELAGE_a_ellipse)*SQRT(1-((AN1222+Fuselage!$D$366)/(Fuselage!$K$364-FUSELAGE_t_fuselage))^2),IF(AN1222&gt;$L$2505+Fuselage!$K$370,FUSELAGE_a_ellipse,(FUSELAGE_a_ellipse+FUSELAGE_t_fuselage-FUSELAGE_d_fo/4)/Fuselage!$K$368*(AN1222-$L$2505-Fuselage!$K$370)+FUSELAGE_a_ellipse))</f>
        <v>1.4960570012328709</v>
      </c>
      <c r="AQ1222" s="128" t="s">
        <v>49</v>
      </c>
      <c r="AR1222" s="128">
        <f t="shared" ca="1" si="122"/>
        <v>-16.562000000000005</v>
      </c>
      <c r="AS1222" s="129">
        <f t="shared" ca="1" si="123"/>
        <v>-1.4960570012328709</v>
      </c>
      <c r="BD1222" s="157"/>
    </row>
    <row r="1223" spans="2:56">
      <c r="B1223" s="156"/>
      <c r="C1223" s="128" t="s">
        <v>453</v>
      </c>
      <c r="D1223" s="128">
        <f ca="1">IF(C1216&gt;=2,D1218+P1210,D1221)</f>
        <v>8888</v>
      </c>
      <c r="E1223" s="139">
        <f ca="1">E1222</f>
        <v>8888</v>
      </c>
      <c r="F1223" s="157"/>
      <c r="G1223" s="2" t="s">
        <v>453</v>
      </c>
      <c r="H1223" s="128">
        <f ca="1">IF(G1216&gt;=2,H1219,H1221)</f>
        <v>8888</v>
      </c>
      <c r="I1223" s="139">
        <f ca="1">IF(G1216&gt;=2,I1222,I1221)</f>
        <v>8888</v>
      </c>
      <c r="K1223" s="128" t="s">
        <v>453</v>
      </c>
      <c r="L1223" s="128">
        <f ca="1">IF(K1216&gt;=2,IF(X1211,IF(K1216=2,L1218+P1210/4,L1218+P1210),L1218+P1210),L1221)</f>
        <v>8888</v>
      </c>
      <c r="M1223" s="139">
        <f ca="1">IF(K1216&gt;=2,M1222,M1221)</f>
        <v>8888</v>
      </c>
      <c r="AA1223" s="143" t="s">
        <v>453</v>
      </c>
      <c r="AB1223" s="128">
        <f ca="1">IF($AA1216,D1223,AB1222)</f>
        <v>8888</v>
      </c>
      <c r="AC1223" s="129">
        <f ca="1">IF($AA1216,E1223,AC1222)</f>
        <v>8888</v>
      </c>
      <c r="AD1223" s="157"/>
      <c r="AE1223" s="2" t="s">
        <v>453</v>
      </c>
      <c r="AF1223" s="128">
        <f ca="1">IF($AE1216,H1223,AF1222)</f>
        <v>8888</v>
      </c>
      <c r="AG1223" s="129">
        <f ca="1">IF($AE1216,I1223,AG1222)</f>
        <v>8888</v>
      </c>
      <c r="AI1223" s="128" t="s">
        <v>453</v>
      </c>
      <c r="AJ1223" s="128">
        <f ca="1">IF($AI1216,L1223,AJ1222)</f>
        <v>8888</v>
      </c>
      <c r="AK1223" s="129">
        <f ca="1">IF($AI1216,M1223,AK1222)</f>
        <v>8888</v>
      </c>
      <c r="AM1223" s="128" t="s">
        <v>453</v>
      </c>
      <c r="AN1223" s="128">
        <f ca="1">L1209</f>
        <v>-16.562000000000005</v>
      </c>
      <c r="AO1223" s="129">
        <f ca="1">IF(AN1223&gt;-Fuselage!$D$366,(FUSELAGE_a_ellipse)*SQRT(1-((AN1223+Fuselage!$D$366)/(Fuselage!$K$364-FUSELAGE_t_fuselage))^2),IF(AN1223&gt;$L$2505+Fuselage!$K$370,FUSELAGE_a_ellipse,(FUSELAGE_a_ellipse+FUSELAGE_t_fuselage-FUSELAGE_d_fo/4)/Fuselage!$K$368*(AN1223-$L$2505-Fuselage!$K$370)+FUSELAGE_a_ellipse))</f>
        <v>1.4960570012328709</v>
      </c>
      <c r="AQ1223" s="128" t="s">
        <v>453</v>
      </c>
      <c r="AR1223" s="128">
        <f t="shared" ca="1" si="122"/>
        <v>-16.562000000000005</v>
      </c>
      <c r="AS1223" s="129">
        <f t="shared" ca="1" si="123"/>
        <v>-1.4960570012328709</v>
      </c>
      <c r="BD1223" s="157"/>
    </row>
    <row r="1224" spans="2:56">
      <c r="B1224" s="156"/>
      <c r="C1224" s="128" t="s">
        <v>394</v>
      </c>
      <c r="D1224" s="128">
        <f ca="1">IF(C1216&gt;=2,D1223,D1221)</f>
        <v>8888</v>
      </c>
      <c r="E1224" s="139">
        <f ca="1">IF(C1216&gt;=2,E1222-P1209,E1221)</f>
        <v>8888</v>
      </c>
      <c r="F1224" s="157"/>
      <c r="G1224" s="2" t="s">
        <v>394</v>
      </c>
      <c r="H1224" s="128">
        <f ca="1">IF(G1216&gt;=2,H1219,H1221)</f>
        <v>8888</v>
      </c>
      <c r="I1224" s="139">
        <f ca="1">IF(G1216&gt;=2,I1223-P1209,I1221)</f>
        <v>8888</v>
      </c>
      <c r="K1224" s="128" t="s">
        <v>394</v>
      </c>
      <c r="L1224" s="128">
        <f ca="1">L1223</f>
        <v>8888</v>
      </c>
      <c r="M1224" s="139">
        <f ca="1">IF(K1216&gt;=2,M1223-P1209,M1221)</f>
        <v>8888</v>
      </c>
      <c r="AA1224" s="143" t="s">
        <v>394</v>
      </c>
      <c r="AB1224" s="128">
        <f ca="1">IF($AA1216,D1224,AB1222)</f>
        <v>8888</v>
      </c>
      <c r="AC1224" s="129">
        <f ca="1">IF($AA1216,E1224,AC1222)</f>
        <v>8888</v>
      </c>
      <c r="AD1224" s="157"/>
      <c r="AE1224" s="2" t="s">
        <v>394</v>
      </c>
      <c r="AF1224" s="128">
        <f ca="1">IF($AE1216,H1224,AF1222)</f>
        <v>8888</v>
      </c>
      <c r="AG1224" s="129">
        <f ca="1">IF($AE1216,I1224,AG1222)</f>
        <v>8888</v>
      </c>
      <c r="AI1224" s="128" t="s">
        <v>394</v>
      </c>
      <c r="AJ1224" s="128">
        <f ca="1">IF($AI1216,L1224,AJ1222)</f>
        <v>8888</v>
      </c>
      <c r="AK1224" s="129">
        <f ca="1">IF($AI1216,M1224,AK1222)</f>
        <v>8888</v>
      </c>
      <c r="BD1224" s="157"/>
    </row>
    <row r="1225" spans="2:56">
      <c r="B1225" s="156"/>
      <c r="C1225" s="188" t="s">
        <v>454</v>
      </c>
      <c r="D1225" s="188">
        <f ca="1">IF(C1216&gt;=2,D1218,D1221)</f>
        <v>8888</v>
      </c>
      <c r="E1225" s="189">
        <f ca="1">E1224</f>
        <v>8888</v>
      </c>
      <c r="F1225" s="157"/>
      <c r="G1225" s="115" t="s">
        <v>454</v>
      </c>
      <c r="H1225" s="188">
        <f ca="1">IF(G1216&gt;=2,H1218,H1221)</f>
        <v>8888</v>
      </c>
      <c r="I1225" s="189">
        <f ca="1">IF(G1216&gt;=2,I1224,I1221)</f>
        <v>8888</v>
      </c>
      <c r="K1225" s="188" t="s">
        <v>454</v>
      </c>
      <c r="L1225" s="188">
        <f ca="1">IF(K1216&gt;=2,L1218,L1221)</f>
        <v>8888</v>
      </c>
      <c r="M1225" s="189">
        <f ca="1">IF(K1216&gt;=2,M1224,M1221)</f>
        <v>8888</v>
      </c>
      <c r="AA1225" s="195" t="s">
        <v>454</v>
      </c>
      <c r="AB1225" s="128">
        <f ca="1">IF($AA1216,D1225,AB1222)</f>
        <v>8888</v>
      </c>
      <c r="AC1225" s="129">
        <f ca="1">IF($AA1216,E1225,AC1222)</f>
        <v>8888</v>
      </c>
      <c r="AD1225" s="157"/>
      <c r="AE1225" s="115" t="s">
        <v>454</v>
      </c>
      <c r="AF1225" s="188">
        <f ca="1">IF($AE1216,H1225,AF1222)</f>
        <v>8888</v>
      </c>
      <c r="AG1225" s="196">
        <f ca="1">IF($AE1216,I1225,AG1222)</f>
        <v>8888</v>
      </c>
      <c r="AI1225" s="188" t="s">
        <v>454</v>
      </c>
      <c r="AJ1225" s="188">
        <f ca="1">IF($AI1216,L1225,AJ1222)</f>
        <v>8888</v>
      </c>
      <c r="AK1225" s="196">
        <f ca="1">IF($AI1216,M1225,AK1222)</f>
        <v>8888</v>
      </c>
      <c r="BD1225" s="157"/>
    </row>
    <row r="1226" spans="2:56">
      <c r="B1226" s="156"/>
      <c r="C1226" s="128" t="s">
        <v>507</v>
      </c>
      <c r="D1226" s="128">
        <f ca="1">IF(C1216&gt;=3,D1218,D1225)</f>
        <v>8888</v>
      </c>
      <c r="E1226" s="139">
        <f ca="1">IF(C1216&gt;=3,E1225-P1211,E1225)</f>
        <v>8888</v>
      </c>
      <c r="F1226" s="157"/>
      <c r="G1226" s="2" t="s">
        <v>507</v>
      </c>
      <c r="H1226" s="128">
        <f ca="1">IF(G1216&gt;=3,H1218,H1225)</f>
        <v>8888</v>
      </c>
      <c r="I1226" s="139">
        <f ca="1">IF(G1216&gt;=3,I1225-P1211,I1225)</f>
        <v>8888</v>
      </c>
      <c r="K1226" s="128" t="s">
        <v>507</v>
      </c>
      <c r="L1226" s="128">
        <f ca="1">IF(K1216&gt;=3,L1218,L1225)</f>
        <v>8888</v>
      </c>
      <c r="M1226" s="139">
        <f ca="1">IF(K1216&gt;=3,M1225-P1211,M1225)</f>
        <v>8888</v>
      </c>
      <c r="AA1226" s="143" t="s">
        <v>507</v>
      </c>
      <c r="AB1226" s="128">
        <f ca="1">IF($AA1216,D1226,AB1222)</f>
        <v>8888</v>
      </c>
      <c r="AC1226" s="129">
        <f ca="1">IF($AA1216,E1226,AC1222)</f>
        <v>8888</v>
      </c>
      <c r="AD1226" s="157"/>
      <c r="AE1226" s="2" t="s">
        <v>507</v>
      </c>
      <c r="AF1226" s="128">
        <f ca="1">IF($AE1216,H1226,AF1222)</f>
        <v>8888</v>
      </c>
      <c r="AG1226" s="129">
        <f ca="1">IF($AE1216,I1226,AG1222)</f>
        <v>8888</v>
      </c>
      <c r="AI1226" s="128" t="s">
        <v>507</v>
      </c>
      <c r="AJ1226" s="128">
        <f ca="1">IF($AI1216,L1226,AJ1222)</f>
        <v>8888</v>
      </c>
      <c r="AK1226" s="129">
        <f ca="1">IF($AI1216,M1226,AK1222)</f>
        <v>8888</v>
      </c>
      <c r="BD1226" s="157"/>
    </row>
    <row r="1227" spans="2:56">
      <c r="B1227" s="156"/>
      <c r="C1227" s="128" t="s">
        <v>455</v>
      </c>
      <c r="D1227" s="128">
        <f ca="1">IF(C1216&gt;=3,D1223,D1225)</f>
        <v>8888</v>
      </c>
      <c r="E1227" s="139">
        <f ca="1">E1226</f>
        <v>8888</v>
      </c>
      <c r="F1227" s="157"/>
      <c r="G1227" s="2" t="s">
        <v>455</v>
      </c>
      <c r="H1227" s="128">
        <f ca="1">IF(G1216&gt;=3,H1219,H1225)</f>
        <v>8888</v>
      </c>
      <c r="I1227" s="139">
        <f ca="1">IF(G1216&gt;=3,I1226,I1225)</f>
        <v>8888</v>
      </c>
      <c r="K1227" s="128" t="s">
        <v>455</v>
      </c>
      <c r="L1227" s="128">
        <f ca="1">IF(K1216&gt;=3,IF(X1211,IF(K1216=3,L1218+P1210/4,L1218+P1210),L1218+P1210),L1221)</f>
        <v>8888</v>
      </c>
      <c r="M1227" s="139">
        <f ca="1">IF(K1216&gt;=3,M1226,M1225)</f>
        <v>8888</v>
      </c>
      <c r="AA1227" s="143" t="s">
        <v>455</v>
      </c>
      <c r="AB1227" s="128">
        <f ca="1">IF($AA1216,D1227,AB1222)</f>
        <v>8888</v>
      </c>
      <c r="AC1227" s="129">
        <f ca="1">IF($AA1216,E1227,AC1222)</f>
        <v>8888</v>
      </c>
      <c r="AD1227" s="157"/>
      <c r="AE1227" s="2" t="s">
        <v>455</v>
      </c>
      <c r="AF1227" s="128">
        <f ca="1">IF($AE1216,H1227,AF1222)</f>
        <v>8888</v>
      </c>
      <c r="AG1227" s="129">
        <f ca="1">IF($AE1216,I1227,AG1222)</f>
        <v>8888</v>
      </c>
      <c r="AI1227" s="128" t="s">
        <v>455</v>
      </c>
      <c r="AJ1227" s="128">
        <f ca="1">IF($AI1216,L1227,AJ1222)</f>
        <v>8888</v>
      </c>
      <c r="AK1227" s="129">
        <f ca="1">IF($AI1216,M1227,AK1222)</f>
        <v>8888</v>
      </c>
      <c r="AL1227" s="156"/>
      <c r="BD1227" s="157"/>
    </row>
    <row r="1228" spans="2:56">
      <c r="B1228" s="156"/>
      <c r="C1228" s="128" t="s">
        <v>311</v>
      </c>
      <c r="D1228" s="128">
        <f ca="1">IF(C1216&gt;=3,D1223,D1225)</f>
        <v>8888</v>
      </c>
      <c r="E1228" s="139">
        <f ca="1">IF(C1216&gt;=3,E1227-P1209,E1225)</f>
        <v>8888</v>
      </c>
      <c r="F1228" s="157"/>
      <c r="G1228" s="2" t="s">
        <v>311</v>
      </c>
      <c r="H1228" s="128">
        <f ca="1">IF(G1216&gt;=3,H1219,H1225)</f>
        <v>8888</v>
      </c>
      <c r="I1228" s="139">
        <f ca="1">IF(G1216&gt;=3,I1227-P1209,I1225)</f>
        <v>8888</v>
      </c>
      <c r="K1228" s="128" t="s">
        <v>311</v>
      </c>
      <c r="L1228" s="128">
        <f ca="1">L1227</f>
        <v>8888</v>
      </c>
      <c r="M1228" s="139">
        <f ca="1">IF(K1216&gt;=3,M1227-P1209,M1225)</f>
        <v>8888</v>
      </c>
      <c r="AA1228" s="143" t="s">
        <v>311</v>
      </c>
      <c r="AB1228" s="128">
        <f ca="1">IF($AA1216,D1228,AB1222)</f>
        <v>8888</v>
      </c>
      <c r="AC1228" s="129">
        <f ca="1">IF($AA1216,E1228,AC1222)</f>
        <v>8888</v>
      </c>
      <c r="AD1228" s="157"/>
      <c r="AE1228" s="2" t="s">
        <v>311</v>
      </c>
      <c r="AF1228" s="128">
        <f ca="1">IF($AE1216,H1228,AF1222)</f>
        <v>8888</v>
      </c>
      <c r="AG1228" s="129">
        <f ca="1">IF($AE1216,I1228,AG1222)</f>
        <v>8888</v>
      </c>
      <c r="AI1228" s="128" t="s">
        <v>311</v>
      </c>
      <c r="AJ1228" s="128">
        <f ca="1">IF($AI1216,L1228,AJ1222)</f>
        <v>8888</v>
      </c>
      <c r="AK1228" s="129">
        <f ca="1">IF($AI1216,M1228,AK1222)</f>
        <v>8888</v>
      </c>
      <c r="AL1228" s="156"/>
      <c r="BD1228" s="157"/>
    </row>
    <row r="1229" spans="2:56">
      <c r="B1229" s="156"/>
      <c r="C1229" s="188" t="s">
        <v>35</v>
      </c>
      <c r="D1229" s="188">
        <f ca="1">IF(C1216&gt;=3,D1218,D1225)</f>
        <v>8888</v>
      </c>
      <c r="E1229" s="189">
        <f ca="1">E1228</f>
        <v>8888</v>
      </c>
      <c r="F1229" s="157"/>
      <c r="G1229" s="2" t="s">
        <v>35</v>
      </c>
      <c r="H1229" s="188">
        <f ca="1">IF(G1216&gt;=3,H1218,H1225)</f>
        <v>8888</v>
      </c>
      <c r="I1229" s="189">
        <f ca="1">IF(G1216&gt;=3,I1228,I1225)</f>
        <v>8888</v>
      </c>
      <c r="K1229" s="188" t="s">
        <v>35</v>
      </c>
      <c r="L1229" s="188">
        <f ca="1">IF(K1216&gt;=3,L1218,L1225)</f>
        <v>8888</v>
      </c>
      <c r="M1229" s="189">
        <f ca="1">IF(K1216&gt;=3,M1228,M1225)</f>
        <v>8888</v>
      </c>
      <c r="AA1229" s="143" t="s">
        <v>35</v>
      </c>
      <c r="AB1229" s="128">
        <f ca="1">IF($AA1216,D1229,AB1222)</f>
        <v>8888</v>
      </c>
      <c r="AC1229" s="129">
        <f ca="1">IF($AA1216,E1229,AC1222)</f>
        <v>8888</v>
      </c>
      <c r="AD1229" s="157"/>
      <c r="AE1229" s="2" t="s">
        <v>35</v>
      </c>
      <c r="AF1229" s="188">
        <f ca="1">IF($AE1216,H1229,AF1222)</f>
        <v>8888</v>
      </c>
      <c r="AG1229" s="196">
        <f ca="1">IF($AE1216,I1229,AG1222)</f>
        <v>8888</v>
      </c>
      <c r="AI1229" s="128" t="s">
        <v>35</v>
      </c>
      <c r="AJ1229" s="128">
        <f ca="1">IF($AI1216,L1229,AJ1222)</f>
        <v>8888</v>
      </c>
      <c r="AK1229" s="129">
        <f ca="1">IF($AI1216,M1229,AK1222)</f>
        <v>8888</v>
      </c>
      <c r="AL1229" s="156"/>
      <c r="BD1229" s="157"/>
    </row>
    <row r="1230" spans="2:56" ht="15" thickBot="1">
      <c r="B1230" s="156"/>
      <c r="C1230" s="130" t="s">
        <v>396</v>
      </c>
      <c r="D1230" s="130">
        <f ca="1">D1218</f>
        <v>8888</v>
      </c>
      <c r="E1230" s="140">
        <f ca="1">E1218</f>
        <v>8888</v>
      </c>
      <c r="F1230" s="157"/>
      <c r="G1230" s="192" t="s">
        <v>312</v>
      </c>
      <c r="H1230" s="128">
        <f ca="1">IF(G1216&gt;=4,H1218,H1229)</f>
        <v>8888</v>
      </c>
      <c r="I1230" s="139">
        <f ca="1">IF(G1216&gt;=4,I1229-P1211,I1229)</f>
        <v>8888</v>
      </c>
      <c r="K1230" s="130" t="s">
        <v>396</v>
      </c>
      <c r="L1230" s="130">
        <f ca="1">L1218</f>
        <v>8888</v>
      </c>
      <c r="M1230" s="140">
        <f ca="1">M1218</f>
        <v>8888</v>
      </c>
      <c r="AA1230" s="144" t="s">
        <v>396</v>
      </c>
      <c r="AB1230" s="130">
        <f ca="1">IF($AA1216,D1230,AB1222)</f>
        <v>8888</v>
      </c>
      <c r="AC1230" s="132">
        <f ca="1">IF($AA1216,E1230,AC1222)</f>
        <v>8888</v>
      </c>
      <c r="AD1230" s="157"/>
      <c r="AE1230" s="192" t="s">
        <v>312</v>
      </c>
      <c r="AF1230" s="128">
        <f ca="1">IF($AE1216,H1230,AF1222)</f>
        <v>8888</v>
      </c>
      <c r="AG1230" s="129">
        <f ca="1">IF($AE1216,I1230,AG1222)</f>
        <v>8888</v>
      </c>
      <c r="AI1230" s="130" t="s">
        <v>396</v>
      </c>
      <c r="AJ1230" s="130">
        <f ca="1">IF($AI1216,L1230,AJ1222)</f>
        <v>8888</v>
      </c>
      <c r="AK1230" s="132">
        <f ca="1">IF($AI1216,M1230,AK1222)</f>
        <v>8888</v>
      </c>
      <c r="BD1230" s="157"/>
    </row>
    <row r="1231" spans="2:56">
      <c r="B1231" s="156"/>
      <c r="F1231" s="157"/>
      <c r="G1231" s="2" t="s">
        <v>313</v>
      </c>
      <c r="H1231" s="128">
        <f ca="1">IF(G1216&gt;=4,H1219,H1229)</f>
        <v>8888</v>
      </c>
      <c r="I1231" s="139">
        <f ca="1">IF(G1216&gt;=4,I1230,I1229)</f>
        <v>8888</v>
      </c>
      <c r="AD1231" s="157"/>
      <c r="AE1231" s="2" t="s">
        <v>313</v>
      </c>
      <c r="AF1231" s="128">
        <f ca="1">IF($AE1216,H1231,AF1222)</f>
        <v>8888</v>
      </c>
      <c r="AG1231" s="129">
        <f ca="1">IF($AE1216,I1231,AG1222)</f>
        <v>8888</v>
      </c>
      <c r="BD1231" s="157"/>
    </row>
    <row r="1232" spans="2:56">
      <c r="B1232" s="156"/>
      <c r="F1232" s="157"/>
      <c r="G1232" s="2" t="s">
        <v>7</v>
      </c>
      <c r="H1232" s="128">
        <f ca="1">IF(G1216&gt;=4,H1219,H1229)</f>
        <v>8888</v>
      </c>
      <c r="I1232" s="139">
        <f ca="1">IF(G1216&gt;=4,I1231-P1209,I1229)</f>
        <v>8888</v>
      </c>
      <c r="AD1232" s="157"/>
      <c r="AE1232" s="2" t="s">
        <v>7</v>
      </c>
      <c r="AF1232" s="128">
        <f ca="1">IF($AE1216,H1232,AF1222)</f>
        <v>8888</v>
      </c>
      <c r="AG1232" s="129">
        <f ca="1">IF($AE1216,I1232,AG1222)</f>
        <v>8888</v>
      </c>
      <c r="BD1232" s="157"/>
    </row>
    <row r="1233" spans="2:56">
      <c r="B1233" s="156"/>
      <c r="F1233" s="157"/>
      <c r="G1233" s="115" t="s">
        <v>8</v>
      </c>
      <c r="H1233" s="188">
        <f ca="1">IF(G1216&gt;=4,H1218,H1229)</f>
        <v>8888</v>
      </c>
      <c r="I1233" s="189">
        <f ca="1">IF(G1216&gt;=4,I1232,I1229)</f>
        <v>8888</v>
      </c>
      <c r="AD1233" s="157"/>
      <c r="AE1233" s="115" t="s">
        <v>8</v>
      </c>
      <c r="AF1233" s="188">
        <f ca="1">IF($AE1216,H1233,AF1222)</f>
        <v>8888</v>
      </c>
      <c r="AG1233" s="196">
        <f ca="1">IF($AE1216,I1233,AG1222)</f>
        <v>8888</v>
      </c>
      <c r="BD1233" s="157"/>
    </row>
    <row r="1234" spans="2:56">
      <c r="B1234" s="156"/>
      <c r="F1234" s="157"/>
      <c r="G1234" s="2" t="s">
        <v>9</v>
      </c>
      <c r="H1234" s="128">
        <f ca="1">IF(G1216&gt;=5,H1218,H1233)</f>
        <v>8888</v>
      </c>
      <c r="I1234" s="139">
        <f ca="1">IF(G1216&gt;=5,I1233-P1211,I1233)</f>
        <v>8888</v>
      </c>
      <c r="AD1234" s="157"/>
      <c r="AE1234" s="2" t="s">
        <v>9</v>
      </c>
      <c r="AF1234" s="128">
        <f ca="1">IF($AE1216,H1234,AF1222)</f>
        <v>8888</v>
      </c>
      <c r="AG1234" s="129">
        <f ca="1">IF($AE1216,I1234,AG1222)</f>
        <v>8888</v>
      </c>
      <c r="BD1234" s="157"/>
    </row>
    <row r="1235" spans="2:56">
      <c r="B1235" s="156"/>
      <c r="F1235" s="157"/>
      <c r="G1235" s="2" t="s">
        <v>196</v>
      </c>
      <c r="H1235" s="128">
        <f ca="1">IF(G1216&gt;=5,H1219,H1233)</f>
        <v>8888</v>
      </c>
      <c r="I1235" s="139">
        <f ca="1">IF(G1216&gt;=5,I1234,I1233)</f>
        <v>8888</v>
      </c>
      <c r="AD1235" s="157"/>
      <c r="AE1235" s="2" t="s">
        <v>196</v>
      </c>
      <c r="AF1235" s="128">
        <f ca="1">IF($AE1216,H1235,AF1222)</f>
        <v>8888</v>
      </c>
      <c r="AG1235" s="129">
        <f ca="1">IF($AE1216,I1235,AG1222)</f>
        <v>8888</v>
      </c>
      <c r="BD1235" s="157"/>
    </row>
    <row r="1236" spans="2:56">
      <c r="B1236" s="156"/>
      <c r="F1236" s="157"/>
      <c r="G1236" s="2" t="s">
        <v>10</v>
      </c>
      <c r="H1236" s="128">
        <f ca="1">IF(G1216&gt;=5,H1219,H1233)</f>
        <v>8888</v>
      </c>
      <c r="I1236" s="139">
        <f ca="1">IF(G1216&gt;=5,I1235-P1209,I1233)</f>
        <v>8888</v>
      </c>
      <c r="AD1236" s="157"/>
      <c r="AE1236" s="2" t="s">
        <v>10</v>
      </c>
      <c r="AF1236" s="128">
        <f ca="1">IF($AE1216,H1236,AF1222)</f>
        <v>8888</v>
      </c>
      <c r="AG1236" s="129">
        <f ca="1">IF($AE1216,I1236,AG1222)</f>
        <v>8888</v>
      </c>
      <c r="BD1236" s="157"/>
    </row>
    <row r="1237" spans="2:56">
      <c r="B1237" s="156"/>
      <c r="F1237" s="157"/>
      <c r="G1237" s="2" t="s">
        <v>161</v>
      </c>
      <c r="H1237" s="188">
        <f ca="1">IF(G1216&gt;=5,H1218,H1233)</f>
        <v>8888</v>
      </c>
      <c r="I1237" s="189">
        <f ca="1">IF(G1216&gt;=5,I1236,I1233)</f>
        <v>8888</v>
      </c>
      <c r="AD1237" s="157"/>
      <c r="AE1237" s="2" t="s">
        <v>161</v>
      </c>
      <c r="AF1237" s="188">
        <f ca="1">IF($AE1216,H1237,AF1222)</f>
        <v>8888</v>
      </c>
      <c r="AG1237" s="196">
        <f ca="1">IF($AE1216,I1237,AG1222)</f>
        <v>8888</v>
      </c>
      <c r="BD1237" s="157"/>
    </row>
    <row r="1238" spans="2:56">
      <c r="B1238" s="156"/>
      <c r="F1238" s="157"/>
      <c r="G1238" s="192" t="s">
        <v>11</v>
      </c>
      <c r="H1238" s="128">
        <f ca="1">IF(G1216&gt;=6,H1218,H1237)</f>
        <v>8888</v>
      </c>
      <c r="I1238" s="139">
        <f ca="1">IF(G1216&gt;=6,I1237-P1211,I1237)</f>
        <v>8888</v>
      </c>
      <c r="AD1238" s="157"/>
      <c r="AE1238" s="192" t="s">
        <v>11</v>
      </c>
      <c r="AF1238" s="128">
        <f ca="1">IF($AE1216,H1238,AF1222)</f>
        <v>8888</v>
      </c>
      <c r="AG1238" s="129">
        <f ca="1">IF($AE1216,I1238,AG1222)</f>
        <v>8888</v>
      </c>
      <c r="BD1238" s="157"/>
    </row>
    <row r="1239" spans="2:56">
      <c r="B1239" s="156"/>
      <c r="F1239" s="157"/>
      <c r="G1239" s="2" t="s">
        <v>12</v>
      </c>
      <c r="H1239" s="128">
        <f ca="1">IF(G1216&gt;=6,H1219,H1237)</f>
        <v>8888</v>
      </c>
      <c r="I1239" s="139">
        <f ca="1">IF(G1216&gt;=6,I1238,I1237)</f>
        <v>8888</v>
      </c>
      <c r="AD1239" s="157"/>
      <c r="AE1239" s="2" t="s">
        <v>12</v>
      </c>
      <c r="AF1239" s="128">
        <f ca="1">IF($AE1216,H1239,AF1222)</f>
        <v>8888</v>
      </c>
      <c r="AG1239" s="129">
        <f ca="1">IF($AE1216,I1239,AG1222)</f>
        <v>8888</v>
      </c>
      <c r="BD1239" s="157"/>
    </row>
    <row r="1240" spans="2:56">
      <c r="B1240" s="156"/>
      <c r="F1240" s="157"/>
      <c r="G1240" s="2" t="s">
        <v>13</v>
      </c>
      <c r="H1240" s="128">
        <f ca="1">IF(G1216&gt;=6,H1219,H1237)</f>
        <v>8888</v>
      </c>
      <c r="I1240" s="139">
        <f ca="1">IF(G1216&gt;=6,I1239-P1209,I1237)</f>
        <v>8888</v>
      </c>
      <c r="AD1240" s="157"/>
      <c r="AE1240" s="2" t="s">
        <v>13</v>
      </c>
      <c r="AF1240" s="128">
        <f ca="1">IF($AE1216,H1240,AF1222)</f>
        <v>8888</v>
      </c>
      <c r="AG1240" s="129">
        <f ca="1">IF($AE1216,I1240,AG1222)</f>
        <v>8888</v>
      </c>
      <c r="BD1240" s="157"/>
    </row>
    <row r="1241" spans="2:56">
      <c r="B1241" s="156"/>
      <c r="F1241" s="157"/>
      <c r="G1241" s="115" t="s">
        <v>14</v>
      </c>
      <c r="H1241" s="188">
        <f ca="1">IF(G1216&gt;=6,H1218,H1237)</f>
        <v>8888</v>
      </c>
      <c r="I1241" s="189">
        <f ca="1">IF(G1216&gt;=6,I1240,I1237)</f>
        <v>8888</v>
      </c>
      <c r="AD1241" s="157"/>
      <c r="AE1241" s="115" t="s">
        <v>14</v>
      </c>
      <c r="AF1241" s="188">
        <f ca="1">IF($AE1216,H1241,AF1222)</f>
        <v>8888</v>
      </c>
      <c r="AG1241" s="196">
        <f ca="1">IF($AE1216,I1241,AG1222)</f>
        <v>8888</v>
      </c>
      <c r="BD1241" s="157"/>
    </row>
    <row r="1242" spans="2:56" ht="15" thickBot="1">
      <c r="B1242" s="156"/>
      <c r="G1242" s="130" t="s">
        <v>396</v>
      </c>
      <c r="H1242" s="130">
        <f ca="1">H1218</f>
        <v>8888</v>
      </c>
      <c r="I1242" s="140">
        <f ca="1">I1218</f>
        <v>8888</v>
      </c>
      <c r="AE1242" s="130" t="s">
        <v>396</v>
      </c>
      <c r="AF1242" s="130">
        <f ca="1">IF($AE1216,H1242,AF1222)</f>
        <v>8888</v>
      </c>
      <c r="AG1242" s="132">
        <f ca="1">IF($AE1216,I1242,AG1222)</f>
        <v>8888</v>
      </c>
      <c r="BD1242" s="157"/>
    </row>
    <row r="1243" spans="2:56">
      <c r="B1243" s="156"/>
      <c r="BD1243" s="157"/>
    </row>
    <row r="1244" spans="2:56">
      <c r="B1244" s="156"/>
      <c r="BD1244" s="157"/>
    </row>
    <row r="1245" spans="2:56">
      <c r="B1245" s="156"/>
      <c r="C1245" s="200" t="s">
        <v>336</v>
      </c>
      <c r="D1245">
        <f>D1209+1</f>
        <v>30</v>
      </c>
      <c r="G1245" s="200" t="s">
        <v>638</v>
      </c>
      <c r="H1245">
        <f ca="1">LOOKUP(D1248,$C$191:$C$196,$D$191:$D$196)</f>
        <v>0</v>
      </c>
      <c r="K1245" s="200" t="s">
        <v>644</v>
      </c>
      <c r="L1245">
        <f ca="1">L1209-H1250</f>
        <v>-16.562000000000005</v>
      </c>
      <c r="O1245" s="200" t="s">
        <v>404</v>
      </c>
      <c r="P1245">
        <f ca="1">IF(D1247=1,SEAT_w_cushion_FC,IF(D1247=2,SEAT_w_cushion_BC,IF(D1247=3,SEAT_w_cushion_YC,0)))</f>
        <v>0</v>
      </c>
      <c r="S1245" s="200" t="s">
        <v>647</v>
      </c>
      <c r="T1245">
        <f ca="1">LOOKUP(D1248,$C$191:$C$196,$E$191:$E$196)</f>
        <v>0</v>
      </c>
      <c r="W1245" t="s">
        <v>130</v>
      </c>
      <c r="X1245" t="str">
        <f ca="1">OFFSET(Fuselage!$B$275,D1245,5)</f>
        <v>None</v>
      </c>
      <c r="AN1245" s="200" t="s">
        <v>135</v>
      </c>
      <c r="AO1245">
        <f ca="1">MAX(0,H1250-MAX(T1245,T1247,T1249,P1246)-X1246)</f>
        <v>0</v>
      </c>
      <c r="BD1245" s="157"/>
    </row>
    <row r="1246" spans="2:56">
      <c r="B1246" s="156"/>
      <c r="C1246" s="200" t="s">
        <v>200</v>
      </c>
      <c r="D1246" t="str">
        <f ca="1">OFFSET(Fuselage!$B$275,D1245,0)</f>
        <v/>
      </c>
      <c r="G1246" s="200" t="s">
        <v>639</v>
      </c>
      <c r="H1246">
        <f ca="1">LOOKUP(D1249,$C$191:$C$196,$D$191:$D$196)</f>
        <v>0</v>
      </c>
      <c r="O1246" s="200" t="s">
        <v>535</v>
      </c>
      <c r="P1246">
        <f ca="1">IF(D1247=1,SEAT_length_FC,IF(D1247=2,SEAT_length_BC,IF(D1247=3,SEAT_length_YC,0)))</f>
        <v>0</v>
      </c>
      <c r="S1246" s="200" t="s">
        <v>648</v>
      </c>
      <c r="T1246">
        <f ca="1">LOOKUP(D1248,$C$191:$C$196,$F$191:$F$196)</f>
        <v>0</v>
      </c>
      <c r="W1246" t="s">
        <v>131</v>
      </c>
      <c r="X1246">
        <f ca="1">LOOKUP(X1245,$I$191:$I$198,$J$191:$J$198)</f>
        <v>0</v>
      </c>
      <c r="BD1246" s="157"/>
    </row>
    <row r="1247" spans="2:56">
      <c r="B1247" s="156"/>
      <c r="C1247" s="200" t="s">
        <v>337</v>
      </c>
      <c r="D1247" t="str">
        <f ca="1">OFFSET(Fuselage!$B$275,D1245,4)</f>
        <v/>
      </c>
      <c r="G1247" s="200" t="s">
        <v>309</v>
      </c>
      <c r="H1247">
        <f ca="1">LOOKUP(D1250,$C$191:$C$196,$D$191:$D$196)</f>
        <v>0</v>
      </c>
      <c r="K1247" s="200" t="s">
        <v>645</v>
      </c>
      <c r="L1247">
        <f ca="1">IF(D1247=1,FUSELAGE_nseats_left_FC,IF(D1247=2,FUSELAGE_nseats_left_BC,IF(D1247=3,FUSELAGE_nseats_left_YC,0)))</f>
        <v>0</v>
      </c>
      <c r="O1247" s="200" t="s">
        <v>405</v>
      </c>
      <c r="P1247">
        <f ca="1">IF(D1247=1,SEAT_w_armrest_FC,IF(D1247=2,SEAT_w_armrest_BC,IF(D1247=3,SEAT_w_armrest_YC,0)))</f>
        <v>0</v>
      </c>
      <c r="S1247" s="200" t="s">
        <v>652</v>
      </c>
      <c r="T1247">
        <f ca="1">LOOKUP(D1249,$C$191:$C$196,$E$191:$E$196)</f>
        <v>0</v>
      </c>
      <c r="W1247" s="200" t="s">
        <v>393</v>
      </c>
      <c r="X1247" t="b">
        <f ca="1">IF(OFFSET(Fuselage!$B$275,D1245,6)="YES",TRUE(),FALSE())</f>
        <v>0</v>
      </c>
      <c r="BD1247" s="157"/>
    </row>
    <row r="1248" spans="2:56">
      <c r="B1248" s="156"/>
      <c r="C1248" s="200" t="s">
        <v>640</v>
      </c>
      <c r="D1248" t="str">
        <f ca="1">OFFSET(Fuselage!$B$275,D1245,1)</f>
        <v>None</v>
      </c>
      <c r="G1248" s="200" t="s">
        <v>132</v>
      </c>
      <c r="H1248">
        <f ca="1">IF(D1247=1,SEAT_pitch_FC,IF(D1247=2,SEAT_pitch_BC,IF(D1247=3,SEAT_pitch_YC,0)))</f>
        <v>0</v>
      </c>
      <c r="K1248" s="200" t="s">
        <v>646</v>
      </c>
      <c r="L1248">
        <f ca="1">IF(D1247=1,FUSELAGE_nseats_middle_FC,IF(D1247=2,FUSELAGE_nseats_middle_BC,IF(D1247=3,FUSELAGE_nseats_middle_YC,0)))</f>
        <v>0</v>
      </c>
      <c r="S1248" s="200" t="s">
        <v>653</v>
      </c>
      <c r="T1248">
        <f ca="1">LOOKUP(D1249,$C$191:$C$196,$F$191:$F$196)</f>
        <v>0</v>
      </c>
      <c r="BD1248" s="157"/>
    </row>
    <row r="1249" spans="2:56">
      <c r="B1249" s="156"/>
      <c r="C1249" s="200" t="s">
        <v>642</v>
      </c>
      <c r="D1249" t="str">
        <f ca="1">OFFSET(Fuselage!$B$275,D1245,2)</f>
        <v>None</v>
      </c>
      <c r="G1249" s="200" t="s">
        <v>129</v>
      </c>
      <c r="H1249">
        <f ca="1">IF(OR(X1245="Type A",X1245="Type B"),MAX(H1245:H1248)+42*0.0254,IF(X1245="Type C",MAX(H1245:H1248)+X1246,IF(X1245&lt;&gt;"None",24*0.0254,0)))</f>
        <v>0</v>
      </c>
      <c r="K1249" s="200" t="s">
        <v>655</v>
      </c>
      <c r="L1249">
        <f ca="1">IF(D1247=1,FUSELAGE_nseats_right_FC,IF(D1247=2,FUSELAGE_nseats_right_BC,IF(D1247=3,FUSELAGE_nseats_right_YC,0)))</f>
        <v>0</v>
      </c>
      <c r="O1249" s="200" t="s">
        <v>407</v>
      </c>
      <c r="P1249">
        <f ca="1">($C$13-(L1247+L1248+L1249)*(P1245+P1247)+(FUSELAGE_n_aisles-1)*P1247)/FUSELAGE_n_aisles</f>
        <v>2.76</v>
      </c>
      <c r="S1249" s="200" t="s">
        <v>651</v>
      </c>
      <c r="T1249">
        <f ca="1">LOOKUP(D1250,$C$191:$C$196,$E$191:$E$196)</f>
        <v>0</v>
      </c>
      <c r="BD1249" s="157"/>
    </row>
    <row r="1250" spans="2:56">
      <c r="B1250" s="156"/>
      <c r="C1250" s="200" t="s">
        <v>641</v>
      </c>
      <c r="D1250" t="str">
        <f ca="1">OFFSET(Fuselage!$B$275,D1245,3)</f>
        <v>None</v>
      </c>
      <c r="G1250" s="200" t="s">
        <v>643</v>
      </c>
      <c r="H1250">
        <f ca="1">MAX(H1245:H1249)</f>
        <v>0</v>
      </c>
      <c r="S1250" s="200" t="s">
        <v>654</v>
      </c>
      <c r="T1250">
        <f ca="1">LOOKUP(D1250,$C$191:$C$196,$F$191:$F$196)</f>
        <v>0</v>
      </c>
      <c r="BD1250" s="157"/>
    </row>
    <row r="1251" spans="2:56" ht="15" thickBot="1">
      <c r="B1251" s="156"/>
      <c r="BD1251" s="157"/>
    </row>
    <row r="1252" spans="2:56" ht="15" thickBot="1">
      <c r="B1252" s="156"/>
      <c r="C1252" s="141">
        <f ca="1">L1249</f>
        <v>0</v>
      </c>
      <c r="D1252" s="197" t="str">
        <f ca="1">IF($D1247=1,"FC",IF($D1247=2,"BC",IF($D1247=3,"YC","Nothing")))</f>
        <v>Nothing</v>
      </c>
      <c r="E1252" s="198"/>
      <c r="G1252" s="141">
        <f ca="1">L1248</f>
        <v>0</v>
      </c>
      <c r="H1252" s="197" t="str">
        <f ca="1">IF($D1247=1,"FC",IF($D1247=2,"BC",IF($D1247=3,"YC","Nothing")))</f>
        <v>Nothing</v>
      </c>
      <c r="I1252" s="198"/>
      <c r="K1252" s="141">
        <f ca="1" xml:space="preserve"> L1247</f>
        <v>0</v>
      </c>
      <c r="L1252" s="197" t="str">
        <f ca="1">IF($D1247=1,"FC",IF($D1247=2,"BC",IF($D1247=3,"YC","Nothing")))</f>
        <v>Nothing</v>
      </c>
      <c r="M1252" s="198"/>
      <c r="O1252" s="141">
        <f ca="1">IF($D1250&lt;&gt;"None",1,0)</f>
        <v>0</v>
      </c>
      <c r="P1252" s="326" t="s">
        <v>380</v>
      </c>
      <c r="Q1252" s="327"/>
      <c r="S1252" s="141">
        <f ca="1">IF($D1249&lt;&gt;"None",1,0)</f>
        <v>0</v>
      </c>
      <c r="T1252" s="326" t="s">
        <v>381</v>
      </c>
      <c r="U1252" s="327"/>
      <c r="W1252" s="141">
        <f ca="1">IF($D1248&lt;&gt;"None",1,0)</f>
        <v>0</v>
      </c>
      <c r="X1252" s="326" t="s">
        <v>382</v>
      </c>
      <c r="Y1252" s="327"/>
      <c r="AA1252" s="141">
        <f ca="1">IF($D1250="None",1,0)</f>
        <v>1</v>
      </c>
      <c r="AB1252" s="326" t="str">
        <f ca="1">IF(AA1252,D1252,$D1250)</f>
        <v>Nothing</v>
      </c>
      <c r="AC1252" s="327"/>
      <c r="AE1252" s="141">
        <f ca="1">IF($D1249="None",1,0)</f>
        <v>1</v>
      </c>
      <c r="AF1252" s="326" t="str">
        <f ca="1">IF(AE1252,H1252,$D1249)</f>
        <v>Nothing</v>
      </c>
      <c r="AG1252" s="327"/>
      <c r="AI1252" s="141">
        <f ca="1">IF($D1248="None",1,0)</f>
        <v>1</v>
      </c>
      <c r="AJ1252" s="326" t="str">
        <f ca="1">IF(AI1252,L1252,$D1248)</f>
        <v>Nothing</v>
      </c>
      <c r="AK1252" s="327"/>
      <c r="AM1252" s="141">
        <f ca="1">IF($X1245="None",0,1)</f>
        <v>0</v>
      </c>
      <c r="AN1252" s="197" t="s">
        <v>133</v>
      </c>
      <c r="AO1252" s="198"/>
      <c r="AQ1252" s="141">
        <f ca="1">IF($X1245="None",0,1)</f>
        <v>0</v>
      </c>
      <c r="AR1252" s="197" t="s">
        <v>134</v>
      </c>
      <c r="AS1252" s="198"/>
      <c r="BD1252" s="157"/>
    </row>
    <row r="1253" spans="2:56" ht="15" thickBot="1">
      <c r="B1253" s="156"/>
      <c r="C1253" s="136" t="s">
        <v>452</v>
      </c>
      <c r="D1253" s="136" t="s">
        <v>384</v>
      </c>
      <c r="E1253" s="138" t="s">
        <v>385</v>
      </c>
      <c r="G1253" s="136" t="s">
        <v>452</v>
      </c>
      <c r="H1253" s="136" t="s">
        <v>384</v>
      </c>
      <c r="I1253" s="138" t="s">
        <v>385</v>
      </c>
      <c r="K1253" s="193" t="s">
        <v>452</v>
      </c>
      <c r="L1253" s="193" t="s">
        <v>384</v>
      </c>
      <c r="M1253" s="194" t="s">
        <v>385</v>
      </c>
      <c r="O1253" s="136" t="s">
        <v>452</v>
      </c>
      <c r="P1253" s="136" t="s">
        <v>384</v>
      </c>
      <c r="Q1253" s="138" t="s">
        <v>385</v>
      </c>
      <c r="S1253" s="136" t="s">
        <v>452</v>
      </c>
      <c r="T1253" s="136" t="s">
        <v>384</v>
      </c>
      <c r="U1253" s="138" t="s">
        <v>385</v>
      </c>
      <c r="W1253" s="136" t="s">
        <v>452</v>
      </c>
      <c r="X1253" s="136" t="s">
        <v>384</v>
      </c>
      <c r="Y1253" s="138" t="s">
        <v>385</v>
      </c>
      <c r="AA1253" s="136" t="s">
        <v>452</v>
      </c>
      <c r="AB1253" s="136" t="s">
        <v>384</v>
      </c>
      <c r="AC1253" s="138" t="s">
        <v>385</v>
      </c>
      <c r="AE1253" s="136" t="s">
        <v>452</v>
      </c>
      <c r="AF1253" s="136" t="s">
        <v>384</v>
      </c>
      <c r="AG1253" s="138" t="s">
        <v>385</v>
      </c>
      <c r="AI1253" s="193" t="s">
        <v>452</v>
      </c>
      <c r="AJ1253" s="193" t="s">
        <v>384</v>
      </c>
      <c r="AK1253" s="194" t="s">
        <v>385</v>
      </c>
      <c r="AM1253" s="193" t="s">
        <v>452</v>
      </c>
      <c r="AN1253" s="193" t="s">
        <v>384</v>
      </c>
      <c r="AO1253" s="194" t="s">
        <v>385</v>
      </c>
      <c r="AQ1253" s="193" t="s">
        <v>452</v>
      </c>
      <c r="AR1253" s="193" t="s">
        <v>384</v>
      </c>
      <c r="AS1253" s="194" t="s">
        <v>385</v>
      </c>
      <c r="BD1253" s="157"/>
    </row>
    <row r="1254" spans="2:56">
      <c r="B1254" s="156"/>
      <c r="C1254" s="128" t="s">
        <v>396</v>
      </c>
      <c r="D1254" s="158">
        <f ca="1">IF(C1252&gt;=1,L1245,8888)</f>
        <v>8888</v>
      </c>
      <c r="E1254" s="160">
        <f ca="1">IF(C1252&gt;=1,1/2*($C$13-P1245-2*P1247)+1/2*P1245,8888)</f>
        <v>8888</v>
      </c>
      <c r="G1254" s="128" t="s">
        <v>396</v>
      </c>
      <c r="H1254" s="158">
        <f ca="1">IF(G1252&gt;=1,L1245,8888)</f>
        <v>8888</v>
      </c>
      <c r="I1254" s="160">
        <f ca="1">IF(G1252&gt;=1,E1265-P1249,8888)</f>
        <v>8888</v>
      </c>
      <c r="K1254" s="128" t="s">
        <v>396</v>
      </c>
      <c r="L1254" s="158">
        <f ca="1">IF(K1252&gt;=1,L1245,8888)</f>
        <v>8888</v>
      </c>
      <c r="M1254" s="160">
        <f ca="1">IF(K1252&gt;=1,IF(FUSELAGE_n_aisles=1,E1265-P1249,I1277-P1249),8888)</f>
        <v>8888</v>
      </c>
      <c r="O1254" s="128" t="s">
        <v>396</v>
      </c>
      <c r="P1254" s="158">
        <f ca="1">IF(O1252,$L1245,8888)</f>
        <v>8888</v>
      </c>
      <c r="Q1254" s="209">
        <f ca="1">IF(O1252,FUSELAGE_y_position_of_left_seat_YC-(FUSELAGE_nseats_right_YC-1)*(SEAT_w_cushion_YC+SEAT_w_armrest_YC)/2+T1250/2,8888)</f>
        <v>8888</v>
      </c>
      <c r="S1254" s="128" t="s">
        <v>396</v>
      </c>
      <c r="T1254" s="158">
        <f ca="1">IF(S1252,$L1245,8888)</f>
        <v>8888</v>
      </c>
      <c r="U1254" s="160">
        <f ca="1">IF(S1252,T1248/2,8888)</f>
        <v>8888</v>
      </c>
      <c r="W1254" s="128" t="s">
        <v>396</v>
      </c>
      <c r="X1254" s="158">
        <f ca="1">IF(W1252,$L1245,8888)</f>
        <v>8888</v>
      </c>
      <c r="Y1254" s="160">
        <f ca="1">IF(W1252,-FUSELAGE_y_position_of_left_seat_YC+(FUSELAGE_nseats_left_YC-1)*(SEAT_w_cushion_YC+SEAT_w_armrest_YC)/2-T1246/2,8888)</f>
        <v>8888</v>
      </c>
      <c r="AA1254" s="128" t="s">
        <v>396</v>
      </c>
      <c r="AB1254" s="158">
        <f ca="1">IF($AA1252,D1254,P1254)</f>
        <v>8888</v>
      </c>
      <c r="AC1254" s="174">
        <f ca="1">IF($AA1252,E1254,Q1254)</f>
        <v>8888</v>
      </c>
      <c r="AE1254" s="128" t="s">
        <v>396</v>
      </c>
      <c r="AF1254" s="158">
        <f ca="1">IF($AE1252,H1254,T1254)</f>
        <v>8888</v>
      </c>
      <c r="AG1254" s="174">
        <f ca="1">IF($AE1252,I1254,U1254)</f>
        <v>8888</v>
      </c>
      <c r="AI1254" s="128" t="s">
        <v>396</v>
      </c>
      <c r="AJ1254" s="158">
        <f ca="1">IF($AI1252,L1254,X1254)</f>
        <v>8888</v>
      </c>
      <c r="AK1254" s="174">
        <f ca="1">IF($AI1252,M1254,Y1254)</f>
        <v>8888</v>
      </c>
      <c r="AM1254" s="128" t="s">
        <v>396</v>
      </c>
      <c r="AN1254" s="158">
        <f ca="1">AN1223</f>
        <v>-16.562000000000005</v>
      </c>
      <c r="AO1254" s="174">
        <f ca="1">IF(AN1254&gt;-Fuselage!$D$366,(FUSELAGE_a_ellipse)*SQRT(1-((AN1254+Fuselage!$D$366)/(Fuselage!$K$364-FUSELAGE_t_fuselage))^2),IF(AN1254&gt;$L$2505+Fuselage!$K$370,FUSELAGE_a_ellipse,(FUSELAGE_a_ellipse+FUSELAGE_t_fuselage-FUSELAGE_d_fo/4)/Fuselage!$K$368*(AN1254-$L$2505-Fuselage!$K$370)+FUSELAGE_a_ellipse))</f>
        <v>1.4960570012328709</v>
      </c>
      <c r="AQ1254" s="128" t="s">
        <v>396</v>
      </c>
      <c r="AR1254" s="158">
        <f t="shared" ref="AR1254:AR1259" ca="1" si="124">AN1254</f>
        <v>-16.562000000000005</v>
      </c>
      <c r="AS1254" s="174">
        <f t="shared" ref="AS1254:AS1259" ca="1" si="125">-AO1254</f>
        <v>-1.4960570012328709</v>
      </c>
      <c r="BD1254" s="157"/>
    </row>
    <row r="1255" spans="2:56">
      <c r="B1255" s="156"/>
      <c r="C1255" s="128" t="s">
        <v>213</v>
      </c>
      <c r="D1255" s="128">
        <f ca="1">IF(X1247,D1254+P1246/4,D1254+P1246)</f>
        <v>8888</v>
      </c>
      <c r="E1255" s="139">
        <f ca="1">E1254</f>
        <v>8888</v>
      </c>
      <c r="G1255" s="128" t="s">
        <v>213</v>
      </c>
      <c r="H1255" s="128">
        <f ca="1">H1254+P1246</f>
        <v>8888</v>
      </c>
      <c r="I1255" s="139">
        <f ca="1">I1254</f>
        <v>8888</v>
      </c>
      <c r="K1255" s="128" t="s">
        <v>213</v>
      </c>
      <c r="L1255" s="128">
        <f ca="1">IF(X1247,IF(K1252=1,L1254+P1246/4,L1254+P1246),L1254+P1246)</f>
        <v>8888</v>
      </c>
      <c r="M1255" s="139">
        <f ca="1">M1254</f>
        <v>8888</v>
      </c>
      <c r="O1255" s="128" t="s">
        <v>213</v>
      </c>
      <c r="P1255" s="128">
        <f ca="1">P1254+$T1249</f>
        <v>8888</v>
      </c>
      <c r="Q1255" s="139">
        <f ca="1">Q1254</f>
        <v>8888</v>
      </c>
      <c r="S1255" s="128" t="s">
        <v>213</v>
      </c>
      <c r="T1255" s="128">
        <f ca="1">T1254+$T1247</f>
        <v>8888</v>
      </c>
      <c r="U1255" s="139">
        <f ca="1">U1254</f>
        <v>8888</v>
      </c>
      <c r="W1255" s="128" t="s">
        <v>213</v>
      </c>
      <c r="X1255" s="128">
        <f ca="1">X1254+$T1245</f>
        <v>8888</v>
      </c>
      <c r="Y1255" s="139">
        <f ca="1">Y1254</f>
        <v>8888</v>
      </c>
      <c r="AA1255" s="143" t="s">
        <v>213</v>
      </c>
      <c r="AB1255" s="128">
        <f ca="1">IF($AA1252,D1255,P1255)</f>
        <v>8888</v>
      </c>
      <c r="AC1255" s="129">
        <f ca="1">IF($AA1252,E1255,Q1255)</f>
        <v>8888</v>
      </c>
      <c r="AE1255" s="128" t="s">
        <v>213</v>
      </c>
      <c r="AF1255" s="128">
        <f ca="1">IF($AE1252,H1255,T1255)</f>
        <v>8888</v>
      </c>
      <c r="AG1255" s="129">
        <f ca="1">IF($AE1252,I1255,U1255)</f>
        <v>8888</v>
      </c>
      <c r="AI1255" s="128" t="s">
        <v>213</v>
      </c>
      <c r="AJ1255" s="128">
        <f ca="1">IF($AI1252,L1255,X1255)</f>
        <v>8888</v>
      </c>
      <c r="AK1255" s="129">
        <f ca="1">IF($AI1252,M1255,Y1255)</f>
        <v>8888</v>
      </c>
      <c r="AM1255" s="128" t="s">
        <v>213</v>
      </c>
      <c r="AN1255" s="128">
        <f ca="1">AN1254-AO1245/2</f>
        <v>-16.562000000000005</v>
      </c>
      <c r="AO1255" s="129">
        <f ca="1">IF(AN1255&gt;-Fuselage!$D$366,(FUSELAGE_a_ellipse)*SQRT(1-((AN1255+Fuselage!$D$366)/(Fuselage!$K$364-FUSELAGE_t_fuselage))^2),IF(AN1255&gt;$L$2505+Fuselage!$K$370,FUSELAGE_a_ellipse,(FUSELAGE_a_ellipse+FUSELAGE_t_fuselage-FUSELAGE_d_fo/4)/Fuselage!$K$368*(AN1255-$L$2505-Fuselage!$K$370)+FUSELAGE_a_ellipse))</f>
        <v>1.4960570012328709</v>
      </c>
      <c r="AQ1255" s="128" t="s">
        <v>213</v>
      </c>
      <c r="AR1255" s="128">
        <f t="shared" ca="1" si="124"/>
        <v>-16.562000000000005</v>
      </c>
      <c r="AS1255" s="129">
        <f t="shared" ca="1" si="125"/>
        <v>-1.4960570012328709</v>
      </c>
      <c r="BD1255" s="157"/>
    </row>
    <row r="1256" spans="2:56">
      <c r="B1256" s="156"/>
      <c r="C1256" s="128" t="s">
        <v>286</v>
      </c>
      <c r="D1256" s="128">
        <f ca="1">D1255</f>
        <v>8888</v>
      </c>
      <c r="E1256" s="139">
        <f ca="1">E1255-P1245</f>
        <v>8888</v>
      </c>
      <c r="G1256" s="128" t="s">
        <v>286</v>
      </c>
      <c r="H1256" s="128">
        <f ca="1">H1255</f>
        <v>8888</v>
      </c>
      <c r="I1256" s="139">
        <f ca="1">I1255-P1245</f>
        <v>8888</v>
      </c>
      <c r="K1256" s="128" t="s">
        <v>286</v>
      </c>
      <c r="L1256" s="128">
        <f ca="1">L1255</f>
        <v>8888</v>
      </c>
      <c r="M1256" s="139">
        <f ca="1">M1255-P1245</f>
        <v>8888</v>
      </c>
      <c r="O1256" s="128" t="s">
        <v>286</v>
      </c>
      <c r="P1256" s="128">
        <f ca="1">P1255</f>
        <v>8888</v>
      </c>
      <c r="Q1256" s="139">
        <f ca="1">Q1255-$T1250</f>
        <v>8888</v>
      </c>
      <c r="S1256" s="128" t="s">
        <v>286</v>
      </c>
      <c r="T1256" s="128">
        <f ca="1">T1255</f>
        <v>8888</v>
      </c>
      <c r="U1256" s="139">
        <f ca="1">U1255-$T1248</f>
        <v>8888</v>
      </c>
      <c r="W1256" s="128" t="s">
        <v>286</v>
      </c>
      <c r="X1256" s="128">
        <f ca="1">X1255</f>
        <v>8888</v>
      </c>
      <c r="Y1256" s="139">
        <f ca="1">Y1255+$T1246</f>
        <v>8888</v>
      </c>
      <c r="AA1256" s="143" t="s">
        <v>286</v>
      </c>
      <c r="AB1256" s="128">
        <f ca="1">IF($AA1252,D1256,P1256)</f>
        <v>8888</v>
      </c>
      <c r="AC1256" s="129">
        <f ca="1">IF($AA1252,E1256,Q1256)</f>
        <v>8888</v>
      </c>
      <c r="AE1256" s="128" t="s">
        <v>286</v>
      </c>
      <c r="AF1256" s="128">
        <f ca="1">IF($AE1252,H1256,T1256)</f>
        <v>8888</v>
      </c>
      <c r="AG1256" s="129">
        <f ca="1">IF($AE1252,I1256,U1256)</f>
        <v>8888</v>
      </c>
      <c r="AI1256" s="128" t="s">
        <v>286</v>
      </c>
      <c r="AJ1256" s="128">
        <f ca="1">IF($AI1252,L1256,X1256)</f>
        <v>8888</v>
      </c>
      <c r="AK1256" s="129">
        <f ca="1">IF($AI1252,M1256,Y1256)</f>
        <v>8888</v>
      </c>
      <c r="AM1256" s="128" t="s">
        <v>286</v>
      </c>
      <c r="AN1256" s="128">
        <f ca="1">AN1255</f>
        <v>-16.562000000000005</v>
      </c>
      <c r="AO1256" s="129">
        <f ca="1">IF(AN1256&gt;-Fuselage!$D$366,IF(AM1252,(FUSELAGE_a_ellipse+FUSELAGE_t_fuselage)*SQRT(1-((AN1256+Fuselage!$D$366)/Fuselage!$K$364)^2),(FUSELAGE_a_ellipse)*SQRT(1-((AN1256+Fuselage!$D$366)/Fuselage!$K$364)^2)),IF(AN1256&gt;$L$2505+Fuselage!$K$370,(IF(AM1252,FUSELAGE_a_ellipse+FUSELAGE_t_fuselage,FUSELAGE_a_ellipse)),IF(AM1252,(FUSELAGE_a_ellipse+FUSELAGE_t_fuselage-FUSELAGE_d_fo/4)/Fuselage!$K$368*(AN1256-$L$2505-Fuselage!$K$370)+FUSELAGE_a_ellipse+FUSELAGE_t_fuselage,(FUSELAGE_a_ellipse+FUSELAGE_t_fuselage-FUSELAGE_d_fo/4)/Fuselage!$K$368*(AN1256-$L$2505-Fuselage!$K$370)+FUSELAGE_a_ellipse)))</f>
        <v>1.4960570012328709</v>
      </c>
      <c r="AQ1256" s="128" t="s">
        <v>286</v>
      </c>
      <c r="AR1256" s="128">
        <f t="shared" ca="1" si="124"/>
        <v>-16.562000000000005</v>
      </c>
      <c r="AS1256" s="129">
        <f t="shared" ca="1" si="125"/>
        <v>-1.4960570012328709</v>
      </c>
      <c r="BD1256" s="157"/>
    </row>
    <row r="1257" spans="2:56">
      <c r="B1257" s="156"/>
      <c r="C1257" s="188" t="s">
        <v>522</v>
      </c>
      <c r="D1257" s="188">
        <f ca="1">D1254</f>
        <v>8888</v>
      </c>
      <c r="E1257" s="189">
        <f ca="1">E1256</f>
        <v>8888</v>
      </c>
      <c r="F1257" s="157"/>
      <c r="G1257" s="2" t="s">
        <v>522</v>
      </c>
      <c r="H1257" s="128">
        <f ca="1">H1254</f>
        <v>8888</v>
      </c>
      <c r="I1257" s="139">
        <f ca="1">I1256</f>
        <v>8888</v>
      </c>
      <c r="K1257" s="128" t="s">
        <v>522</v>
      </c>
      <c r="L1257" s="128">
        <f ca="1">L1254</f>
        <v>8888</v>
      </c>
      <c r="M1257" s="139">
        <f ca="1">M1256</f>
        <v>8888</v>
      </c>
      <c r="O1257" s="188" t="s">
        <v>522</v>
      </c>
      <c r="P1257" s="188">
        <f ca="1">P1254</f>
        <v>8888</v>
      </c>
      <c r="Q1257" s="189">
        <f ca="1">Q1256</f>
        <v>8888</v>
      </c>
      <c r="S1257" s="188" t="s">
        <v>522</v>
      </c>
      <c r="T1257" s="188">
        <f ca="1">T1254</f>
        <v>8888</v>
      </c>
      <c r="U1257" s="189">
        <f ca="1">U1256</f>
        <v>8888</v>
      </c>
      <c r="W1257" s="188" t="s">
        <v>522</v>
      </c>
      <c r="X1257" s="188">
        <f ca="1">X1254</f>
        <v>8888</v>
      </c>
      <c r="Y1257" s="189">
        <f ca="1">Y1256</f>
        <v>8888</v>
      </c>
      <c r="AA1257" s="195" t="s">
        <v>522</v>
      </c>
      <c r="AB1257" s="128">
        <f ca="1">IF($AA1252,D1257,P1257)</f>
        <v>8888</v>
      </c>
      <c r="AC1257" s="129">
        <f ca="1">IF($AA1252,E1257,Q1257)</f>
        <v>8888</v>
      </c>
      <c r="AD1257" s="157"/>
      <c r="AE1257" s="2" t="s">
        <v>522</v>
      </c>
      <c r="AF1257" s="188">
        <f ca="1">IF($AE1252,H1257,T1257)</f>
        <v>8888</v>
      </c>
      <c r="AG1257" s="196">
        <f ca="1">IF($AE1252,I1257,U1257)</f>
        <v>8888</v>
      </c>
      <c r="AI1257" s="128" t="s">
        <v>522</v>
      </c>
      <c r="AJ1257" s="188">
        <f ca="1">IF($AI1252,L1257,X1257)</f>
        <v>8888</v>
      </c>
      <c r="AK1257" s="196">
        <f ca="1">IF($AI1252,M1257,Y1257)</f>
        <v>8888</v>
      </c>
      <c r="AM1257" s="128" t="s">
        <v>522</v>
      </c>
      <c r="AN1257" s="128">
        <f ca="1">AN1256-X1246</f>
        <v>-16.562000000000005</v>
      </c>
      <c r="AO1257" s="129">
        <f ca="1">IF(AN1257&gt;-Fuselage!$D$366,IF(AM1252,(FUSELAGE_a_ellipse+FUSELAGE_t_fuselage)*SQRT(1-((AN1257+Fuselage!$D$366)/Fuselage!$K$364)^2),(FUSELAGE_a_ellipse)*SQRT(1-((AN1257+Fuselage!$D$366)/Fuselage!$K$364)^2)),IF(AN1257&gt;$L$2505+Fuselage!$K$370,(IF(AM1252,FUSELAGE_a_ellipse+FUSELAGE_t_fuselage,FUSELAGE_a_ellipse)),IF(AM1252,(FUSELAGE_a_ellipse+FUSELAGE_t_fuselage-FUSELAGE_d_fo/4)/Fuselage!$K$368*(AN1257-$L$2505-Fuselage!$K$370)+FUSELAGE_a_ellipse+FUSELAGE_t_fuselage,(FUSELAGE_a_ellipse+FUSELAGE_t_fuselage-FUSELAGE_d_fo/4)/Fuselage!$K$368*(AN1257-$L$2505-Fuselage!$K$370)+FUSELAGE_a_ellipse)))</f>
        <v>1.4960570012328709</v>
      </c>
      <c r="AQ1257" s="128" t="s">
        <v>522</v>
      </c>
      <c r="AR1257" s="128">
        <f t="shared" ca="1" si="124"/>
        <v>-16.562000000000005</v>
      </c>
      <c r="AS1257" s="129">
        <f t="shared" ca="1" si="125"/>
        <v>-1.4960570012328709</v>
      </c>
      <c r="BD1257" s="157"/>
    </row>
    <row r="1258" spans="2:56" ht="15" thickBot="1">
      <c r="B1258" s="156"/>
      <c r="C1258" s="128" t="s">
        <v>49</v>
      </c>
      <c r="D1258" s="128">
        <f ca="1">IF(C1252&gt;=2,D1254,D1257)</f>
        <v>8888</v>
      </c>
      <c r="E1258" s="139">
        <f ca="1">IF(C1252&gt;=2,E1257-P1247,E1257)</f>
        <v>8888</v>
      </c>
      <c r="F1258" s="157"/>
      <c r="G1258" s="192" t="s">
        <v>49</v>
      </c>
      <c r="H1258" s="190">
        <f ca="1">IF(G1252&gt;=2,H1254,H1257)</f>
        <v>8888</v>
      </c>
      <c r="I1258" s="191">
        <f ca="1">IF(G1252&gt;=2,I1257-P1247,I1257)</f>
        <v>8888</v>
      </c>
      <c r="K1258" s="190" t="s">
        <v>49</v>
      </c>
      <c r="L1258" s="190">
        <f ca="1">IF(K1252&gt;=2,L1254,L1257)</f>
        <v>8888</v>
      </c>
      <c r="M1258" s="191">
        <f ca="1">IF(K1252&gt;=2,M1257-P1247,M1257)</f>
        <v>8888</v>
      </c>
      <c r="O1258" s="130" t="s">
        <v>396</v>
      </c>
      <c r="P1258" s="130">
        <f ca="1">P1254</f>
        <v>8888</v>
      </c>
      <c r="Q1258" s="140">
        <f ca="1">Q1254</f>
        <v>8888</v>
      </c>
      <c r="S1258" s="130" t="s">
        <v>396</v>
      </c>
      <c r="T1258" s="130">
        <f ca="1">T1254</f>
        <v>8888</v>
      </c>
      <c r="U1258" s="140">
        <f ca="1">U1254</f>
        <v>8888</v>
      </c>
      <c r="W1258" s="130" t="s">
        <v>396</v>
      </c>
      <c r="X1258" s="130">
        <f ca="1">X1254</f>
        <v>8888</v>
      </c>
      <c r="Y1258" s="140">
        <f ca="1">Y1254</f>
        <v>8888</v>
      </c>
      <c r="AA1258" s="143" t="s">
        <v>49</v>
      </c>
      <c r="AB1258" s="128">
        <f ca="1">IF($AA1252,D1258,P1258)</f>
        <v>8888</v>
      </c>
      <c r="AC1258" s="129">
        <f ca="1">IF($AA1252,E1258,Q1258)</f>
        <v>8888</v>
      </c>
      <c r="AD1258" s="157"/>
      <c r="AE1258" s="192" t="s">
        <v>49</v>
      </c>
      <c r="AF1258" s="128">
        <f ca="1">IF($AE1252,H1258,T1258)</f>
        <v>8888</v>
      </c>
      <c r="AG1258" s="129">
        <f ca="1">IF($AE1252,I1258,U1258)</f>
        <v>8888</v>
      </c>
      <c r="AI1258" s="190" t="s">
        <v>49</v>
      </c>
      <c r="AJ1258" s="128">
        <f ca="1">IF($AI1252,L1258,X1258)</f>
        <v>8888</v>
      </c>
      <c r="AK1258" s="129">
        <f ca="1">IF($AI1252,M1258,Y1258)</f>
        <v>8888</v>
      </c>
      <c r="AM1258" s="128" t="s">
        <v>49</v>
      </c>
      <c r="AN1258" s="128">
        <f ca="1">AN1257</f>
        <v>-16.562000000000005</v>
      </c>
      <c r="AO1258" s="129">
        <f ca="1">IF(AN1258&gt;-Fuselage!$D$366,(FUSELAGE_a_ellipse)*SQRT(1-((AN1258+Fuselage!$D$366)/(Fuselage!$K$364-FUSELAGE_t_fuselage))^2),IF(AN1258&gt;$L$2505+Fuselage!$K$370,FUSELAGE_a_ellipse,(FUSELAGE_a_ellipse+FUSELAGE_t_fuselage-FUSELAGE_d_fo/4)/Fuselage!$K$368*(AN1258-$L$2505-Fuselage!$K$370)+FUSELAGE_a_ellipse))</f>
        <v>1.4960570012328709</v>
      </c>
      <c r="AQ1258" s="128" t="s">
        <v>49</v>
      </c>
      <c r="AR1258" s="128">
        <f t="shared" ca="1" si="124"/>
        <v>-16.562000000000005</v>
      </c>
      <c r="AS1258" s="129">
        <f t="shared" ca="1" si="125"/>
        <v>-1.4960570012328709</v>
      </c>
      <c r="BD1258" s="157"/>
    </row>
    <row r="1259" spans="2:56">
      <c r="B1259" s="156"/>
      <c r="C1259" s="128" t="s">
        <v>453</v>
      </c>
      <c r="D1259" s="128">
        <f ca="1">IF(C1252&gt;=2,D1254+P1246,D1257)</f>
        <v>8888</v>
      </c>
      <c r="E1259" s="139">
        <f ca="1">E1258</f>
        <v>8888</v>
      </c>
      <c r="F1259" s="157"/>
      <c r="G1259" s="2" t="s">
        <v>453</v>
      </c>
      <c r="H1259" s="128">
        <f ca="1">IF(G1252&gt;=2,H1255,H1257)</f>
        <v>8888</v>
      </c>
      <c r="I1259" s="139">
        <f ca="1">IF(G1252&gt;=2,I1258,I1257)</f>
        <v>8888</v>
      </c>
      <c r="K1259" s="128" t="s">
        <v>453</v>
      </c>
      <c r="L1259" s="128">
        <f ca="1">IF(K1252&gt;=2,IF(X1247,IF(K1252=2,L1254+P1246/4,L1254+P1246),L1254+P1246),L1257)</f>
        <v>8888</v>
      </c>
      <c r="M1259" s="139">
        <f ca="1">IF(K1252&gt;=2,M1258,M1257)</f>
        <v>8888</v>
      </c>
      <c r="AA1259" s="143" t="s">
        <v>453</v>
      </c>
      <c r="AB1259" s="128">
        <f ca="1">IF($AA1252,D1259,AB1258)</f>
        <v>8888</v>
      </c>
      <c r="AC1259" s="129">
        <f ca="1">IF($AA1252,E1259,AC1258)</f>
        <v>8888</v>
      </c>
      <c r="AD1259" s="157"/>
      <c r="AE1259" s="2" t="s">
        <v>453</v>
      </c>
      <c r="AF1259" s="128">
        <f ca="1">IF($AE1252,H1259,AF1258)</f>
        <v>8888</v>
      </c>
      <c r="AG1259" s="129">
        <f ca="1">IF($AE1252,I1259,AG1258)</f>
        <v>8888</v>
      </c>
      <c r="AI1259" s="128" t="s">
        <v>453</v>
      </c>
      <c r="AJ1259" s="128">
        <f ca="1">IF($AI1252,L1259,AJ1258)</f>
        <v>8888</v>
      </c>
      <c r="AK1259" s="129">
        <f ca="1">IF($AI1252,M1259,AK1258)</f>
        <v>8888</v>
      </c>
      <c r="AM1259" s="128" t="s">
        <v>453</v>
      </c>
      <c r="AN1259" s="128">
        <f ca="1">L1245</f>
        <v>-16.562000000000005</v>
      </c>
      <c r="AO1259" s="129">
        <f ca="1">IF(AN1259&gt;-Fuselage!$D$366,(FUSELAGE_a_ellipse)*SQRT(1-((AN1259+Fuselage!$D$366)/(Fuselage!$K$364-FUSELAGE_t_fuselage))^2),IF(AN1259&gt;$L$2505+Fuselage!$K$370,FUSELAGE_a_ellipse,(FUSELAGE_a_ellipse+FUSELAGE_t_fuselage-FUSELAGE_d_fo/4)/Fuselage!$K$368*(AN1259-$L$2505-Fuselage!$K$370)+FUSELAGE_a_ellipse))</f>
        <v>1.4960570012328709</v>
      </c>
      <c r="AQ1259" s="128" t="s">
        <v>453</v>
      </c>
      <c r="AR1259" s="128">
        <f t="shared" ca="1" si="124"/>
        <v>-16.562000000000005</v>
      </c>
      <c r="AS1259" s="129">
        <f t="shared" ca="1" si="125"/>
        <v>-1.4960570012328709</v>
      </c>
      <c r="BD1259" s="157"/>
    </row>
    <row r="1260" spans="2:56">
      <c r="B1260" s="156"/>
      <c r="C1260" s="128" t="s">
        <v>394</v>
      </c>
      <c r="D1260" s="128">
        <f ca="1">IF(C1252&gt;=2,D1259,D1257)</f>
        <v>8888</v>
      </c>
      <c r="E1260" s="139">
        <f ca="1">IF(C1252&gt;=2,E1258-P1245,E1257)</f>
        <v>8888</v>
      </c>
      <c r="F1260" s="157"/>
      <c r="G1260" s="2" t="s">
        <v>394</v>
      </c>
      <c r="H1260" s="128">
        <f ca="1">IF(G1252&gt;=2,H1255,H1257)</f>
        <v>8888</v>
      </c>
      <c r="I1260" s="139">
        <f ca="1">IF(G1252&gt;=2,I1259-P1245,I1257)</f>
        <v>8888</v>
      </c>
      <c r="K1260" s="128" t="s">
        <v>394</v>
      </c>
      <c r="L1260" s="128">
        <f ca="1">L1259</f>
        <v>8888</v>
      </c>
      <c r="M1260" s="139">
        <f ca="1">IF(K1252&gt;=2,M1259-P1245,M1257)</f>
        <v>8888</v>
      </c>
      <c r="AA1260" s="143" t="s">
        <v>394</v>
      </c>
      <c r="AB1260" s="128">
        <f ca="1">IF($AA1252,D1260,AB1258)</f>
        <v>8888</v>
      </c>
      <c r="AC1260" s="129">
        <f ca="1">IF($AA1252,E1260,AC1258)</f>
        <v>8888</v>
      </c>
      <c r="AD1260" s="157"/>
      <c r="AE1260" s="2" t="s">
        <v>394</v>
      </c>
      <c r="AF1260" s="128">
        <f ca="1">IF($AE1252,H1260,AF1258)</f>
        <v>8888</v>
      </c>
      <c r="AG1260" s="129">
        <f ca="1">IF($AE1252,I1260,AG1258)</f>
        <v>8888</v>
      </c>
      <c r="AI1260" s="128" t="s">
        <v>394</v>
      </c>
      <c r="AJ1260" s="128">
        <f ca="1">IF($AI1252,L1260,AJ1258)</f>
        <v>8888</v>
      </c>
      <c r="AK1260" s="129">
        <f ca="1">IF($AI1252,M1260,AK1258)</f>
        <v>8888</v>
      </c>
      <c r="BD1260" s="157"/>
    </row>
    <row r="1261" spans="2:56">
      <c r="B1261" s="156"/>
      <c r="C1261" s="188" t="s">
        <v>454</v>
      </c>
      <c r="D1261" s="188">
        <f ca="1">IF(C1252&gt;=2,D1254,D1257)</f>
        <v>8888</v>
      </c>
      <c r="E1261" s="189">
        <f ca="1">E1260</f>
        <v>8888</v>
      </c>
      <c r="F1261" s="157"/>
      <c r="G1261" s="115" t="s">
        <v>454</v>
      </c>
      <c r="H1261" s="188">
        <f ca="1">IF(G1252&gt;=2,H1254,H1257)</f>
        <v>8888</v>
      </c>
      <c r="I1261" s="189">
        <f ca="1">IF(G1252&gt;=2,I1260,I1257)</f>
        <v>8888</v>
      </c>
      <c r="K1261" s="188" t="s">
        <v>454</v>
      </c>
      <c r="L1261" s="188">
        <f ca="1">IF(K1252&gt;=2,L1254,L1257)</f>
        <v>8888</v>
      </c>
      <c r="M1261" s="189">
        <f ca="1">IF(K1252&gt;=2,M1260,M1257)</f>
        <v>8888</v>
      </c>
      <c r="AA1261" s="195" t="s">
        <v>454</v>
      </c>
      <c r="AB1261" s="128">
        <f ca="1">IF($AA1252,D1261,AB1258)</f>
        <v>8888</v>
      </c>
      <c r="AC1261" s="129">
        <f ca="1">IF($AA1252,E1261,AC1258)</f>
        <v>8888</v>
      </c>
      <c r="AD1261" s="157"/>
      <c r="AE1261" s="115" t="s">
        <v>454</v>
      </c>
      <c r="AF1261" s="188">
        <f ca="1">IF($AE1252,H1261,AF1258)</f>
        <v>8888</v>
      </c>
      <c r="AG1261" s="196">
        <f ca="1">IF($AE1252,I1261,AG1258)</f>
        <v>8888</v>
      </c>
      <c r="AI1261" s="188" t="s">
        <v>454</v>
      </c>
      <c r="AJ1261" s="188">
        <f ca="1">IF($AI1252,L1261,AJ1258)</f>
        <v>8888</v>
      </c>
      <c r="AK1261" s="196">
        <f ca="1">IF($AI1252,M1261,AK1258)</f>
        <v>8888</v>
      </c>
      <c r="BD1261" s="157"/>
    </row>
    <row r="1262" spans="2:56">
      <c r="B1262" s="156"/>
      <c r="C1262" s="128" t="s">
        <v>507</v>
      </c>
      <c r="D1262" s="128">
        <f ca="1">IF(C1252&gt;=3,D1254,D1261)</f>
        <v>8888</v>
      </c>
      <c r="E1262" s="139">
        <f ca="1">IF(C1252&gt;=3,E1261-P1247,E1261)</f>
        <v>8888</v>
      </c>
      <c r="F1262" s="157"/>
      <c r="G1262" s="2" t="s">
        <v>507</v>
      </c>
      <c r="H1262" s="128">
        <f ca="1">IF(G1252&gt;=3,H1254,H1261)</f>
        <v>8888</v>
      </c>
      <c r="I1262" s="139">
        <f ca="1">IF(G1252&gt;=3,I1261-P1247,I1261)</f>
        <v>8888</v>
      </c>
      <c r="K1262" s="128" t="s">
        <v>507</v>
      </c>
      <c r="L1262" s="128">
        <f ca="1">IF(K1252&gt;=3,L1254,L1261)</f>
        <v>8888</v>
      </c>
      <c r="M1262" s="139">
        <f ca="1">IF(K1252&gt;=3,M1261-P1247,M1261)</f>
        <v>8888</v>
      </c>
      <c r="AA1262" s="143" t="s">
        <v>507</v>
      </c>
      <c r="AB1262" s="128">
        <f ca="1">IF($AA1252,D1262,AB1258)</f>
        <v>8888</v>
      </c>
      <c r="AC1262" s="129">
        <f ca="1">IF($AA1252,E1262,AC1258)</f>
        <v>8888</v>
      </c>
      <c r="AD1262" s="157"/>
      <c r="AE1262" s="2" t="s">
        <v>507</v>
      </c>
      <c r="AF1262" s="128">
        <f ca="1">IF($AE1252,H1262,AF1258)</f>
        <v>8888</v>
      </c>
      <c r="AG1262" s="129">
        <f ca="1">IF($AE1252,I1262,AG1258)</f>
        <v>8888</v>
      </c>
      <c r="AI1262" s="128" t="s">
        <v>507</v>
      </c>
      <c r="AJ1262" s="128">
        <f ca="1">IF($AI1252,L1262,AJ1258)</f>
        <v>8888</v>
      </c>
      <c r="AK1262" s="129">
        <f ca="1">IF($AI1252,M1262,AK1258)</f>
        <v>8888</v>
      </c>
      <c r="BD1262" s="157"/>
    </row>
    <row r="1263" spans="2:56">
      <c r="B1263" s="156"/>
      <c r="C1263" s="128" t="s">
        <v>455</v>
      </c>
      <c r="D1263" s="128">
        <f ca="1">IF(C1252&gt;=3,D1259,D1261)</f>
        <v>8888</v>
      </c>
      <c r="E1263" s="139">
        <f ca="1">E1262</f>
        <v>8888</v>
      </c>
      <c r="F1263" s="157"/>
      <c r="G1263" s="2" t="s">
        <v>455</v>
      </c>
      <c r="H1263" s="128">
        <f ca="1">IF(G1252&gt;=3,H1255,H1261)</f>
        <v>8888</v>
      </c>
      <c r="I1263" s="139">
        <f ca="1">IF(G1252&gt;=3,I1262,I1261)</f>
        <v>8888</v>
      </c>
      <c r="K1263" s="128" t="s">
        <v>455</v>
      </c>
      <c r="L1263" s="128">
        <f ca="1">IF(K1252&gt;=3,IF(X1247,IF(K1252=3,L1254+P1246/4,L1254+P1246),L1254+P1246),L1257)</f>
        <v>8888</v>
      </c>
      <c r="M1263" s="139">
        <f ca="1">IF(K1252&gt;=3,M1262,M1261)</f>
        <v>8888</v>
      </c>
      <c r="AA1263" s="143" t="s">
        <v>455</v>
      </c>
      <c r="AB1263" s="128">
        <f ca="1">IF($AA1252,D1263,AB1258)</f>
        <v>8888</v>
      </c>
      <c r="AC1263" s="129">
        <f ca="1">IF($AA1252,E1263,AC1258)</f>
        <v>8888</v>
      </c>
      <c r="AD1263" s="157"/>
      <c r="AE1263" s="2" t="s">
        <v>455</v>
      </c>
      <c r="AF1263" s="128">
        <f ca="1">IF($AE1252,H1263,AF1258)</f>
        <v>8888</v>
      </c>
      <c r="AG1263" s="129">
        <f ca="1">IF($AE1252,I1263,AG1258)</f>
        <v>8888</v>
      </c>
      <c r="AI1263" s="128" t="s">
        <v>455</v>
      </c>
      <c r="AJ1263" s="128">
        <f ca="1">IF($AI1252,L1263,AJ1258)</f>
        <v>8888</v>
      </c>
      <c r="AK1263" s="129">
        <f ca="1">IF($AI1252,M1263,AK1258)</f>
        <v>8888</v>
      </c>
      <c r="AL1263" s="156"/>
      <c r="BD1263" s="157"/>
    </row>
    <row r="1264" spans="2:56">
      <c r="B1264" s="156"/>
      <c r="C1264" s="128" t="s">
        <v>311</v>
      </c>
      <c r="D1264" s="128">
        <f ca="1">IF(C1252&gt;=3,D1259,D1261)</f>
        <v>8888</v>
      </c>
      <c r="E1264" s="139">
        <f ca="1">IF(C1252&gt;=3,E1263-P1245,E1261)</f>
        <v>8888</v>
      </c>
      <c r="F1264" s="157"/>
      <c r="G1264" s="2" t="s">
        <v>311</v>
      </c>
      <c r="H1264" s="128">
        <f ca="1">IF(G1252&gt;=3,H1255,H1261)</f>
        <v>8888</v>
      </c>
      <c r="I1264" s="139">
        <f ca="1">IF(G1252&gt;=3,I1263-P1245,I1261)</f>
        <v>8888</v>
      </c>
      <c r="K1264" s="128" t="s">
        <v>311</v>
      </c>
      <c r="L1264" s="128">
        <f ca="1">L1263</f>
        <v>8888</v>
      </c>
      <c r="M1264" s="139">
        <f ca="1">IF(K1252&gt;=3,M1263-P1245,M1261)</f>
        <v>8888</v>
      </c>
      <c r="AA1264" s="143" t="s">
        <v>311</v>
      </c>
      <c r="AB1264" s="128">
        <f ca="1">IF($AA1252,D1264,AB1258)</f>
        <v>8888</v>
      </c>
      <c r="AC1264" s="129">
        <f ca="1">IF($AA1252,E1264,AC1258)</f>
        <v>8888</v>
      </c>
      <c r="AD1264" s="157"/>
      <c r="AE1264" s="2" t="s">
        <v>311</v>
      </c>
      <c r="AF1264" s="128">
        <f ca="1">IF($AE1252,H1264,AF1258)</f>
        <v>8888</v>
      </c>
      <c r="AG1264" s="129">
        <f ca="1">IF($AE1252,I1264,AG1258)</f>
        <v>8888</v>
      </c>
      <c r="AI1264" s="128" t="s">
        <v>311</v>
      </c>
      <c r="AJ1264" s="128">
        <f ca="1">IF($AI1252,L1264,AJ1258)</f>
        <v>8888</v>
      </c>
      <c r="AK1264" s="129">
        <f ca="1">IF($AI1252,M1264,AK1258)</f>
        <v>8888</v>
      </c>
      <c r="AL1264" s="156"/>
      <c r="BD1264" s="157"/>
    </row>
    <row r="1265" spans="2:56">
      <c r="B1265" s="156"/>
      <c r="C1265" s="188" t="s">
        <v>35</v>
      </c>
      <c r="D1265" s="188">
        <f ca="1">IF(C1252&gt;=3,D1254,D1261)</f>
        <v>8888</v>
      </c>
      <c r="E1265" s="189">
        <f ca="1">E1264</f>
        <v>8888</v>
      </c>
      <c r="F1265" s="157"/>
      <c r="G1265" s="2" t="s">
        <v>35</v>
      </c>
      <c r="H1265" s="188">
        <f ca="1">IF(G1252&gt;=3,H1254,H1261)</f>
        <v>8888</v>
      </c>
      <c r="I1265" s="189">
        <f ca="1">IF(G1252&gt;=3,I1264,I1261)</f>
        <v>8888</v>
      </c>
      <c r="K1265" s="188" t="s">
        <v>35</v>
      </c>
      <c r="L1265" s="188">
        <f ca="1">IF(K1252&gt;=3,L1254,L1261)</f>
        <v>8888</v>
      </c>
      <c r="M1265" s="189">
        <f ca="1">IF(K1252&gt;=3,M1264,M1261)</f>
        <v>8888</v>
      </c>
      <c r="AA1265" s="143" t="s">
        <v>35</v>
      </c>
      <c r="AB1265" s="128">
        <f ca="1">IF($AA1252,D1265,AB1258)</f>
        <v>8888</v>
      </c>
      <c r="AC1265" s="129">
        <f ca="1">IF($AA1252,E1265,AC1258)</f>
        <v>8888</v>
      </c>
      <c r="AD1265" s="157"/>
      <c r="AE1265" s="2" t="s">
        <v>35</v>
      </c>
      <c r="AF1265" s="188">
        <f ca="1">IF($AE1252,H1265,AF1258)</f>
        <v>8888</v>
      </c>
      <c r="AG1265" s="196">
        <f ca="1">IF($AE1252,I1265,AG1258)</f>
        <v>8888</v>
      </c>
      <c r="AI1265" s="128" t="s">
        <v>35</v>
      </c>
      <c r="AJ1265" s="128">
        <f ca="1">IF($AI1252,L1265,AJ1258)</f>
        <v>8888</v>
      </c>
      <c r="AK1265" s="129">
        <f ca="1">IF($AI1252,M1265,AK1258)</f>
        <v>8888</v>
      </c>
      <c r="AL1265" s="156"/>
      <c r="BD1265" s="157"/>
    </row>
    <row r="1266" spans="2:56" ht="15" thickBot="1">
      <c r="B1266" s="156"/>
      <c r="C1266" s="130" t="s">
        <v>396</v>
      </c>
      <c r="D1266" s="130">
        <f ca="1">D1254</f>
        <v>8888</v>
      </c>
      <c r="E1266" s="140">
        <f ca="1">E1254</f>
        <v>8888</v>
      </c>
      <c r="F1266" s="157"/>
      <c r="G1266" s="192" t="s">
        <v>312</v>
      </c>
      <c r="H1266" s="128">
        <f ca="1">IF(G1252&gt;=4,H1254,H1265)</f>
        <v>8888</v>
      </c>
      <c r="I1266" s="139">
        <f ca="1">IF(G1252&gt;=4,I1265-P1247,I1265)</f>
        <v>8888</v>
      </c>
      <c r="K1266" s="130" t="s">
        <v>396</v>
      </c>
      <c r="L1266" s="130">
        <f ca="1">L1254</f>
        <v>8888</v>
      </c>
      <c r="M1266" s="140">
        <f ca="1">M1254</f>
        <v>8888</v>
      </c>
      <c r="AA1266" s="144" t="s">
        <v>396</v>
      </c>
      <c r="AB1266" s="130">
        <f ca="1">IF($AA1252,D1266,AB1258)</f>
        <v>8888</v>
      </c>
      <c r="AC1266" s="132">
        <f ca="1">IF($AA1252,E1266,AC1258)</f>
        <v>8888</v>
      </c>
      <c r="AD1266" s="157"/>
      <c r="AE1266" s="192" t="s">
        <v>312</v>
      </c>
      <c r="AF1266" s="128">
        <f ca="1">IF($AE1252,H1266,AF1258)</f>
        <v>8888</v>
      </c>
      <c r="AG1266" s="129">
        <f ca="1">IF($AE1252,I1266,AG1258)</f>
        <v>8888</v>
      </c>
      <c r="AI1266" s="130" t="s">
        <v>396</v>
      </c>
      <c r="AJ1266" s="130">
        <f ca="1">IF($AI1252,L1266,AJ1258)</f>
        <v>8888</v>
      </c>
      <c r="AK1266" s="132">
        <f ca="1">IF($AI1252,M1266,AK1258)</f>
        <v>8888</v>
      </c>
      <c r="BD1266" s="157"/>
    </row>
    <row r="1267" spans="2:56">
      <c r="B1267" s="156"/>
      <c r="F1267" s="157"/>
      <c r="G1267" s="2" t="s">
        <v>313</v>
      </c>
      <c r="H1267" s="128">
        <f ca="1">IF(G1252&gt;=4,H1255,H1265)</f>
        <v>8888</v>
      </c>
      <c r="I1267" s="139">
        <f ca="1">IF(G1252&gt;=4,I1266,I1265)</f>
        <v>8888</v>
      </c>
      <c r="AD1267" s="157"/>
      <c r="AE1267" s="2" t="s">
        <v>313</v>
      </c>
      <c r="AF1267" s="128">
        <f ca="1">IF($AE1252,H1267,AF1258)</f>
        <v>8888</v>
      </c>
      <c r="AG1267" s="129">
        <f ca="1">IF($AE1252,I1267,AG1258)</f>
        <v>8888</v>
      </c>
      <c r="BD1267" s="157"/>
    </row>
    <row r="1268" spans="2:56">
      <c r="B1268" s="156"/>
      <c r="F1268" s="157"/>
      <c r="G1268" s="2" t="s">
        <v>7</v>
      </c>
      <c r="H1268" s="128">
        <f ca="1">IF(G1252&gt;=4,H1255,H1265)</f>
        <v>8888</v>
      </c>
      <c r="I1268" s="139">
        <f ca="1">IF(G1252&gt;=4,I1267-P1245,I1265)</f>
        <v>8888</v>
      </c>
      <c r="AD1268" s="157"/>
      <c r="AE1268" s="2" t="s">
        <v>7</v>
      </c>
      <c r="AF1268" s="128">
        <f ca="1">IF($AE1252,H1268,AF1258)</f>
        <v>8888</v>
      </c>
      <c r="AG1268" s="129">
        <f ca="1">IF($AE1252,I1268,AG1258)</f>
        <v>8888</v>
      </c>
      <c r="BD1268" s="157"/>
    </row>
    <row r="1269" spans="2:56">
      <c r="B1269" s="156"/>
      <c r="F1269" s="157"/>
      <c r="G1269" s="115" t="s">
        <v>8</v>
      </c>
      <c r="H1269" s="188">
        <f ca="1">IF(G1252&gt;=4,H1254,H1265)</f>
        <v>8888</v>
      </c>
      <c r="I1269" s="189">
        <f ca="1">IF(G1252&gt;=4,I1268,I1265)</f>
        <v>8888</v>
      </c>
      <c r="AD1269" s="157"/>
      <c r="AE1269" s="115" t="s">
        <v>8</v>
      </c>
      <c r="AF1269" s="188">
        <f ca="1">IF($AE1252,H1269,AF1258)</f>
        <v>8888</v>
      </c>
      <c r="AG1269" s="196">
        <f ca="1">IF($AE1252,I1269,AG1258)</f>
        <v>8888</v>
      </c>
      <c r="BD1269" s="157"/>
    </row>
    <row r="1270" spans="2:56">
      <c r="B1270" s="156"/>
      <c r="F1270" s="157"/>
      <c r="G1270" s="2" t="s">
        <v>9</v>
      </c>
      <c r="H1270" s="128">
        <f ca="1">IF(G1252&gt;=5,H1254,H1269)</f>
        <v>8888</v>
      </c>
      <c r="I1270" s="139">
        <f ca="1">IF(G1252&gt;=5,I1269-P1247,I1269)</f>
        <v>8888</v>
      </c>
      <c r="AD1270" s="157"/>
      <c r="AE1270" s="2" t="s">
        <v>9</v>
      </c>
      <c r="AF1270" s="128">
        <f ca="1">IF($AE1252,H1270,AF1258)</f>
        <v>8888</v>
      </c>
      <c r="AG1270" s="129">
        <f ca="1">IF($AE1252,I1270,AG1258)</f>
        <v>8888</v>
      </c>
      <c r="BD1270" s="157"/>
    </row>
    <row r="1271" spans="2:56">
      <c r="B1271" s="156"/>
      <c r="F1271" s="157"/>
      <c r="G1271" s="2" t="s">
        <v>196</v>
      </c>
      <c r="H1271" s="128">
        <f ca="1">IF(G1252&gt;=5,H1255,H1269)</f>
        <v>8888</v>
      </c>
      <c r="I1271" s="139">
        <f ca="1">IF(G1252&gt;=5,I1270,I1269)</f>
        <v>8888</v>
      </c>
      <c r="AD1271" s="157"/>
      <c r="AE1271" s="2" t="s">
        <v>196</v>
      </c>
      <c r="AF1271" s="128">
        <f ca="1">IF($AE1252,H1271,AF1258)</f>
        <v>8888</v>
      </c>
      <c r="AG1271" s="129">
        <f ca="1">IF($AE1252,I1271,AG1258)</f>
        <v>8888</v>
      </c>
      <c r="BD1271" s="157"/>
    </row>
    <row r="1272" spans="2:56">
      <c r="B1272" s="156"/>
      <c r="F1272" s="157"/>
      <c r="G1272" s="2" t="s">
        <v>10</v>
      </c>
      <c r="H1272" s="128">
        <f ca="1">IF(G1252&gt;=5,H1255,H1269)</f>
        <v>8888</v>
      </c>
      <c r="I1272" s="139">
        <f ca="1">IF(G1252&gt;=5,I1271-P1245,I1269)</f>
        <v>8888</v>
      </c>
      <c r="AD1272" s="157"/>
      <c r="AE1272" s="2" t="s">
        <v>10</v>
      </c>
      <c r="AF1272" s="128">
        <f ca="1">IF($AE1252,H1272,AF1258)</f>
        <v>8888</v>
      </c>
      <c r="AG1272" s="129">
        <f ca="1">IF($AE1252,I1272,AG1258)</f>
        <v>8888</v>
      </c>
      <c r="BD1272" s="157"/>
    </row>
    <row r="1273" spans="2:56">
      <c r="B1273" s="156"/>
      <c r="F1273" s="157"/>
      <c r="G1273" s="2" t="s">
        <v>161</v>
      </c>
      <c r="H1273" s="188">
        <f ca="1">IF(G1252&gt;=5,H1254,H1269)</f>
        <v>8888</v>
      </c>
      <c r="I1273" s="189">
        <f ca="1">IF(G1252&gt;=5,I1272,I1269)</f>
        <v>8888</v>
      </c>
      <c r="AD1273" s="157"/>
      <c r="AE1273" s="2" t="s">
        <v>161</v>
      </c>
      <c r="AF1273" s="188">
        <f ca="1">IF($AE1252,H1273,AF1258)</f>
        <v>8888</v>
      </c>
      <c r="AG1273" s="196">
        <f ca="1">IF($AE1252,I1273,AG1258)</f>
        <v>8888</v>
      </c>
      <c r="BD1273" s="157"/>
    </row>
    <row r="1274" spans="2:56">
      <c r="B1274" s="156"/>
      <c r="F1274" s="157"/>
      <c r="G1274" s="192" t="s">
        <v>11</v>
      </c>
      <c r="H1274" s="128">
        <f ca="1">IF(G1252&gt;=6,H1254,H1273)</f>
        <v>8888</v>
      </c>
      <c r="I1274" s="139">
        <f ca="1">IF(G1252&gt;=6,I1273-P1247,I1273)</f>
        <v>8888</v>
      </c>
      <c r="AD1274" s="157"/>
      <c r="AE1274" s="192" t="s">
        <v>11</v>
      </c>
      <c r="AF1274" s="128">
        <f ca="1">IF($AE1252,H1274,AF1258)</f>
        <v>8888</v>
      </c>
      <c r="AG1274" s="129">
        <f ca="1">IF($AE1252,I1274,AG1258)</f>
        <v>8888</v>
      </c>
      <c r="BD1274" s="157"/>
    </row>
    <row r="1275" spans="2:56">
      <c r="B1275" s="156"/>
      <c r="F1275" s="157"/>
      <c r="G1275" s="2" t="s">
        <v>12</v>
      </c>
      <c r="H1275" s="128">
        <f ca="1">IF(G1252&gt;=6,H1255,H1273)</f>
        <v>8888</v>
      </c>
      <c r="I1275" s="139">
        <f ca="1">IF(G1252&gt;=6,I1274,I1273)</f>
        <v>8888</v>
      </c>
      <c r="AD1275" s="157"/>
      <c r="AE1275" s="2" t="s">
        <v>12</v>
      </c>
      <c r="AF1275" s="128">
        <f ca="1">IF($AE1252,H1275,AF1258)</f>
        <v>8888</v>
      </c>
      <c r="AG1275" s="129">
        <f ca="1">IF($AE1252,I1275,AG1258)</f>
        <v>8888</v>
      </c>
      <c r="BD1275" s="157"/>
    </row>
    <row r="1276" spans="2:56">
      <c r="B1276" s="156"/>
      <c r="F1276" s="157"/>
      <c r="G1276" s="2" t="s">
        <v>13</v>
      </c>
      <c r="H1276" s="128">
        <f ca="1">IF(G1252&gt;=6,H1255,H1273)</f>
        <v>8888</v>
      </c>
      <c r="I1276" s="139">
        <f ca="1">IF(G1252&gt;=6,I1275-P1245,I1273)</f>
        <v>8888</v>
      </c>
      <c r="AD1276" s="157"/>
      <c r="AE1276" s="2" t="s">
        <v>13</v>
      </c>
      <c r="AF1276" s="128">
        <f ca="1">IF($AE1252,H1276,AF1258)</f>
        <v>8888</v>
      </c>
      <c r="AG1276" s="129">
        <f ca="1">IF($AE1252,I1276,AG1258)</f>
        <v>8888</v>
      </c>
      <c r="BD1276" s="157"/>
    </row>
    <row r="1277" spans="2:56">
      <c r="B1277" s="156"/>
      <c r="F1277" s="157"/>
      <c r="G1277" s="115" t="s">
        <v>14</v>
      </c>
      <c r="H1277" s="188">
        <f ca="1">IF(G1252&gt;=6,H1254,H1273)</f>
        <v>8888</v>
      </c>
      <c r="I1277" s="189">
        <f ca="1">IF(G1252&gt;=6,I1276,I1273)</f>
        <v>8888</v>
      </c>
      <c r="AD1277" s="157"/>
      <c r="AE1277" s="115" t="s">
        <v>14</v>
      </c>
      <c r="AF1277" s="188">
        <f ca="1">IF($AE1252,H1277,AF1258)</f>
        <v>8888</v>
      </c>
      <c r="AG1277" s="196">
        <f ca="1">IF($AE1252,I1277,AG1258)</f>
        <v>8888</v>
      </c>
      <c r="BD1277" s="157"/>
    </row>
    <row r="1278" spans="2:56" ht="15" thickBot="1">
      <c r="B1278" s="156"/>
      <c r="G1278" s="130" t="s">
        <v>396</v>
      </c>
      <c r="H1278" s="130">
        <f ca="1">H1254</f>
        <v>8888</v>
      </c>
      <c r="I1278" s="140">
        <f ca="1">I1254</f>
        <v>8888</v>
      </c>
      <c r="AE1278" s="130" t="s">
        <v>396</v>
      </c>
      <c r="AF1278" s="130">
        <f ca="1">IF($AE1252,H1278,AF1258)</f>
        <v>8888</v>
      </c>
      <c r="AG1278" s="132">
        <f ca="1">IF($AE1252,I1278,AG1258)</f>
        <v>8888</v>
      </c>
      <c r="BD1278" s="157"/>
    </row>
    <row r="1279" spans="2:56">
      <c r="B1279" s="156"/>
      <c r="BD1279" s="157"/>
    </row>
    <row r="1280" spans="2:56">
      <c r="B1280" s="156"/>
      <c r="BD1280" s="157"/>
    </row>
    <row r="1281" spans="2:56">
      <c r="B1281" s="156"/>
      <c r="C1281" s="200" t="s">
        <v>336</v>
      </c>
      <c r="D1281">
        <f>D1245+1</f>
        <v>31</v>
      </c>
      <c r="G1281" s="200" t="s">
        <v>638</v>
      </c>
      <c r="H1281">
        <f ca="1">LOOKUP(D1284,$C$191:$C$196,$D$191:$D$196)</f>
        <v>0</v>
      </c>
      <c r="K1281" s="200" t="s">
        <v>644</v>
      </c>
      <c r="L1281">
        <f ca="1">L1245-H1286</f>
        <v>-16.562000000000005</v>
      </c>
      <c r="O1281" s="200" t="s">
        <v>404</v>
      </c>
      <c r="P1281">
        <f ca="1">IF(D1283=1,SEAT_w_cushion_FC,IF(D1283=2,SEAT_w_cushion_BC,IF(D1283=3,SEAT_w_cushion_YC,0)))</f>
        <v>0</v>
      </c>
      <c r="S1281" s="200" t="s">
        <v>647</v>
      </c>
      <c r="T1281">
        <f ca="1">LOOKUP(D1284,$C$191:$C$196,$E$191:$E$196)</f>
        <v>0</v>
      </c>
      <c r="W1281" t="s">
        <v>130</v>
      </c>
      <c r="X1281" t="str">
        <f ca="1">OFFSET(Fuselage!$B$275,D1281,5)</f>
        <v>None</v>
      </c>
      <c r="AN1281" s="200" t="s">
        <v>135</v>
      </c>
      <c r="AO1281">
        <f ca="1">MAX(0,H1286-MAX(T1281,T1283,T1285,P1282)-X1282)</f>
        <v>0</v>
      </c>
      <c r="BD1281" s="157"/>
    </row>
    <row r="1282" spans="2:56">
      <c r="B1282" s="156"/>
      <c r="C1282" s="200" t="s">
        <v>200</v>
      </c>
      <c r="D1282" t="str">
        <f ca="1">OFFSET(Fuselage!$B$275,D1281,0)</f>
        <v/>
      </c>
      <c r="G1282" s="200" t="s">
        <v>639</v>
      </c>
      <c r="H1282">
        <f ca="1">LOOKUP(D1285,$C$191:$C$196,$D$191:$D$196)</f>
        <v>0</v>
      </c>
      <c r="O1282" s="200" t="s">
        <v>535</v>
      </c>
      <c r="P1282">
        <f ca="1">IF(D1283=1,SEAT_length_FC,IF(D1283=2,SEAT_length_BC,IF(D1283=3,SEAT_length_YC,0)))</f>
        <v>0</v>
      </c>
      <c r="S1282" s="200" t="s">
        <v>648</v>
      </c>
      <c r="T1282">
        <f ca="1">LOOKUP(D1284,$C$191:$C$196,$F$191:$F$196)</f>
        <v>0</v>
      </c>
      <c r="W1282" t="s">
        <v>131</v>
      </c>
      <c r="X1282">
        <f ca="1">LOOKUP(X1281,$I$191:$I$198,$J$191:$J$198)</f>
        <v>0</v>
      </c>
      <c r="BD1282" s="157"/>
    </row>
    <row r="1283" spans="2:56">
      <c r="B1283" s="156"/>
      <c r="C1283" s="200" t="s">
        <v>337</v>
      </c>
      <c r="D1283" t="str">
        <f ca="1">OFFSET(Fuselage!$B$275,D1281,4)</f>
        <v/>
      </c>
      <c r="G1283" s="200" t="s">
        <v>309</v>
      </c>
      <c r="H1283">
        <f ca="1">LOOKUP(D1286,$C$191:$C$196,$D$191:$D$196)</f>
        <v>0</v>
      </c>
      <c r="K1283" s="200" t="s">
        <v>645</v>
      </c>
      <c r="L1283">
        <f ca="1">IF(D1283=1,FUSELAGE_nseats_left_FC,IF(D1283=2,FUSELAGE_nseats_left_BC,IF(D1283=3,FUSELAGE_nseats_left_YC,0)))</f>
        <v>0</v>
      </c>
      <c r="O1283" s="200" t="s">
        <v>405</v>
      </c>
      <c r="P1283">
        <f ca="1">IF(D1283=1,SEAT_w_armrest_FC,IF(D1283=2,SEAT_w_armrest_BC,IF(D1283=3,SEAT_w_armrest_YC,0)))</f>
        <v>0</v>
      </c>
      <c r="S1283" s="200" t="s">
        <v>652</v>
      </c>
      <c r="T1283">
        <f ca="1">LOOKUP(D1285,$C$191:$C$196,$E$191:$E$196)</f>
        <v>0</v>
      </c>
      <c r="W1283" s="200" t="s">
        <v>393</v>
      </c>
      <c r="X1283" t="b">
        <f ca="1">IF(OFFSET(Fuselage!$B$275,D1281,6)="YES",TRUE(),FALSE())</f>
        <v>0</v>
      </c>
      <c r="BD1283" s="157"/>
    </row>
    <row r="1284" spans="2:56">
      <c r="B1284" s="156"/>
      <c r="C1284" s="200" t="s">
        <v>640</v>
      </c>
      <c r="D1284" t="str">
        <f ca="1">OFFSET(Fuselage!$B$275,D1281,1)</f>
        <v>None</v>
      </c>
      <c r="G1284" s="200" t="s">
        <v>132</v>
      </c>
      <c r="H1284">
        <f ca="1">IF(D1283=1,SEAT_pitch_FC,IF(D1283=2,SEAT_pitch_BC,IF(D1283=3,SEAT_pitch_YC,0)))</f>
        <v>0</v>
      </c>
      <c r="K1284" s="200" t="s">
        <v>646</v>
      </c>
      <c r="L1284">
        <f ca="1">IF(D1283=1,FUSELAGE_nseats_middle_FC,IF(D1283=2,FUSELAGE_nseats_middle_BC,IF(D1283=3,FUSELAGE_nseats_middle_YC,0)))</f>
        <v>0</v>
      </c>
      <c r="S1284" s="200" t="s">
        <v>653</v>
      </c>
      <c r="T1284">
        <f ca="1">LOOKUP(D1285,$C$191:$C$196,$F$191:$F$196)</f>
        <v>0</v>
      </c>
      <c r="BD1284" s="157"/>
    </row>
    <row r="1285" spans="2:56">
      <c r="B1285" s="156"/>
      <c r="C1285" s="200" t="s">
        <v>642</v>
      </c>
      <c r="D1285" t="str">
        <f ca="1">OFFSET(Fuselage!$B$275,D1281,2)</f>
        <v>None</v>
      </c>
      <c r="G1285" s="200" t="s">
        <v>129</v>
      </c>
      <c r="H1285">
        <f ca="1">IF(OR(X1281="Type A",X1281="Type B"),MAX(H1281:H1284)+42*0.0254,IF(X1281="Type C",MAX(H1281:H1284)+X1282,IF(X1281&lt;&gt;"None",24*0.0254,0)))</f>
        <v>0</v>
      </c>
      <c r="K1285" s="200" t="s">
        <v>655</v>
      </c>
      <c r="L1285">
        <f ca="1">IF(D1283=1,FUSELAGE_nseats_right_FC,IF(D1283=2,FUSELAGE_nseats_right_BC,IF(D1283=3,FUSELAGE_nseats_right_YC,0)))</f>
        <v>0</v>
      </c>
      <c r="O1285" s="200" t="s">
        <v>407</v>
      </c>
      <c r="P1285">
        <f ca="1">($C$13-(L1283+L1284+L1285)*(P1281+P1283)+(FUSELAGE_n_aisles-1)*P1283)/FUSELAGE_n_aisles</f>
        <v>2.76</v>
      </c>
      <c r="S1285" s="200" t="s">
        <v>651</v>
      </c>
      <c r="T1285">
        <f ca="1">LOOKUP(D1286,$C$191:$C$196,$E$191:$E$196)</f>
        <v>0</v>
      </c>
      <c r="BD1285" s="157"/>
    </row>
    <row r="1286" spans="2:56">
      <c r="B1286" s="156"/>
      <c r="C1286" s="200" t="s">
        <v>641</v>
      </c>
      <c r="D1286" t="str">
        <f ca="1">OFFSET(Fuselage!$B$275,D1281,3)</f>
        <v>None</v>
      </c>
      <c r="G1286" s="200" t="s">
        <v>643</v>
      </c>
      <c r="H1286">
        <f ca="1">MAX(H1281:H1285)</f>
        <v>0</v>
      </c>
      <c r="S1286" s="200" t="s">
        <v>654</v>
      </c>
      <c r="T1286">
        <f ca="1">LOOKUP(D1286,$C$191:$C$196,$F$191:$F$196)</f>
        <v>0</v>
      </c>
      <c r="BD1286" s="157"/>
    </row>
    <row r="1287" spans="2:56" ht="15" thickBot="1">
      <c r="B1287" s="156"/>
      <c r="BD1287" s="157"/>
    </row>
    <row r="1288" spans="2:56" ht="15" thickBot="1">
      <c r="B1288" s="156"/>
      <c r="C1288" s="141">
        <f ca="1">L1285</f>
        <v>0</v>
      </c>
      <c r="D1288" s="197" t="str">
        <f ca="1">IF($D1283=1,"FC",IF($D1283=2,"BC",IF($D1283=3,"YC","Nothing")))</f>
        <v>Nothing</v>
      </c>
      <c r="E1288" s="198"/>
      <c r="G1288" s="141">
        <f ca="1">L1284</f>
        <v>0</v>
      </c>
      <c r="H1288" s="197" t="str">
        <f ca="1">IF($D1283=1,"FC",IF($D1283=2,"BC",IF($D1283=3,"YC","Nothing")))</f>
        <v>Nothing</v>
      </c>
      <c r="I1288" s="198"/>
      <c r="K1288" s="141">
        <f ca="1" xml:space="preserve"> L1283</f>
        <v>0</v>
      </c>
      <c r="L1288" s="197" t="str">
        <f ca="1">IF($D1283=1,"FC",IF($D1283=2,"BC",IF($D1283=3,"YC","Nothing")))</f>
        <v>Nothing</v>
      </c>
      <c r="M1288" s="198"/>
      <c r="O1288" s="141">
        <f ca="1">IF($D1286&lt;&gt;"None",1,0)</f>
        <v>0</v>
      </c>
      <c r="P1288" s="326" t="s">
        <v>380</v>
      </c>
      <c r="Q1288" s="327"/>
      <c r="S1288" s="141">
        <f ca="1">IF($D1285&lt;&gt;"None",1,0)</f>
        <v>0</v>
      </c>
      <c r="T1288" s="326" t="s">
        <v>381</v>
      </c>
      <c r="U1288" s="327"/>
      <c r="W1288" s="141">
        <f ca="1">IF($D1284&lt;&gt;"None",1,0)</f>
        <v>0</v>
      </c>
      <c r="X1288" s="326" t="s">
        <v>382</v>
      </c>
      <c r="Y1288" s="327"/>
      <c r="AA1288" s="141">
        <f ca="1">IF($D1286="None",1,0)</f>
        <v>1</v>
      </c>
      <c r="AB1288" s="326" t="str">
        <f ca="1">IF(AA1288,D1288,$D1286)</f>
        <v>Nothing</v>
      </c>
      <c r="AC1288" s="327"/>
      <c r="AE1288" s="141">
        <f ca="1">IF($D1285="None",1,0)</f>
        <v>1</v>
      </c>
      <c r="AF1288" s="326" t="str">
        <f ca="1">IF(AE1288,H1288,$D1285)</f>
        <v>Nothing</v>
      </c>
      <c r="AG1288" s="327"/>
      <c r="AI1288" s="141">
        <f ca="1">IF($D1284="None",1,0)</f>
        <v>1</v>
      </c>
      <c r="AJ1288" s="326" t="str">
        <f ca="1">IF(AI1288,L1288,$D1284)</f>
        <v>Nothing</v>
      </c>
      <c r="AK1288" s="327"/>
      <c r="AM1288" s="141">
        <f ca="1">IF($X1281="None",0,1)</f>
        <v>0</v>
      </c>
      <c r="AN1288" s="197" t="s">
        <v>133</v>
      </c>
      <c r="AO1288" s="198"/>
      <c r="AQ1288" s="141">
        <f ca="1">IF($X1281="None",0,1)</f>
        <v>0</v>
      </c>
      <c r="AR1288" s="197" t="s">
        <v>134</v>
      </c>
      <c r="AS1288" s="198"/>
      <c r="BD1288" s="157"/>
    </row>
    <row r="1289" spans="2:56" ht="15" thickBot="1">
      <c r="B1289" s="156"/>
      <c r="C1289" s="136" t="s">
        <v>452</v>
      </c>
      <c r="D1289" s="136" t="s">
        <v>384</v>
      </c>
      <c r="E1289" s="138" t="s">
        <v>385</v>
      </c>
      <c r="G1289" s="136" t="s">
        <v>452</v>
      </c>
      <c r="H1289" s="136" t="s">
        <v>384</v>
      </c>
      <c r="I1289" s="138" t="s">
        <v>385</v>
      </c>
      <c r="K1289" s="193" t="s">
        <v>452</v>
      </c>
      <c r="L1289" s="193" t="s">
        <v>384</v>
      </c>
      <c r="M1289" s="194" t="s">
        <v>385</v>
      </c>
      <c r="O1289" s="136" t="s">
        <v>452</v>
      </c>
      <c r="P1289" s="136" t="s">
        <v>384</v>
      </c>
      <c r="Q1289" s="138" t="s">
        <v>385</v>
      </c>
      <c r="S1289" s="136" t="s">
        <v>452</v>
      </c>
      <c r="T1289" s="136" t="s">
        <v>384</v>
      </c>
      <c r="U1289" s="138" t="s">
        <v>385</v>
      </c>
      <c r="W1289" s="136" t="s">
        <v>452</v>
      </c>
      <c r="X1289" s="136" t="s">
        <v>384</v>
      </c>
      <c r="Y1289" s="138" t="s">
        <v>385</v>
      </c>
      <c r="AA1289" s="136" t="s">
        <v>452</v>
      </c>
      <c r="AB1289" s="136" t="s">
        <v>384</v>
      </c>
      <c r="AC1289" s="138" t="s">
        <v>385</v>
      </c>
      <c r="AE1289" s="136" t="s">
        <v>452</v>
      </c>
      <c r="AF1289" s="136" t="s">
        <v>384</v>
      </c>
      <c r="AG1289" s="138" t="s">
        <v>385</v>
      </c>
      <c r="AI1289" s="193" t="s">
        <v>452</v>
      </c>
      <c r="AJ1289" s="193" t="s">
        <v>384</v>
      </c>
      <c r="AK1289" s="194" t="s">
        <v>385</v>
      </c>
      <c r="AM1289" s="193" t="s">
        <v>452</v>
      </c>
      <c r="AN1289" s="193" t="s">
        <v>384</v>
      </c>
      <c r="AO1289" s="194" t="s">
        <v>385</v>
      </c>
      <c r="AQ1289" s="193" t="s">
        <v>452</v>
      </c>
      <c r="AR1289" s="193" t="s">
        <v>384</v>
      </c>
      <c r="AS1289" s="194" t="s">
        <v>385</v>
      </c>
      <c r="BD1289" s="157"/>
    </row>
    <row r="1290" spans="2:56">
      <c r="B1290" s="156"/>
      <c r="C1290" s="128" t="s">
        <v>396</v>
      </c>
      <c r="D1290" s="158">
        <f ca="1">IF(C1288&gt;=1,L1281,8888)</f>
        <v>8888</v>
      </c>
      <c r="E1290" s="160">
        <f ca="1">IF(C1288&gt;=1,1/2*($C$13-P1281-2*P1283)+1/2*P1281,8888)</f>
        <v>8888</v>
      </c>
      <c r="G1290" s="128" t="s">
        <v>396</v>
      </c>
      <c r="H1290" s="158">
        <f ca="1">IF(G1288&gt;=1,L1281,8888)</f>
        <v>8888</v>
      </c>
      <c r="I1290" s="160">
        <f ca="1">IF(G1288&gt;=1,E1301-P1285,8888)</f>
        <v>8888</v>
      </c>
      <c r="K1290" s="128" t="s">
        <v>396</v>
      </c>
      <c r="L1290" s="158">
        <f ca="1">IF(K1288&gt;=1,L1281,8888)</f>
        <v>8888</v>
      </c>
      <c r="M1290" s="160">
        <f ca="1">IF(K1288&gt;=1,IF(FUSELAGE_n_aisles=1,E1301-P1285,I1313-P1285),8888)</f>
        <v>8888</v>
      </c>
      <c r="O1290" s="128" t="s">
        <v>396</v>
      </c>
      <c r="P1290" s="158">
        <f ca="1">IF(O1288,$L1281,8888)</f>
        <v>8888</v>
      </c>
      <c r="Q1290" s="209">
        <f ca="1">IF(O1288,FUSELAGE_y_position_of_left_seat_YC-(FUSELAGE_nseats_right_YC-1)*(SEAT_w_cushion_YC+SEAT_w_armrest_YC)/2+T1286/2,8888)</f>
        <v>8888</v>
      </c>
      <c r="S1290" s="128" t="s">
        <v>396</v>
      </c>
      <c r="T1290" s="158">
        <f ca="1">IF(S1288,$L1281,8888)</f>
        <v>8888</v>
      </c>
      <c r="U1290" s="160">
        <f ca="1">IF(S1288,T1284/2,8888)</f>
        <v>8888</v>
      </c>
      <c r="W1290" s="128" t="s">
        <v>396</v>
      </c>
      <c r="X1290" s="158">
        <f ca="1">IF(W1288,$L1281,8888)</f>
        <v>8888</v>
      </c>
      <c r="Y1290" s="160">
        <f ca="1">IF(W1288,-FUSELAGE_y_position_of_left_seat_YC+(FUSELAGE_nseats_left_YC-1)*(SEAT_w_cushion_YC+SEAT_w_armrest_YC)/2-T1282/2,8888)</f>
        <v>8888</v>
      </c>
      <c r="AA1290" s="128" t="s">
        <v>396</v>
      </c>
      <c r="AB1290" s="158">
        <f ca="1">IF($AA1288,D1290,P1290)</f>
        <v>8888</v>
      </c>
      <c r="AC1290" s="174">
        <f ca="1">IF($AA1288,E1290,Q1290)</f>
        <v>8888</v>
      </c>
      <c r="AE1290" s="128" t="s">
        <v>396</v>
      </c>
      <c r="AF1290" s="158">
        <f ca="1">IF($AE1288,H1290,T1290)</f>
        <v>8888</v>
      </c>
      <c r="AG1290" s="174">
        <f ca="1">IF($AE1288,I1290,U1290)</f>
        <v>8888</v>
      </c>
      <c r="AI1290" s="128" t="s">
        <v>396</v>
      </c>
      <c r="AJ1290" s="158">
        <f ca="1">IF($AI1288,L1290,X1290)</f>
        <v>8888</v>
      </c>
      <c r="AK1290" s="174">
        <f ca="1">IF($AI1288,M1290,Y1290)</f>
        <v>8888</v>
      </c>
      <c r="AM1290" s="128" t="s">
        <v>396</v>
      </c>
      <c r="AN1290" s="158">
        <f ca="1">AN1259</f>
        <v>-16.562000000000005</v>
      </c>
      <c r="AO1290" s="174">
        <f ca="1">IF(AN1290&gt;-Fuselage!$D$366,(FUSELAGE_a_ellipse)*SQRT(1-((AN1290+Fuselage!$D$366)/(Fuselage!$K$364-FUSELAGE_t_fuselage))^2),IF(AN1290&gt;$L$2505+Fuselage!$K$370,FUSELAGE_a_ellipse,(FUSELAGE_a_ellipse+FUSELAGE_t_fuselage-FUSELAGE_d_fo/4)/Fuselage!$K$368*(AN1290-$L$2505-Fuselage!$K$370)+FUSELAGE_a_ellipse))</f>
        <v>1.4960570012328709</v>
      </c>
      <c r="AQ1290" s="128" t="s">
        <v>396</v>
      </c>
      <c r="AR1290" s="158">
        <f t="shared" ref="AR1290:AR1295" ca="1" si="126">AN1290</f>
        <v>-16.562000000000005</v>
      </c>
      <c r="AS1290" s="174">
        <f t="shared" ref="AS1290:AS1295" ca="1" si="127">-AO1290</f>
        <v>-1.4960570012328709</v>
      </c>
      <c r="BD1290" s="157"/>
    </row>
    <row r="1291" spans="2:56">
      <c r="B1291" s="156"/>
      <c r="C1291" s="128" t="s">
        <v>213</v>
      </c>
      <c r="D1291" s="128">
        <f ca="1">IF(X1283,D1290+P1282/4,D1290+P1282)</f>
        <v>8888</v>
      </c>
      <c r="E1291" s="139">
        <f ca="1">E1290</f>
        <v>8888</v>
      </c>
      <c r="G1291" s="128" t="s">
        <v>213</v>
      </c>
      <c r="H1291" s="128">
        <f ca="1">H1290+P1282</f>
        <v>8888</v>
      </c>
      <c r="I1291" s="139">
        <f ca="1">I1290</f>
        <v>8888</v>
      </c>
      <c r="K1291" s="128" t="s">
        <v>213</v>
      </c>
      <c r="L1291" s="128">
        <f ca="1">IF(X1283,IF(K1288=1,L1290+P1282/4,L1290+P1282),L1290+P1282)</f>
        <v>8888</v>
      </c>
      <c r="M1291" s="139">
        <f ca="1">M1290</f>
        <v>8888</v>
      </c>
      <c r="O1291" s="128" t="s">
        <v>213</v>
      </c>
      <c r="P1291" s="128">
        <f ca="1">P1290+$T1285</f>
        <v>8888</v>
      </c>
      <c r="Q1291" s="139">
        <f ca="1">Q1290</f>
        <v>8888</v>
      </c>
      <c r="S1291" s="128" t="s">
        <v>213</v>
      </c>
      <c r="T1291" s="128">
        <f ca="1">T1290+$T1283</f>
        <v>8888</v>
      </c>
      <c r="U1291" s="139">
        <f ca="1">U1290</f>
        <v>8888</v>
      </c>
      <c r="W1291" s="128" t="s">
        <v>213</v>
      </c>
      <c r="X1291" s="128">
        <f ca="1">X1290+$T1281</f>
        <v>8888</v>
      </c>
      <c r="Y1291" s="139">
        <f ca="1">Y1290</f>
        <v>8888</v>
      </c>
      <c r="AA1291" s="143" t="s">
        <v>213</v>
      </c>
      <c r="AB1291" s="128">
        <f ca="1">IF($AA1288,D1291,P1291)</f>
        <v>8888</v>
      </c>
      <c r="AC1291" s="129">
        <f ca="1">IF($AA1288,E1291,Q1291)</f>
        <v>8888</v>
      </c>
      <c r="AE1291" s="128" t="s">
        <v>213</v>
      </c>
      <c r="AF1291" s="128">
        <f ca="1">IF($AE1288,H1291,T1291)</f>
        <v>8888</v>
      </c>
      <c r="AG1291" s="129">
        <f ca="1">IF($AE1288,I1291,U1291)</f>
        <v>8888</v>
      </c>
      <c r="AI1291" s="128" t="s">
        <v>213</v>
      </c>
      <c r="AJ1291" s="128">
        <f ca="1">IF($AI1288,L1291,X1291)</f>
        <v>8888</v>
      </c>
      <c r="AK1291" s="129">
        <f ca="1">IF($AI1288,M1291,Y1291)</f>
        <v>8888</v>
      </c>
      <c r="AM1291" s="128" t="s">
        <v>213</v>
      </c>
      <c r="AN1291" s="128">
        <f ca="1">AN1290-AO1281/2</f>
        <v>-16.562000000000005</v>
      </c>
      <c r="AO1291" s="129">
        <f ca="1">IF(AN1291&gt;-Fuselage!$D$366,(FUSELAGE_a_ellipse)*SQRT(1-((AN1291+Fuselage!$D$366)/(Fuselage!$K$364-FUSELAGE_t_fuselage))^2),IF(AN1291&gt;$L$2505+Fuselage!$K$370,FUSELAGE_a_ellipse,(FUSELAGE_a_ellipse+FUSELAGE_t_fuselage-FUSELAGE_d_fo/4)/Fuselage!$K$368*(AN1291-$L$2505-Fuselage!$K$370)+FUSELAGE_a_ellipse))</f>
        <v>1.4960570012328709</v>
      </c>
      <c r="AQ1291" s="128" t="s">
        <v>213</v>
      </c>
      <c r="AR1291" s="128">
        <f t="shared" ca="1" si="126"/>
        <v>-16.562000000000005</v>
      </c>
      <c r="AS1291" s="129">
        <f t="shared" ca="1" si="127"/>
        <v>-1.4960570012328709</v>
      </c>
      <c r="BD1291" s="157"/>
    </row>
    <row r="1292" spans="2:56">
      <c r="B1292" s="156"/>
      <c r="C1292" s="128" t="s">
        <v>286</v>
      </c>
      <c r="D1292" s="128">
        <f ca="1">D1291</f>
        <v>8888</v>
      </c>
      <c r="E1292" s="139">
        <f ca="1">E1291-P1281</f>
        <v>8888</v>
      </c>
      <c r="G1292" s="128" t="s">
        <v>286</v>
      </c>
      <c r="H1292" s="128">
        <f ca="1">H1291</f>
        <v>8888</v>
      </c>
      <c r="I1292" s="139">
        <f ca="1">I1291-P1281</f>
        <v>8888</v>
      </c>
      <c r="K1292" s="128" t="s">
        <v>286</v>
      </c>
      <c r="L1292" s="128">
        <f ca="1">L1291</f>
        <v>8888</v>
      </c>
      <c r="M1292" s="139">
        <f ca="1">M1291-P1281</f>
        <v>8888</v>
      </c>
      <c r="O1292" s="128" t="s">
        <v>286</v>
      </c>
      <c r="P1292" s="128">
        <f ca="1">P1291</f>
        <v>8888</v>
      </c>
      <c r="Q1292" s="139">
        <f ca="1">Q1291-$T1286</f>
        <v>8888</v>
      </c>
      <c r="S1292" s="128" t="s">
        <v>286</v>
      </c>
      <c r="T1292" s="128">
        <f ca="1">T1291</f>
        <v>8888</v>
      </c>
      <c r="U1292" s="139">
        <f ca="1">U1291-$T1284</f>
        <v>8888</v>
      </c>
      <c r="W1292" s="128" t="s">
        <v>286</v>
      </c>
      <c r="X1292" s="128">
        <f ca="1">X1291</f>
        <v>8888</v>
      </c>
      <c r="Y1292" s="139">
        <f ca="1">Y1291+$T1282</f>
        <v>8888</v>
      </c>
      <c r="AA1292" s="143" t="s">
        <v>286</v>
      </c>
      <c r="AB1292" s="128">
        <f ca="1">IF($AA1288,D1292,P1292)</f>
        <v>8888</v>
      </c>
      <c r="AC1292" s="129">
        <f ca="1">IF($AA1288,E1292,Q1292)</f>
        <v>8888</v>
      </c>
      <c r="AE1292" s="128" t="s">
        <v>286</v>
      </c>
      <c r="AF1292" s="128">
        <f ca="1">IF($AE1288,H1292,T1292)</f>
        <v>8888</v>
      </c>
      <c r="AG1292" s="129">
        <f ca="1">IF($AE1288,I1292,U1292)</f>
        <v>8888</v>
      </c>
      <c r="AI1292" s="128" t="s">
        <v>286</v>
      </c>
      <c r="AJ1292" s="128">
        <f ca="1">IF($AI1288,L1292,X1292)</f>
        <v>8888</v>
      </c>
      <c r="AK1292" s="129">
        <f ca="1">IF($AI1288,M1292,Y1292)</f>
        <v>8888</v>
      </c>
      <c r="AM1292" s="128" t="s">
        <v>286</v>
      </c>
      <c r="AN1292" s="128">
        <f ca="1">AN1291</f>
        <v>-16.562000000000005</v>
      </c>
      <c r="AO1292" s="129">
        <f ca="1">IF(AN1292&gt;-Fuselage!$D$366,IF(AM1288,(FUSELAGE_a_ellipse+FUSELAGE_t_fuselage)*SQRT(1-((AN1292+Fuselage!$D$366)/Fuselage!$K$364)^2),(FUSELAGE_a_ellipse)*SQRT(1-((AN1292+Fuselage!$D$366)/Fuselage!$K$364)^2)),IF(AN1292&gt;$L$2505+Fuselage!$K$370,(IF(AM1288,FUSELAGE_a_ellipse+FUSELAGE_t_fuselage,FUSELAGE_a_ellipse)),IF(AM1288,(FUSELAGE_a_ellipse+FUSELAGE_t_fuselage-FUSELAGE_d_fo/4)/Fuselage!$K$368*(AN1292-$L$2505-Fuselage!$K$370)+FUSELAGE_a_ellipse+FUSELAGE_t_fuselage,(FUSELAGE_a_ellipse+FUSELAGE_t_fuselage-FUSELAGE_d_fo/4)/Fuselage!$K$368*(AN1292-$L$2505-Fuselage!$K$370)+FUSELAGE_a_ellipse)))</f>
        <v>1.4960570012328709</v>
      </c>
      <c r="AQ1292" s="128" t="s">
        <v>286</v>
      </c>
      <c r="AR1292" s="128">
        <f t="shared" ca="1" si="126"/>
        <v>-16.562000000000005</v>
      </c>
      <c r="AS1292" s="129">
        <f t="shared" ca="1" si="127"/>
        <v>-1.4960570012328709</v>
      </c>
      <c r="BD1292" s="157"/>
    </row>
    <row r="1293" spans="2:56">
      <c r="B1293" s="156"/>
      <c r="C1293" s="188" t="s">
        <v>522</v>
      </c>
      <c r="D1293" s="188">
        <f ca="1">D1290</f>
        <v>8888</v>
      </c>
      <c r="E1293" s="189">
        <f ca="1">E1292</f>
        <v>8888</v>
      </c>
      <c r="F1293" s="157"/>
      <c r="G1293" s="2" t="s">
        <v>522</v>
      </c>
      <c r="H1293" s="128">
        <f ca="1">H1290</f>
        <v>8888</v>
      </c>
      <c r="I1293" s="139">
        <f ca="1">I1292</f>
        <v>8888</v>
      </c>
      <c r="K1293" s="128" t="s">
        <v>522</v>
      </c>
      <c r="L1293" s="128">
        <f ca="1">L1290</f>
        <v>8888</v>
      </c>
      <c r="M1293" s="139">
        <f ca="1">M1292</f>
        <v>8888</v>
      </c>
      <c r="O1293" s="188" t="s">
        <v>522</v>
      </c>
      <c r="P1293" s="188">
        <f ca="1">P1290</f>
        <v>8888</v>
      </c>
      <c r="Q1293" s="189">
        <f ca="1">Q1292</f>
        <v>8888</v>
      </c>
      <c r="S1293" s="188" t="s">
        <v>522</v>
      </c>
      <c r="T1293" s="188">
        <f ca="1">T1290</f>
        <v>8888</v>
      </c>
      <c r="U1293" s="189">
        <f ca="1">U1292</f>
        <v>8888</v>
      </c>
      <c r="W1293" s="188" t="s">
        <v>522</v>
      </c>
      <c r="X1293" s="188">
        <f ca="1">X1290</f>
        <v>8888</v>
      </c>
      <c r="Y1293" s="189">
        <f ca="1">Y1292</f>
        <v>8888</v>
      </c>
      <c r="AA1293" s="195" t="s">
        <v>522</v>
      </c>
      <c r="AB1293" s="128">
        <f ca="1">IF($AA1288,D1293,P1293)</f>
        <v>8888</v>
      </c>
      <c r="AC1293" s="129">
        <f ca="1">IF($AA1288,E1293,Q1293)</f>
        <v>8888</v>
      </c>
      <c r="AD1293" s="157"/>
      <c r="AE1293" s="2" t="s">
        <v>522</v>
      </c>
      <c r="AF1293" s="188">
        <f ca="1">IF($AE1288,H1293,T1293)</f>
        <v>8888</v>
      </c>
      <c r="AG1293" s="196">
        <f ca="1">IF($AE1288,I1293,U1293)</f>
        <v>8888</v>
      </c>
      <c r="AI1293" s="128" t="s">
        <v>522</v>
      </c>
      <c r="AJ1293" s="188">
        <f ca="1">IF($AI1288,L1293,X1293)</f>
        <v>8888</v>
      </c>
      <c r="AK1293" s="196">
        <f ca="1">IF($AI1288,M1293,Y1293)</f>
        <v>8888</v>
      </c>
      <c r="AM1293" s="128" t="s">
        <v>522</v>
      </c>
      <c r="AN1293" s="128">
        <f ca="1">AN1292-X1282</f>
        <v>-16.562000000000005</v>
      </c>
      <c r="AO1293" s="129">
        <f ca="1">IF(AN1293&gt;-Fuselage!$D$366,IF(AM1288,(FUSELAGE_a_ellipse+FUSELAGE_t_fuselage)*SQRT(1-((AN1293+Fuselage!$D$366)/Fuselage!$K$364)^2),(FUSELAGE_a_ellipse)*SQRT(1-((AN1293+Fuselage!$D$366)/Fuselage!$K$364)^2)),IF(AN1293&gt;$L$2505+Fuselage!$K$370,(IF(AM1288,FUSELAGE_a_ellipse+FUSELAGE_t_fuselage,FUSELAGE_a_ellipse)),IF(AM1288,(FUSELAGE_a_ellipse+FUSELAGE_t_fuselage-FUSELAGE_d_fo/4)/Fuselage!$K$368*(AN1293-$L$2505-Fuselage!$K$370)+FUSELAGE_a_ellipse+FUSELAGE_t_fuselage,(FUSELAGE_a_ellipse+FUSELAGE_t_fuselage-FUSELAGE_d_fo/4)/Fuselage!$K$368*(AN1293-$L$2505-Fuselage!$K$370)+FUSELAGE_a_ellipse)))</f>
        <v>1.4960570012328709</v>
      </c>
      <c r="AQ1293" s="128" t="s">
        <v>522</v>
      </c>
      <c r="AR1293" s="128">
        <f t="shared" ca="1" si="126"/>
        <v>-16.562000000000005</v>
      </c>
      <c r="AS1293" s="129">
        <f t="shared" ca="1" si="127"/>
        <v>-1.4960570012328709</v>
      </c>
      <c r="BD1293" s="157"/>
    </row>
    <row r="1294" spans="2:56" ht="15" thickBot="1">
      <c r="B1294" s="156"/>
      <c r="C1294" s="128" t="s">
        <v>49</v>
      </c>
      <c r="D1294" s="128">
        <f ca="1">IF(C1288&gt;=2,D1290,D1293)</f>
        <v>8888</v>
      </c>
      <c r="E1294" s="139">
        <f ca="1">IF(C1288&gt;=2,E1293-P1283,E1293)</f>
        <v>8888</v>
      </c>
      <c r="F1294" s="157"/>
      <c r="G1294" s="192" t="s">
        <v>49</v>
      </c>
      <c r="H1294" s="190">
        <f ca="1">IF(G1288&gt;=2,H1290,H1293)</f>
        <v>8888</v>
      </c>
      <c r="I1294" s="191">
        <f ca="1">IF(G1288&gt;=2,I1293-P1283,I1293)</f>
        <v>8888</v>
      </c>
      <c r="K1294" s="190" t="s">
        <v>49</v>
      </c>
      <c r="L1294" s="190">
        <f ca="1">IF(K1288&gt;=2,L1290,L1293)</f>
        <v>8888</v>
      </c>
      <c r="M1294" s="191">
        <f ca="1">IF(K1288&gt;=2,M1293-P1283,M1293)</f>
        <v>8888</v>
      </c>
      <c r="O1294" s="130" t="s">
        <v>396</v>
      </c>
      <c r="P1294" s="130">
        <f ca="1">P1290</f>
        <v>8888</v>
      </c>
      <c r="Q1294" s="140">
        <f ca="1">Q1290</f>
        <v>8888</v>
      </c>
      <c r="S1294" s="130" t="s">
        <v>396</v>
      </c>
      <c r="T1294" s="130">
        <f ca="1">T1290</f>
        <v>8888</v>
      </c>
      <c r="U1294" s="140">
        <f ca="1">U1290</f>
        <v>8888</v>
      </c>
      <c r="W1294" s="130" t="s">
        <v>396</v>
      </c>
      <c r="X1294" s="130">
        <f ca="1">X1290</f>
        <v>8888</v>
      </c>
      <c r="Y1294" s="140">
        <f ca="1">Y1290</f>
        <v>8888</v>
      </c>
      <c r="AA1294" s="143" t="s">
        <v>49</v>
      </c>
      <c r="AB1294" s="128">
        <f ca="1">IF($AA1288,D1294,P1294)</f>
        <v>8888</v>
      </c>
      <c r="AC1294" s="129">
        <f ca="1">IF($AA1288,E1294,Q1294)</f>
        <v>8888</v>
      </c>
      <c r="AD1294" s="157"/>
      <c r="AE1294" s="192" t="s">
        <v>49</v>
      </c>
      <c r="AF1294" s="128">
        <f ca="1">IF($AE1288,H1294,T1294)</f>
        <v>8888</v>
      </c>
      <c r="AG1294" s="129">
        <f ca="1">IF($AE1288,I1294,U1294)</f>
        <v>8888</v>
      </c>
      <c r="AI1294" s="190" t="s">
        <v>49</v>
      </c>
      <c r="AJ1294" s="128">
        <f ca="1">IF($AI1288,L1294,X1294)</f>
        <v>8888</v>
      </c>
      <c r="AK1294" s="129">
        <f ca="1">IF($AI1288,M1294,Y1294)</f>
        <v>8888</v>
      </c>
      <c r="AM1294" s="128" t="s">
        <v>49</v>
      </c>
      <c r="AN1294" s="128">
        <f ca="1">AN1293</f>
        <v>-16.562000000000005</v>
      </c>
      <c r="AO1294" s="129">
        <f ca="1">IF(AN1294&gt;-Fuselage!$D$366,(FUSELAGE_a_ellipse)*SQRT(1-((AN1294+Fuselage!$D$366)/(Fuselage!$K$364-FUSELAGE_t_fuselage))^2),IF(AN1294&gt;$L$2505+Fuselage!$K$370,FUSELAGE_a_ellipse,(FUSELAGE_a_ellipse+FUSELAGE_t_fuselage-FUSELAGE_d_fo/4)/Fuselage!$K$368*(AN1294-$L$2505-Fuselage!$K$370)+FUSELAGE_a_ellipse))</f>
        <v>1.4960570012328709</v>
      </c>
      <c r="AQ1294" s="128" t="s">
        <v>49</v>
      </c>
      <c r="AR1294" s="128">
        <f t="shared" ca="1" si="126"/>
        <v>-16.562000000000005</v>
      </c>
      <c r="AS1294" s="129">
        <f t="shared" ca="1" si="127"/>
        <v>-1.4960570012328709</v>
      </c>
      <c r="BD1294" s="157"/>
    </row>
    <row r="1295" spans="2:56">
      <c r="B1295" s="156"/>
      <c r="C1295" s="128" t="s">
        <v>453</v>
      </c>
      <c r="D1295" s="128">
        <f ca="1">IF(C1288&gt;=2,D1290+P1282,D1293)</f>
        <v>8888</v>
      </c>
      <c r="E1295" s="139">
        <f ca="1">E1294</f>
        <v>8888</v>
      </c>
      <c r="F1295" s="157"/>
      <c r="G1295" s="2" t="s">
        <v>453</v>
      </c>
      <c r="H1295" s="128">
        <f ca="1">IF(G1288&gt;=2,H1291,H1293)</f>
        <v>8888</v>
      </c>
      <c r="I1295" s="139">
        <f ca="1">IF(G1288&gt;=2,I1294,I1293)</f>
        <v>8888</v>
      </c>
      <c r="K1295" s="128" t="s">
        <v>453</v>
      </c>
      <c r="L1295" s="128">
        <f ca="1">IF(K1288&gt;=2,IF(X1283,IF(K1288=2,L1290+P1282/4,L1290+P1282),L1290+P1282),L1293)</f>
        <v>8888</v>
      </c>
      <c r="M1295" s="139">
        <f ca="1">IF(K1288&gt;=2,M1294,M1293)</f>
        <v>8888</v>
      </c>
      <c r="AA1295" s="143" t="s">
        <v>453</v>
      </c>
      <c r="AB1295" s="128">
        <f ca="1">IF($AA1288,D1295,AB1294)</f>
        <v>8888</v>
      </c>
      <c r="AC1295" s="129">
        <f ca="1">IF($AA1288,E1295,AC1294)</f>
        <v>8888</v>
      </c>
      <c r="AD1295" s="157"/>
      <c r="AE1295" s="2" t="s">
        <v>453</v>
      </c>
      <c r="AF1295" s="128">
        <f ca="1">IF($AE1288,H1295,AF1294)</f>
        <v>8888</v>
      </c>
      <c r="AG1295" s="129">
        <f ca="1">IF($AE1288,I1295,AG1294)</f>
        <v>8888</v>
      </c>
      <c r="AI1295" s="128" t="s">
        <v>453</v>
      </c>
      <c r="AJ1295" s="128">
        <f ca="1">IF($AI1288,L1295,AJ1294)</f>
        <v>8888</v>
      </c>
      <c r="AK1295" s="129">
        <f ca="1">IF($AI1288,M1295,AK1294)</f>
        <v>8888</v>
      </c>
      <c r="AM1295" s="128" t="s">
        <v>453</v>
      </c>
      <c r="AN1295" s="128">
        <f ca="1">L1281</f>
        <v>-16.562000000000005</v>
      </c>
      <c r="AO1295" s="129">
        <f ca="1">IF(AN1295&gt;-Fuselage!$D$366,(FUSELAGE_a_ellipse)*SQRT(1-((AN1295+Fuselage!$D$366)/(Fuselage!$K$364-FUSELAGE_t_fuselage))^2),IF(AN1295&gt;$L$2505+Fuselage!$K$370,FUSELAGE_a_ellipse,(FUSELAGE_a_ellipse+FUSELAGE_t_fuselage-FUSELAGE_d_fo/4)/Fuselage!$K$368*(AN1295-$L$2505-Fuselage!$K$370)+FUSELAGE_a_ellipse))</f>
        <v>1.4960570012328709</v>
      </c>
      <c r="AQ1295" s="128" t="s">
        <v>453</v>
      </c>
      <c r="AR1295" s="128">
        <f t="shared" ca="1" si="126"/>
        <v>-16.562000000000005</v>
      </c>
      <c r="AS1295" s="129">
        <f t="shared" ca="1" si="127"/>
        <v>-1.4960570012328709</v>
      </c>
      <c r="BD1295" s="157"/>
    </row>
    <row r="1296" spans="2:56">
      <c r="B1296" s="156"/>
      <c r="C1296" s="128" t="s">
        <v>394</v>
      </c>
      <c r="D1296" s="128">
        <f ca="1">IF(C1288&gt;=2,D1295,D1293)</f>
        <v>8888</v>
      </c>
      <c r="E1296" s="139">
        <f ca="1">IF(C1288&gt;=2,E1294-P1281,E1293)</f>
        <v>8888</v>
      </c>
      <c r="F1296" s="157"/>
      <c r="G1296" s="2" t="s">
        <v>394</v>
      </c>
      <c r="H1296" s="128">
        <f ca="1">IF(G1288&gt;=2,H1291,H1293)</f>
        <v>8888</v>
      </c>
      <c r="I1296" s="139">
        <f ca="1">IF(G1288&gt;=2,I1295-P1281,I1293)</f>
        <v>8888</v>
      </c>
      <c r="K1296" s="128" t="s">
        <v>394</v>
      </c>
      <c r="L1296" s="128">
        <f ca="1">L1295</f>
        <v>8888</v>
      </c>
      <c r="M1296" s="139">
        <f ca="1">IF(K1288&gt;=2,M1295-P1281,M1293)</f>
        <v>8888</v>
      </c>
      <c r="AA1296" s="143" t="s">
        <v>394</v>
      </c>
      <c r="AB1296" s="128">
        <f ca="1">IF($AA1288,D1296,AB1294)</f>
        <v>8888</v>
      </c>
      <c r="AC1296" s="129">
        <f ca="1">IF($AA1288,E1296,AC1294)</f>
        <v>8888</v>
      </c>
      <c r="AD1296" s="157"/>
      <c r="AE1296" s="2" t="s">
        <v>394</v>
      </c>
      <c r="AF1296" s="128">
        <f ca="1">IF($AE1288,H1296,AF1294)</f>
        <v>8888</v>
      </c>
      <c r="AG1296" s="129">
        <f ca="1">IF($AE1288,I1296,AG1294)</f>
        <v>8888</v>
      </c>
      <c r="AI1296" s="128" t="s">
        <v>394</v>
      </c>
      <c r="AJ1296" s="128">
        <f ca="1">IF($AI1288,L1296,AJ1294)</f>
        <v>8888</v>
      </c>
      <c r="AK1296" s="129">
        <f ca="1">IF($AI1288,M1296,AK1294)</f>
        <v>8888</v>
      </c>
      <c r="BD1296" s="157"/>
    </row>
    <row r="1297" spans="2:56">
      <c r="B1297" s="156"/>
      <c r="C1297" s="188" t="s">
        <v>454</v>
      </c>
      <c r="D1297" s="188">
        <f ca="1">IF(C1288&gt;=2,D1290,D1293)</f>
        <v>8888</v>
      </c>
      <c r="E1297" s="189">
        <f ca="1">E1296</f>
        <v>8888</v>
      </c>
      <c r="F1297" s="157"/>
      <c r="G1297" s="115" t="s">
        <v>454</v>
      </c>
      <c r="H1297" s="188">
        <f ca="1">IF(G1288&gt;=2,H1290,H1293)</f>
        <v>8888</v>
      </c>
      <c r="I1297" s="189">
        <f ca="1">IF(G1288&gt;=2,I1296,I1293)</f>
        <v>8888</v>
      </c>
      <c r="K1297" s="188" t="s">
        <v>454</v>
      </c>
      <c r="L1297" s="188">
        <f ca="1">IF(K1288&gt;=2,L1290,L1293)</f>
        <v>8888</v>
      </c>
      <c r="M1297" s="189">
        <f ca="1">IF(K1288&gt;=2,M1296,M1293)</f>
        <v>8888</v>
      </c>
      <c r="AA1297" s="195" t="s">
        <v>454</v>
      </c>
      <c r="AB1297" s="128">
        <f ca="1">IF($AA1288,D1297,AB1294)</f>
        <v>8888</v>
      </c>
      <c r="AC1297" s="129">
        <f ca="1">IF($AA1288,E1297,AC1294)</f>
        <v>8888</v>
      </c>
      <c r="AD1297" s="157"/>
      <c r="AE1297" s="115" t="s">
        <v>454</v>
      </c>
      <c r="AF1297" s="188">
        <f ca="1">IF($AE1288,H1297,AF1294)</f>
        <v>8888</v>
      </c>
      <c r="AG1297" s="196">
        <f ca="1">IF($AE1288,I1297,AG1294)</f>
        <v>8888</v>
      </c>
      <c r="AI1297" s="188" t="s">
        <v>454</v>
      </c>
      <c r="AJ1297" s="188">
        <f ca="1">IF($AI1288,L1297,AJ1294)</f>
        <v>8888</v>
      </c>
      <c r="AK1297" s="196">
        <f ca="1">IF($AI1288,M1297,AK1294)</f>
        <v>8888</v>
      </c>
      <c r="BD1297" s="157"/>
    </row>
    <row r="1298" spans="2:56">
      <c r="B1298" s="156"/>
      <c r="C1298" s="128" t="s">
        <v>507</v>
      </c>
      <c r="D1298" s="128">
        <f ca="1">IF(C1288&gt;=3,D1290,D1297)</f>
        <v>8888</v>
      </c>
      <c r="E1298" s="139">
        <f ca="1">IF(C1288&gt;=3,E1297-P1283,E1297)</f>
        <v>8888</v>
      </c>
      <c r="F1298" s="157"/>
      <c r="G1298" s="2" t="s">
        <v>507</v>
      </c>
      <c r="H1298" s="128">
        <f ca="1">IF(G1288&gt;=3,H1290,H1297)</f>
        <v>8888</v>
      </c>
      <c r="I1298" s="139">
        <f ca="1">IF(G1288&gt;=3,I1297-P1283,I1297)</f>
        <v>8888</v>
      </c>
      <c r="K1298" s="128" t="s">
        <v>507</v>
      </c>
      <c r="L1298" s="128">
        <f ca="1">IF(K1288&gt;=3,L1290,L1297)</f>
        <v>8888</v>
      </c>
      <c r="M1298" s="139">
        <f ca="1">IF(K1288&gt;=3,M1297-P1283,M1297)</f>
        <v>8888</v>
      </c>
      <c r="AA1298" s="143" t="s">
        <v>507</v>
      </c>
      <c r="AB1298" s="128">
        <f ca="1">IF($AA1288,D1298,AB1294)</f>
        <v>8888</v>
      </c>
      <c r="AC1298" s="129">
        <f ca="1">IF($AA1288,E1298,AC1294)</f>
        <v>8888</v>
      </c>
      <c r="AD1298" s="157"/>
      <c r="AE1298" s="2" t="s">
        <v>507</v>
      </c>
      <c r="AF1298" s="128">
        <f ca="1">IF($AE1288,H1298,AF1294)</f>
        <v>8888</v>
      </c>
      <c r="AG1298" s="129">
        <f ca="1">IF($AE1288,I1298,AG1294)</f>
        <v>8888</v>
      </c>
      <c r="AI1298" s="128" t="s">
        <v>507</v>
      </c>
      <c r="AJ1298" s="128">
        <f ca="1">IF($AI1288,L1298,AJ1294)</f>
        <v>8888</v>
      </c>
      <c r="AK1298" s="129">
        <f ca="1">IF($AI1288,M1298,AK1294)</f>
        <v>8888</v>
      </c>
      <c r="BD1298" s="157"/>
    </row>
    <row r="1299" spans="2:56">
      <c r="B1299" s="156"/>
      <c r="C1299" s="128" t="s">
        <v>455</v>
      </c>
      <c r="D1299" s="128">
        <f ca="1">IF(C1288&gt;=3,D1295,D1297)</f>
        <v>8888</v>
      </c>
      <c r="E1299" s="139">
        <f ca="1">E1298</f>
        <v>8888</v>
      </c>
      <c r="F1299" s="157"/>
      <c r="G1299" s="2" t="s">
        <v>455</v>
      </c>
      <c r="H1299" s="128">
        <f ca="1">IF(G1288&gt;=3,H1291,H1297)</f>
        <v>8888</v>
      </c>
      <c r="I1299" s="139">
        <f ca="1">IF(G1288&gt;=3,I1298,I1297)</f>
        <v>8888</v>
      </c>
      <c r="K1299" s="128" t="s">
        <v>455</v>
      </c>
      <c r="L1299" s="128">
        <f ca="1">IF(K1288&gt;=3,IF(X1283,IF(K1288=3,L1290+P1282/4,L1290+P1282),L1290+P1282),L1293)</f>
        <v>8888</v>
      </c>
      <c r="M1299" s="139">
        <f ca="1">IF(K1288&gt;=3,M1298,M1297)</f>
        <v>8888</v>
      </c>
      <c r="AA1299" s="143" t="s">
        <v>455</v>
      </c>
      <c r="AB1299" s="128">
        <f ca="1">IF($AA1288,D1299,AB1294)</f>
        <v>8888</v>
      </c>
      <c r="AC1299" s="129">
        <f ca="1">IF($AA1288,E1299,AC1294)</f>
        <v>8888</v>
      </c>
      <c r="AD1299" s="157"/>
      <c r="AE1299" s="2" t="s">
        <v>455</v>
      </c>
      <c r="AF1299" s="128">
        <f ca="1">IF($AE1288,H1299,AF1294)</f>
        <v>8888</v>
      </c>
      <c r="AG1299" s="129">
        <f ca="1">IF($AE1288,I1299,AG1294)</f>
        <v>8888</v>
      </c>
      <c r="AI1299" s="128" t="s">
        <v>455</v>
      </c>
      <c r="AJ1299" s="128">
        <f ca="1">IF($AI1288,L1299,AJ1294)</f>
        <v>8888</v>
      </c>
      <c r="AK1299" s="129">
        <f ca="1">IF($AI1288,M1299,AK1294)</f>
        <v>8888</v>
      </c>
      <c r="AL1299" s="156"/>
      <c r="BD1299" s="157"/>
    </row>
    <row r="1300" spans="2:56">
      <c r="B1300" s="156"/>
      <c r="C1300" s="128" t="s">
        <v>311</v>
      </c>
      <c r="D1300" s="128">
        <f ca="1">IF(C1288&gt;=3,D1295,D1297)</f>
        <v>8888</v>
      </c>
      <c r="E1300" s="139">
        <f ca="1">IF(C1288&gt;=3,E1299-P1281,E1297)</f>
        <v>8888</v>
      </c>
      <c r="F1300" s="157"/>
      <c r="G1300" s="2" t="s">
        <v>311</v>
      </c>
      <c r="H1300" s="128">
        <f ca="1">IF(G1288&gt;=3,H1291,H1297)</f>
        <v>8888</v>
      </c>
      <c r="I1300" s="139">
        <f ca="1">IF(G1288&gt;=3,I1299-P1281,I1297)</f>
        <v>8888</v>
      </c>
      <c r="K1300" s="128" t="s">
        <v>311</v>
      </c>
      <c r="L1300" s="128">
        <f ca="1">L1299</f>
        <v>8888</v>
      </c>
      <c r="M1300" s="139">
        <f ca="1">IF(K1288&gt;=3,M1299-P1281,M1297)</f>
        <v>8888</v>
      </c>
      <c r="AA1300" s="143" t="s">
        <v>311</v>
      </c>
      <c r="AB1300" s="128">
        <f ca="1">IF($AA1288,D1300,AB1294)</f>
        <v>8888</v>
      </c>
      <c r="AC1300" s="129">
        <f ca="1">IF($AA1288,E1300,AC1294)</f>
        <v>8888</v>
      </c>
      <c r="AD1300" s="157"/>
      <c r="AE1300" s="2" t="s">
        <v>311</v>
      </c>
      <c r="AF1300" s="128">
        <f ca="1">IF($AE1288,H1300,AF1294)</f>
        <v>8888</v>
      </c>
      <c r="AG1300" s="129">
        <f ca="1">IF($AE1288,I1300,AG1294)</f>
        <v>8888</v>
      </c>
      <c r="AI1300" s="128" t="s">
        <v>311</v>
      </c>
      <c r="AJ1300" s="128">
        <f ca="1">IF($AI1288,L1300,AJ1294)</f>
        <v>8888</v>
      </c>
      <c r="AK1300" s="129">
        <f ca="1">IF($AI1288,M1300,AK1294)</f>
        <v>8888</v>
      </c>
      <c r="AL1300" s="156"/>
      <c r="BD1300" s="157"/>
    </row>
    <row r="1301" spans="2:56">
      <c r="B1301" s="156"/>
      <c r="C1301" s="188" t="s">
        <v>35</v>
      </c>
      <c r="D1301" s="188">
        <f ca="1">IF(C1288&gt;=3,D1290,D1297)</f>
        <v>8888</v>
      </c>
      <c r="E1301" s="189">
        <f ca="1">E1300</f>
        <v>8888</v>
      </c>
      <c r="F1301" s="157"/>
      <c r="G1301" s="2" t="s">
        <v>35</v>
      </c>
      <c r="H1301" s="188">
        <f ca="1">IF(G1288&gt;=3,H1290,H1297)</f>
        <v>8888</v>
      </c>
      <c r="I1301" s="189">
        <f ca="1">IF(G1288&gt;=3,I1300,I1297)</f>
        <v>8888</v>
      </c>
      <c r="K1301" s="188" t="s">
        <v>35</v>
      </c>
      <c r="L1301" s="188">
        <f ca="1">IF(K1288&gt;=3,L1290,L1297)</f>
        <v>8888</v>
      </c>
      <c r="M1301" s="189">
        <f ca="1">IF(K1288&gt;=3,M1300,M1297)</f>
        <v>8888</v>
      </c>
      <c r="AA1301" s="143" t="s">
        <v>35</v>
      </c>
      <c r="AB1301" s="128">
        <f ca="1">IF($AA1288,D1301,AB1294)</f>
        <v>8888</v>
      </c>
      <c r="AC1301" s="129">
        <f ca="1">IF($AA1288,E1301,AC1294)</f>
        <v>8888</v>
      </c>
      <c r="AD1301" s="157"/>
      <c r="AE1301" s="2" t="s">
        <v>35</v>
      </c>
      <c r="AF1301" s="188">
        <f ca="1">IF($AE1288,H1301,AF1294)</f>
        <v>8888</v>
      </c>
      <c r="AG1301" s="196">
        <f ca="1">IF($AE1288,I1301,AG1294)</f>
        <v>8888</v>
      </c>
      <c r="AI1301" s="128" t="s">
        <v>35</v>
      </c>
      <c r="AJ1301" s="128">
        <f ca="1">IF($AI1288,L1301,AJ1294)</f>
        <v>8888</v>
      </c>
      <c r="AK1301" s="129">
        <f ca="1">IF($AI1288,M1301,AK1294)</f>
        <v>8888</v>
      </c>
      <c r="AL1301" s="156"/>
      <c r="BD1301" s="157"/>
    </row>
    <row r="1302" spans="2:56" ht="15" thickBot="1">
      <c r="B1302" s="156"/>
      <c r="C1302" s="130" t="s">
        <v>396</v>
      </c>
      <c r="D1302" s="130">
        <f ca="1">D1290</f>
        <v>8888</v>
      </c>
      <c r="E1302" s="140">
        <f ca="1">E1290</f>
        <v>8888</v>
      </c>
      <c r="F1302" s="157"/>
      <c r="G1302" s="192" t="s">
        <v>312</v>
      </c>
      <c r="H1302" s="128">
        <f ca="1">IF(G1288&gt;=4,H1290,H1301)</f>
        <v>8888</v>
      </c>
      <c r="I1302" s="139">
        <f ca="1">IF(G1288&gt;=4,I1301-P1283,I1301)</f>
        <v>8888</v>
      </c>
      <c r="K1302" s="130" t="s">
        <v>396</v>
      </c>
      <c r="L1302" s="130">
        <f ca="1">L1290</f>
        <v>8888</v>
      </c>
      <c r="M1302" s="140">
        <f ca="1">M1290</f>
        <v>8888</v>
      </c>
      <c r="AA1302" s="144" t="s">
        <v>396</v>
      </c>
      <c r="AB1302" s="130">
        <f ca="1">IF($AA1288,D1302,AB1294)</f>
        <v>8888</v>
      </c>
      <c r="AC1302" s="132">
        <f ca="1">IF($AA1288,E1302,AC1294)</f>
        <v>8888</v>
      </c>
      <c r="AD1302" s="157"/>
      <c r="AE1302" s="192" t="s">
        <v>312</v>
      </c>
      <c r="AF1302" s="128">
        <f ca="1">IF($AE1288,H1302,AF1294)</f>
        <v>8888</v>
      </c>
      <c r="AG1302" s="129">
        <f ca="1">IF($AE1288,I1302,AG1294)</f>
        <v>8888</v>
      </c>
      <c r="AI1302" s="130" t="s">
        <v>396</v>
      </c>
      <c r="AJ1302" s="130">
        <f ca="1">IF($AI1288,L1302,AJ1294)</f>
        <v>8888</v>
      </c>
      <c r="AK1302" s="132">
        <f ca="1">IF($AI1288,M1302,AK1294)</f>
        <v>8888</v>
      </c>
      <c r="BD1302" s="157"/>
    </row>
    <row r="1303" spans="2:56">
      <c r="B1303" s="156"/>
      <c r="F1303" s="157"/>
      <c r="G1303" s="2" t="s">
        <v>313</v>
      </c>
      <c r="H1303" s="128">
        <f ca="1">IF(G1288&gt;=4,H1291,H1301)</f>
        <v>8888</v>
      </c>
      <c r="I1303" s="139">
        <f ca="1">IF(G1288&gt;=4,I1302,I1301)</f>
        <v>8888</v>
      </c>
      <c r="AD1303" s="157"/>
      <c r="AE1303" s="2" t="s">
        <v>313</v>
      </c>
      <c r="AF1303" s="128">
        <f ca="1">IF($AE1288,H1303,AF1294)</f>
        <v>8888</v>
      </c>
      <c r="AG1303" s="129">
        <f ca="1">IF($AE1288,I1303,AG1294)</f>
        <v>8888</v>
      </c>
      <c r="BD1303" s="157"/>
    </row>
    <row r="1304" spans="2:56">
      <c r="B1304" s="156"/>
      <c r="F1304" s="157"/>
      <c r="G1304" s="2" t="s">
        <v>7</v>
      </c>
      <c r="H1304" s="128">
        <f ca="1">IF(G1288&gt;=4,H1291,H1301)</f>
        <v>8888</v>
      </c>
      <c r="I1304" s="139">
        <f ca="1">IF(G1288&gt;=4,I1303-P1281,I1301)</f>
        <v>8888</v>
      </c>
      <c r="AD1304" s="157"/>
      <c r="AE1304" s="2" t="s">
        <v>7</v>
      </c>
      <c r="AF1304" s="128">
        <f ca="1">IF($AE1288,H1304,AF1294)</f>
        <v>8888</v>
      </c>
      <c r="AG1304" s="129">
        <f ca="1">IF($AE1288,I1304,AG1294)</f>
        <v>8888</v>
      </c>
      <c r="BD1304" s="157"/>
    </row>
    <row r="1305" spans="2:56">
      <c r="B1305" s="156"/>
      <c r="F1305" s="157"/>
      <c r="G1305" s="115" t="s">
        <v>8</v>
      </c>
      <c r="H1305" s="188">
        <f ca="1">IF(G1288&gt;=4,H1290,H1301)</f>
        <v>8888</v>
      </c>
      <c r="I1305" s="189">
        <f ca="1">IF(G1288&gt;=4,I1304,I1301)</f>
        <v>8888</v>
      </c>
      <c r="AD1305" s="157"/>
      <c r="AE1305" s="115" t="s">
        <v>8</v>
      </c>
      <c r="AF1305" s="188">
        <f ca="1">IF($AE1288,H1305,AF1294)</f>
        <v>8888</v>
      </c>
      <c r="AG1305" s="196">
        <f ca="1">IF($AE1288,I1305,AG1294)</f>
        <v>8888</v>
      </c>
      <c r="BD1305" s="157"/>
    </row>
    <row r="1306" spans="2:56">
      <c r="B1306" s="156"/>
      <c r="F1306" s="157"/>
      <c r="G1306" s="2" t="s">
        <v>9</v>
      </c>
      <c r="H1306" s="128">
        <f ca="1">IF(G1288&gt;=5,H1290,H1305)</f>
        <v>8888</v>
      </c>
      <c r="I1306" s="139">
        <f ca="1">IF(G1288&gt;=5,I1305-P1283,I1305)</f>
        <v>8888</v>
      </c>
      <c r="AD1306" s="157"/>
      <c r="AE1306" s="2" t="s">
        <v>9</v>
      </c>
      <c r="AF1306" s="128">
        <f ca="1">IF($AE1288,H1306,AF1294)</f>
        <v>8888</v>
      </c>
      <c r="AG1306" s="129">
        <f ca="1">IF($AE1288,I1306,AG1294)</f>
        <v>8888</v>
      </c>
      <c r="BD1306" s="157"/>
    </row>
    <row r="1307" spans="2:56">
      <c r="B1307" s="156"/>
      <c r="F1307" s="157"/>
      <c r="G1307" s="2" t="s">
        <v>196</v>
      </c>
      <c r="H1307" s="128">
        <f ca="1">IF(G1288&gt;=5,H1291,H1305)</f>
        <v>8888</v>
      </c>
      <c r="I1307" s="139">
        <f ca="1">IF(G1288&gt;=5,I1306,I1305)</f>
        <v>8888</v>
      </c>
      <c r="AD1307" s="157"/>
      <c r="AE1307" s="2" t="s">
        <v>196</v>
      </c>
      <c r="AF1307" s="128">
        <f ca="1">IF($AE1288,H1307,AF1294)</f>
        <v>8888</v>
      </c>
      <c r="AG1307" s="129">
        <f ca="1">IF($AE1288,I1307,AG1294)</f>
        <v>8888</v>
      </c>
      <c r="BD1307" s="157"/>
    </row>
    <row r="1308" spans="2:56">
      <c r="B1308" s="156"/>
      <c r="F1308" s="157"/>
      <c r="G1308" s="2" t="s">
        <v>10</v>
      </c>
      <c r="H1308" s="128">
        <f ca="1">IF(G1288&gt;=5,H1291,H1305)</f>
        <v>8888</v>
      </c>
      <c r="I1308" s="139">
        <f ca="1">IF(G1288&gt;=5,I1307-P1281,I1305)</f>
        <v>8888</v>
      </c>
      <c r="AD1308" s="157"/>
      <c r="AE1308" s="2" t="s">
        <v>10</v>
      </c>
      <c r="AF1308" s="128">
        <f ca="1">IF($AE1288,H1308,AF1294)</f>
        <v>8888</v>
      </c>
      <c r="AG1308" s="129">
        <f ca="1">IF($AE1288,I1308,AG1294)</f>
        <v>8888</v>
      </c>
      <c r="BD1308" s="157"/>
    </row>
    <row r="1309" spans="2:56">
      <c r="B1309" s="156"/>
      <c r="F1309" s="157"/>
      <c r="G1309" s="2" t="s">
        <v>161</v>
      </c>
      <c r="H1309" s="188">
        <f ca="1">IF(G1288&gt;=5,H1290,H1305)</f>
        <v>8888</v>
      </c>
      <c r="I1309" s="189">
        <f ca="1">IF(G1288&gt;=5,I1308,I1305)</f>
        <v>8888</v>
      </c>
      <c r="AD1309" s="157"/>
      <c r="AE1309" s="2" t="s">
        <v>161</v>
      </c>
      <c r="AF1309" s="188">
        <f ca="1">IF($AE1288,H1309,AF1294)</f>
        <v>8888</v>
      </c>
      <c r="AG1309" s="196">
        <f ca="1">IF($AE1288,I1309,AG1294)</f>
        <v>8888</v>
      </c>
      <c r="BD1309" s="157"/>
    </row>
    <row r="1310" spans="2:56">
      <c r="B1310" s="156"/>
      <c r="F1310" s="157"/>
      <c r="G1310" s="192" t="s">
        <v>11</v>
      </c>
      <c r="H1310" s="128">
        <f ca="1">IF(G1288&gt;=6,H1290,H1309)</f>
        <v>8888</v>
      </c>
      <c r="I1310" s="139">
        <f ca="1">IF(G1288&gt;=6,I1309-P1283,I1309)</f>
        <v>8888</v>
      </c>
      <c r="AD1310" s="157"/>
      <c r="AE1310" s="192" t="s">
        <v>11</v>
      </c>
      <c r="AF1310" s="128">
        <f ca="1">IF($AE1288,H1310,AF1294)</f>
        <v>8888</v>
      </c>
      <c r="AG1310" s="129">
        <f ca="1">IF($AE1288,I1310,AG1294)</f>
        <v>8888</v>
      </c>
      <c r="BD1310" s="157"/>
    </row>
    <row r="1311" spans="2:56">
      <c r="B1311" s="156"/>
      <c r="F1311" s="157"/>
      <c r="G1311" s="2" t="s">
        <v>12</v>
      </c>
      <c r="H1311" s="128">
        <f ca="1">IF(G1288&gt;=6,H1291,H1309)</f>
        <v>8888</v>
      </c>
      <c r="I1311" s="139">
        <f ca="1">IF(G1288&gt;=6,I1310,I1309)</f>
        <v>8888</v>
      </c>
      <c r="AD1311" s="157"/>
      <c r="AE1311" s="2" t="s">
        <v>12</v>
      </c>
      <c r="AF1311" s="128">
        <f ca="1">IF($AE1288,H1311,AF1294)</f>
        <v>8888</v>
      </c>
      <c r="AG1311" s="129">
        <f ca="1">IF($AE1288,I1311,AG1294)</f>
        <v>8888</v>
      </c>
      <c r="BD1311" s="157"/>
    </row>
    <row r="1312" spans="2:56">
      <c r="B1312" s="156"/>
      <c r="F1312" s="157"/>
      <c r="G1312" s="2" t="s">
        <v>13</v>
      </c>
      <c r="H1312" s="128">
        <f ca="1">IF(G1288&gt;=6,H1291,H1309)</f>
        <v>8888</v>
      </c>
      <c r="I1312" s="139">
        <f ca="1">IF(G1288&gt;=6,I1311-P1281,I1309)</f>
        <v>8888</v>
      </c>
      <c r="AD1312" s="157"/>
      <c r="AE1312" s="2" t="s">
        <v>13</v>
      </c>
      <c r="AF1312" s="128">
        <f ca="1">IF($AE1288,H1312,AF1294)</f>
        <v>8888</v>
      </c>
      <c r="AG1312" s="129">
        <f ca="1">IF($AE1288,I1312,AG1294)</f>
        <v>8888</v>
      </c>
      <c r="BD1312" s="157"/>
    </row>
    <row r="1313" spans="2:56">
      <c r="B1313" s="156"/>
      <c r="F1313" s="157"/>
      <c r="G1313" s="115" t="s">
        <v>14</v>
      </c>
      <c r="H1313" s="188">
        <f ca="1">IF(G1288&gt;=6,H1290,H1309)</f>
        <v>8888</v>
      </c>
      <c r="I1313" s="189">
        <f ca="1">IF(G1288&gt;=6,I1312,I1309)</f>
        <v>8888</v>
      </c>
      <c r="AD1313" s="157"/>
      <c r="AE1313" s="115" t="s">
        <v>14</v>
      </c>
      <c r="AF1313" s="188">
        <f ca="1">IF($AE1288,H1313,AF1294)</f>
        <v>8888</v>
      </c>
      <c r="AG1313" s="196">
        <f ca="1">IF($AE1288,I1313,AG1294)</f>
        <v>8888</v>
      </c>
      <c r="BD1313" s="157"/>
    </row>
    <row r="1314" spans="2:56" ht="15" thickBot="1">
      <c r="B1314" s="156"/>
      <c r="G1314" s="130" t="s">
        <v>396</v>
      </c>
      <c r="H1314" s="130">
        <f ca="1">H1290</f>
        <v>8888</v>
      </c>
      <c r="I1314" s="140">
        <f ca="1">I1290</f>
        <v>8888</v>
      </c>
      <c r="AE1314" s="130" t="s">
        <v>396</v>
      </c>
      <c r="AF1314" s="130">
        <f ca="1">IF($AE1288,H1314,AF1294)</f>
        <v>8888</v>
      </c>
      <c r="AG1314" s="132">
        <f ca="1">IF($AE1288,I1314,AG1294)</f>
        <v>8888</v>
      </c>
      <c r="BD1314" s="157"/>
    </row>
    <row r="1315" spans="2:56">
      <c r="B1315" s="156"/>
      <c r="BD1315" s="157"/>
    </row>
    <row r="1316" spans="2:56">
      <c r="B1316" s="156"/>
      <c r="BD1316" s="157"/>
    </row>
    <row r="1317" spans="2:56">
      <c r="B1317" s="156"/>
      <c r="C1317" s="200" t="s">
        <v>336</v>
      </c>
      <c r="D1317">
        <f>D1281+1</f>
        <v>32</v>
      </c>
      <c r="G1317" s="200" t="s">
        <v>638</v>
      </c>
      <c r="H1317">
        <f ca="1">LOOKUP(D1320,$C$191:$C$196,$D$191:$D$196)</f>
        <v>0</v>
      </c>
      <c r="K1317" s="200" t="s">
        <v>644</v>
      </c>
      <c r="L1317">
        <f ca="1">L1281-H1322</f>
        <v>-16.562000000000005</v>
      </c>
      <c r="O1317" s="200" t="s">
        <v>404</v>
      </c>
      <c r="P1317">
        <f ca="1">IF(D1319=1,SEAT_w_cushion_FC,IF(D1319=2,SEAT_w_cushion_BC,IF(D1319=3,SEAT_w_cushion_YC,0)))</f>
        <v>0</v>
      </c>
      <c r="S1317" s="200" t="s">
        <v>647</v>
      </c>
      <c r="T1317">
        <f ca="1">LOOKUP(D1320,$C$191:$C$196,$E$191:$E$196)</f>
        <v>0</v>
      </c>
      <c r="W1317" t="s">
        <v>130</v>
      </c>
      <c r="X1317" t="str">
        <f ca="1">OFFSET(Fuselage!$B$275,D1317,5)</f>
        <v>None</v>
      </c>
      <c r="AN1317" s="200" t="s">
        <v>135</v>
      </c>
      <c r="AO1317">
        <f ca="1">MAX(0,H1322-MAX(T1317,T1319,T1321,P1318)-X1318)</f>
        <v>0</v>
      </c>
      <c r="BD1317" s="157"/>
    </row>
    <row r="1318" spans="2:56">
      <c r="B1318" s="156"/>
      <c r="C1318" s="200" t="s">
        <v>200</v>
      </c>
      <c r="D1318" t="str">
        <f ca="1">OFFSET(Fuselage!$B$275,D1317,0)</f>
        <v/>
      </c>
      <c r="G1318" s="200" t="s">
        <v>639</v>
      </c>
      <c r="H1318">
        <f ca="1">LOOKUP(D1321,$C$191:$C$196,$D$191:$D$196)</f>
        <v>0</v>
      </c>
      <c r="O1318" s="200" t="s">
        <v>535</v>
      </c>
      <c r="P1318">
        <f ca="1">IF(D1319=1,SEAT_length_FC,IF(D1319=2,SEAT_length_BC,IF(D1319=3,SEAT_length_YC,0)))</f>
        <v>0</v>
      </c>
      <c r="S1318" s="200" t="s">
        <v>648</v>
      </c>
      <c r="T1318">
        <f ca="1">LOOKUP(D1320,$C$191:$C$196,$F$191:$F$196)</f>
        <v>0</v>
      </c>
      <c r="W1318" t="s">
        <v>131</v>
      </c>
      <c r="X1318">
        <f ca="1">LOOKUP(X1317,$I$191:$I$198,$J$191:$J$198)</f>
        <v>0</v>
      </c>
      <c r="BD1318" s="157"/>
    </row>
    <row r="1319" spans="2:56">
      <c r="B1319" s="156"/>
      <c r="C1319" s="200" t="s">
        <v>337</v>
      </c>
      <c r="D1319" t="str">
        <f ca="1">OFFSET(Fuselage!$B$275,D1317,4)</f>
        <v/>
      </c>
      <c r="G1319" s="200" t="s">
        <v>309</v>
      </c>
      <c r="H1319">
        <f ca="1">LOOKUP(D1322,$C$191:$C$196,$D$191:$D$196)</f>
        <v>0</v>
      </c>
      <c r="K1319" s="200" t="s">
        <v>645</v>
      </c>
      <c r="L1319">
        <f ca="1">IF(D1319=1,FUSELAGE_nseats_left_FC,IF(D1319=2,FUSELAGE_nseats_left_BC,IF(D1319=3,FUSELAGE_nseats_left_YC,0)))</f>
        <v>0</v>
      </c>
      <c r="O1319" s="200" t="s">
        <v>405</v>
      </c>
      <c r="P1319">
        <f ca="1">IF(D1319=1,SEAT_w_armrest_FC,IF(D1319=2,SEAT_w_armrest_BC,IF(D1319=3,SEAT_w_armrest_YC,0)))</f>
        <v>0</v>
      </c>
      <c r="S1319" s="200" t="s">
        <v>652</v>
      </c>
      <c r="T1319">
        <f ca="1">LOOKUP(D1321,$C$191:$C$196,$E$191:$E$196)</f>
        <v>0</v>
      </c>
      <c r="W1319" s="200" t="s">
        <v>393</v>
      </c>
      <c r="X1319" t="b">
        <f ca="1">IF(OFFSET(Fuselage!$B$275,D1317,6)="YES",TRUE(),FALSE())</f>
        <v>0</v>
      </c>
      <c r="BD1319" s="157"/>
    </row>
    <row r="1320" spans="2:56">
      <c r="B1320" s="156"/>
      <c r="C1320" s="200" t="s">
        <v>640</v>
      </c>
      <c r="D1320" t="str">
        <f ca="1">OFFSET(Fuselage!$B$275,D1317,1)</f>
        <v>None</v>
      </c>
      <c r="G1320" s="200" t="s">
        <v>132</v>
      </c>
      <c r="H1320">
        <f ca="1">IF(D1319=1,SEAT_pitch_FC,IF(D1319=2,SEAT_pitch_BC,IF(D1319=3,SEAT_pitch_YC,0)))</f>
        <v>0</v>
      </c>
      <c r="K1320" s="200" t="s">
        <v>646</v>
      </c>
      <c r="L1320">
        <f ca="1">IF(D1319=1,FUSELAGE_nseats_middle_FC,IF(D1319=2,FUSELAGE_nseats_middle_BC,IF(D1319=3,FUSELAGE_nseats_middle_YC,0)))</f>
        <v>0</v>
      </c>
      <c r="S1320" s="200" t="s">
        <v>653</v>
      </c>
      <c r="T1320">
        <f ca="1">LOOKUP(D1321,$C$191:$C$196,$F$191:$F$196)</f>
        <v>0</v>
      </c>
      <c r="BD1320" s="157"/>
    </row>
    <row r="1321" spans="2:56">
      <c r="B1321" s="156"/>
      <c r="C1321" s="200" t="s">
        <v>642</v>
      </c>
      <c r="D1321" t="str">
        <f ca="1">OFFSET(Fuselage!$B$275,D1317,2)</f>
        <v>None</v>
      </c>
      <c r="G1321" s="200" t="s">
        <v>129</v>
      </c>
      <c r="H1321">
        <f ca="1">IF(OR(X1317="Type A",X1317="Type B"),MAX(H1317:H1320)+42*0.0254,IF(X1317="Type C",MAX(H1317:H1320)+X1318,IF(X1317&lt;&gt;"None",24*0.0254,0)))</f>
        <v>0</v>
      </c>
      <c r="K1321" s="200" t="s">
        <v>655</v>
      </c>
      <c r="L1321">
        <f ca="1">IF(D1319=1,FUSELAGE_nseats_right_FC,IF(D1319=2,FUSELAGE_nseats_right_BC,IF(D1319=3,FUSELAGE_nseats_right_YC,0)))</f>
        <v>0</v>
      </c>
      <c r="O1321" s="200" t="s">
        <v>407</v>
      </c>
      <c r="P1321">
        <f ca="1">($C$13-(L1319+L1320+L1321)*(P1317+P1319)+(FUSELAGE_n_aisles-1)*P1319)/FUSELAGE_n_aisles</f>
        <v>2.76</v>
      </c>
      <c r="S1321" s="200" t="s">
        <v>651</v>
      </c>
      <c r="T1321">
        <f ca="1">LOOKUP(D1322,$C$191:$C$196,$E$191:$E$196)</f>
        <v>0</v>
      </c>
      <c r="BD1321" s="157"/>
    </row>
    <row r="1322" spans="2:56">
      <c r="B1322" s="156"/>
      <c r="C1322" s="200" t="s">
        <v>641</v>
      </c>
      <c r="D1322" t="str">
        <f ca="1">OFFSET(Fuselage!$B$275,D1317,3)</f>
        <v>None</v>
      </c>
      <c r="G1322" s="200" t="s">
        <v>643</v>
      </c>
      <c r="H1322">
        <f ca="1">MAX(H1317:H1321)</f>
        <v>0</v>
      </c>
      <c r="S1322" s="200" t="s">
        <v>654</v>
      </c>
      <c r="T1322">
        <f ca="1">LOOKUP(D1322,$C$191:$C$196,$F$191:$F$196)</f>
        <v>0</v>
      </c>
      <c r="BD1322" s="157"/>
    </row>
    <row r="1323" spans="2:56" ht="15" thickBot="1">
      <c r="B1323" s="156"/>
      <c r="BD1323" s="157"/>
    </row>
    <row r="1324" spans="2:56" ht="15" thickBot="1">
      <c r="B1324" s="156"/>
      <c r="C1324" s="141">
        <f ca="1">L1321</f>
        <v>0</v>
      </c>
      <c r="D1324" s="197" t="str">
        <f ca="1">IF($D1319=1,"FC",IF($D1319=2,"BC",IF($D1319=3,"YC","Nothing")))</f>
        <v>Nothing</v>
      </c>
      <c r="E1324" s="198"/>
      <c r="G1324" s="141">
        <f ca="1">L1320</f>
        <v>0</v>
      </c>
      <c r="H1324" s="197" t="str">
        <f ca="1">IF($D1319=1,"FC",IF($D1319=2,"BC",IF($D1319=3,"YC","Nothing")))</f>
        <v>Nothing</v>
      </c>
      <c r="I1324" s="198"/>
      <c r="K1324" s="141">
        <f ca="1" xml:space="preserve"> L1319</f>
        <v>0</v>
      </c>
      <c r="L1324" s="197" t="str">
        <f ca="1">IF($D1319=1,"FC",IF($D1319=2,"BC",IF($D1319=3,"YC","Nothing")))</f>
        <v>Nothing</v>
      </c>
      <c r="M1324" s="198"/>
      <c r="O1324" s="141">
        <f ca="1">IF($D1322&lt;&gt;"None",1,0)</f>
        <v>0</v>
      </c>
      <c r="P1324" s="326" t="s">
        <v>380</v>
      </c>
      <c r="Q1324" s="327"/>
      <c r="S1324" s="141">
        <f ca="1">IF($D1321&lt;&gt;"None",1,0)</f>
        <v>0</v>
      </c>
      <c r="T1324" s="326" t="s">
        <v>381</v>
      </c>
      <c r="U1324" s="327"/>
      <c r="W1324" s="141">
        <f ca="1">IF($D1320&lt;&gt;"None",1,0)</f>
        <v>0</v>
      </c>
      <c r="X1324" s="326" t="s">
        <v>382</v>
      </c>
      <c r="Y1324" s="327"/>
      <c r="AA1324" s="141">
        <f ca="1">IF($D1322="None",1,0)</f>
        <v>1</v>
      </c>
      <c r="AB1324" s="326" t="str">
        <f ca="1">IF(AA1324,D1324,$D1322)</f>
        <v>Nothing</v>
      </c>
      <c r="AC1324" s="327"/>
      <c r="AE1324" s="141">
        <f ca="1">IF($D1321="None",1,0)</f>
        <v>1</v>
      </c>
      <c r="AF1324" s="326" t="str">
        <f ca="1">IF(AE1324,H1324,$D1321)</f>
        <v>Nothing</v>
      </c>
      <c r="AG1324" s="327"/>
      <c r="AI1324" s="141">
        <f ca="1">IF($D1320="None",1,0)</f>
        <v>1</v>
      </c>
      <c r="AJ1324" s="326" t="str">
        <f ca="1">IF(AI1324,L1324,$D1320)</f>
        <v>Nothing</v>
      </c>
      <c r="AK1324" s="327"/>
      <c r="AM1324" s="141">
        <f ca="1">IF($X1317="None",0,1)</f>
        <v>0</v>
      </c>
      <c r="AN1324" s="197" t="s">
        <v>133</v>
      </c>
      <c r="AO1324" s="198"/>
      <c r="AQ1324" s="141">
        <f ca="1">IF($X1317="None",0,1)</f>
        <v>0</v>
      </c>
      <c r="AR1324" s="197" t="s">
        <v>134</v>
      </c>
      <c r="AS1324" s="198"/>
      <c r="BD1324" s="157"/>
    </row>
    <row r="1325" spans="2:56" ht="15" thickBot="1">
      <c r="B1325" s="156"/>
      <c r="C1325" s="136" t="s">
        <v>452</v>
      </c>
      <c r="D1325" s="136" t="s">
        <v>384</v>
      </c>
      <c r="E1325" s="138" t="s">
        <v>385</v>
      </c>
      <c r="G1325" s="136" t="s">
        <v>452</v>
      </c>
      <c r="H1325" s="136" t="s">
        <v>384</v>
      </c>
      <c r="I1325" s="138" t="s">
        <v>385</v>
      </c>
      <c r="K1325" s="193" t="s">
        <v>452</v>
      </c>
      <c r="L1325" s="193" t="s">
        <v>384</v>
      </c>
      <c r="M1325" s="194" t="s">
        <v>385</v>
      </c>
      <c r="O1325" s="136" t="s">
        <v>452</v>
      </c>
      <c r="P1325" s="136" t="s">
        <v>384</v>
      </c>
      <c r="Q1325" s="138" t="s">
        <v>385</v>
      </c>
      <c r="S1325" s="136" t="s">
        <v>452</v>
      </c>
      <c r="T1325" s="136" t="s">
        <v>384</v>
      </c>
      <c r="U1325" s="138" t="s">
        <v>385</v>
      </c>
      <c r="W1325" s="136" t="s">
        <v>452</v>
      </c>
      <c r="X1325" s="136" t="s">
        <v>384</v>
      </c>
      <c r="Y1325" s="138" t="s">
        <v>385</v>
      </c>
      <c r="AA1325" s="136" t="s">
        <v>452</v>
      </c>
      <c r="AB1325" s="136" t="s">
        <v>384</v>
      </c>
      <c r="AC1325" s="138" t="s">
        <v>385</v>
      </c>
      <c r="AE1325" s="136" t="s">
        <v>452</v>
      </c>
      <c r="AF1325" s="136" t="s">
        <v>384</v>
      </c>
      <c r="AG1325" s="138" t="s">
        <v>385</v>
      </c>
      <c r="AI1325" s="193" t="s">
        <v>452</v>
      </c>
      <c r="AJ1325" s="193" t="s">
        <v>384</v>
      </c>
      <c r="AK1325" s="194" t="s">
        <v>385</v>
      </c>
      <c r="AM1325" s="193" t="s">
        <v>452</v>
      </c>
      <c r="AN1325" s="193" t="s">
        <v>384</v>
      </c>
      <c r="AO1325" s="194" t="s">
        <v>385</v>
      </c>
      <c r="AQ1325" s="193" t="s">
        <v>452</v>
      </c>
      <c r="AR1325" s="193" t="s">
        <v>384</v>
      </c>
      <c r="AS1325" s="194" t="s">
        <v>385</v>
      </c>
      <c r="BD1325" s="157"/>
    </row>
    <row r="1326" spans="2:56">
      <c r="B1326" s="156"/>
      <c r="C1326" s="128" t="s">
        <v>396</v>
      </c>
      <c r="D1326" s="158">
        <f ca="1">IF(C1324&gt;=1,L1317,8888)</f>
        <v>8888</v>
      </c>
      <c r="E1326" s="160">
        <f ca="1">IF(C1324&gt;=1,1/2*($C$13-P1317-2*P1319)+1/2*P1317,8888)</f>
        <v>8888</v>
      </c>
      <c r="G1326" s="128" t="s">
        <v>396</v>
      </c>
      <c r="H1326" s="158">
        <f ca="1">IF(G1324&gt;=1,L1317,8888)</f>
        <v>8888</v>
      </c>
      <c r="I1326" s="160">
        <f ca="1">IF(G1324&gt;=1,E1337-P1321,8888)</f>
        <v>8888</v>
      </c>
      <c r="K1326" s="128" t="s">
        <v>396</v>
      </c>
      <c r="L1326" s="158">
        <f ca="1">IF(K1324&gt;=1,L1317,8888)</f>
        <v>8888</v>
      </c>
      <c r="M1326" s="160">
        <f ca="1">IF(K1324&gt;=1,IF(FUSELAGE_n_aisles=1,E1337-P1321,I1349-P1321),8888)</f>
        <v>8888</v>
      </c>
      <c r="O1326" s="128" t="s">
        <v>396</v>
      </c>
      <c r="P1326" s="158">
        <f ca="1">IF(O1324,$L1317,8888)</f>
        <v>8888</v>
      </c>
      <c r="Q1326" s="209">
        <f ca="1">IF(O1324,FUSELAGE_y_position_of_left_seat_YC-(FUSELAGE_nseats_right_YC-1)*(SEAT_w_cushion_YC+SEAT_w_armrest_YC)/2+T1322/2,8888)</f>
        <v>8888</v>
      </c>
      <c r="S1326" s="128" t="s">
        <v>396</v>
      </c>
      <c r="T1326" s="158">
        <f ca="1">IF(S1324,$L1317,8888)</f>
        <v>8888</v>
      </c>
      <c r="U1326" s="160">
        <f ca="1">IF(S1324,T1320/2,8888)</f>
        <v>8888</v>
      </c>
      <c r="W1326" s="128" t="s">
        <v>396</v>
      </c>
      <c r="X1326" s="158">
        <f ca="1">IF(W1324,$L1317,8888)</f>
        <v>8888</v>
      </c>
      <c r="Y1326" s="160">
        <f ca="1">IF(W1324,-FUSELAGE_y_position_of_left_seat_YC+(FUSELAGE_nseats_left_YC-1)*(SEAT_w_cushion_YC+SEAT_w_armrest_YC)/2-T1318/2,8888)</f>
        <v>8888</v>
      </c>
      <c r="AA1326" s="128" t="s">
        <v>396</v>
      </c>
      <c r="AB1326" s="158">
        <f ca="1">IF($AA1324,D1326,P1326)</f>
        <v>8888</v>
      </c>
      <c r="AC1326" s="174">
        <f ca="1">IF($AA1324,E1326,Q1326)</f>
        <v>8888</v>
      </c>
      <c r="AE1326" s="128" t="s">
        <v>396</v>
      </c>
      <c r="AF1326" s="158">
        <f ca="1">IF($AE1324,H1326,T1326)</f>
        <v>8888</v>
      </c>
      <c r="AG1326" s="174">
        <f ca="1">IF($AE1324,I1326,U1326)</f>
        <v>8888</v>
      </c>
      <c r="AI1326" s="128" t="s">
        <v>396</v>
      </c>
      <c r="AJ1326" s="158">
        <f ca="1">IF($AI1324,L1326,X1326)</f>
        <v>8888</v>
      </c>
      <c r="AK1326" s="174">
        <f ca="1">IF($AI1324,M1326,Y1326)</f>
        <v>8888</v>
      </c>
      <c r="AM1326" s="128" t="s">
        <v>396</v>
      </c>
      <c r="AN1326" s="158">
        <f ca="1">AN1295</f>
        <v>-16.562000000000005</v>
      </c>
      <c r="AO1326" s="174">
        <f ca="1">IF(AN1326&gt;-Fuselage!$D$366,(FUSELAGE_a_ellipse)*SQRT(1-((AN1326+Fuselage!$D$366)/(Fuselage!$K$364-FUSELAGE_t_fuselage))^2),IF(AN1326&gt;$L$2505+Fuselage!$K$370,FUSELAGE_a_ellipse,(FUSELAGE_a_ellipse+FUSELAGE_t_fuselage-FUSELAGE_d_fo/4)/Fuselage!$K$368*(AN1326-$L$2505-Fuselage!$K$370)+FUSELAGE_a_ellipse))</f>
        <v>1.4960570012328709</v>
      </c>
      <c r="AQ1326" s="128" t="s">
        <v>396</v>
      </c>
      <c r="AR1326" s="158">
        <f t="shared" ref="AR1326:AR1331" ca="1" si="128">AN1326</f>
        <v>-16.562000000000005</v>
      </c>
      <c r="AS1326" s="174">
        <f t="shared" ref="AS1326:AS1331" ca="1" si="129">-AO1326</f>
        <v>-1.4960570012328709</v>
      </c>
      <c r="BD1326" s="157"/>
    </row>
    <row r="1327" spans="2:56">
      <c r="B1327" s="156"/>
      <c r="C1327" s="128" t="s">
        <v>213</v>
      </c>
      <c r="D1327" s="128">
        <f ca="1">IF(X1319,D1326+P1318/4,D1326+P1318)</f>
        <v>8888</v>
      </c>
      <c r="E1327" s="139">
        <f ca="1">E1326</f>
        <v>8888</v>
      </c>
      <c r="G1327" s="128" t="s">
        <v>213</v>
      </c>
      <c r="H1327" s="128">
        <f ca="1">H1326+P1318</f>
        <v>8888</v>
      </c>
      <c r="I1327" s="139">
        <f ca="1">I1326</f>
        <v>8888</v>
      </c>
      <c r="K1327" s="128" t="s">
        <v>213</v>
      </c>
      <c r="L1327" s="128">
        <f ca="1">IF(X1319,IF(K1324=1,L1326+P1318/4,L1326+P1318),L1326+P1318)</f>
        <v>8888</v>
      </c>
      <c r="M1327" s="139">
        <f ca="1">M1326</f>
        <v>8888</v>
      </c>
      <c r="O1327" s="128" t="s">
        <v>213</v>
      </c>
      <c r="P1327" s="128">
        <f ca="1">P1326+$T1321</f>
        <v>8888</v>
      </c>
      <c r="Q1327" s="139">
        <f ca="1">Q1326</f>
        <v>8888</v>
      </c>
      <c r="S1327" s="128" t="s">
        <v>213</v>
      </c>
      <c r="T1327" s="128">
        <f ca="1">T1326+$T1319</f>
        <v>8888</v>
      </c>
      <c r="U1327" s="139">
        <f ca="1">U1326</f>
        <v>8888</v>
      </c>
      <c r="W1327" s="128" t="s">
        <v>213</v>
      </c>
      <c r="X1327" s="128">
        <f ca="1">X1326+$T1317</f>
        <v>8888</v>
      </c>
      <c r="Y1327" s="139">
        <f ca="1">Y1326</f>
        <v>8888</v>
      </c>
      <c r="AA1327" s="143" t="s">
        <v>213</v>
      </c>
      <c r="AB1327" s="128">
        <f ca="1">IF($AA1324,D1327,P1327)</f>
        <v>8888</v>
      </c>
      <c r="AC1327" s="129">
        <f ca="1">IF($AA1324,E1327,Q1327)</f>
        <v>8888</v>
      </c>
      <c r="AE1327" s="128" t="s">
        <v>213</v>
      </c>
      <c r="AF1327" s="128">
        <f ca="1">IF($AE1324,H1327,T1327)</f>
        <v>8888</v>
      </c>
      <c r="AG1327" s="129">
        <f ca="1">IF($AE1324,I1327,U1327)</f>
        <v>8888</v>
      </c>
      <c r="AI1327" s="128" t="s">
        <v>213</v>
      </c>
      <c r="AJ1327" s="128">
        <f ca="1">IF($AI1324,L1327,X1327)</f>
        <v>8888</v>
      </c>
      <c r="AK1327" s="129">
        <f ca="1">IF($AI1324,M1327,Y1327)</f>
        <v>8888</v>
      </c>
      <c r="AM1327" s="128" t="s">
        <v>213</v>
      </c>
      <c r="AN1327" s="128">
        <f ca="1">AN1326-AO1317/2</f>
        <v>-16.562000000000005</v>
      </c>
      <c r="AO1327" s="129">
        <f ca="1">IF(AN1327&gt;-Fuselage!$D$366,(FUSELAGE_a_ellipse)*SQRT(1-((AN1327+Fuselage!$D$366)/(Fuselage!$K$364-FUSELAGE_t_fuselage))^2),IF(AN1327&gt;$L$2505+Fuselage!$K$370,FUSELAGE_a_ellipse,(FUSELAGE_a_ellipse+FUSELAGE_t_fuselage-FUSELAGE_d_fo/4)/Fuselage!$K$368*(AN1327-$L$2505-Fuselage!$K$370)+FUSELAGE_a_ellipse))</f>
        <v>1.4960570012328709</v>
      </c>
      <c r="AQ1327" s="128" t="s">
        <v>213</v>
      </c>
      <c r="AR1327" s="128">
        <f t="shared" ca="1" si="128"/>
        <v>-16.562000000000005</v>
      </c>
      <c r="AS1327" s="129">
        <f t="shared" ca="1" si="129"/>
        <v>-1.4960570012328709</v>
      </c>
      <c r="BD1327" s="157"/>
    </row>
    <row r="1328" spans="2:56">
      <c r="B1328" s="156"/>
      <c r="C1328" s="128" t="s">
        <v>286</v>
      </c>
      <c r="D1328" s="128">
        <f ca="1">D1327</f>
        <v>8888</v>
      </c>
      <c r="E1328" s="139">
        <f ca="1">E1327-P1317</f>
        <v>8888</v>
      </c>
      <c r="G1328" s="128" t="s">
        <v>286</v>
      </c>
      <c r="H1328" s="128">
        <f ca="1">H1327</f>
        <v>8888</v>
      </c>
      <c r="I1328" s="139">
        <f ca="1">I1327-P1317</f>
        <v>8888</v>
      </c>
      <c r="K1328" s="128" t="s">
        <v>286</v>
      </c>
      <c r="L1328" s="128">
        <f ca="1">L1327</f>
        <v>8888</v>
      </c>
      <c r="M1328" s="139">
        <f ca="1">M1327-P1317</f>
        <v>8888</v>
      </c>
      <c r="O1328" s="128" t="s">
        <v>286</v>
      </c>
      <c r="P1328" s="128">
        <f ca="1">P1327</f>
        <v>8888</v>
      </c>
      <c r="Q1328" s="139">
        <f ca="1">Q1327-$T1322</f>
        <v>8888</v>
      </c>
      <c r="S1328" s="128" t="s">
        <v>286</v>
      </c>
      <c r="T1328" s="128">
        <f ca="1">T1327</f>
        <v>8888</v>
      </c>
      <c r="U1328" s="139">
        <f ca="1">U1327-$T1320</f>
        <v>8888</v>
      </c>
      <c r="W1328" s="128" t="s">
        <v>286</v>
      </c>
      <c r="X1328" s="128">
        <f ca="1">X1327</f>
        <v>8888</v>
      </c>
      <c r="Y1328" s="139">
        <f ca="1">Y1327+$T1318</f>
        <v>8888</v>
      </c>
      <c r="AA1328" s="143" t="s">
        <v>286</v>
      </c>
      <c r="AB1328" s="128">
        <f ca="1">IF($AA1324,D1328,P1328)</f>
        <v>8888</v>
      </c>
      <c r="AC1328" s="129">
        <f ca="1">IF($AA1324,E1328,Q1328)</f>
        <v>8888</v>
      </c>
      <c r="AE1328" s="128" t="s">
        <v>286</v>
      </c>
      <c r="AF1328" s="128">
        <f ca="1">IF($AE1324,H1328,T1328)</f>
        <v>8888</v>
      </c>
      <c r="AG1328" s="129">
        <f ca="1">IF($AE1324,I1328,U1328)</f>
        <v>8888</v>
      </c>
      <c r="AI1328" s="128" t="s">
        <v>286</v>
      </c>
      <c r="AJ1328" s="128">
        <f ca="1">IF($AI1324,L1328,X1328)</f>
        <v>8888</v>
      </c>
      <c r="AK1328" s="129">
        <f ca="1">IF($AI1324,M1328,Y1328)</f>
        <v>8888</v>
      </c>
      <c r="AM1328" s="128" t="s">
        <v>286</v>
      </c>
      <c r="AN1328" s="128">
        <f ca="1">AN1327</f>
        <v>-16.562000000000005</v>
      </c>
      <c r="AO1328" s="129">
        <f ca="1">IF(AN1328&gt;-Fuselage!$D$366,IF(AM1324,(FUSELAGE_a_ellipse+FUSELAGE_t_fuselage)*SQRT(1-((AN1328+Fuselage!$D$366)/Fuselage!$K$364)^2),(FUSELAGE_a_ellipse)*SQRT(1-((AN1328+Fuselage!$D$366)/Fuselage!$K$364)^2)),IF(AN1328&gt;$L$2505+Fuselage!$K$370,(IF(AM1324,FUSELAGE_a_ellipse+FUSELAGE_t_fuselage,FUSELAGE_a_ellipse)),IF(AM1324,(FUSELAGE_a_ellipse+FUSELAGE_t_fuselage-FUSELAGE_d_fo/4)/Fuselage!$K$368*(AN1328-$L$2505-Fuselage!$K$370)+FUSELAGE_a_ellipse+FUSELAGE_t_fuselage,(FUSELAGE_a_ellipse+FUSELAGE_t_fuselage-FUSELAGE_d_fo/4)/Fuselage!$K$368*(AN1328-$L$2505-Fuselage!$K$370)+FUSELAGE_a_ellipse)))</f>
        <v>1.4960570012328709</v>
      </c>
      <c r="AQ1328" s="128" t="s">
        <v>286</v>
      </c>
      <c r="AR1328" s="128">
        <f t="shared" ca="1" si="128"/>
        <v>-16.562000000000005</v>
      </c>
      <c r="AS1328" s="129">
        <f t="shared" ca="1" si="129"/>
        <v>-1.4960570012328709</v>
      </c>
      <c r="BD1328" s="157"/>
    </row>
    <row r="1329" spans="2:56">
      <c r="B1329" s="156"/>
      <c r="C1329" s="188" t="s">
        <v>522</v>
      </c>
      <c r="D1329" s="188">
        <f ca="1">D1326</f>
        <v>8888</v>
      </c>
      <c r="E1329" s="189">
        <f ca="1">E1328</f>
        <v>8888</v>
      </c>
      <c r="F1329" s="157"/>
      <c r="G1329" s="2" t="s">
        <v>522</v>
      </c>
      <c r="H1329" s="128">
        <f ca="1">H1326</f>
        <v>8888</v>
      </c>
      <c r="I1329" s="139">
        <f ca="1">I1328</f>
        <v>8888</v>
      </c>
      <c r="K1329" s="128" t="s">
        <v>522</v>
      </c>
      <c r="L1329" s="128">
        <f ca="1">L1326</f>
        <v>8888</v>
      </c>
      <c r="M1329" s="139">
        <f ca="1">M1328</f>
        <v>8888</v>
      </c>
      <c r="O1329" s="188" t="s">
        <v>522</v>
      </c>
      <c r="P1329" s="188">
        <f ca="1">P1326</f>
        <v>8888</v>
      </c>
      <c r="Q1329" s="189">
        <f ca="1">Q1328</f>
        <v>8888</v>
      </c>
      <c r="S1329" s="188" t="s">
        <v>522</v>
      </c>
      <c r="T1329" s="188">
        <f ca="1">T1326</f>
        <v>8888</v>
      </c>
      <c r="U1329" s="189">
        <f ca="1">U1328</f>
        <v>8888</v>
      </c>
      <c r="W1329" s="188" t="s">
        <v>522</v>
      </c>
      <c r="X1329" s="188">
        <f ca="1">X1326</f>
        <v>8888</v>
      </c>
      <c r="Y1329" s="189">
        <f ca="1">Y1328</f>
        <v>8888</v>
      </c>
      <c r="AA1329" s="195" t="s">
        <v>522</v>
      </c>
      <c r="AB1329" s="128">
        <f ca="1">IF($AA1324,D1329,P1329)</f>
        <v>8888</v>
      </c>
      <c r="AC1329" s="129">
        <f ca="1">IF($AA1324,E1329,Q1329)</f>
        <v>8888</v>
      </c>
      <c r="AD1329" s="157"/>
      <c r="AE1329" s="2" t="s">
        <v>522</v>
      </c>
      <c r="AF1329" s="188">
        <f ca="1">IF($AE1324,H1329,T1329)</f>
        <v>8888</v>
      </c>
      <c r="AG1329" s="196">
        <f ca="1">IF($AE1324,I1329,U1329)</f>
        <v>8888</v>
      </c>
      <c r="AI1329" s="128" t="s">
        <v>522</v>
      </c>
      <c r="AJ1329" s="188">
        <f ca="1">IF($AI1324,L1329,X1329)</f>
        <v>8888</v>
      </c>
      <c r="AK1329" s="196">
        <f ca="1">IF($AI1324,M1329,Y1329)</f>
        <v>8888</v>
      </c>
      <c r="AM1329" s="128" t="s">
        <v>522</v>
      </c>
      <c r="AN1329" s="128">
        <f ca="1">AN1328-X1318</f>
        <v>-16.562000000000005</v>
      </c>
      <c r="AO1329" s="129">
        <f ca="1">IF(AN1329&gt;-Fuselage!$D$366,IF(AM1324,(FUSELAGE_a_ellipse+FUSELAGE_t_fuselage)*SQRT(1-((AN1329+Fuselage!$D$366)/Fuselage!$K$364)^2),(FUSELAGE_a_ellipse)*SQRT(1-((AN1329+Fuselage!$D$366)/Fuselage!$K$364)^2)),IF(AN1329&gt;$L$2505+Fuselage!$K$370,(IF(AM1324,FUSELAGE_a_ellipse+FUSELAGE_t_fuselage,FUSELAGE_a_ellipse)),IF(AM1324,(FUSELAGE_a_ellipse+FUSELAGE_t_fuselage-FUSELAGE_d_fo/4)/Fuselage!$K$368*(AN1329-$L$2505-Fuselage!$K$370)+FUSELAGE_a_ellipse+FUSELAGE_t_fuselage,(FUSELAGE_a_ellipse+FUSELAGE_t_fuselage-FUSELAGE_d_fo/4)/Fuselage!$K$368*(AN1329-$L$2505-Fuselage!$K$370)+FUSELAGE_a_ellipse)))</f>
        <v>1.4960570012328709</v>
      </c>
      <c r="AQ1329" s="128" t="s">
        <v>522</v>
      </c>
      <c r="AR1329" s="128">
        <f t="shared" ca="1" si="128"/>
        <v>-16.562000000000005</v>
      </c>
      <c r="AS1329" s="129">
        <f t="shared" ca="1" si="129"/>
        <v>-1.4960570012328709</v>
      </c>
      <c r="BD1329" s="157"/>
    </row>
    <row r="1330" spans="2:56" ht="15" thickBot="1">
      <c r="B1330" s="156"/>
      <c r="C1330" s="128" t="s">
        <v>49</v>
      </c>
      <c r="D1330" s="128">
        <f ca="1">IF(C1324&gt;=2,D1326,D1329)</f>
        <v>8888</v>
      </c>
      <c r="E1330" s="139">
        <f ca="1">IF(C1324&gt;=2,E1329-P1319,E1329)</f>
        <v>8888</v>
      </c>
      <c r="F1330" s="157"/>
      <c r="G1330" s="192" t="s">
        <v>49</v>
      </c>
      <c r="H1330" s="190">
        <f ca="1">IF(G1324&gt;=2,H1326,H1329)</f>
        <v>8888</v>
      </c>
      <c r="I1330" s="191">
        <f ca="1">IF(G1324&gt;=2,I1329-P1319,I1329)</f>
        <v>8888</v>
      </c>
      <c r="K1330" s="190" t="s">
        <v>49</v>
      </c>
      <c r="L1330" s="190">
        <f ca="1">IF(K1324&gt;=2,L1326,L1329)</f>
        <v>8888</v>
      </c>
      <c r="M1330" s="191">
        <f ca="1">IF(K1324&gt;=2,M1329-P1319,M1329)</f>
        <v>8888</v>
      </c>
      <c r="O1330" s="130" t="s">
        <v>396</v>
      </c>
      <c r="P1330" s="130">
        <f ca="1">P1326</f>
        <v>8888</v>
      </c>
      <c r="Q1330" s="140">
        <f ca="1">Q1326</f>
        <v>8888</v>
      </c>
      <c r="S1330" s="130" t="s">
        <v>396</v>
      </c>
      <c r="T1330" s="130">
        <f ca="1">T1326</f>
        <v>8888</v>
      </c>
      <c r="U1330" s="140">
        <f ca="1">U1326</f>
        <v>8888</v>
      </c>
      <c r="W1330" s="130" t="s">
        <v>396</v>
      </c>
      <c r="X1330" s="130">
        <f ca="1">X1326</f>
        <v>8888</v>
      </c>
      <c r="Y1330" s="140">
        <f ca="1">Y1326</f>
        <v>8888</v>
      </c>
      <c r="AA1330" s="143" t="s">
        <v>49</v>
      </c>
      <c r="AB1330" s="128">
        <f ca="1">IF($AA1324,D1330,P1330)</f>
        <v>8888</v>
      </c>
      <c r="AC1330" s="129">
        <f ca="1">IF($AA1324,E1330,Q1330)</f>
        <v>8888</v>
      </c>
      <c r="AD1330" s="157"/>
      <c r="AE1330" s="192" t="s">
        <v>49</v>
      </c>
      <c r="AF1330" s="128">
        <f ca="1">IF($AE1324,H1330,T1330)</f>
        <v>8888</v>
      </c>
      <c r="AG1330" s="129">
        <f ca="1">IF($AE1324,I1330,U1330)</f>
        <v>8888</v>
      </c>
      <c r="AI1330" s="190" t="s">
        <v>49</v>
      </c>
      <c r="AJ1330" s="128">
        <f ca="1">IF($AI1324,L1330,X1330)</f>
        <v>8888</v>
      </c>
      <c r="AK1330" s="129">
        <f ca="1">IF($AI1324,M1330,Y1330)</f>
        <v>8888</v>
      </c>
      <c r="AM1330" s="128" t="s">
        <v>49</v>
      </c>
      <c r="AN1330" s="128">
        <f ca="1">AN1329</f>
        <v>-16.562000000000005</v>
      </c>
      <c r="AO1330" s="129">
        <f ca="1">IF(AN1330&gt;-Fuselage!$D$366,(FUSELAGE_a_ellipse)*SQRT(1-((AN1330+Fuselage!$D$366)/(Fuselage!$K$364-FUSELAGE_t_fuselage))^2),IF(AN1330&gt;$L$2505+Fuselage!$K$370,FUSELAGE_a_ellipse,(FUSELAGE_a_ellipse+FUSELAGE_t_fuselage-FUSELAGE_d_fo/4)/Fuselage!$K$368*(AN1330-$L$2505-Fuselage!$K$370)+FUSELAGE_a_ellipse))</f>
        <v>1.4960570012328709</v>
      </c>
      <c r="AQ1330" s="128" t="s">
        <v>49</v>
      </c>
      <c r="AR1330" s="128">
        <f t="shared" ca="1" si="128"/>
        <v>-16.562000000000005</v>
      </c>
      <c r="AS1330" s="129">
        <f t="shared" ca="1" si="129"/>
        <v>-1.4960570012328709</v>
      </c>
      <c r="BD1330" s="157"/>
    </row>
    <row r="1331" spans="2:56">
      <c r="B1331" s="156"/>
      <c r="C1331" s="128" t="s">
        <v>453</v>
      </c>
      <c r="D1331" s="128">
        <f ca="1">IF(C1324&gt;=2,D1326+P1318,D1329)</f>
        <v>8888</v>
      </c>
      <c r="E1331" s="139">
        <f ca="1">E1330</f>
        <v>8888</v>
      </c>
      <c r="F1331" s="157"/>
      <c r="G1331" s="2" t="s">
        <v>453</v>
      </c>
      <c r="H1331" s="128">
        <f ca="1">IF(G1324&gt;=2,H1327,H1329)</f>
        <v>8888</v>
      </c>
      <c r="I1331" s="139">
        <f ca="1">IF(G1324&gt;=2,I1330,I1329)</f>
        <v>8888</v>
      </c>
      <c r="K1331" s="128" t="s">
        <v>453</v>
      </c>
      <c r="L1331" s="128">
        <f ca="1">IF(K1324&gt;=2,IF(X1319,IF(K1324=2,L1326+P1318/4,L1326+P1318),L1326+P1318),L1329)</f>
        <v>8888</v>
      </c>
      <c r="M1331" s="139">
        <f ca="1">IF(K1324&gt;=2,M1330,M1329)</f>
        <v>8888</v>
      </c>
      <c r="AA1331" s="143" t="s">
        <v>453</v>
      </c>
      <c r="AB1331" s="128">
        <f ca="1">IF($AA1324,D1331,AB1330)</f>
        <v>8888</v>
      </c>
      <c r="AC1331" s="129">
        <f ca="1">IF($AA1324,E1331,AC1330)</f>
        <v>8888</v>
      </c>
      <c r="AD1331" s="157"/>
      <c r="AE1331" s="2" t="s">
        <v>453</v>
      </c>
      <c r="AF1331" s="128">
        <f ca="1">IF($AE1324,H1331,AF1330)</f>
        <v>8888</v>
      </c>
      <c r="AG1331" s="129">
        <f ca="1">IF($AE1324,I1331,AG1330)</f>
        <v>8888</v>
      </c>
      <c r="AI1331" s="128" t="s">
        <v>453</v>
      </c>
      <c r="AJ1331" s="128">
        <f ca="1">IF($AI1324,L1331,AJ1330)</f>
        <v>8888</v>
      </c>
      <c r="AK1331" s="129">
        <f ca="1">IF($AI1324,M1331,AK1330)</f>
        <v>8888</v>
      </c>
      <c r="AM1331" s="128" t="s">
        <v>453</v>
      </c>
      <c r="AN1331" s="128">
        <f ca="1">L1317</f>
        <v>-16.562000000000005</v>
      </c>
      <c r="AO1331" s="129">
        <f ca="1">IF(AN1331&gt;-Fuselage!$D$366,(FUSELAGE_a_ellipse)*SQRT(1-((AN1331+Fuselage!$D$366)/(Fuselage!$K$364-FUSELAGE_t_fuselage))^2),IF(AN1331&gt;$L$2505+Fuselage!$K$370,FUSELAGE_a_ellipse,(FUSELAGE_a_ellipse+FUSELAGE_t_fuselage-FUSELAGE_d_fo/4)/Fuselage!$K$368*(AN1331-$L$2505-Fuselage!$K$370)+FUSELAGE_a_ellipse))</f>
        <v>1.4960570012328709</v>
      </c>
      <c r="AQ1331" s="128" t="s">
        <v>453</v>
      </c>
      <c r="AR1331" s="128">
        <f t="shared" ca="1" si="128"/>
        <v>-16.562000000000005</v>
      </c>
      <c r="AS1331" s="129">
        <f t="shared" ca="1" si="129"/>
        <v>-1.4960570012328709</v>
      </c>
      <c r="BD1331" s="157"/>
    </row>
    <row r="1332" spans="2:56">
      <c r="B1332" s="156"/>
      <c r="C1332" s="128" t="s">
        <v>394</v>
      </c>
      <c r="D1332" s="128">
        <f ca="1">IF(C1324&gt;=2,D1331,D1329)</f>
        <v>8888</v>
      </c>
      <c r="E1332" s="139">
        <f ca="1">IF(C1324&gt;=2,E1330-P1317,E1329)</f>
        <v>8888</v>
      </c>
      <c r="F1332" s="157"/>
      <c r="G1332" s="2" t="s">
        <v>394</v>
      </c>
      <c r="H1332" s="128">
        <f ca="1">IF(G1324&gt;=2,H1327,H1329)</f>
        <v>8888</v>
      </c>
      <c r="I1332" s="139">
        <f ca="1">IF(G1324&gt;=2,I1331-P1317,I1329)</f>
        <v>8888</v>
      </c>
      <c r="K1332" s="128" t="s">
        <v>394</v>
      </c>
      <c r="L1332" s="128">
        <f ca="1">L1331</f>
        <v>8888</v>
      </c>
      <c r="M1332" s="139">
        <f ca="1">IF(K1324&gt;=2,M1331-P1317,M1329)</f>
        <v>8888</v>
      </c>
      <c r="AA1332" s="143" t="s">
        <v>394</v>
      </c>
      <c r="AB1332" s="128">
        <f ca="1">IF($AA1324,D1332,AB1330)</f>
        <v>8888</v>
      </c>
      <c r="AC1332" s="129">
        <f ca="1">IF($AA1324,E1332,AC1330)</f>
        <v>8888</v>
      </c>
      <c r="AD1332" s="157"/>
      <c r="AE1332" s="2" t="s">
        <v>394</v>
      </c>
      <c r="AF1332" s="128">
        <f ca="1">IF($AE1324,H1332,AF1330)</f>
        <v>8888</v>
      </c>
      <c r="AG1332" s="129">
        <f ca="1">IF($AE1324,I1332,AG1330)</f>
        <v>8888</v>
      </c>
      <c r="AI1332" s="128" t="s">
        <v>394</v>
      </c>
      <c r="AJ1332" s="128">
        <f ca="1">IF($AI1324,L1332,AJ1330)</f>
        <v>8888</v>
      </c>
      <c r="AK1332" s="129">
        <f ca="1">IF($AI1324,M1332,AK1330)</f>
        <v>8888</v>
      </c>
      <c r="BD1332" s="157"/>
    </row>
    <row r="1333" spans="2:56">
      <c r="B1333" s="156"/>
      <c r="C1333" s="188" t="s">
        <v>454</v>
      </c>
      <c r="D1333" s="188">
        <f ca="1">IF(C1324&gt;=2,D1326,D1329)</f>
        <v>8888</v>
      </c>
      <c r="E1333" s="189">
        <f ca="1">E1332</f>
        <v>8888</v>
      </c>
      <c r="F1333" s="157"/>
      <c r="G1333" s="115" t="s">
        <v>454</v>
      </c>
      <c r="H1333" s="188">
        <f ca="1">IF(G1324&gt;=2,H1326,H1329)</f>
        <v>8888</v>
      </c>
      <c r="I1333" s="189">
        <f ca="1">IF(G1324&gt;=2,I1332,I1329)</f>
        <v>8888</v>
      </c>
      <c r="K1333" s="188" t="s">
        <v>454</v>
      </c>
      <c r="L1333" s="188">
        <f ca="1">IF(K1324&gt;=2,L1326,L1329)</f>
        <v>8888</v>
      </c>
      <c r="M1333" s="189">
        <f ca="1">IF(K1324&gt;=2,M1332,M1329)</f>
        <v>8888</v>
      </c>
      <c r="AA1333" s="195" t="s">
        <v>454</v>
      </c>
      <c r="AB1333" s="128">
        <f ca="1">IF($AA1324,D1333,AB1330)</f>
        <v>8888</v>
      </c>
      <c r="AC1333" s="129">
        <f ca="1">IF($AA1324,E1333,AC1330)</f>
        <v>8888</v>
      </c>
      <c r="AD1333" s="157"/>
      <c r="AE1333" s="115" t="s">
        <v>454</v>
      </c>
      <c r="AF1333" s="188">
        <f ca="1">IF($AE1324,H1333,AF1330)</f>
        <v>8888</v>
      </c>
      <c r="AG1333" s="196">
        <f ca="1">IF($AE1324,I1333,AG1330)</f>
        <v>8888</v>
      </c>
      <c r="AI1333" s="188" t="s">
        <v>454</v>
      </c>
      <c r="AJ1333" s="188">
        <f ca="1">IF($AI1324,L1333,AJ1330)</f>
        <v>8888</v>
      </c>
      <c r="AK1333" s="196">
        <f ca="1">IF($AI1324,M1333,AK1330)</f>
        <v>8888</v>
      </c>
      <c r="BD1333" s="157"/>
    </row>
    <row r="1334" spans="2:56">
      <c r="B1334" s="156"/>
      <c r="C1334" s="128" t="s">
        <v>507</v>
      </c>
      <c r="D1334" s="128">
        <f ca="1">IF(C1324&gt;=3,D1326,D1333)</f>
        <v>8888</v>
      </c>
      <c r="E1334" s="139">
        <f ca="1">IF(C1324&gt;=3,E1333-P1319,E1333)</f>
        <v>8888</v>
      </c>
      <c r="F1334" s="157"/>
      <c r="G1334" s="2" t="s">
        <v>507</v>
      </c>
      <c r="H1334" s="128">
        <f ca="1">IF(G1324&gt;=3,H1326,H1333)</f>
        <v>8888</v>
      </c>
      <c r="I1334" s="139">
        <f ca="1">IF(G1324&gt;=3,I1333-P1319,I1333)</f>
        <v>8888</v>
      </c>
      <c r="K1334" s="128" t="s">
        <v>507</v>
      </c>
      <c r="L1334" s="128">
        <f ca="1">IF(K1324&gt;=3,L1326,L1333)</f>
        <v>8888</v>
      </c>
      <c r="M1334" s="139">
        <f ca="1">IF(K1324&gt;=3,M1333-P1319,M1333)</f>
        <v>8888</v>
      </c>
      <c r="AA1334" s="143" t="s">
        <v>507</v>
      </c>
      <c r="AB1334" s="128">
        <f ca="1">IF($AA1324,D1334,AB1330)</f>
        <v>8888</v>
      </c>
      <c r="AC1334" s="129">
        <f ca="1">IF($AA1324,E1334,AC1330)</f>
        <v>8888</v>
      </c>
      <c r="AD1334" s="157"/>
      <c r="AE1334" s="2" t="s">
        <v>507</v>
      </c>
      <c r="AF1334" s="128">
        <f ca="1">IF($AE1324,H1334,AF1330)</f>
        <v>8888</v>
      </c>
      <c r="AG1334" s="129">
        <f ca="1">IF($AE1324,I1334,AG1330)</f>
        <v>8888</v>
      </c>
      <c r="AI1334" s="128" t="s">
        <v>507</v>
      </c>
      <c r="AJ1334" s="128">
        <f ca="1">IF($AI1324,L1334,AJ1330)</f>
        <v>8888</v>
      </c>
      <c r="AK1334" s="129">
        <f ca="1">IF($AI1324,M1334,AK1330)</f>
        <v>8888</v>
      </c>
      <c r="BD1334" s="157"/>
    </row>
    <row r="1335" spans="2:56">
      <c r="B1335" s="156"/>
      <c r="C1335" s="128" t="s">
        <v>455</v>
      </c>
      <c r="D1335" s="128">
        <f ca="1">IF(C1324&gt;=3,D1331,D1333)</f>
        <v>8888</v>
      </c>
      <c r="E1335" s="139">
        <f ca="1">E1334</f>
        <v>8888</v>
      </c>
      <c r="F1335" s="157"/>
      <c r="G1335" s="2" t="s">
        <v>455</v>
      </c>
      <c r="H1335" s="128">
        <f ca="1">IF(G1324&gt;=3,H1327,H1333)</f>
        <v>8888</v>
      </c>
      <c r="I1335" s="139">
        <f ca="1">IF(G1324&gt;=3,I1334,I1333)</f>
        <v>8888</v>
      </c>
      <c r="K1335" s="128" t="s">
        <v>455</v>
      </c>
      <c r="L1335" s="128">
        <f ca="1">IF(K1324&gt;=3,IF(X1319,IF(K1324=3,L1326+P1318/4,L1326+P1318),L1326+P1318),L1329)</f>
        <v>8888</v>
      </c>
      <c r="M1335" s="139">
        <f ca="1">IF(K1324&gt;=3,M1334,M1333)</f>
        <v>8888</v>
      </c>
      <c r="AA1335" s="143" t="s">
        <v>455</v>
      </c>
      <c r="AB1335" s="128">
        <f ca="1">IF($AA1324,D1335,AB1330)</f>
        <v>8888</v>
      </c>
      <c r="AC1335" s="129">
        <f ca="1">IF($AA1324,E1335,AC1330)</f>
        <v>8888</v>
      </c>
      <c r="AD1335" s="157"/>
      <c r="AE1335" s="2" t="s">
        <v>455</v>
      </c>
      <c r="AF1335" s="128">
        <f ca="1">IF($AE1324,H1335,AF1330)</f>
        <v>8888</v>
      </c>
      <c r="AG1335" s="129">
        <f ca="1">IF($AE1324,I1335,AG1330)</f>
        <v>8888</v>
      </c>
      <c r="AI1335" s="128" t="s">
        <v>455</v>
      </c>
      <c r="AJ1335" s="128">
        <f ca="1">IF($AI1324,L1335,AJ1330)</f>
        <v>8888</v>
      </c>
      <c r="AK1335" s="129">
        <f ca="1">IF($AI1324,M1335,AK1330)</f>
        <v>8888</v>
      </c>
      <c r="AL1335" s="156"/>
      <c r="BD1335" s="157"/>
    </row>
    <row r="1336" spans="2:56">
      <c r="B1336" s="156"/>
      <c r="C1336" s="128" t="s">
        <v>311</v>
      </c>
      <c r="D1336" s="128">
        <f ca="1">IF(C1324&gt;=3,D1331,D1333)</f>
        <v>8888</v>
      </c>
      <c r="E1336" s="139">
        <f ca="1">IF(C1324&gt;=3,E1335-P1317,E1333)</f>
        <v>8888</v>
      </c>
      <c r="F1336" s="157"/>
      <c r="G1336" s="2" t="s">
        <v>311</v>
      </c>
      <c r="H1336" s="128">
        <f ca="1">IF(G1324&gt;=3,H1327,H1333)</f>
        <v>8888</v>
      </c>
      <c r="I1336" s="139">
        <f ca="1">IF(G1324&gt;=3,I1335-P1317,I1333)</f>
        <v>8888</v>
      </c>
      <c r="K1336" s="128" t="s">
        <v>311</v>
      </c>
      <c r="L1336" s="128">
        <f ca="1">L1335</f>
        <v>8888</v>
      </c>
      <c r="M1336" s="139">
        <f ca="1">IF(K1324&gt;=3,M1335-P1317,M1333)</f>
        <v>8888</v>
      </c>
      <c r="AA1336" s="143" t="s">
        <v>311</v>
      </c>
      <c r="AB1336" s="128">
        <f ca="1">IF($AA1324,D1336,AB1330)</f>
        <v>8888</v>
      </c>
      <c r="AC1336" s="129">
        <f ca="1">IF($AA1324,E1336,AC1330)</f>
        <v>8888</v>
      </c>
      <c r="AD1336" s="157"/>
      <c r="AE1336" s="2" t="s">
        <v>311</v>
      </c>
      <c r="AF1336" s="128">
        <f ca="1">IF($AE1324,H1336,AF1330)</f>
        <v>8888</v>
      </c>
      <c r="AG1336" s="129">
        <f ca="1">IF($AE1324,I1336,AG1330)</f>
        <v>8888</v>
      </c>
      <c r="AI1336" s="128" t="s">
        <v>311</v>
      </c>
      <c r="AJ1336" s="128">
        <f ca="1">IF($AI1324,L1336,AJ1330)</f>
        <v>8888</v>
      </c>
      <c r="AK1336" s="129">
        <f ca="1">IF($AI1324,M1336,AK1330)</f>
        <v>8888</v>
      </c>
      <c r="AL1336" s="156"/>
      <c r="BD1336" s="157"/>
    </row>
    <row r="1337" spans="2:56">
      <c r="B1337" s="156"/>
      <c r="C1337" s="188" t="s">
        <v>35</v>
      </c>
      <c r="D1337" s="188">
        <f ca="1">IF(C1324&gt;=3,D1326,D1333)</f>
        <v>8888</v>
      </c>
      <c r="E1337" s="189">
        <f ca="1">E1336</f>
        <v>8888</v>
      </c>
      <c r="F1337" s="157"/>
      <c r="G1337" s="2" t="s">
        <v>35</v>
      </c>
      <c r="H1337" s="188">
        <f ca="1">IF(G1324&gt;=3,H1326,H1333)</f>
        <v>8888</v>
      </c>
      <c r="I1337" s="189">
        <f ca="1">IF(G1324&gt;=3,I1336,I1333)</f>
        <v>8888</v>
      </c>
      <c r="K1337" s="188" t="s">
        <v>35</v>
      </c>
      <c r="L1337" s="188">
        <f ca="1">IF(K1324&gt;=3,L1326,L1333)</f>
        <v>8888</v>
      </c>
      <c r="M1337" s="189">
        <f ca="1">IF(K1324&gt;=3,M1336,M1333)</f>
        <v>8888</v>
      </c>
      <c r="AA1337" s="143" t="s">
        <v>35</v>
      </c>
      <c r="AB1337" s="128">
        <f ca="1">IF($AA1324,D1337,AB1330)</f>
        <v>8888</v>
      </c>
      <c r="AC1337" s="129">
        <f ca="1">IF($AA1324,E1337,AC1330)</f>
        <v>8888</v>
      </c>
      <c r="AD1337" s="157"/>
      <c r="AE1337" s="2" t="s">
        <v>35</v>
      </c>
      <c r="AF1337" s="188">
        <f ca="1">IF($AE1324,H1337,AF1330)</f>
        <v>8888</v>
      </c>
      <c r="AG1337" s="196">
        <f ca="1">IF($AE1324,I1337,AG1330)</f>
        <v>8888</v>
      </c>
      <c r="AI1337" s="128" t="s">
        <v>35</v>
      </c>
      <c r="AJ1337" s="128">
        <f ca="1">IF($AI1324,L1337,AJ1330)</f>
        <v>8888</v>
      </c>
      <c r="AK1337" s="129">
        <f ca="1">IF($AI1324,M1337,AK1330)</f>
        <v>8888</v>
      </c>
      <c r="AL1337" s="156"/>
      <c r="BD1337" s="157"/>
    </row>
    <row r="1338" spans="2:56" ht="15" thickBot="1">
      <c r="B1338" s="156"/>
      <c r="C1338" s="130" t="s">
        <v>396</v>
      </c>
      <c r="D1338" s="130">
        <f ca="1">D1326</f>
        <v>8888</v>
      </c>
      <c r="E1338" s="140">
        <f ca="1">E1326</f>
        <v>8888</v>
      </c>
      <c r="F1338" s="157"/>
      <c r="G1338" s="192" t="s">
        <v>312</v>
      </c>
      <c r="H1338" s="128">
        <f ca="1">IF(G1324&gt;=4,H1326,H1337)</f>
        <v>8888</v>
      </c>
      <c r="I1338" s="139">
        <f ca="1">IF(G1324&gt;=4,I1337-P1319,I1337)</f>
        <v>8888</v>
      </c>
      <c r="K1338" s="130" t="s">
        <v>396</v>
      </c>
      <c r="L1338" s="130">
        <f ca="1">L1326</f>
        <v>8888</v>
      </c>
      <c r="M1338" s="140">
        <f ca="1">M1326</f>
        <v>8888</v>
      </c>
      <c r="AA1338" s="144" t="s">
        <v>396</v>
      </c>
      <c r="AB1338" s="130">
        <f ca="1">IF($AA1324,D1338,AB1330)</f>
        <v>8888</v>
      </c>
      <c r="AC1338" s="132">
        <f ca="1">IF($AA1324,E1338,AC1330)</f>
        <v>8888</v>
      </c>
      <c r="AD1338" s="157"/>
      <c r="AE1338" s="192" t="s">
        <v>312</v>
      </c>
      <c r="AF1338" s="128">
        <f ca="1">IF($AE1324,H1338,AF1330)</f>
        <v>8888</v>
      </c>
      <c r="AG1338" s="129">
        <f ca="1">IF($AE1324,I1338,AG1330)</f>
        <v>8888</v>
      </c>
      <c r="AI1338" s="130" t="s">
        <v>396</v>
      </c>
      <c r="AJ1338" s="130">
        <f ca="1">IF($AI1324,L1338,AJ1330)</f>
        <v>8888</v>
      </c>
      <c r="AK1338" s="132">
        <f ca="1">IF($AI1324,M1338,AK1330)</f>
        <v>8888</v>
      </c>
      <c r="BD1338" s="157"/>
    </row>
    <row r="1339" spans="2:56">
      <c r="B1339" s="156"/>
      <c r="F1339" s="157"/>
      <c r="G1339" s="2" t="s">
        <v>313</v>
      </c>
      <c r="H1339" s="128">
        <f ca="1">IF(G1324&gt;=4,H1327,H1337)</f>
        <v>8888</v>
      </c>
      <c r="I1339" s="139">
        <f ca="1">IF(G1324&gt;=4,I1338,I1337)</f>
        <v>8888</v>
      </c>
      <c r="AD1339" s="157"/>
      <c r="AE1339" s="2" t="s">
        <v>313</v>
      </c>
      <c r="AF1339" s="128">
        <f ca="1">IF($AE1324,H1339,AF1330)</f>
        <v>8888</v>
      </c>
      <c r="AG1339" s="129">
        <f ca="1">IF($AE1324,I1339,AG1330)</f>
        <v>8888</v>
      </c>
      <c r="BD1339" s="157"/>
    </row>
    <row r="1340" spans="2:56">
      <c r="B1340" s="156"/>
      <c r="F1340" s="157"/>
      <c r="G1340" s="2" t="s">
        <v>7</v>
      </c>
      <c r="H1340" s="128">
        <f ca="1">IF(G1324&gt;=4,H1327,H1337)</f>
        <v>8888</v>
      </c>
      <c r="I1340" s="139">
        <f ca="1">IF(G1324&gt;=4,I1339-P1317,I1337)</f>
        <v>8888</v>
      </c>
      <c r="AD1340" s="157"/>
      <c r="AE1340" s="2" t="s">
        <v>7</v>
      </c>
      <c r="AF1340" s="128">
        <f ca="1">IF($AE1324,H1340,AF1330)</f>
        <v>8888</v>
      </c>
      <c r="AG1340" s="129">
        <f ca="1">IF($AE1324,I1340,AG1330)</f>
        <v>8888</v>
      </c>
      <c r="BD1340" s="157"/>
    </row>
    <row r="1341" spans="2:56">
      <c r="B1341" s="156"/>
      <c r="F1341" s="157"/>
      <c r="G1341" s="115" t="s">
        <v>8</v>
      </c>
      <c r="H1341" s="188">
        <f ca="1">IF(G1324&gt;=4,H1326,H1337)</f>
        <v>8888</v>
      </c>
      <c r="I1341" s="189">
        <f ca="1">IF(G1324&gt;=4,I1340,I1337)</f>
        <v>8888</v>
      </c>
      <c r="AD1341" s="157"/>
      <c r="AE1341" s="115" t="s">
        <v>8</v>
      </c>
      <c r="AF1341" s="188">
        <f ca="1">IF($AE1324,H1341,AF1330)</f>
        <v>8888</v>
      </c>
      <c r="AG1341" s="196">
        <f ca="1">IF($AE1324,I1341,AG1330)</f>
        <v>8888</v>
      </c>
      <c r="BD1341" s="157"/>
    </row>
    <row r="1342" spans="2:56">
      <c r="B1342" s="156"/>
      <c r="F1342" s="157"/>
      <c r="G1342" s="2" t="s">
        <v>9</v>
      </c>
      <c r="H1342" s="128">
        <f ca="1">IF(G1324&gt;=5,H1326,H1341)</f>
        <v>8888</v>
      </c>
      <c r="I1342" s="139">
        <f ca="1">IF(G1324&gt;=5,I1341-P1319,I1341)</f>
        <v>8888</v>
      </c>
      <c r="AD1342" s="157"/>
      <c r="AE1342" s="2" t="s">
        <v>9</v>
      </c>
      <c r="AF1342" s="128">
        <f ca="1">IF($AE1324,H1342,AF1330)</f>
        <v>8888</v>
      </c>
      <c r="AG1342" s="129">
        <f ca="1">IF($AE1324,I1342,AG1330)</f>
        <v>8888</v>
      </c>
      <c r="BD1342" s="157"/>
    </row>
    <row r="1343" spans="2:56">
      <c r="B1343" s="156"/>
      <c r="F1343" s="157"/>
      <c r="G1343" s="2" t="s">
        <v>196</v>
      </c>
      <c r="H1343" s="128">
        <f ca="1">IF(G1324&gt;=5,H1327,H1341)</f>
        <v>8888</v>
      </c>
      <c r="I1343" s="139">
        <f ca="1">IF(G1324&gt;=5,I1342,I1341)</f>
        <v>8888</v>
      </c>
      <c r="AD1343" s="157"/>
      <c r="AE1343" s="2" t="s">
        <v>196</v>
      </c>
      <c r="AF1343" s="128">
        <f ca="1">IF($AE1324,H1343,AF1330)</f>
        <v>8888</v>
      </c>
      <c r="AG1343" s="129">
        <f ca="1">IF($AE1324,I1343,AG1330)</f>
        <v>8888</v>
      </c>
      <c r="BD1343" s="157"/>
    </row>
    <row r="1344" spans="2:56">
      <c r="B1344" s="156"/>
      <c r="F1344" s="157"/>
      <c r="G1344" s="2" t="s">
        <v>10</v>
      </c>
      <c r="H1344" s="128">
        <f ca="1">IF(G1324&gt;=5,H1327,H1341)</f>
        <v>8888</v>
      </c>
      <c r="I1344" s="139">
        <f ca="1">IF(G1324&gt;=5,I1343-P1317,I1341)</f>
        <v>8888</v>
      </c>
      <c r="AD1344" s="157"/>
      <c r="AE1344" s="2" t="s">
        <v>10</v>
      </c>
      <c r="AF1344" s="128">
        <f ca="1">IF($AE1324,H1344,AF1330)</f>
        <v>8888</v>
      </c>
      <c r="AG1344" s="129">
        <f ca="1">IF($AE1324,I1344,AG1330)</f>
        <v>8888</v>
      </c>
      <c r="BD1344" s="157"/>
    </row>
    <row r="1345" spans="2:56">
      <c r="B1345" s="156"/>
      <c r="F1345" s="157"/>
      <c r="G1345" s="2" t="s">
        <v>161</v>
      </c>
      <c r="H1345" s="188">
        <f ca="1">IF(G1324&gt;=5,H1326,H1341)</f>
        <v>8888</v>
      </c>
      <c r="I1345" s="189">
        <f ca="1">IF(G1324&gt;=5,I1344,I1341)</f>
        <v>8888</v>
      </c>
      <c r="AD1345" s="157"/>
      <c r="AE1345" s="2" t="s">
        <v>161</v>
      </c>
      <c r="AF1345" s="188">
        <f ca="1">IF($AE1324,H1345,AF1330)</f>
        <v>8888</v>
      </c>
      <c r="AG1345" s="196">
        <f ca="1">IF($AE1324,I1345,AG1330)</f>
        <v>8888</v>
      </c>
      <c r="BD1345" s="157"/>
    </row>
    <row r="1346" spans="2:56">
      <c r="B1346" s="156"/>
      <c r="F1346" s="157"/>
      <c r="G1346" s="192" t="s">
        <v>11</v>
      </c>
      <c r="H1346" s="128">
        <f ca="1">IF(G1324&gt;=6,H1326,H1345)</f>
        <v>8888</v>
      </c>
      <c r="I1346" s="139">
        <f ca="1">IF(G1324&gt;=6,I1345-P1319,I1345)</f>
        <v>8888</v>
      </c>
      <c r="AD1346" s="157"/>
      <c r="AE1346" s="192" t="s">
        <v>11</v>
      </c>
      <c r="AF1346" s="128">
        <f ca="1">IF($AE1324,H1346,AF1330)</f>
        <v>8888</v>
      </c>
      <c r="AG1346" s="129">
        <f ca="1">IF($AE1324,I1346,AG1330)</f>
        <v>8888</v>
      </c>
      <c r="BD1346" s="157"/>
    </row>
    <row r="1347" spans="2:56">
      <c r="B1347" s="156"/>
      <c r="F1347" s="157"/>
      <c r="G1347" s="2" t="s">
        <v>12</v>
      </c>
      <c r="H1347" s="128">
        <f ca="1">IF(G1324&gt;=6,H1327,H1345)</f>
        <v>8888</v>
      </c>
      <c r="I1347" s="139">
        <f ca="1">IF(G1324&gt;=6,I1346,I1345)</f>
        <v>8888</v>
      </c>
      <c r="AD1347" s="157"/>
      <c r="AE1347" s="2" t="s">
        <v>12</v>
      </c>
      <c r="AF1347" s="128">
        <f ca="1">IF($AE1324,H1347,AF1330)</f>
        <v>8888</v>
      </c>
      <c r="AG1347" s="129">
        <f ca="1">IF($AE1324,I1347,AG1330)</f>
        <v>8888</v>
      </c>
      <c r="BD1347" s="157"/>
    </row>
    <row r="1348" spans="2:56">
      <c r="B1348" s="156"/>
      <c r="F1348" s="157"/>
      <c r="G1348" s="2" t="s">
        <v>13</v>
      </c>
      <c r="H1348" s="128">
        <f ca="1">IF(G1324&gt;=6,H1327,H1345)</f>
        <v>8888</v>
      </c>
      <c r="I1348" s="139">
        <f ca="1">IF(G1324&gt;=6,I1347-P1317,I1345)</f>
        <v>8888</v>
      </c>
      <c r="AD1348" s="157"/>
      <c r="AE1348" s="2" t="s">
        <v>13</v>
      </c>
      <c r="AF1348" s="128">
        <f ca="1">IF($AE1324,H1348,AF1330)</f>
        <v>8888</v>
      </c>
      <c r="AG1348" s="129">
        <f ca="1">IF($AE1324,I1348,AG1330)</f>
        <v>8888</v>
      </c>
      <c r="BD1348" s="157"/>
    </row>
    <row r="1349" spans="2:56">
      <c r="B1349" s="156"/>
      <c r="F1349" s="157"/>
      <c r="G1349" s="115" t="s">
        <v>14</v>
      </c>
      <c r="H1349" s="188">
        <f ca="1">IF(G1324&gt;=6,H1326,H1345)</f>
        <v>8888</v>
      </c>
      <c r="I1349" s="189">
        <f ca="1">IF(G1324&gt;=6,I1348,I1345)</f>
        <v>8888</v>
      </c>
      <c r="AD1349" s="157"/>
      <c r="AE1349" s="115" t="s">
        <v>14</v>
      </c>
      <c r="AF1349" s="188">
        <f ca="1">IF($AE1324,H1349,AF1330)</f>
        <v>8888</v>
      </c>
      <c r="AG1349" s="196">
        <f ca="1">IF($AE1324,I1349,AG1330)</f>
        <v>8888</v>
      </c>
      <c r="BD1349" s="157"/>
    </row>
    <row r="1350" spans="2:56" ht="15" thickBot="1">
      <c r="B1350" s="156"/>
      <c r="G1350" s="130" t="s">
        <v>396</v>
      </c>
      <c r="H1350" s="130">
        <f ca="1">H1326</f>
        <v>8888</v>
      </c>
      <c r="I1350" s="140">
        <f ca="1">I1326</f>
        <v>8888</v>
      </c>
      <c r="AE1350" s="130" t="s">
        <v>396</v>
      </c>
      <c r="AF1350" s="130">
        <f ca="1">IF($AE1324,H1350,AF1330)</f>
        <v>8888</v>
      </c>
      <c r="AG1350" s="132">
        <f ca="1">IF($AE1324,I1350,AG1330)</f>
        <v>8888</v>
      </c>
      <c r="BD1350" s="157"/>
    </row>
    <row r="1351" spans="2:56">
      <c r="B1351" s="156"/>
      <c r="BD1351" s="157"/>
    </row>
    <row r="1352" spans="2:56">
      <c r="B1352" s="156"/>
      <c r="BD1352" s="157"/>
    </row>
    <row r="1353" spans="2:56">
      <c r="B1353" s="156"/>
      <c r="C1353" s="200" t="s">
        <v>336</v>
      </c>
      <c r="D1353">
        <f>D1317+1</f>
        <v>33</v>
      </c>
      <c r="G1353" s="200" t="s">
        <v>638</v>
      </c>
      <c r="H1353">
        <f ca="1">LOOKUP(D1356,$C$191:$C$196,$D$191:$D$196)</f>
        <v>0</v>
      </c>
      <c r="K1353" s="200" t="s">
        <v>644</v>
      </c>
      <c r="L1353">
        <f ca="1">L1317-H1358</f>
        <v>-16.562000000000005</v>
      </c>
      <c r="O1353" s="200" t="s">
        <v>404</v>
      </c>
      <c r="P1353">
        <f ca="1">IF(D1355=1,SEAT_w_cushion_FC,IF(D1355=2,SEAT_w_cushion_BC,IF(D1355=3,SEAT_w_cushion_YC,0)))</f>
        <v>0</v>
      </c>
      <c r="S1353" s="200" t="s">
        <v>647</v>
      </c>
      <c r="T1353">
        <f ca="1">LOOKUP(D1356,$C$191:$C$196,$E$191:$E$196)</f>
        <v>0</v>
      </c>
      <c r="W1353" t="s">
        <v>130</v>
      </c>
      <c r="X1353" t="str">
        <f ca="1">OFFSET(Fuselage!$B$275,D1353,5)</f>
        <v>None</v>
      </c>
      <c r="AN1353" s="200" t="s">
        <v>135</v>
      </c>
      <c r="AO1353">
        <f ca="1">MAX(0,H1358-MAX(T1353,T1355,T1357,P1354)-X1354)</f>
        <v>0</v>
      </c>
      <c r="BD1353" s="157"/>
    </row>
    <row r="1354" spans="2:56">
      <c r="B1354" s="156"/>
      <c r="C1354" s="200" t="s">
        <v>200</v>
      </c>
      <c r="D1354" t="str">
        <f ca="1">OFFSET(Fuselage!$B$275,D1353,0)</f>
        <v/>
      </c>
      <c r="G1354" s="200" t="s">
        <v>639</v>
      </c>
      <c r="H1354">
        <f ca="1">LOOKUP(D1357,$C$191:$C$196,$D$191:$D$196)</f>
        <v>0</v>
      </c>
      <c r="O1354" s="200" t="s">
        <v>535</v>
      </c>
      <c r="P1354">
        <f ca="1">IF(D1355=1,SEAT_length_FC,IF(D1355=2,SEAT_length_BC,IF(D1355=3,SEAT_length_YC,0)))</f>
        <v>0</v>
      </c>
      <c r="S1354" s="200" t="s">
        <v>648</v>
      </c>
      <c r="T1354">
        <f ca="1">LOOKUP(D1356,$C$191:$C$196,$F$191:$F$196)</f>
        <v>0</v>
      </c>
      <c r="W1354" t="s">
        <v>131</v>
      </c>
      <c r="X1354">
        <f ca="1">LOOKUP(X1353,$I$191:$I$198,$J$191:$J$198)</f>
        <v>0</v>
      </c>
      <c r="BD1354" s="157"/>
    </row>
    <row r="1355" spans="2:56">
      <c r="B1355" s="156"/>
      <c r="C1355" s="200" t="s">
        <v>337</v>
      </c>
      <c r="D1355" t="str">
        <f ca="1">OFFSET(Fuselage!$B$275,D1353,4)</f>
        <v/>
      </c>
      <c r="G1355" s="200" t="s">
        <v>309</v>
      </c>
      <c r="H1355">
        <f ca="1">LOOKUP(D1358,$C$191:$C$196,$D$191:$D$196)</f>
        <v>0</v>
      </c>
      <c r="K1355" s="200" t="s">
        <v>645</v>
      </c>
      <c r="L1355">
        <f ca="1">IF(D1355=1,FUSELAGE_nseats_left_FC,IF(D1355=2,FUSELAGE_nseats_left_BC,IF(D1355=3,FUSELAGE_nseats_left_YC,0)))</f>
        <v>0</v>
      </c>
      <c r="O1355" s="200" t="s">
        <v>405</v>
      </c>
      <c r="P1355">
        <f ca="1">IF(D1355=1,SEAT_w_armrest_FC,IF(D1355=2,SEAT_w_armrest_BC,IF(D1355=3,SEAT_w_armrest_YC,0)))</f>
        <v>0</v>
      </c>
      <c r="S1355" s="200" t="s">
        <v>652</v>
      </c>
      <c r="T1355">
        <f ca="1">LOOKUP(D1357,$C$191:$C$196,$E$191:$E$196)</f>
        <v>0</v>
      </c>
      <c r="W1355" s="200" t="s">
        <v>393</v>
      </c>
      <c r="X1355" t="b">
        <f ca="1">IF(OFFSET(Fuselage!$B$275,D1353,6)="YES",TRUE(),FALSE())</f>
        <v>0</v>
      </c>
      <c r="BD1355" s="157"/>
    </row>
    <row r="1356" spans="2:56">
      <c r="B1356" s="156"/>
      <c r="C1356" s="200" t="s">
        <v>640</v>
      </c>
      <c r="D1356" t="str">
        <f ca="1">OFFSET(Fuselage!$B$275,D1353,1)</f>
        <v>None</v>
      </c>
      <c r="G1356" s="200" t="s">
        <v>132</v>
      </c>
      <c r="H1356">
        <f ca="1">IF(D1355=1,SEAT_pitch_FC,IF(D1355=2,SEAT_pitch_BC,IF(D1355=3,SEAT_pitch_YC,0)))</f>
        <v>0</v>
      </c>
      <c r="K1356" s="200" t="s">
        <v>646</v>
      </c>
      <c r="L1356">
        <f ca="1">IF(D1355=1,FUSELAGE_nseats_middle_FC,IF(D1355=2,FUSELAGE_nseats_middle_BC,IF(D1355=3,FUSELAGE_nseats_middle_YC,0)))</f>
        <v>0</v>
      </c>
      <c r="S1356" s="200" t="s">
        <v>653</v>
      </c>
      <c r="T1356">
        <f ca="1">LOOKUP(D1357,$C$191:$C$196,$F$191:$F$196)</f>
        <v>0</v>
      </c>
      <c r="BD1356" s="157"/>
    </row>
    <row r="1357" spans="2:56">
      <c r="B1357" s="156"/>
      <c r="C1357" s="200" t="s">
        <v>642</v>
      </c>
      <c r="D1357" t="str">
        <f ca="1">OFFSET(Fuselage!$B$275,D1353,2)</f>
        <v>None</v>
      </c>
      <c r="G1357" s="200" t="s">
        <v>129</v>
      </c>
      <c r="H1357">
        <f ca="1">IF(OR(X1353="Type A",X1353="Type B"),MAX(H1353:H1356)+42*0.0254,IF(X1353="Type C",MAX(H1353:H1356)+X1354,IF(X1353&lt;&gt;"None",24*0.0254,0)))</f>
        <v>0</v>
      </c>
      <c r="K1357" s="200" t="s">
        <v>655</v>
      </c>
      <c r="L1357">
        <f ca="1">IF(D1355=1,FUSELAGE_nseats_right_FC,IF(D1355=2,FUSELAGE_nseats_right_BC,IF(D1355=3,FUSELAGE_nseats_right_YC,0)))</f>
        <v>0</v>
      </c>
      <c r="O1357" s="200" t="s">
        <v>407</v>
      </c>
      <c r="P1357">
        <f ca="1">($C$13-(L1355+L1356+L1357)*(P1353+P1355)+(FUSELAGE_n_aisles-1)*P1355)/FUSELAGE_n_aisles</f>
        <v>2.76</v>
      </c>
      <c r="S1357" s="200" t="s">
        <v>651</v>
      </c>
      <c r="T1357">
        <f ca="1">LOOKUP(D1358,$C$191:$C$196,$E$191:$E$196)</f>
        <v>0</v>
      </c>
      <c r="BD1357" s="157"/>
    </row>
    <row r="1358" spans="2:56">
      <c r="B1358" s="156"/>
      <c r="C1358" s="200" t="s">
        <v>641</v>
      </c>
      <c r="D1358" t="str">
        <f ca="1">OFFSET(Fuselage!$B$275,D1353,3)</f>
        <v>None</v>
      </c>
      <c r="G1358" s="200" t="s">
        <v>643</v>
      </c>
      <c r="H1358">
        <f ca="1">MAX(H1353:H1357)</f>
        <v>0</v>
      </c>
      <c r="S1358" s="200" t="s">
        <v>654</v>
      </c>
      <c r="T1358">
        <f ca="1">LOOKUP(D1358,$C$191:$C$196,$F$191:$F$196)</f>
        <v>0</v>
      </c>
      <c r="BD1358" s="157"/>
    </row>
    <row r="1359" spans="2:56" ht="15" thickBot="1">
      <c r="B1359" s="156"/>
      <c r="BD1359" s="157"/>
    </row>
    <row r="1360" spans="2:56" ht="15" thickBot="1">
      <c r="B1360" s="156"/>
      <c r="C1360" s="141">
        <f ca="1">L1357</f>
        <v>0</v>
      </c>
      <c r="D1360" s="197" t="str">
        <f ca="1">IF($D1355=1,"FC",IF($D1355=2,"BC",IF($D1355=3,"YC","Nothing")))</f>
        <v>Nothing</v>
      </c>
      <c r="E1360" s="198"/>
      <c r="G1360" s="141">
        <f ca="1">L1356</f>
        <v>0</v>
      </c>
      <c r="H1360" s="197" t="str">
        <f ca="1">IF($D1355=1,"FC",IF($D1355=2,"BC",IF($D1355=3,"YC","Nothing")))</f>
        <v>Nothing</v>
      </c>
      <c r="I1360" s="198"/>
      <c r="K1360" s="141">
        <f ca="1" xml:space="preserve"> L1355</f>
        <v>0</v>
      </c>
      <c r="L1360" s="197" t="str">
        <f ca="1">IF($D1355=1,"FC",IF($D1355=2,"BC",IF($D1355=3,"YC","Nothing")))</f>
        <v>Nothing</v>
      </c>
      <c r="M1360" s="198"/>
      <c r="O1360" s="141">
        <f ca="1">IF($D1358&lt;&gt;"None",1,0)</f>
        <v>0</v>
      </c>
      <c r="P1360" s="326" t="s">
        <v>380</v>
      </c>
      <c r="Q1360" s="327"/>
      <c r="S1360" s="141">
        <f ca="1">IF($D1357&lt;&gt;"None",1,0)</f>
        <v>0</v>
      </c>
      <c r="T1360" s="326" t="s">
        <v>381</v>
      </c>
      <c r="U1360" s="327"/>
      <c r="W1360" s="141">
        <f ca="1">IF($D1356&lt;&gt;"None",1,0)</f>
        <v>0</v>
      </c>
      <c r="X1360" s="326" t="s">
        <v>382</v>
      </c>
      <c r="Y1360" s="327"/>
      <c r="AA1360" s="141">
        <f ca="1">IF($D1358="None",1,0)</f>
        <v>1</v>
      </c>
      <c r="AB1360" s="326" t="str">
        <f ca="1">IF(AA1360,D1360,$D1358)</f>
        <v>Nothing</v>
      </c>
      <c r="AC1360" s="327"/>
      <c r="AE1360" s="141">
        <f ca="1">IF($D1357="None",1,0)</f>
        <v>1</v>
      </c>
      <c r="AF1360" s="326" t="str">
        <f ca="1">IF(AE1360,H1360,$D1357)</f>
        <v>Nothing</v>
      </c>
      <c r="AG1360" s="327"/>
      <c r="AI1360" s="141">
        <f ca="1">IF($D1356="None",1,0)</f>
        <v>1</v>
      </c>
      <c r="AJ1360" s="326" t="str">
        <f ca="1">IF(AI1360,L1360,$D1356)</f>
        <v>Nothing</v>
      </c>
      <c r="AK1360" s="327"/>
      <c r="AM1360" s="141">
        <f ca="1">IF($X1353="None",0,1)</f>
        <v>0</v>
      </c>
      <c r="AN1360" s="197" t="s">
        <v>133</v>
      </c>
      <c r="AO1360" s="198"/>
      <c r="AQ1360" s="141">
        <f ca="1">IF($X1353="None",0,1)</f>
        <v>0</v>
      </c>
      <c r="AR1360" s="197" t="s">
        <v>134</v>
      </c>
      <c r="AS1360" s="198"/>
      <c r="BD1360" s="157"/>
    </row>
    <row r="1361" spans="2:56" ht="15" thickBot="1">
      <c r="B1361" s="156"/>
      <c r="C1361" s="136" t="s">
        <v>452</v>
      </c>
      <c r="D1361" s="136" t="s">
        <v>384</v>
      </c>
      <c r="E1361" s="138" t="s">
        <v>385</v>
      </c>
      <c r="G1361" s="136" t="s">
        <v>452</v>
      </c>
      <c r="H1361" s="136" t="s">
        <v>384</v>
      </c>
      <c r="I1361" s="138" t="s">
        <v>385</v>
      </c>
      <c r="K1361" s="193" t="s">
        <v>452</v>
      </c>
      <c r="L1361" s="193" t="s">
        <v>384</v>
      </c>
      <c r="M1361" s="194" t="s">
        <v>385</v>
      </c>
      <c r="O1361" s="136" t="s">
        <v>452</v>
      </c>
      <c r="P1361" s="136" t="s">
        <v>384</v>
      </c>
      <c r="Q1361" s="138" t="s">
        <v>385</v>
      </c>
      <c r="S1361" s="136" t="s">
        <v>452</v>
      </c>
      <c r="T1361" s="136" t="s">
        <v>384</v>
      </c>
      <c r="U1361" s="138" t="s">
        <v>385</v>
      </c>
      <c r="W1361" s="136" t="s">
        <v>452</v>
      </c>
      <c r="X1361" s="136" t="s">
        <v>384</v>
      </c>
      <c r="Y1361" s="138" t="s">
        <v>385</v>
      </c>
      <c r="AA1361" s="136" t="s">
        <v>452</v>
      </c>
      <c r="AB1361" s="136" t="s">
        <v>384</v>
      </c>
      <c r="AC1361" s="138" t="s">
        <v>385</v>
      </c>
      <c r="AE1361" s="136" t="s">
        <v>452</v>
      </c>
      <c r="AF1361" s="136" t="s">
        <v>384</v>
      </c>
      <c r="AG1361" s="138" t="s">
        <v>385</v>
      </c>
      <c r="AI1361" s="193" t="s">
        <v>452</v>
      </c>
      <c r="AJ1361" s="193" t="s">
        <v>384</v>
      </c>
      <c r="AK1361" s="194" t="s">
        <v>385</v>
      </c>
      <c r="AM1361" s="193" t="s">
        <v>452</v>
      </c>
      <c r="AN1361" s="193" t="s">
        <v>384</v>
      </c>
      <c r="AO1361" s="194" t="s">
        <v>385</v>
      </c>
      <c r="AQ1361" s="193" t="s">
        <v>452</v>
      </c>
      <c r="AR1361" s="193" t="s">
        <v>384</v>
      </c>
      <c r="AS1361" s="194" t="s">
        <v>385</v>
      </c>
      <c r="BD1361" s="157"/>
    </row>
    <row r="1362" spans="2:56">
      <c r="B1362" s="156"/>
      <c r="C1362" s="128" t="s">
        <v>396</v>
      </c>
      <c r="D1362" s="158">
        <f ca="1">IF(C1360&gt;=1,L1353,8888)</f>
        <v>8888</v>
      </c>
      <c r="E1362" s="160">
        <f ca="1">IF(C1360&gt;=1,1/2*($C$13-P1353-2*P1355)+1/2*P1353,8888)</f>
        <v>8888</v>
      </c>
      <c r="G1362" s="128" t="s">
        <v>396</v>
      </c>
      <c r="H1362" s="158">
        <f ca="1">IF(G1360&gt;=1,L1353,8888)</f>
        <v>8888</v>
      </c>
      <c r="I1362" s="160">
        <f ca="1">IF(G1360&gt;=1,E1373-P1357,8888)</f>
        <v>8888</v>
      </c>
      <c r="K1362" s="128" t="s">
        <v>396</v>
      </c>
      <c r="L1362" s="158">
        <f ca="1">IF(K1360&gt;=1,L1353,8888)</f>
        <v>8888</v>
      </c>
      <c r="M1362" s="160">
        <f ca="1">IF(K1360&gt;=1,IF(FUSELAGE_n_aisles=1,E1373-P1357,I1385-P1357),8888)</f>
        <v>8888</v>
      </c>
      <c r="O1362" s="128" t="s">
        <v>396</v>
      </c>
      <c r="P1362" s="158">
        <f ca="1">IF(O1360,$L1353,8888)</f>
        <v>8888</v>
      </c>
      <c r="Q1362" s="209">
        <f ca="1">IF(O1360,FUSELAGE_y_position_of_left_seat_YC-(FUSELAGE_nseats_right_YC-1)*(SEAT_w_cushion_YC+SEAT_w_armrest_YC)/2+T1358/2,8888)</f>
        <v>8888</v>
      </c>
      <c r="S1362" s="128" t="s">
        <v>396</v>
      </c>
      <c r="T1362" s="158">
        <f ca="1">IF(S1360,$L1353,8888)</f>
        <v>8888</v>
      </c>
      <c r="U1362" s="160">
        <f ca="1">IF(S1360,T1356/2,8888)</f>
        <v>8888</v>
      </c>
      <c r="W1362" s="128" t="s">
        <v>396</v>
      </c>
      <c r="X1362" s="158">
        <f ca="1">IF(W1360,$L1353,8888)</f>
        <v>8888</v>
      </c>
      <c r="Y1362" s="160">
        <f ca="1">IF(W1360,-FUSELAGE_y_position_of_left_seat_YC+(FUSELAGE_nseats_left_YC-1)*(SEAT_w_cushion_YC+SEAT_w_armrest_YC)/2-T1354/2,8888)</f>
        <v>8888</v>
      </c>
      <c r="AA1362" s="128" t="s">
        <v>396</v>
      </c>
      <c r="AB1362" s="158">
        <f ca="1">IF($AA1360,D1362,P1362)</f>
        <v>8888</v>
      </c>
      <c r="AC1362" s="174">
        <f ca="1">IF($AA1360,E1362,Q1362)</f>
        <v>8888</v>
      </c>
      <c r="AE1362" s="128" t="s">
        <v>396</v>
      </c>
      <c r="AF1362" s="158">
        <f ca="1">IF($AE1360,H1362,T1362)</f>
        <v>8888</v>
      </c>
      <c r="AG1362" s="174">
        <f ca="1">IF($AE1360,I1362,U1362)</f>
        <v>8888</v>
      </c>
      <c r="AI1362" s="128" t="s">
        <v>396</v>
      </c>
      <c r="AJ1362" s="158">
        <f ca="1">IF($AI1360,L1362,X1362)</f>
        <v>8888</v>
      </c>
      <c r="AK1362" s="174">
        <f ca="1">IF($AI1360,M1362,Y1362)</f>
        <v>8888</v>
      </c>
      <c r="AM1362" s="128" t="s">
        <v>396</v>
      </c>
      <c r="AN1362" s="158">
        <f ca="1">AN1331</f>
        <v>-16.562000000000005</v>
      </c>
      <c r="AO1362" s="174">
        <f ca="1">IF(AN1362&gt;-Fuselage!$D$366,(FUSELAGE_a_ellipse)*SQRT(1-((AN1362+Fuselage!$D$366)/(Fuselage!$K$364-FUSELAGE_t_fuselage))^2),IF(AN1362&gt;$L$2505+Fuselage!$K$370,FUSELAGE_a_ellipse,(FUSELAGE_a_ellipse+FUSELAGE_t_fuselage-FUSELAGE_d_fo/4)/Fuselage!$K$368*(AN1362-$L$2505-Fuselage!$K$370)+FUSELAGE_a_ellipse))</f>
        <v>1.4960570012328709</v>
      </c>
      <c r="AQ1362" s="128" t="s">
        <v>396</v>
      </c>
      <c r="AR1362" s="158">
        <f t="shared" ref="AR1362:AR1367" ca="1" si="130">AN1362</f>
        <v>-16.562000000000005</v>
      </c>
      <c r="AS1362" s="174">
        <f t="shared" ref="AS1362:AS1367" ca="1" si="131">-AO1362</f>
        <v>-1.4960570012328709</v>
      </c>
      <c r="BD1362" s="157"/>
    </row>
    <row r="1363" spans="2:56">
      <c r="B1363" s="156"/>
      <c r="C1363" s="128" t="s">
        <v>213</v>
      </c>
      <c r="D1363" s="128">
        <f ca="1">IF(X1355,D1362+P1354/4,D1362+P1354)</f>
        <v>8888</v>
      </c>
      <c r="E1363" s="139">
        <f ca="1">E1362</f>
        <v>8888</v>
      </c>
      <c r="G1363" s="128" t="s">
        <v>213</v>
      </c>
      <c r="H1363" s="128">
        <f ca="1">H1362+P1354</f>
        <v>8888</v>
      </c>
      <c r="I1363" s="139">
        <f ca="1">I1362</f>
        <v>8888</v>
      </c>
      <c r="K1363" s="128" t="s">
        <v>213</v>
      </c>
      <c r="L1363" s="128">
        <f ca="1">IF(X1355,IF(K1360=1,L1362+P1354/4,L1362+P1354),L1362+P1354)</f>
        <v>8888</v>
      </c>
      <c r="M1363" s="139">
        <f ca="1">M1362</f>
        <v>8888</v>
      </c>
      <c r="O1363" s="128" t="s">
        <v>213</v>
      </c>
      <c r="P1363" s="128">
        <f ca="1">P1362+$T1357</f>
        <v>8888</v>
      </c>
      <c r="Q1363" s="139">
        <f ca="1">Q1362</f>
        <v>8888</v>
      </c>
      <c r="S1363" s="128" t="s">
        <v>213</v>
      </c>
      <c r="T1363" s="128">
        <f ca="1">T1362+$T1355</f>
        <v>8888</v>
      </c>
      <c r="U1363" s="139">
        <f ca="1">U1362</f>
        <v>8888</v>
      </c>
      <c r="W1363" s="128" t="s">
        <v>213</v>
      </c>
      <c r="X1363" s="128">
        <f ca="1">X1362+$T1353</f>
        <v>8888</v>
      </c>
      <c r="Y1363" s="139">
        <f ca="1">Y1362</f>
        <v>8888</v>
      </c>
      <c r="AA1363" s="143" t="s">
        <v>213</v>
      </c>
      <c r="AB1363" s="128">
        <f ca="1">IF($AA1360,D1363,P1363)</f>
        <v>8888</v>
      </c>
      <c r="AC1363" s="129">
        <f ca="1">IF($AA1360,E1363,Q1363)</f>
        <v>8888</v>
      </c>
      <c r="AE1363" s="128" t="s">
        <v>213</v>
      </c>
      <c r="AF1363" s="128">
        <f ca="1">IF($AE1360,H1363,T1363)</f>
        <v>8888</v>
      </c>
      <c r="AG1363" s="129">
        <f ca="1">IF($AE1360,I1363,U1363)</f>
        <v>8888</v>
      </c>
      <c r="AI1363" s="128" t="s">
        <v>213</v>
      </c>
      <c r="AJ1363" s="128">
        <f ca="1">IF($AI1360,L1363,X1363)</f>
        <v>8888</v>
      </c>
      <c r="AK1363" s="129">
        <f ca="1">IF($AI1360,M1363,Y1363)</f>
        <v>8888</v>
      </c>
      <c r="AM1363" s="128" t="s">
        <v>213</v>
      </c>
      <c r="AN1363" s="128">
        <f ca="1">AN1362-AO1353/2</f>
        <v>-16.562000000000005</v>
      </c>
      <c r="AO1363" s="129">
        <f ca="1">IF(AN1363&gt;-Fuselage!$D$366,(FUSELAGE_a_ellipse)*SQRT(1-((AN1363+Fuselage!$D$366)/(Fuselage!$K$364-FUSELAGE_t_fuselage))^2),IF(AN1363&gt;$L$2505+Fuselage!$K$370,FUSELAGE_a_ellipse,(FUSELAGE_a_ellipse+FUSELAGE_t_fuselage-FUSELAGE_d_fo/4)/Fuselage!$K$368*(AN1363-$L$2505-Fuselage!$K$370)+FUSELAGE_a_ellipse))</f>
        <v>1.4960570012328709</v>
      </c>
      <c r="AQ1363" s="128" t="s">
        <v>213</v>
      </c>
      <c r="AR1363" s="128">
        <f t="shared" ca="1" si="130"/>
        <v>-16.562000000000005</v>
      </c>
      <c r="AS1363" s="129">
        <f t="shared" ca="1" si="131"/>
        <v>-1.4960570012328709</v>
      </c>
      <c r="BD1363" s="157"/>
    </row>
    <row r="1364" spans="2:56">
      <c r="B1364" s="156"/>
      <c r="C1364" s="128" t="s">
        <v>286</v>
      </c>
      <c r="D1364" s="128">
        <f ca="1">D1363</f>
        <v>8888</v>
      </c>
      <c r="E1364" s="139">
        <f ca="1">E1363-P1353</f>
        <v>8888</v>
      </c>
      <c r="G1364" s="128" t="s">
        <v>286</v>
      </c>
      <c r="H1364" s="128">
        <f ca="1">H1363</f>
        <v>8888</v>
      </c>
      <c r="I1364" s="139">
        <f ca="1">I1363-P1353</f>
        <v>8888</v>
      </c>
      <c r="K1364" s="128" t="s">
        <v>286</v>
      </c>
      <c r="L1364" s="128">
        <f ca="1">L1363</f>
        <v>8888</v>
      </c>
      <c r="M1364" s="139">
        <f ca="1">M1363-P1353</f>
        <v>8888</v>
      </c>
      <c r="O1364" s="128" t="s">
        <v>286</v>
      </c>
      <c r="P1364" s="128">
        <f ca="1">P1363</f>
        <v>8888</v>
      </c>
      <c r="Q1364" s="139">
        <f ca="1">Q1363-$T1358</f>
        <v>8888</v>
      </c>
      <c r="S1364" s="128" t="s">
        <v>286</v>
      </c>
      <c r="T1364" s="128">
        <f ca="1">T1363</f>
        <v>8888</v>
      </c>
      <c r="U1364" s="139">
        <f ca="1">U1363-$T1356</f>
        <v>8888</v>
      </c>
      <c r="W1364" s="128" t="s">
        <v>286</v>
      </c>
      <c r="X1364" s="128">
        <f ca="1">X1363</f>
        <v>8888</v>
      </c>
      <c r="Y1364" s="139">
        <f ca="1">Y1363+$T1354</f>
        <v>8888</v>
      </c>
      <c r="AA1364" s="143" t="s">
        <v>286</v>
      </c>
      <c r="AB1364" s="128">
        <f ca="1">IF($AA1360,D1364,P1364)</f>
        <v>8888</v>
      </c>
      <c r="AC1364" s="129">
        <f ca="1">IF($AA1360,E1364,Q1364)</f>
        <v>8888</v>
      </c>
      <c r="AE1364" s="128" t="s">
        <v>286</v>
      </c>
      <c r="AF1364" s="128">
        <f ca="1">IF($AE1360,H1364,T1364)</f>
        <v>8888</v>
      </c>
      <c r="AG1364" s="129">
        <f ca="1">IF($AE1360,I1364,U1364)</f>
        <v>8888</v>
      </c>
      <c r="AI1364" s="128" t="s">
        <v>286</v>
      </c>
      <c r="AJ1364" s="128">
        <f ca="1">IF($AI1360,L1364,X1364)</f>
        <v>8888</v>
      </c>
      <c r="AK1364" s="129">
        <f ca="1">IF($AI1360,M1364,Y1364)</f>
        <v>8888</v>
      </c>
      <c r="AM1364" s="128" t="s">
        <v>286</v>
      </c>
      <c r="AN1364" s="128">
        <f ca="1">AN1363</f>
        <v>-16.562000000000005</v>
      </c>
      <c r="AO1364" s="129">
        <f ca="1">IF(AN1364&gt;-Fuselage!$D$366,IF(AM1360,(FUSELAGE_a_ellipse+FUSELAGE_t_fuselage)*SQRT(1-((AN1364+Fuselage!$D$366)/Fuselage!$K$364)^2),(FUSELAGE_a_ellipse)*SQRT(1-((AN1364+Fuselage!$D$366)/Fuselage!$K$364)^2)),IF(AN1364&gt;$L$2505+Fuselage!$K$370,(IF(AM1360,FUSELAGE_a_ellipse+FUSELAGE_t_fuselage,FUSELAGE_a_ellipse)),IF(AM1360,(FUSELAGE_a_ellipse+FUSELAGE_t_fuselage-FUSELAGE_d_fo/4)/Fuselage!$K$368*(AN1364-$L$2505-Fuselage!$K$370)+FUSELAGE_a_ellipse+FUSELAGE_t_fuselage,(FUSELAGE_a_ellipse+FUSELAGE_t_fuselage-FUSELAGE_d_fo/4)/Fuselage!$K$368*(AN1364-$L$2505-Fuselage!$K$370)+FUSELAGE_a_ellipse)))</f>
        <v>1.4960570012328709</v>
      </c>
      <c r="AQ1364" s="128" t="s">
        <v>286</v>
      </c>
      <c r="AR1364" s="128">
        <f t="shared" ca="1" si="130"/>
        <v>-16.562000000000005</v>
      </c>
      <c r="AS1364" s="129">
        <f t="shared" ca="1" si="131"/>
        <v>-1.4960570012328709</v>
      </c>
      <c r="BD1364" s="157"/>
    </row>
    <row r="1365" spans="2:56">
      <c r="B1365" s="156"/>
      <c r="C1365" s="188" t="s">
        <v>522</v>
      </c>
      <c r="D1365" s="188">
        <f ca="1">D1362</f>
        <v>8888</v>
      </c>
      <c r="E1365" s="189">
        <f ca="1">E1364</f>
        <v>8888</v>
      </c>
      <c r="F1365" s="157"/>
      <c r="G1365" s="2" t="s">
        <v>522</v>
      </c>
      <c r="H1365" s="128">
        <f ca="1">H1362</f>
        <v>8888</v>
      </c>
      <c r="I1365" s="139">
        <f ca="1">I1364</f>
        <v>8888</v>
      </c>
      <c r="K1365" s="128" t="s">
        <v>522</v>
      </c>
      <c r="L1365" s="128">
        <f ca="1">L1362</f>
        <v>8888</v>
      </c>
      <c r="M1365" s="139">
        <f ca="1">M1364</f>
        <v>8888</v>
      </c>
      <c r="O1365" s="188" t="s">
        <v>522</v>
      </c>
      <c r="P1365" s="188">
        <f ca="1">P1362</f>
        <v>8888</v>
      </c>
      <c r="Q1365" s="189">
        <f ca="1">Q1364</f>
        <v>8888</v>
      </c>
      <c r="S1365" s="188" t="s">
        <v>522</v>
      </c>
      <c r="T1365" s="188">
        <f ca="1">T1362</f>
        <v>8888</v>
      </c>
      <c r="U1365" s="189">
        <f ca="1">U1364</f>
        <v>8888</v>
      </c>
      <c r="W1365" s="188" t="s">
        <v>522</v>
      </c>
      <c r="X1365" s="188">
        <f ca="1">X1362</f>
        <v>8888</v>
      </c>
      <c r="Y1365" s="189">
        <f ca="1">Y1364</f>
        <v>8888</v>
      </c>
      <c r="AA1365" s="195" t="s">
        <v>522</v>
      </c>
      <c r="AB1365" s="128">
        <f ca="1">IF($AA1360,D1365,P1365)</f>
        <v>8888</v>
      </c>
      <c r="AC1365" s="129">
        <f ca="1">IF($AA1360,E1365,Q1365)</f>
        <v>8888</v>
      </c>
      <c r="AD1365" s="157"/>
      <c r="AE1365" s="2" t="s">
        <v>522</v>
      </c>
      <c r="AF1365" s="188">
        <f ca="1">IF($AE1360,H1365,T1365)</f>
        <v>8888</v>
      </c>
      <c r="AG1365" s="196">
        <f ca="1">IF($AE1360,I1365,U1365)</f>
        <v>8888</v>
      </c>
      <c r="AI1365" s="128" t="s">
        <v>522</v>
      </c>
      <c r="AJ1365" s="188">
        <f ca="1">IF($AI1360,L1365,X1365)</f>
        <v>8888</v>
      </c>
      <c r="AK1365" s="196">
        <f ca="1">IF($AI1360,M1365,Y1365)</f>
        <v>8888</v>
      </c>
      <c r="AM1365" s="128" t="s">
        <v>522</v>
      </c>
      <c r="AN1365" s="128">
        <f ca="1">AN1364-X1354</f>
        <v>-16.562000000000005</v>
      </c>
      <c r="AO1365" s="129">
        <f ca="1">IF(AN1365&gt;-Fuselage!$D$366,IF(AM1360,(FUSELAGE_a_ellipse+FUSELAGE_t_fuselage)*SQRT(1-((AN1365+Fuselage!$D$366)/Fuselage!$K$364)^2),(FUSELAGE_a_ellipse)*SQRT(1-((AN1365+Fuselage!$D$366)/Fuselage!$K$364)^2)),IF(AN1365&gt;$L$2505+Fuselage!$K$370,(IF(AM1360,FUSELAGE_a_ellipse+FUSELAGE_t_fuselage,FUSELAGE_a_ellipse)),IF(AM1360,(FUSELAGE_a_ellipse+FUSELAGE_t_fuselage-FUSELAGE_d_fo/4)/Fuselage!$K$368*(AN1365-$L$2505-Fuselage!$K$370)+FUSELAGE_a_ellipse+FUSELAGE_t_fuselage,(FUSELAGE_a_ellipse+FUSELAGE_t_fuselage-FUSELAGE_d_fo/4)/Fuselage!$K$368*(AN1365-$L$2505-Fuselage!$K$370)+FUSELAGE_a_ellipse)))</f>
        <v>1.4960570012328709</v>
      </c>
      <c r="AQ1365" s="128" t="s">
        <v>522</v>
      </c>
      <c r="AR1365" s="128">
        <f t="shared" ca="1" si="130"/>
        <v>-16.562000000000005</v>
      </c>
      <c r="AS1365" s="129">
        <f t="shared" ca="1" si="131"/>
        <v>-1.4960570012328709</v>
      </c>
      <c r="BD1365" s="157"/>
    </row>
    <row r="1366" spans="2:56" ht="15" thickBot="1">
      <c r="B1366" s="156"/>
      <c r="C1366" s="128" t="s">
        <v>49</v>
      </c>
      <c r="D1366" s="128">
        <f ca="1">IF(C1360&gt;=2,D1362,D1365)</f>
        <v>8888</v>
      </c>
      <c r="E1366" s="139">
        <f ca="1">IF(C1360&gt;=2,E1365-P1355,E1365)</f>
        <v>8888</v>
      </c>
      <c r="F1366" s="157"/>
      <c r="G1366" s="192" t="s">
        <v>49</v>
      </c>
      <c r="H1366" s="190">
        <f ca="1">IF(G1360&gt;=2,H1362,H1365)</f>
        <v>8888</v>
      </c>
      <c r="I1366" s="191">
        <f ca="1">IF(G1360&gt;=2,I1365-P1355,I1365)</f>
        <v>8888</v>
      </c>
      <c r="K1366" s="190" t="s">
        <v>49</v>
      </c>
      <c r="L1366" s="190">
        <f ca="1">IF(K1360&gt;=2,L1362,L1365)</f>
        <v>8888</v>
      </c>
      <c r="M1366" s="191">
        <f ca="1">IF(K1360&gt;=2,M1365-P1355,M1365)</f>
        <v>8888</v>
      </c>
      <c r="O1366" s="130" t="s">
        <v>396</v>
      </c>
      <c r="P1366" s="130">
        <f ca="1">P1362</f>
        <v>8888</v>
      </c>
      <c r="Q1366" s="140">
        <f ca="1">Q1362</f>
        <v>8888</v>
      </c>
      <c r="S1366" s="130" t="s">
        <v>396</v>
      </c>
      <c r="T1366" s="130">
        <f ca="1">T1362</f>
        <v>8888</v>
      </c>
      <c r="U1366" s="140">
        <f ca="1">U1362</f>
        <v>8888</v>
      </c>
      <c r="W1366" s="130" t="s">
        <v>396</v>
      </c>
      <c r="X1366" s="130">
        <f ca="1">X1362</f>
        <v>8888</v>
      </c>
      <c r="Y1366" s="140">
        <f ca="1">Y1362</f>
        <v>8888</v>
      </c>
      <c r="AA1366" s="143" t="s">
        <v>49</v>
      </c>
      <c r="AB1366" s="128">
        <f ca="1">IF($AA1360,D1366,P1366)</f>
        <v>8888</v>
      </c>
      <c r="AC1366" s="129">
        <f ca="1">IF($AA1360,E1366,Q1366)</f>
        <v>8888</v>
      </c>
      <c r="AD1366" s="157"/>
      <c r="AE1366" s="192" t="s">
        <v>49</v>
      </c>
      <c r="AF1366" s="128">
        <f ca="1">IF($AE1360,H1366,T1366)</f>
        <v>8888</v>
      </c>
      <c r="AG1366" s="129">
        <f ca="1">IF($AE1360,I1366,U1366)</f>
        <v>8888</v>
      </c>
      <c r="AI1366" s="190" t="s">
        <v>49</v>
      </c>
      <c r="AJ1366" s="128">
        <f ca="1">IF($AI1360,L1366,X1366)</f>
        <v>8888</v>
      </c>
      <c r="AK1366" s="129">
        <f ca="1">IF($AI1360,M1366,Y1366)</f>
        <v>8888</v>
      </c>
      <c r="AM1366" s="128" t="s">
        <v>49</v>
      </c>
      <c r="AN1366" s="128">
        <f ca="1">AN1365</f>
        <v>-16.562000000000005</v>
      </c>
      <c r="AO1366" s="129">
        <f ca="1">IF(AN1366&gt;-Fuselage!$D$366,(FUSELAGE_a_ellipse)*SQRT(1-((AN1366+Fuselage!$D$366)/(Fuselage!$K$364-FUSELAGE_t_fuselage))^2),IF(AN1366&gt;$L$2505+Fuselage!$K$370,FUSELAGE_a_ellipse,(FUSELAGE_a_ellipse+FUSELAGE_t_fuselage-FUSELAGE_d_fo/4)/Fuselage!$K$368*(AN1366-$L$2505-Fuselage!$K$370)+FUSELAGE_a_ellipse))</f>
        <v>1.4960570012328709</v>
      </c>
      <c r="AQ1366" s="128" t="s">
        <v>49</v>
      </c>
      <c r="AR1366" s="128">
        <f t="shared" ca="1" si="130"/>
        <v>-16.562000000000005</v>
      </c>
      <c r="AS1366" s="129">
        <f t="shared" ca="1" si="131"/>
        <v>-1.4960570012328709</v>
      </c>
      <c r="BD1366" s="157"/>
    </row>
    <row r="1367" spans="2:56">
      <c r="B1367" s="156"/>
      <c r="C1367" s="128" t="s">
        <v>453</v>
      </c>
      <c r="D1367" s="128">
        <f ca="1">IF(C1360&gt;=2,D1362+P1354,D1365)</f>
        <v>8888</v>
      </c>
      <c r="E1367" s="139">
        <f ca="1">E1366</f>
        <v>8888</v>
      </c>
      <c r="F1367" s="157"/>
      <c r="G1367" s="2" t="s">
        <v>453</v>
      </c>
      <c r="H1367" s="128">
        <f ca="1">IF(G1360&gt;=2,H1363,H1365)</f>
        <v>8888</v>
      </c>
      <c r="I1367" s="139">
        <f ca="1">IF(G1360&gt;=2,I1366,I1365)</f>
        <v>8888</v>
      </c>
      <c r="K1367" s="128" t="s">
        <v>453</v>
      </c>
      <c r="L1367" s="128">
        <f ca="1">IF(K1360&gt;=2,IF(X1355,IF(K1360=2,L1362+P1354/4,L1362+P1354),L1362+P1354),L1365)</f>
        <v>8888</v>
      </c>
      <c r="M1367" s="139">
        <f ca="1">IF(K1360&gt;=2,M1366,M1365)</f>
        <v>8888</v>
      </c>
      <c r="AA1367" s="143" t="s">
        <v>453</v>
      </c>
      <c r="AB1367" s="128">
        <f ca="1">IF($AA1360,D1367,AB1366)</f>
        <v>8888</v>
      </c>
      <c r="AC1367" s="129">
        <f ca="1">IF($AA1360,E1367,AC1366)</f>
        <v>8888</v>
      </c>
      <c r="AD1367" s="157"/>
      <c r="AE1367" s="2" t="s">
        <v>453</v>
      </c>
      <c r="AF1367" s="128">
        <f ca="1">IF($AE1360,H1367,AF1366)</f>
        <v>8888</v>
      </c>
      <c r="AG1367" s="129">
        <f ca="1">IF($AE1360,I1367,AG1366)</f>
        <v>8888</v>
      </c>
      <c r="AI1367" s="128" t="s">
        <v>453</v>
      </c>
      <c r="AJ1367" s="128">
        <f ca="1">IF($AI1360,L1367,AJ1366)</f>
        <v>8888</v>
      </c>
      <c r="AK1367" s="129">
        <f ca="1">IF($AI1360,M1367,AK1366)</f>
        <v>8888</v>
      </c>
      <c r="AM1367" s="128" t="s">
        <v>453</v>
      </c>
      <c r="AN1367" s="128">
        <f ca="1">L1353</f>
        <v>-16.562000000000005</v>
      </c>
      <c r="AO1367" s="129">
        <f ca="1">IF(AN1367&gt;-Fuselage!$D$366,(FUSELAGE_a_ellipse)*SQRT(1-((AN1367+Fuselage!$D$366)/(Fuselage!$K$364-FUSELAGE_t_fuselage))^2),IF(AN1367&gt;$L$2505+Fuselage!$K$370,FUSELAGE_a_ellipse,(FUSELAGE_a_ellipse+FUSELAGE_t_fuselage-FUSELAGE_d_fo/4)/Fuselage!$K$368*(AN1367-$L$2505-Fuselage!$K$370)+FUSELAGE_a_ellipse))</f>
        <v>1.4960570012328709</v>
      </c>
      <c r="AQ1367" s="128" t="s">
        <v>453</v>
      </c>
      <c r="AR1367" s="128">
        <f t="shared" ca="1" si="130"/>
        <v>-16.562000000000005</v>
      </c>
      <c r="AS1367" s="129">
        <f t="shared" ca="1" si="131"/>
        <v>-1.4960570012328709</v>
      </c>
      <c r="BD1367" s="157"/>
    </row>
    <row r="1368" spans="2:56">
      <c r="B1368" s="156"/>
      <c r="C1368" s="128" t="s">
        <v>394</v>
      </c>
      <c r="D1368" s="128">
        <f ca="1">IF(C1360&gt;=2,D1367,D1365)</f>
        <v>8888</v>
      </c>
      <c r="E1368" s="139">
        <f ca="1">IF(C1360&gt;=2,E1366-P1353,E1365)</f>
        <v>8888</v>
      </c>
      <c r="F1368" s="157"/>
      <c r="G1368" s="2" t="s">
        <v>394</v>
      </c>
      <c r="H1368" s="128">
        <f ca="1">IF(G1360&gt;=2,H1363,H1365)</f>
        <v>8888</v>
      </c>
      <c r="I1368" s="139">
        <f ca="1">IF(G1360&gt;=2,I1367-P1353,I1365)</f>
        <v>8888</v>
      </c>
      <c r="K1368" s="128" t="s">
        <v>394</v>
      </c>
      <c r="L1368" s="128">
        <f ca="1">L1367</f>
        <v>8888</v>
      </c>
      <c r="M1368" s="139">
        <f ca="1">IF(K1360&gt;=2,M1367-P1353,M1365)</f>
        <v>8888</v>
      </c>
      <c r="AA1368" s="143" t="s">
        <v>394</v>
      </c>
      <c r="AB1368" s="128">
        <f ca="1">IF($AA1360,D1368,AB1366)</f>
        <v>8888</v>
      </c>
      <c r="AC1368" s="129">
        <f ca="1">IF($AA1360,E1368,AC1366)</f>
        <v>8888</v>
      </c>
      <c r="AD1368" s="157"/>
      <c r="AE1368" s="2" t="s">
        <v>394</v>
      </c>
      <c r="AF1368" s="128">
        <f ca="1">IF($AE1360,H1368,AF1366)</f>
        <v>8888</v>
      </c>
      <c r="AG1368" s="129">
        <f ca="1">IF($AE1360,I1368,AG1366)</f>
        <v>8888</v>
      </c>
      <c r="AI1368" s="128" t="s">
        <v>394</v>
      </c>
      <c r="AJ1368" s="128">
        <f ca="1">IF($AI1360,L1368,AJ1366)</f>
        <v>8888</v>
      </c>
      <c r="AK1368" s="129">
        <f ca="1">IF($AI1360,M1368,AK1366)</f>
        <v>8888</v>
      </c>
      <c r="BD1368" s="157"/>
    </row>
    <row r="1369" spans="2:56">
      <c r="B1369" s="156"/>
      <c r="C1369" s="188" t="s">
        <v>454</v>
      </c>
      <c r="D1369" s="188">
        <f ca="1">IF(C1360&gt;=2,D1362,D1365)</f>
        <v>8888</v>
      </c>
      <c r="E1369" s="189">
        <f ca="1">E1368</f>
        <v>8888</v>
      </c>
      <c r="F1369" s="157"/>
      <c r="G1369" s="115" t="s">
        <v>454</v>
      </c>
      <c r="H1369" s="188">
        <f ca="1">IF(G1360&gt;=2,H1362,H1365)</f>
        <v>8888</v>
      </c>
      <c r="I1369" s="189">
        <f ca="1">IF(G1360&gt;=2,I1368,I1365)</f>
        <v>8888</v>
      </c>
      <c r="K1369" s="188" t="s">
        <v>454</v>
      </c>
      <c r="L1369" s="188">
        <f ca="1">IF(K1360&gt;=2,L1362,L1365)</f>
        <v>8888</v>
      </c>
      <c r="M1369" s="189">
        <f ca="1">IF(K1360&gt;=2,M1368,M1365)</f>
        <v>8888</v>
      </c>
      <c r="AA1369" s="195" t="s">
        <v>454</v>
      </c>
      <c r="AB1369" s="128">
        <f ca="1">IF($AA1360,D1369,AB1366)</f>
        <v>8888</v>
      </c>
      <c r="AC1369" s="129">
        <f ca="1">IF($AA1360,E1369,AC1366)</f>
        <v>8888</v>
      </c>
      <c r="AD1369" s="157"/>
      <c r="AE1369" s="115" t="s">
        <v>454</v>
      </c>
      <c r="AF1369" s="188">
        <f ca="1">IF($AE1360,H1369,AF1366)</f>
        <v>8888</v>
      </c>
      <c r="AG1369" s="196">
        <f ca="1">IF($AE1360,I1369,AG1366)</f>
        <v>8888</v>
      </c>
      <c r="AI1369" s="188" t="s">
        <v>454</v>
      </c>
      <c r="AJ1369" s="188">
        <f ca="1">IF($AI1360,L1369,AJ1366)</f>
        <v>8888</v>
      </c>
      <c r="AK1369" s="196">
        <f ca="1">IF($AI1360,M1369,AK1366)</f>
        <v>8888</v>
      </c>
      <c r="BD1369" s="157"/>
    </row>
    <row r="1370" spans="2:56">
      <c r="B1370" s="156"/>
      <c r="C1370" s="128" t="s">
        <v>507</v>
      </c>
      <c r="D1370" s="128">
        <f ca="1">IF(C1360&gt;=3,D1362,D1369)</f>
        <v>8888</v>
      </c>
      <c r="E1370" s="139">
        <f ca="1">IF(C1360&gt;=3,E1369-P1355,E1369)</f>
        <v>8888</v>
      </c>
      <c r="F1370" s="157"/>
      <c r="G1370" s="2" t="s">
        <v>507</v>
      </c>
      <c r="H1370" s="128">
        <f ca="1">IF(G1360&gt;=3,H1362,H1369)</f>
        <v>8888</v>
      </c>
      <c r="I1370" s="139">
        <f ca="1">IF(G1360&gt;=3,I1369-P1355,I1369)</f>
        <v>8888</v>
      </c>
      <c r="K1370" s="128" t="s">
        <v>507</v>
      </c>
      <c r="L1370" s="128">
        <f ca="1">IF(K1360&gt;=3,L1362,L1369)</f>
        <v>8888</v>
      </c>
      <c r="M1370" s="139">
        <f ca="1">IF(K1360&gt;=3,M1369-P1355,M1369)</f>
        <v>8888</v>
      </c>
      <c r="AA1370" s="143" t="s">
        <v>507</v>
      </c>
      <c r="AB1370" s="128">
        <f ca="1">IF($AA1360,D1370,AB1366)</f>
        <v>8888</v>
      </c>
      <c r="AC1370" s="129">
        <f ca="1">IF($AA1360,E1370,AC1366)</f>
        <v>8888</v>
      </c>
      <c r="AD1370" s="157"/>
      <c r="AE1370" s="2" t="s">
        <v>507</v>
      </c>
      <c r="AF1370" s="128">
        <f ca="1">IF($AE1360,H1370,AF1366)</f>
        <v>8888</v>
      </c>
      <c r="AG1370" s="129">
        <f ca="1">IF($AE1360,I1370,AG1366)</f>
        <v>8888</v>
      </c>
      <c r="AI1370" s="128" t="s">
        <v>507</v>
      </c>
      <c r="AJ1370" s="128">
        <f ca="1">IF($AI1360,L1370,AJ1366)</f>
        <v>8888</v>
      </c>
      <c r="AK1370" s="129">
        <f ca="1">IF($AI1360,M1370,AK1366)</f>
        <v>8888</v>
      </c>
      <c r="BD1370" s="157"/>
    </row>
    <row r="1371" spans="2:56">
      <c r="B1371" s="156"/>
      <c r="C1371" s="128" t="s">
        <v>455</v>
      </c>
      <c r="D1371" s="128">
        <f ca="1">IF(C1360&gt;=3,D1367,D1369)</f>
        <v>8888</v>
      </c>
      <c r="E1371" s="139">
        <f ca="1">E1370</f>
        <v>8888</v>
      </c>
      <c r="F1371" s="157"/>
      <c r="G1371" s="2" t="s">
        <v>455</v>
      </c>
      <c r="H1371" s="128">
        <f ca="1">IF(G1360&gt;=3,H1363,H1369)</f>
        <v>8888</v>
      </c>
      <c r="I1371" s="139">
        <f ca="1">IF(G1360&gt;=3,I1370,I1369)</f>
        <v>8888</v>
      </c>
      <c r="K1371" s="128" t="s">
        <v>455</v>
      </c>
      <c r="L1371" s="128">
        <f ca="1">IF(K1360&gt;=3,IF(X1355,IF(K1360=3,L1362+P1354/4,L1362+P1354),L1362+P1354),L1365)</f>
        <v>8888</v>
      </c>
      <c r="M1371" s="139">
        <f ca="1">IF(K1360&gt;=3,M1370,M1369)</f>
        <v>8888</v>
      </c>
      <c r="AA1371" s="143" t="s">
        <v>455</v>
      </c>
      <c r="AB1371" s="128">
        <f ca="1">IF($AA1360,D1371,AB1366)</f>
        <v>8888</v>
      </c>
      <c r="AC1371" s="129">
        <f ca="1">IF($AA1360,E1371,AC1366)</f>
        <v>8888</v>
      </c>
      <c r="AD1371" s="157"/>
      <c r="AE1371" s="2" t="s">
        <v>455</v>
      </c>
      <c r="AF1371" s="128">
        <f ca="1">IF($AE1360,H1371,AF1366)</f>
        <v>8888</v>
      </c>
      <c r="AG1371" s="129">
        <f ca="1">IF($AE1360,I1371,AG1366)</f>
        <v>8888</v>
      </c>
      <c r="AI1371" s="128" t="s">
        <v>455</v>
      </c>
      <c r="AJ1371" s="128">
        <f ca="1">IF($AI1360,L1371,AJ1366)</f>
        <v>8888</v>
      </c>
      <c r="AK1371" s="129">
        <f ca="1">IF($AI1360,M1371,AK1366)</f>
        <v>8888</v>
      </c>
      <c r="AL1371" s="156"/>
      <c r="BD1371" s="157"/>
    </row>
    <row r="1372" spans="2:56">
      <c r="B1372" s="156"/>
      <c r="C1372" s="128" t="s">
        <v>311</v>
      </c>
      <c r="D1372" s="128">
        <f ca="1">IF(C1360&gt;=3,D1367,D1369)</f>
        <v>8888</v>
      </c>
      <c r="E1372" s="139">
        <f ca="1">IF(C1360&gt;=3,E1371-P1353,E1369)</f>
        <v>8888</v>
      </c>
      <c r="F1372" s="157"/>
      <c r="G1372" s="2" t="s">
        <v>311</v>
      </c>
      <c r="H1372" s="128">
        <f ca="1">IF(G1360&gt;=3,H1363,H1369)</f>
        <v>8888</v>
      </c>
      <c r="I1372" s="139">
        <f ca="1">IF(G1360&gt;=3,I1371-P1353,I1369)</f>
        <v>8888</v>
      </c>
      <c r="K1372" s="128" t="s">
        <v>311</v>
      </c>
      <c r="L1372" s="128">
        <f ca="1">L1371</f>
        <v>8888</v>
      </c>
      <c r="M1372" s="139">
        <f ca="1">IF(K1360&gt;=3,M1371-P1353,M1369)</f>
        <v>8888</v>
      </c>
      <c r="AA1372" s="143" t="s">
        <v>311</v>
      </c>
      <c r="AB1372" s="128">
        <f ca="1">IF($AA1360,D1372,AB1366)</f>
        <v>8888</v>
      </c>
      <c r="AC1372" s="129">
        <f ca="1">IF($AA1360,E1372,AC1366)</f>
        <v>8888</v>
      </c>
      <c r="AD1372" s="157"/>
      <c r="AE1372" s="2" t="s">
        <v>311</v>
      </c>
      <c r="AF1372" s="128">
        <f ca="1">IF($AE1360,H1372,AF1366)</f>
        <v>8888</v>
      </c>
      <c r="AG1372" s="129">
        <f ca="1">IF($AE1360,I1372,AG1366)</f>
        <v>8888</v>
      </c>
      <c r="AI1372" s="128" t="s">
        <v>311</v>
      </c>
      <c r="AJ1372" s="128">
        <f ca="1">IF($AI1360,L1372,AJ1366)</f>
        <v>8888</v>
      </c>
      <c r="AK1372" s="129">
        <f ca="1">IF($AI1360,M1372,AK1366)</f>
        <v>8888</v>
      </c>
      <c r="AL1372" s="156"/>
      <c r="BD1372" s="157"/>
    </row>
    <row r="1373" spans="2:56">
      <c r="B1373" s="156"/>
      <c r="C1373" s="188" t="s">
        <v>35</v>
      </c>
      <c r="D1373" s="188">
        <f ca="1">IF(C1360&gt;=3,D1362,D1369)</f>
        <v>8888</v>
      </c>
      <c r="E1373" s="189">
        <f ca="1">E1372</f>
        <v>8888</v>
      </c>
      <c r="F1373" s="157"/>
      <c r="G1373" s="2" t="s">
        <v>35</v>
      </c>
      <c r="H1373" s="188">
        <f ca="1">IF(G1360&gt;=3,H1362,H1369)</f>
        <v>8888</v>
      </c>
      <c r="I1373" s="189">
        <f ca="1">IF(G1360&gt;=3,I1372,I1369)</f>
        <v>8888</v>
      </c>
      <c r="K1373" s="188" t="s">
        <v>35</v>
      </c>
      <c r="L1373" s="188">
        <f ca="1">IF(K1360&gt;=3,L1362,L1369)</f>
        <v>8888</v>
      </c>
      <c r="M1373" s="189">
        <f ca="1">IF(K1360&gt;=3,M1372,M1369)</f>
        <v>8888</v>
      </c>
      <c r="AA1373" s="143" t="s">
        <v>35</v>
      </c>
      <c r="AB1373" s="128">
        <f ca="1">IF($AA1360,D1373,AB1366)</f>
        <v>8888</v>
      </c>
      <c r="AC1373" s="129">
        <f ca="1">IF($AA1360,E1373,AC1366)</f>
        <v>8888</v>
      </c>
      <c r="AD1373" s="157"/>
      <c r="AE1373" s="2" t="s">
        <v>35</v>
      </c>
      <c r="AF1373" s="188">
        <f ca="1">IF($AE1360,H1373,AF1366)</f>
        <v>8888</v>
      </c>
      <c r="AG1373" s="196">
        <f ca="1">IF($AE1360,I1373,AG1366)</f>
        <v>8888</v>
      </c>
      <c r="AI1373" s="128" t="s">
        <v>35</v>
      </c>
      <c r="AJ1373" s="128">
        <f ca="1">IF($AI1360,L1373,AJ1366)</f>
        <v>8888</v>
      </c>
      <c r="AK1373" s="129">
        <f ca="1">IF($AI1360,M1373,AK1366)</f>
        <v>8888</v>
      </c>
      <c r="AL1373" s="156"/>
      <c r="BD1373" s="157"/>
    </row>
    <row r="1374" spans="2:56" ht="15" thickBot="1">
      <c r="B1374" s="156"/>
      <c r="C1374" s="130" t="s">
        <v>396</v>
      </c>
      <c r="D1374" s="130">
        <f ca="1">D1362</f>
        <v>8888</v>
      </c>
      <c r="E1374" s="140">
        <f ca="1">E1362</f>
        <v>8888</v>
      </c>
      <c r="F1374" s="157"/>
      <c r="G1374" s="192" t="s">
        <v>312</v>
      </c>
      <c r="H1374" s="128">
        <f ca="1">IF(G1360&gt;=4,H1362,H1373)</f>
        <v>8888</v>
      </c>
      <c r="I1374" s="139">
        <f ca="1">IF(G1360&gt;=4,I1373-P1355,I1373)</f>
        <v>8888</v>
      </c>
      <c r="K1374" s="130" t="s">
        <v>396</v>
      </c>
      <c r="L1374" s="130">
        <f ca="1">L1362</f>
        <v>8888</v>
      </c>
      <c r="M1374" s="140">
        <f ca="1">M1362</f>
        <v>8888</v>
      </c>
      <c r="AA1374" s="144" t="s">
        <v>396</v>
      </c>
      <c r="AB1374" s="130">
        <f ca="1">IF($AA1360,D1374,AB1366)</f>
        <v>8888</v>
      </c>
      <c r="AC1374" s="132">
        <f ca="1">IF($AA1360,E1374,AC1366)</f>
        <v>8888</v>
      </c>
      <c r="AD1374" s="157"/>
      <c r="AE1374" s="192" t="s">
        <v>312</v>
      </c>
      <c r="AF1374" s="128">
        <f ca="1">IF($AE1360,H1374,AF1366)</f>
        <v>8888</v>
      </c>
      <c r="AG1374" s="129">
        <f ca="1">IF($AE1360,I1374,AG1366)</f>
        <v>8888</v>
      </c>
      <c r="AI1374" s="130" t="s">
        <v>396</v>
      </c>
      <c r="AJ1374" s="130">
        <f ca="1">IF($AI1360,L1374,AJ1366)</f>
        <v>8888</v>
      </c>
      <c r="AK1374" s="132">
        <f ca="1">IF($AI1360,M1374,AK1366)</f>
        <v>8888</v>
      </c>
      <c r="BD1374" s="157"/>
    </row>
    <row r="1375" spans="2:56">
      <c r="B1375" s="156"/>
      <c r="F1375" s="157"/>
      <c r="G1375" s="2" t="s">
        <v>313</v>
      </c>
      <c r="H1375" s="128">
        <f ca="1">IF(G1360&gt;=4,H1363,H1373)</f>
        <v>8888</v>
      </c>
      <c r="I1375" s="139">
        <f ca="1">IF(G1360&gt;=4,I1374,I1373)</f>
        <v>8888</v>
      </c>
      <c r="AD1375" s="157"/>
      <c r="AE1375" s="2" t="s">
        <v>313</v>
      </c>
      <c r="AF1375" s="128">
        <f ca="1">IF($AE1360,H1375,AF1366)</f>
        <v>8888</v>
      </c>
      <c r="AG1375" s="129">
        <f ca="1">IF($AE1360,I1375,AG1366)</f>
        <v>8888</v>
      </c>
      <c r="BD1375" s="157"/>
    </row>
    <row r="1376" spans="2:56">
      <c r="B1376" s="156"/>
      <c r="F1376" s="157"/>
      <c r="G1376" s="2" t="s">
        <v>7</v>
      </c>
      <c r="H1376" s="128">
        <f ca="1">IF(G1360&gt;=4,H1363,H1373)</f>
        <v>8888</v>
      </c>
      <c r="I1376" s="139">
        <f ca="1">IF(G1360&gt;=4,I1375-P1353,I1373)</f>
        <v>8888</v>
      </c>
      <c r="AD1376" s="157"/>
      <c r="AE1376" s="2" t="s">
        <v>7</v>
      </c>
      <c r="AF1376" s="128">
        <f ca="1">IF($AE1360,H1376,AF1366)</f>
        <v>8888</v>
      </c>
      <c r="AG1376" s="129">
        <f ca="1">IF($AE1360,I1376,AG1366)</f>
        <v>8888</v>
      </c>
      <c r="BD1376" s="157"/>
    </row>
    <row r="1377" spans="2:56">
      <c r="B1377" s="156"/>
      <c r="F1377" s="157"/>
      <c r="G1377" s="115" t="s">
        <v>8</v>
      </c>
      <c r="H1377" s="188">
        <f ca="1">IF(G1360&gt;=4,H1362,H1373)</f>
        <v>8888</v>
      </c>
      <c r="I1377" s="189">
        <f ca="1">IF(G1360&gt;=4,I1376,I1373)</f>
        <v>8888</v>
      </c>
      <c r="AD1377" s="157"/>
      <c r="AE1377" s="115" t="s">
        <v>8</v>
      </c>
      <c r="AF1377" s="188">
        <f ca="1">IF($AE1360,H1377,AF1366)</f>
        <v>8888</v>
      </c>
      <c r="AG1377" s="196">
        <f ca="1">IF($AE1360,I1377,AG1366)</f>
        <v>8888</v>
      </c>
      <c r="BD1377" s="157"/>
    </row>
    <row r="1378" spans="2:56">
      <c r="B1378" s="156"/>
      <c r="F1378" s="157"/>
      <c r="G1378" s="2" t="s">
        <v>9</v>
      </c>
      <c r="H1378" s="128">
        <f ca="1">IF(G1360&gt;=5,H1362,H1377)</f>
        <v>8888</v>
      </c>
      <c r="I1378" s="139">
        <f ca="1">IF(G1360&gt;=5,I1377-P1355,I1377)</f>
        <v>8888</v>
      </c>
      <c r="AD1378" s="157"/>
      <c r="AE1378" s="2" t="s">
        <v>9</v>
      </c>
      <c r="AF1378" s="128">
        <f ca="1">IF($AE1360,H1378,AF1366)</f>
        <v>8888</v>
      </c>
      <c r="AG1378" s="129">
        <f ca="1">IF($AE1360,I1378,AG1366)</f>
        <v>8888</v>
      </c>
      <c r="BD1378" s="157"/>
    </row>
    <row r="1379" spans="2:56">
      <c r="B1379" s="156"/>
      <c r="F1379" s="157"/>
      <c r="G1379" s="2" t="s">
        <v>196</v>
      </c>
      <c r="H1379" s="128">
        <f ca="1">IF(G1360&gt;=5,H1363,H1377)</f>
        <v>8888</v>
      </c>
      <c r="I1379" s="139">
        <f ca="1">IF(G1360&gt;=5,I1378,I1377)</f>
        <v>8888</v>
      </c>
      <c r="AD1379" s="157"/>
      <c r="AE1379" s="2" t="s">
        <v>196</v>
      </c>
      <c r="AF1379" s="128">
        <f ca="1">IF($AE1360,H1379,AF1366)</f>
        <v>8888</v>
      </c>
      <c r="AG1379" s="129">
        <f ca="1">IF($AE1360,I1379,AG1366)</f>
        <v>8888</v>
      </c>
      <c r="BD1379" s="157"/>
    </row>
    <row r="1380" spans="2:56">
      <c r="B1380" s="156"/>
      <c r="F1380" s="157"/>
      <c r="G1380" s="2" t="s">
        <v>10</v>
      </c>
      <c r="H1380" s="128">
        <f ca="1">IF(G1360&gt;=5,H1363,H1377)</f>
        <v>8888</v>
      </c>
      <c r="I1380" s="139">
        <f ca="1">IF(G1360&gt;=5,I1379-P1353,I1377)</f>
        <v>8888</v>
      </c>
      <c r="AD1380" s="157"/>
      <c r="AE1380" s="2" t="s">
        <v>10</v>
      </c>
      <c r="AF1380" s="128">
        <f ca="1">IF($AE1360,H1380,AF1366)</f>
        <v>8888</v>
      </c>
      <c r="AG1380" s="129">
        <f ca="1">IF($AE1360,I1380,AG1366)</f>
        <v>8888</v>
      </c>
      <c r="BD1380" s="157"/>
    </row>
    <row r="1381" spans="2:56">
      <c r="B1381" s="156"/>
      <c r="F1381" s="157"/>
      <c r="G1381" s="2" t="s">
        <v>161</v>
      </c>
      <c r="H1381" s="188">
        <f ca="1">IF(G1360&gt;=5,H1362,H1377)</f>
        <v>8888</v>
      </c>
      <c r="I1381" s="189">
        <f ca="1">IF(G1360&gt;=5,I1380,I1377)</f>
        <v>8888</v>
      </c>
      <c r="AD1381" s="157"/>
      <c r="AE1381" s="2" t="s">
        <v>161</v>
      </c>
      <c r="AF1381" s="188">
        <f ca="1">IF($AE1360,H1381,AF1366)</f>
        <v>8888</v>
      </c>
      <c r="AG1381" s="196">
        <f ca="1">IF($AE1360,I1381,AG1366)</f>
        <v>8888</v>
      </c>
      <c r="BD1381" s="157"/>
    </row>
    <row r="1382" spans="2:56">
      <c r="B1382" s="156"/>
      <c r="F1382" s="157"/>
      <c r="G1382" s="192" t="s">
        <v>11</v>
      </c>
      <c r="H1382" s="128">
        <f ca="1">IF(G1360&gt;=6,H1362,H1381)</f>
        <v>8888</v>
      </c>
      <c r="I1382" s="139">
        <f ca="1">IF(G1360&gt;=6,I1381-P1355,I1381)</f>
        <v>8888</v>
      </c>
      <c r="AD1382" s="157"/>
      <c r="AE1382" s="192" t="s">
        <v>11</v>
      </c>
      <c r="AF1382" s="128">
        <f ca="1">IF($AE1360,H1382,AF1366)</f>
        <v>8888</v>
      </c>
      <c r="AG1382" s="129">
        <f ca="1">IF($AE1360,I1382,AG1366)</f>
        <v>8888</v>
      </c>
      <c r="BD1382" s="157"/>
    </row>
    <row r="1383" spans="2:56">
      <c r="B1383" s="156"/>
      <c r="F1383" s="157"/>
      <c r="G1383" s="2" t="s">
        <v>12</v>
      </c>
      <c r="H1383" s="128">
        <f ca="1">IF(G1360&gt;=6,H1363,H1381)</f>
        <v>8888</v>
      </c>
      <c r="I1383" s="139">
        <f ca="1">IF(G1360&gt;=6,I1382,I1381)</f>
        <v>8888</v>
      </c>
      <c r="AD1383" s="157"/>
      <c r="AE1383" s="2" t="s">
        <v>12</v>
      </c>
      <c r="AF1383" s="128">
        <f ca="1">IF($AE1360,H1383,AF1366)</f>
        <v>8888</v>
      </c>
      <c r="AG1383" s="129">
        <f ca="1">IF($AE1360,I1383,AG1366)</f>
        <v>8888</v>
      </c>
      <c r="BD1383" s="157"/>
    </row>
    <row r="1384" spans="2:56">
      <c r="B1384" s="156"/>
      <c r="F1384" s="157"/>
      <c r="G1384" s="2" t="s">
        <v>13</v>
      </c>
      <c r="H1384" s="128">
        <f ca="1">IF(G1360&gt;=6,H1363,H1381)</f>
        <v>8888</v>
      </c>
      <c r="I1384" s="139">
        <f ca="1">IF(G1360&gt;=6,I1383-P1353,I1381)</f>
        <v>8888</v>
      </c>
      <c r="AD1384" s="157"/>
      <c r="AE1384" s="2" t="s">
        <v>13</v>
      </c>
      <c r="AF1384" s="128">
        <f ca="1">IF($AE1360,H1384,AF1366)</f>
        <v>8888</v>
      </c>
      <c r="AG1384" s="129">
        <f ca="1">IF($AE1360,I1384,AG1366)</f>
        <v>8888</v>
      </c>
      <c r="BD1384" s="157"/>
    </row>
    <row r="1385" spans="2:56">
      <c r="B1385" s="156"/>
      <c r="F1385" s="157"/>
      <c r="G1385" s="115" t="s">
        <v>14</v>
      </c>
      <c r="H1385" s="188">
        <f ca="1">IF(G1360&gt;=6,H1362,H1381)</f>
        <v>8888</v>
      </c>
      <c r="I1385" s="189">
        <f ca="1">IF(G1360&gt;=6,I1384,I1381)</f>
        <v>8888</v>
      </c>
      <c r="AD1385" s="157"/>
      <c r="AE1385" s="115" t="s">
        <v>14</v>
      </c>
      <c r="AF1385" s="188">
        <f ca="1">IF($AE1360,H1385,AF1366)</f>
        <v>8888</v>
      </c>
      <c r="AG1385" s="196">
        <f ca="1">IF($AE1360,I1385,AG1366)</f>
        <v>8888</v>
      </c>
      <c r="BD1385" s="157"/>
    </row>
    <row r="1386" spans="2:56" ht="15" thickBot="1">
      <c r="B1386" s="156"/>
      <c r="G1386" s="130" t="s">
        <v>396</v>
      </c>
      <c r="H1386" s="130">
        <f ca="1">H1362</f>
        <v>8888</v>
      </c>
      <c r="I1386" s="140">
        <f ca="1">I1362</f>
        <v>8888</v>
      </c>
      <c r="AE1386" s="130" t="s">
        <v>396</v>
      </c>
      <c r="AF1386" s="130">
        <f ca="1">IF($AE1360,H1386,AF1366)</f>
        <v>8888</v>
      </c>
      <c r="AG1386" s="132">
        <f ca="1">IF($AE1360,I1386,AG1366)</f>
        <v>8888</v>
      </c>
      <c r="BD1386" s="157"/>
    </row>
    <row r="1387" spans="2:56">
      <c r="B1387" s="156"/>
      <c r="BD1387" s="157"/>
    </row>
    <row r="1388" spans="2:56">
      <c r="B1388" s="156"/>
      <c r="BD1388" s="157"/>
    </row>
    <row r="1389" spans="2:56">
      <c r="B1389" s="156"/>
      <c r="C1389" s="200" t="s">
        <v>336</v>
      </c>
      <c r="D1389">
        <f>D1353+1</f>
        <v>34</v>
      </c>
      <c r="G1389" s="200" t="s">
        <v>638</v>
      </c>
      <c r="H1389">
        <f ca="1">LOOKUP(D1392,$C$191:$C$196,$D$191:$D$196)</f>
        <v>1.3</v>
      </c>
      <c r="K1389" s="200" t="s">
        <v>644</v>
      </c>
      <c r="L1389">
        <f ca="1">L1353-H1394</f>
        <v>-18.624000000000006</v>
      </c>
      <c r="O1389" s="200" t="s">
        <v>404</v>
      </c>
      <c r="P1389">
        <f ca="1">IF(D1391=1,SEAT_w_cushion_FC,IF(D1391=2,SEAT_w_cushion_BC,IF(D1391=3,SEAT_w_cushion_YC,0)))</f>
        <v>0</v>
      </c>
      <c r="S1389" s="200" t="s">
        <v>647</v>
      </c>
      <c r="T1389">
        <f ca="1">LOOKUP(D1392,$C$191:$C$196,$E$191:$E$196)</f>
        <v>1</v>
      </c>
      <c r="W1389" t="s">
        <v>130</v>
      </c>
      <c r="X1389" t="str">
        <f ca="1">OFFSET(Fuselage!$B$275,D1389,5)</f>
        <v>Type C</v>
      </c>
      <c r="AN1389" s="200" t="s">
        <v>135</v>
      </c>
      <c r="AO1389">
        <f ca="1">MAX(0,H1394-MAX(T1389,T1391,T1393,P1390)-X1390)</f>
        <v>0.30000000000000027</v>
      </c>
      <c r="BD1389" s="157"/>
    </row>
    <row r="1390" spans="2:56">
      <c r="B1390" s="156"/>
      <c r="C1390" s="200" t="s">
        <v>200</v>
      </c>
      <c r="D1390" t="str">
        <f ca="1">OFFSET(Fuselage!$B$275,D1389,0)</f>
        <v/>
      </c>
      <c r="G1390" s="200" t="s">
        <v>639</v>
      </c>
      <c r="H1390">
        <f ca="1">LOOKUP(D1393,$C$191:$C$196,$D$191:$D$196)</f>
        <v>0</v>
      </c>
      <c r="O1390" s="200" t="s">
        <v>535</v>
      </c>
      <c r="P1390">
        <f ca="1">IF(D1391=1,SEAT_length_FC,IF(D1391=2,SEAT_length_BC,IF(D1391=3,SEAT_length_YC,0)))</f>
        <v>0</v>
      </c>
      <c r="S1390" s="200" t="s">
        <v>648</v>
      </c>
      <c r="T1390">
        <f ca="1">LOOKUP(D1392,$C$191:$C$196,$F$191:$F$196)</f>
        <v>1.2</v>
      </c>
      <c r="W1390" t="s">
        <v>131</v>
      </c>
      <c r="X1390">
        <f ca="1">LOOKUP(X1389,$I$191:$I$198,$J$191:$J$198)</f>
        <v>0.76200000000000001</v>
      </c>
      <c r="BD1390" s="157"/>
    </row>
    <row r="1391" spans="2:56">
      <c r="B1391" s="156"/>
      <c r="C1391" s="200" t="s">
        <v>337</v>
      </c>
      <c r="D1391" t="str">
        <f ca="1">OFFSET(Fuselage!$B$275,D1389,4)</f>
        <v/>
      </c>
      <c r="G1391" s="200" t="s">
        <v>309</v>
      </c>
      <c r="H1391">
        <f ca="1">LOOKUP(D1394,$C$191:$C$196,$D$191:$D$196)</f>
        <v>1.2</v>
      </c>
      <c r="K1391" s="200" t="s">
        <v>645</v>
      </c>
      <c r="L1391">
        <f ca="1">IF(D1391=1,FUSELAGE_nseats_left_FC,IF(D1391=2,FUSELAGE_nseats_left_BC,IF(D1391=3,FUSELAGE_nseats_left_YC,0)))</f>
        <v>0</v>
      </c>
      <c r="O1391" s="200" t="s">
        <v>405</v>
      </c>
      <c r="P1391">
        <f ca="1">IF(D1391=1,SEAT_w_armrest_FC,IF(D1391=2,SEAT_w_armrest_BC,IF(D1391=3,SEAT_w_armrest_YC,0)))</f>
        <v>0</v>
      </c>
      <c r="S1391" s="200" t="s">
        <v>652</v>
      </c>
      <c r="T1391">
        <f ca="1">LOOKUP(D1393,$C$191:$C$196,$E$191:$E$196)</f>
        <v>0</v>
      </c>
      <c r="W1391" s="200" t="s">
        <v>393</v>
      </c>
      <c r="X1391" t="b">
        <f ca="1">IF(OFFSET(Fuselage!$B$275,D1389,6)="YES",TRUE(),FALSE())</f>
        <v>0</v>
      </c>
      <c r="BD1391" s="157"/>
    </row>
    <row r="1392" spans="2:56">
      <c r="B1392" s="156"/>
      <c r="C1392" s="200" t="s">
        <v>640</v>
      </c>
      <c r="D1392" t="str">
        <f ca="1">OFFSET(Fuselage!$B$275,D1389,1)</f>
        <v>Lavatory</v>
      </c>
      <c r="G1392" s="200" t="s">
        <v>132</v>
      </c>
      <c r="H1392">
        <f ca="1">IF(D1391=1,SEAT_pitch_FC,IF(D1391=2,SEAT_pitch_BC,IF(D1391=3,SEAT_pitch_YC,0)))</f>
        <v>0</v>
      </c>
      <c r="K1392" s="200" t="s">
        <v>646</v>
      </c>
      <c r="L1392">
        <f ca="1">IF(D1391=1,FUSELAGE_nseats_middle_FC,IF(D1391=2,FUSELAGE_nseats_middle_BC,IF(D1391=3,FUSELAGE_nseats_middle_YC,0)))</f>
        <v>0</v>
      </c>
      <c r="S1392" s="200" t="s">
        <v>653</v>
      </c>
      <c r="T1392">
        <f ca="1">LOOKUP(D1393,$C$191:$C$196,$F$191:$F$196)</f>
        <v>0</v>
      </c>
      <c r="BD1392" s="157"/>
    </row>
    <row r="1393" spans="2:56">
      <c r="B1393" s="156"/>
      <c r="C1393" s="200" t="s">
        <v>642</v>
      </c>
      <c r="D1393" t="str">
        <f ca="1">OFFSET(Fuselage!$B$275,D1389,2)</f>
        <v>None</v>
      </c>
      <c r="G1393" s="200" t="s">
        <v>129</v>
      </c>
      <c r="H1393">
        <f ca="1">IF(OR(X1389="Type A",X1389="Type B"),MAX(H1389:H1392)+42*0.0254,IF(X1389="Type C",MAX(H1389:H1392)+X1390,IF(X1389&lt;&gt;"None",24*0.0254,0)))</f>
        <v>2.0620000000000003</v>
      </c>
      <c r="K1393" s="200" t="s">
        <v>655</v>
      </c>
      <c r="L1393">
        <f ca="1">IF(D1391=1,FUSELAGE_nseats_right_FC,IF(D1391=2,FUSELAGE_nseats_right_BC,IF(D1391=3,FUSELAGE_nseats_right_YC,0)))</f>
        <v>0</v>
      </c>
      <c r="O1393" s="200" t="s">
        <v>407</v>
      </c>
      <c r="P1393">
        <f ca="1">($C$13-(L1391+L1392+L1393)*(P1389+P1391)+(FUSELAGE_n_aisles-1)*P1391)/FUSELAGE_n_aisles</f>
        <v>2.76</v>
      </c>
      <c r="S1393" s="200" t="s">
        <v>651</v>
      </c>
      <c r="T1393">
        <f ca="1">LOOKUP(D1394,$C$191:$C$196,$E$191:$E$196)</f>
        <v>0.9</v>
      </c>
      <c r="BD1393" s="157"/>
    </row>
    <row r="1394" spans="2:56">
      <c r="B1394" s="156"/>
      <c r="C1394" s="200" t="s">
        <v>641</v>
      </c>
      <c r="D1394" t="str">
        <f ca="1">OFFSET(Fuselage!$B$275,D1389,3)</f>
        <v>Galley YC</v>
      </c>
      <c r="G1394" s="200" t="s">
        <v>643</v>
      </c>
      <c r="H1394">
        <f ca="1">MAX(H1389:H1393)</f>
        <v>2.0620000000000003</v>
      </c>
      <c r="S1394" s="200" t="s">
        <v>654</v>
      </c>
      <c r="T1394">
        <f ca="1">LOOKUP(D1394,$C$191:$C$196,$F$191:$F$196)</f>
        <v>1.1000000000000001</v>
      </c>
      <c r="BD1394" s="157"/>
    </row>
    <row r="1395" spans="2:56" ht="15" thickBot="1">
      <c r="B1395" s="156"/>
      <c r="BD1395" s="157"/>
    </row>
    <row r="1396" spans="2:56" ht="15" thickBot="1">
      <c r="B1396" s="156"/>
      <c r="C1396" s="141">
        <f ca="1">L1393</f>
        <v>0</v>
      </c>
      <c r="D1396" s="197" t="str">
        <f ca="1">IF($D1391=1,"FC",IF($D1391=2,"BC",IF($D1391=3,"YC","Nothing")))</f>
        <v>Nothing</v>
      </c>
      <c r="E1396" s="198"/>
      <c r="G1396" s="141">
        <f ca="1">L1392</f>
        <v>0</v>
      </c>
      <c r="H1396" s="197" t="str">
        <f ca="1">IF($D1391=1,"FC",IF($D1391=2,"BC",IF($D1391=3,"YC","Nothing")))</f>
        <v>Nothing</v>
      </c>
      <c r="I1396" s="198"/>
      <c r="K1396" s="141">
        <f ca="1" xml:space="preserve"> L1391</f>
        <v>0</v>
      </c>
      <c r="L1396" s="197" t="str">
        <f ca="1">IF($D1391=1,"FC",IF($D1391=2,"BC",IF($D1391=3,"YC","Nothing")))</f>
        <v>Nothing</v>
      </c>
      <c r="M1396" s="198"/>
      <c r="O1396" s="141">
        <f ca="1">IF($D1394&lt;&gt;"None",1,0)</f>
        <v>1</v>
      </c>
      <c r="P1396" s="326" t="s">
        <v>380</v>
      </c>
      <c r="Q1396" s="327"/>
      <c r="S1396" s="141">
        <f ca="1">IF($D1393&lt;&gt;"None",1,0)</f>
        <v>0</v>
      </c>
      <c r="T1396" s="326" t="s">
        <v>381</v>
      </c>
      <c r="U1396" s="327"/>
      <c r="W1396" s="141">
        <f ca="1">IF($D1392&lt;&gt;"None",1,0)</f>
        <v>1</v>
      </c>
      <c r="X1396" s="326" t="s">
        <v>382</v>
      </c>
      <c r="Y1396" s="327"/>
      <c r="AA1396" s="141">
        <f ca="1">IF($D1394="None",1,0)</f>
        <v>0</v>
      </c>
      <c r="AB1396" s="326" t="str">
        <f ca="1">IF(AA1396,D1396,$D1394)</f>
        <v>Galley YC</v>
      </c>
      <c r="AC1396" s="327"/>
      <c r="AE1396" s="141">
        <f ca="1">IF($D1393="None",1,0)</f>
        <v>1</v>
      </c>
      <c r="AF1396" s="326" t="str">
        <f ca="1">IF(AE1396,H1396,$D1393)</f>
        <v>Nothing</v>
      </c>
      <c r="AG1396" s="327"/>
      <c r="AI1396" s="141">
        <f ca="1">IF($D1392="None",1,0)</f>
        <v>0</v>
      </c>
      <c r="AJ1396" s="326" t="str">
        <f ca="1">IF(AI1396,L1396,$D1392)</f>
        <v>Lavatory</v>
      </c>
      <c r="AK1396" s="327"/>
      <c r="AM1396" s="141">
        <f ca="1">IF($X1389="None",0,1)</f>
        <v>1</v>
      </c>
      <c r="AN1396" s="197" t="s">
        <v>133</v>
      </c>
      <c r="AO1396" s="198"/>
      <c r="AQ1396" s="141">
        <f ca="1">IF($X1389="None",0,1)</f>
        <v>1</v>
      </c>
      <c r="AR1396" s="197" t="s">
        <v>134</v>
      </c>
      <c r="AS1396" s="198"/>
      <c r="BD1396" s="157"/>
    </row>
    <row r="1397" spans="2:56" ht="15" thickBot="1">
      <c r="B1397" s="156"/>
      <c r="C1397" s="136" t="s">
        <v>452</v>
      </c>
      <c r="D1397" s="136" t="s">
        <v>384</v>
      </c>
      <c r="E1397" s="138" t="s">
        <v>385</v>
      </c>
      <c r="G1397" s="136" t="s">
        <v>452</v>
      </c>
      <c r="H1397" s="136" t="s">
        <v>384</v>
      </c>
      <c r="I1397" s="138" t="s">
        <v>385</v>
      </c>
      <c r="K1397" s="193" t="s">
        <v>452</v>
      </c>
      <c r="L1397" s="193" t="s">
        <v>384</v>
      </c>
      <c r="M1397" s="194" t="s">
        <v>385</v>
      </c>
      <c r="O1397" s="136" t="s">
        <v>452</v>
      </c>
      <c r="P1397" s="136" t="s">
        <v>384</v>
      </c>
      <c r="Q1397" s="138" t="s">
        <v>385</v>
      </c>
      <c r="S1397" s="136" t="s">
        <v>452</v>
      </c>
      <c r="T1397" s="136" t="s">
        <v>384</v>
      </c>
      <c r="U1397" s="138" t="s">
        <v>385</v>
      </c>
      <c r="W1397" s="136" t="s">
        <v>452</v>
      </c>
      <c r="X1397" s="136" t="s">
        <v>384</v>
      </c>
      <c r="Y1397" s="138" t="s">
        <v>385</v>
      </c>
      <c r="AA1397" s="136" t="s">
        <v>452</v>
      </c>
      <c r="AB1397" s="136" t="s">
        <v>384</v>
      </c>
      <c r="AC1397" s="138" t="s">
        <v>385</v>
      </c>
      <c r="AE1397" s="136" t="s">
        <v>452</v>
      </c>
      <c r="AF1397" s="136" t="s">
        <v>384</v>
      </c>
      <c r="AG1397" s="138" t="s">
        <v>385</v>
      </c>
      <c r="AI1397" s="193" t="s">
        <v>452</v>
      </c>
      <c r="AJ1397" s="193" t="s">
        <v>384</v>
      </c>
      <c r="AK1397" s="194" t="s">
        <v>385</v>
      </c>
      <c r="AM1397" s="193" t="s">
        <v>452</v>
      </c>
      <c r="AN1397" s="193" t="s">
        <v>384</v>
      </c>
      <c r="AO1397" s="194" t="s">
        <v>385</v>
      </c>
      <c r="AQ1397" s="193" t="s">
        <v>452</v>
      </c>
      <c r="AR1397" s="193" t="s">
        <v>384</v>
      </c>
      <c r="AS1397" s="194" t="s">
        <v>385</v>
      </c>
      <c r="BD1397" s="157"/>
    </row>
    <row r="1398" spans="2:56">
      <c r="B1398" s="156"/>
      <c r="C1398" s="128" t="s">
        <v>396</v>
      </c>
      <c r="D1398" s="158">
        <f ca="1">IF(C1396&gt;=1,L1389,8888)</f>
        <v>8888</v>
      </c>
      <c r="E1398" s="160">
        <f ca="1">IF(C1396&gt;=1,1/2*($C$13-P1389-2*P1391)+1/2*P1389,8888)</f>
        <v>8888</v>
      </c>
      <c r="G1398" s="128" t="s">
        <v>396</v>
      </c>
      <c r="H1398" s="158">
        <f ca="1">IF(G1396&gt;=1,L1389,8888)</f>
        <v>8888</v>
      </c>
      <c r="I1398" s="160">
        <f ca="1">IF(G1396&gt;=1,E1409-P1393,8888)</f>
        <v>8888</v>
      </c>
      <c r="K1398" s="128" t="s">
        <v>396</v>
      </c>
      <c r="L1398" s="158">
        <f ca="1">IF(K1396&gt;=1,L1389,8888)</f>
        <v>8888</v>
      </c>
      <c r="M1398" s="160">
        <f ca="1">IF(K1396&gt;=1,IF(FUSELAGE_n_aisles=1,E1409-P1393,I1421-P1393),8888)</f>
        <v>8888</v>
      </c>
      <c r="O1398" s="128" t="s">
        <v>396</v>
      </c>
      <c r="P1398" s="158">
        <f ca="1">IF(O1396,$L1389,8888)</f>
        <v>-18.624000000000006</v>
      </c>
      <c r="Q1398" s="209">
        <f ca="1">IF(O1396,FUSELAGE_y_position_of_left_seat_YC-(FUSELAGE_nseats_right_YC-1)*(SEAT_w_cushion_YC+SEAT_w_armrest_YC)/2+T1394/2,8888)</f>
        <v>1.3399999999999999</v>
      </c>
      <c r="S1398" s="128" t="s">
        <v>396</v>
      </c>
      <c r="T1398" s="158">
        <f ca="1">IF(S1396,$L1389,8888)</f>
        <v>8888</v>
      </c>
      <c r="U1398" s="160">
        <f ca="1">IF(S1396,T1392/2,8888)</f>
        <v>8888</v>
      </c>
      <c r="W1398" s="128" t="s">
        <v>396</v>
      </c>
      <c r="X1398" s="158">
        <f ca="1">IF(W1396,$L1389,8888)</f>
        <v>-18.624000000000006</v>
      </c>
      <c r="Y1398" s="160">
        <f ca="1">IF(W1396,-FUSELAGE_y_position_of_left_seat_YC+(FUSELAGE_nseats_left_YC-1)*(SEAT_w_cushion_YC+SEAT_w_armrest_YC)/2-T1390/2,8888)</f>
        <v>-1.3899999999999997</v>
      </c>
      <c r="AA1398" s="128" t="s">
        <v>396</v>
      </c>
      <c r="AB1398" s="158">
        <f ca="1">IF($AA1396,D1398,P1398)</f>
        <v>-18.624000000000006</v>
      </c>
      <c r="AC1398" s="174">
        <f ca="1">IF($AA1396,E1398,Q1398)</f>
        <v>1.3399999999999999</v>
      </c>
      <c r="AE1398" s="128" t="s">
        <v>396</v>
      </c>
      <c r="AF1398" s="158">
        <f ca="1">IF($AE1396,H1398,T1398)</f>
        <v>8888</v>
      </c>
      <c r="AG1398" s="174">
        <f ca="1">IF($AE1396,I1398,U1398)</f>
        <v>8888</v>
      </c>
      <c r="AI1398" s="128" t="s">
        <v>396</v>
      </c>
      <c r="AJ1398" s="158">
        <f ca="1">IF($AI1396,L1398,X1398)</f>
        <v>-18.624000000000006</v>
      </c>
      <c r="AK1398" s="174">
        <f ca="1">IF($AI1396,M1398,Y1398)</f>
        <v>-1.3899999999999997</v>
      </c>
      <c r="AM1398" s="128" t="s">
        <v>396</v>
      </c>
      <c r="AN1398" s="158">
        <f ca="1">AN1367</f>
        <v>-16.562000000000005</v>
      </c>
      <c r="AO1398" s="174">
        <f ca="1">IF(AN1398&gt;-Fuselage!$D$366,(FUSELAGE_a_ellipse)*SQRT(1-((AN1398+Fuselage!$D$366)/(Fuselage!$K$364-FUSELAGE_t_fuselage))^2),IF(AN1398&gt;$L$2505+Fuselage!$K$370,FUSELAGE_a_ellipse,(FUSELAGE_a_ellipse+FUSELAGE_t_fuselage-FUSELAGE_d_fo/4)/Fuselage!$K$368*(AN1398-$L$2505-Fuselage!$K$370)+FUSELAGE_a_ellipse))</f>
        <v>1.4960570012328709</v>
      </c>
      <c r="AQ1398" s="128" t="s">
        <v>396</v>
      </c>
      <c r="AR1398" s="158">
        <f t="shared" ref="AR1398:AR1403" ca="1" si="132">AN1398</f>
        <v>-16.562000000000005</v>
      </c>
      <c r="AS1398" s="174">
        <f t="shared" ref="AS1398:AS1403" ca="1" si="133">-AO1398</f>
        <v>-1.4960570012328709</v>
      </c>
      <c r="BD1398" s="157"/>
    </row>
    <row r="1399" spans="2:56">
      <c r="B1399" s="156"/>
      <c r="C1399" s="128" t="s">
        <v>213</v>
      </c>
      <c r="D1399" s="128">
        <f ca="1">IF(X1391,D1398+P1390/4,D1398+P1390)</f>
        <v>8888</v>
      </c>
      <c r="E1399" s="139">
        <f ca="1">E1398</f>
        <v>8888</v>
      </c>
      <c r="G1399" s="128" t="s">
        <v>213</v>
      </c>
      <c r="H1399" s="128">
        <f ca="1">H1398+P1390</f>
        <v>8888</v>
      </c>
      <c r="I1399" s="139">
        <f ca="1">I1398</f>
        <v>8888</v>
      </c>
      <c r="K1399" s="128" t="s">
        <v>213</v>
      </c>
      <c r="L1399" s="128">
        <f ca="1">IF(X1391,IF(K1396=1,L1398+P1390/4,L1398+P1390),L1398+P1390)</f>
        <v>8888</v>
      </c>
      <c r="M1399" s="139">
        <f ca="1">M1398</f>
        <v>8888</v>
      </c>
      <c r="O1399" s="128" t="s">
        <v>213</v>
      </c>
      <c r="P1399" s="128">
        <f ca="1">P1398+$T1393</f>
        <v>-17.724000000000007</v>
      </c>
      <c r="Q1399" s="139">
        <f ca="1">Q1398</f>
        <v>1.3399999999999999</v>
      </c>
      <c r="S1399" s="128" t="s">
        <v>213</v>
      </c>
      <c r="T1399" s="128">
        <f ca="1">T1398+$T1391</f>
        <v>8888</v>
      </c>
      <c r="U1399" s="139">
        <f ca="1">U1398</f>
        <v>8888</v>
      </c>
      <c r="W1399" s="128" t="s">
        <v>213</v>
      </c>
      <c r="X1399" s="128">
        <f ca="1">X1398+$T1389</f>
        <v>-17.624000000000006</v>
      </c>
      <c r="Y1399" s="139">
        <f ca="1">Y1398</f>
        <v>-1.3899999999999997</v>
      </c>
      <c r="AA1399" s="143" t="s">
        <v>213</v>
      </c>
      <c r="AB1399" s="128">
        <f ca="1">IF($AA1396,D1399,P1399)</f>
        <v>-17.724000000000007</v>
      </c>
      <c r="AC1399" s="129">
        <f ca="1">IF($AA1396,E1399,Q1399)</f>
        <v>1.3399999999999999</v>
      </c>
      <c r="AE1399" s="128" t="s">
        <v>213</v>
      </c>
      <c r="AF1399" s="128">
        <f ca="1">IF($AE1396,H1399,T1399)</f>
        <v>8888</v>
      </c>
      <c r="AG1399" s="129">
        <f ca="1">IF($AE1396,I1399,U1399)</f>
        <v>8888</v>
      </c>
      <c r="AI1399" s="128" t="s">
        <v>213</v>
      </c>
      <c r="AJ1399" s="128">
        <f ca="1">IF($AI1396,L1399,X1399)</f>
        <v>-17.624000000000006</v>
      </c>
      <c r="AK1399" s="129">
        <f ca="1">IF($AI1396,M1399,Y1399)</f>
        <v>-1.3899999999999997</v>
      </c>
      <c r="AM1399" s="128" t="s">
        <v>213</v>
      </c>
      <c r="AN1399" s="128">
        <f ca="1">AN1398-AO1389/2</f>
        <v>-16.712000000000003</v>
      </c>
      <c r="AO1399" s="129">
        <f ca="1">IF(AN1399&gt;-Fuselage!$D$366,(FUSELAGE_a_ellipse)*SQRT(1-((AN1399+Fuselage!$D$366)/(Fuselage!$K$364-FUSELAGE_t_fuselage))^2),IF(AN1399&gt;$L$2505+Fuselage!$K$370,FUSELAGE_a_ellipse,(FUSELAGE_a_ellipse+FUSELAGE_t_fuselage-FUSELAGE_d_fo/4)/Fuselage!$K$368*(AN1399-$L$2505-Fuselage!$K$370)+FUSELAGE_a_ellipse))</f>
        <v>1.4960570012328709</v>
      </c>
      <c r="AQ1399" s="128" t="s">
        <v>213</v>
      </c>
      <c r="AR1399" s="128">
        <f t="shared" ca="1" si="132"/>
        <v>-16.712000000000003</v>
      </c>
      <c r="AS1399" s="129">
        <f t="shared" ca="1" si="133"/>
        <v>-1.4960570012328709</v>
      </c>
      <c r="BD1399" s="157"/>
    </row>
    <row r="1400" spans="2:56">
      <c r="B1400" s="156"/>
      <c r="C1400" s="128" t="s">
        <v>286</v>
      </c>
      <c r="D1400" s="128">
        <f ca="1">D1399</f>
        <v>8888</v>
      </c>
      <c r="E1400" s="139">
        <f ca="1">E1399-P1389</f>
        <v>8888</v>
      </c>
      <c r="G1400" s="128" t="s">
        <v>286</v>
      </c>
      <c r="H1400" s="128">
        <f ca="1">H1399</f>
        <v>8888</v>
      </c>
      <c r="I1400" s="139">
        <f ca="1">I1399-P1389</f>
        <v>8888</v>
      </c>
      <c r="K1400" s="128" t="s">
        <v>286</v>
      </c>
      <c r="L1400" s="128">
        <f ca="1">L1399</f>
        <v>8888</v>
      </c>
      <c r="M1400" s="139">
        <f ca="1">M1399-P1389</f>
        <v>8888</v>
      </c>
      <c r="O1400" s="128" t="s">
        <v>286</v>
      </c>
      <c r="P1400" s="128">
        <f ca="1">P1399</f>
        <v>-17.724000000000007</v>
      </c>
      <c r="Q1400" s="139">
        <f ca="1">Q1399-$T1394</f>
        <v>0.23999999999999977</v>
      </c>
      <c r="S1400" s="128" t="s">
        <v>286</v>
      </c>
      <c r="T1400" s="128">
        <f ca="1">T1399</f>
        <v>8888</v>
      </c>
      <c r="U1400" s="139">
        <f ca="1">U1399-$T1392</f>
        <v>8888</v>
      </c>
      <c r="W1400" s="128" t="s">
        <v>286</v>
      </c>
      <c r="X1400" s="128">
        <f ca="1">X1399</f>
        <v>-17.624000000000006</v>
      </c>
      <c r="Y1400" s="139">
        <f ca="1">Y1399+$T1390</f>
        <v>-0.18999999999999972</v>
      </c>
      <c r="AA1400" s="143" t="s">
        <v>286</v>
      </c>
      <c r="AB1400" s="128">
        <f ca="1">IF($AA1396,D1400,P1400)</f>
        <v>-17.724000000000007</v>
      </c>
      <c r="AC1400" s="129">
        <f ca="1">IF($AA1396,E1400,Q1400)</f>
        <v>0.23999999999999977</v>
      </c>
      <c r="AE1400" s="128" t="s">
        <v>286</v>
      </c>
      <c r="AF1400" s="128">
        <f ca="1">IF($AE1396,H1400,T1400)</f>
        <v>8888</v>
      </c>
      <c r="AG1400" s="129">
        <f ca="1">IF($AE1396,I1400,U1400)</f>
        <v>8888</v>
      </c>
      <c r="AI1400" s="128" t="s">
        <v>286</v>
      </c>
      <c r="AJ1400" s="128">
        <f ca="1">IF($AI1396,L1400,X1400)</f>
        <v>-17.624000000000006</v>
      </c>
      <c r="AK1400" s="129">
        <f ca="1">IF($AI1396,M1400,Y1400)</f>
        <v>-0.18999999999999972</v>
      </c>
      <c r="AM1400" s="128" t="s">
        <v>286</v>
      </c>
      <c r="AN1400" s="128">
        <f ca="1">AN1399</f>
        <v>-16.712000000000003</v>
      </c>
      <c r="AO1400" s="129">
        <f ca="1">IF(AN1400&gt;-Fuselage!$D$366,IF(AM1396,(FUSELAGE_a_ellipse+FUSELAGE_t_fuselage)*SQRT(1-((AN1400+Fuselage!$D$366)/Fuselage!$K$364)^2),(FUSELAGE_a_ellipse)*SQRT(1-((AN1400+Fuselage!$D$366)/Fuselage!$K$364)^2)),IF(AN1400&gt;$L$2505+Fuselage!$K$370,(IF(AM1396,FUSELAGE_a_ellipse+FUSELAGE_t_fuselage,FUSELAGE_a_ellipse)),IF(AM1396,(FUSELAGE_a_ellipse+FUSELAGE_t_fuselage-FUSELAGE_d_fo/4)/Fuselage!$K$368*(AN1400-$L$2505-Fuselage!$K$370)+FUSELAGE_a_ellipse+FUSELAGE_t_fuselage,(FUSELAGE_a_ellipse+FUSELAGE_t_fuselage-FUSELAGE_d_fo/4)/Fuselage!$K$368*(AN1400-$L$2505-Fuselage!$K$370)+FUSELAGE_a_ellipse)))</f>
        <v>1.6053795662883501</v>
      </c>
      <c r="AQ1400" s="128" t="s">
        <v>286</v>
      </c>
      <c r="AR1400" s="128">
        <f t="shared" ca="1" si="132"/>
        <v>-16.712000000000003</v>
      </c>
      <c r="AS1400" s="129">
        <f t="shared" ca="1" si="133"/>
        <v>-1.6053795662883501</v>
      </c>
      <c r="BD1400" s="157"/>
    </row>
    <row r="1401" spans="2:56">
      <c r="B1401" s="156"/>
      <c r="C1401" s="188" t="s">
        <v>522</v>
      </c>
      <c r="D1401" s="188">
        <f ca="1">D1398</f>
        <v>8888</v>
      </c>
      <c r="E1401" s="189">
        <f ca="1">E1400</f>
        <v>8888</v>
      </c>
      <c r="F1401" s="157"/>
      <c r="G1401" s="2" t="s">
        <v>522</v>
      </c>
      <c r="H1401" s="128">
        <f ca="1">H1398</f>
        <v>8888</v>
      </c>
      <c r="I1401" s="139">
        <f ca="1">I1400</f>
        <v>8888</v>
      </c>
      <c r="K1401" s="128" t="s">
        <v>522</v>
      </c>
      <c r="L1401" s="128">
        <f ca="1">L1398</f>
        <v>8888</v>
      </c>
      <c r="M1401" s="139">
        <f ca="1">M1400</f>
        <v>8888</v>
      </c>
      <c r="O1401" s="188" t="s">
        <v>522</v>
      </c>
      <c r="P1401" s="188">
        <f ca="1">P1398</f>
        <v>-18.624000000000006</v>
      </c>
      <c r="Q1401" s="189">
        <f ca="1">Q1400</f>
        <v>0.23999999999999977</v>
      </c>
      <c r="S1401" s="188" t="s">
        <v>522</v>
      </c>
      <c r="T1401" s="188">
        <f ca="1">T1398</f>
        <v>8888</v>
      </c>
      <c r="U1401" s="189">
        <f ca="1">U1400</f>
        <v>8888</v>
      </c>
      <c r="W1401" s="188" t="s">
        <v>522</v>
      </c>
      <c r="X1401" s="188">
        <f ca="1">X1398</f>
        <v>-18.624000000000006</v>
      </c>
      <c r="Y1401" s="189">
        <f ca="1">Y1400</f>
        <v>-0.18999999999999972</v>
      </c>
      <c r="AA1401" s="195" t="s">
        <v>522</v>
      </c>
      <c r="AB1401" s="128">
        <f ca="1">IF($AA1396,D1401,P1401)</f>
        <v>-18.624000000000006</v>
      </c>
      <c r="AC1401" s="129">
        <f ca="1">IF($AA1396,E1401,Q1401)</f>
        <v>0.23999999999999977</v>
      </c>
      <c r="AD1401" s="157"/>
      <c r="AE1401" s="2" t="s">
        <v>522</v>
      </c>
      <c r="AF1401" s="188">
        <f ca="1">IF($AE1396,H1401,T1401)</f>
        <v>8888</v>
      </c>
      <c r="AG1401" s="196">
        <f ca="1">IF($AE1396,I1401,U1401)</f>
        <v>8888</v>
      </c>
      <c r="AI1401" s="128" t="s">
        <v>522</v>
      </c>
      <c r="AJ1401" s="188">
        <f ca="1">IF($AI1396,L1401,X1401)</f>
        <v>-18.624000000000006</v>
      </c>
      <c r="AK1401" s="196">
        <f ca="1">IF($AI1396,M1401,Y1401)</f>
        <v>-0.18999999999999972</v>
      </c>
      <c r="AM1401" s="128" t="s">
        <v>522</v>
      </c>
      <c r="AN1401" s="128">
        <f ca="1">AN1400-X1390</f>
        <v>-17.474000000000004</v>
      </c>
      <c r="AO1401" s="129">
        <f ca="1">IF(AN1401&gt;-Fuselage!$D$366,IF(AM1396,(FUSELAGE_a_ellipse+FUSELAGE_t_fuselage)*SQRT(1-((AN1401+Fuselage!$D$366)/Fuselage!$K$364)^2),(FUSELAGE_a_ellipse)*SQRT(1-((AN1401+Fuselage!$D$366)/Fuselage!$K$364)^2)),IF(AN1401&gt;$L$2505+Fuselage!$K$370,(IF(AM1396,FUSELAGE_a_ellipse+FUSELAGE_t_fuselage,FUSELAGE_a_ellipse)),IF(AM1396,(FUSELAGE_a_ellipse+FUSELAGE_t_fuselage-FUSELAGE_d_fo/4)/Fuselage!$K$368*(AN1401-$L$2505-Fuselage!$K$370)+FUSELAGE_a_ellipse+FUSELAGE_t_fuselage,(FUSELAGE_a_ellipse+FUSELAGE_t_fuselage-FUSELAGE_d_fo/4)/Fuselage!$K$368*(AN1401-$L$2505-Fuselage!$K$370)+FUSELAGE_a_ellipse)))</f>
        <v>1.6053795662883501</v>
      </c>
      <c r="AQ1401" s="128" t="s">
        <v>522</v>
      </c>
      <c r="AR1401" s="128">
        <f t="shared" ca="1" si="132"/>
        <v>-17.474000000000004</v>
      </c>
      <c r="AS1401" s="129">
        <f t="shared" ca="1" si="133"/>
        <v>-1.6053795662883501</v>
      </c>
      <c r="BD1401" s="157"/>
    </row>
    <row r="1402" spans="2:56" ht="15" thickBot="1">
      <c r="B1402" s="156"/>
      <c r="C1402" s="128" t="s">
        <v>49</v>
      </c>
      <c r="D1402" s="128">
        <f ca="1">IF(C1396&gt;=2,D1398,D1401)</f>
        <v>8888</v>
      </c>
      <c r="E1402" s="139">
        <f ca="1">IF(C1396&gt;=2,E1401-P1391,E1401)</f>
        <v>8888</v>
      </c>
      <c r="F1402" s="157"/>
      <c r="G1402" s="192" t="s">
        <v>49</v>
      </c>
      <c r="H1402" s="190">
        <f ca="1">IF(G1396&gt;=2,H1398,H1401)</f>
        <v>8888</v>
      </c>
      <c r="I1402" s="191">
        <f ca="1">IF(G1396&gt;=2,I1401-P1391,I1401)</f>
        <v>8888</v>
      </c>
      <c r="K1402" s="190" t="s">
        <v>49</v>
      </c>
      <c r="L1402" s="190">
        <f ca="1">IF(K1396&gt;=2,L1398,L1401)</f>
        <v>8888</v>
      </c>
      <c r="M1402" s="191">
        <f ca="1">IF(K1396&gt;=2,M1401-P1391,M1401)</f>
        <v>8888</v>
      </c>
      <c r="O1402" s="130" t="s">
        <v>396</v>
      </c>
      <c r="P1402" s="130">
        <f ca="1">P1398</f>
        <v>-18.624000000000006</v>
      </c>
      <c r="Q1402" s="140">
        <f ca="1">Q1398</f>
        <v>1.3399999999999999</v>
      </c>
      <c r="S1402" s="130" t="s">
        <v>396</v>
      </c>
      <c r="T1402" s="130">
        <f ca="1">T1398</f>
        <v>8888</v>
      </c>
      <c r="U1402" s="140">
        <f ca="1">U1398</f>
        <v>8888</v>
      </c>
      <c r="W1402" s="130" t="s">
        <v>396</v>
      </c>
      <c r="X1402" s="130">
        <f ca="1">X1398</f>
        <v>-18.624000000000006</v>
      </c>
      <c r="Y1402" s="140">
        <f ca="1">Y1398</f>
        <v>-1.3899999999999997</v>
      </c>
      <c r="AA1402" s="143" t="s">
        <v>49</v>
      </c>
      <c r="AB1402" s="128">
        <f ca="1">IF($AA1396,D1402,P1402)</f>
        <v>-18.624000000000006</v>
      </c>
      <c r="AC1402" s="129">
        <f ca="1">IF($AA1396,E1402,Q1402)</f>
        <v>1.3399999999999999</v>
      </c>
      <c r="AD1402" s="157"/>
      <c r="AE1402" s="192" t="s">
        <v>49</v>
      </c>
      <c r="AF1402" s="128">
        <f ca="1">IF($AE1396,H1402,T1402)</f>
        <v>8888</v>
      </c>
      <c r="AG1402" s="129">
        <f ca="1">IF($AE1396,I1402,U1402)</f>
        <v>8888</v>
      </c>
      <c r="AI1402" s="190" t="s">
        <v>49</v>
      </c>
      <c r="AJ1402" s="128">
        <f ca="1">IF($AI1396,L1402,X1402)</f>
        <v>-18.624000000000006</v>
      </c>
      <c r="AK1402" s="129">
        <f ca="1">IF($AI1396,M1402,Y1402)</f>
        <v>-1.3899999999999997</v>
      </c>
      <c r="AM1402" s="128" t="s">
        <v>49</v>
      </c>
      <c r="AN1402" s="128">
        <f ca="1">AN1401</f>
        <v>-17.474000000000004</v>
      </c>
      <c r="AO1402" s="129">
        <f ca="1">IF(AN1402&gt;-Fuselage!$D$366,(FUSELAGE_a_ellipse)*SQRT(1-((AN1402+Fuselage!$D$366)/(Fuselage!$K$364-FUSELAGE_t_fuselage))^2),IF(AN1402&gt;$L$2505+Fuselage!$K$370,FUSELAGE_a_ellipse,(FUSELAGE_a_ellipse+FUSELAGE_t_fuselage-FUSELAGE_d_fo/4)/Fuselage!$K$368*(AN1402-$L$2505-Fuselage!$K$370)+FUSELAGE_a_ellipse))</f>
        <v>1.4960570012328709</v>
      </c>
      <c r="AQ1402" s="128" t="s">
        <v>49</v>
      </c>
      <c r="AR1402" s="128">
        <f t="shared" ca="1" si="132"/>
        <v>-17.474000000000004</v>
      </c>
      <c r="AS1402" s="129">
        <f t="shared" ca="1" si="133"/>
        <v>-1.4960570012328709</v>
      </c>
      <c r="BD1402" s="157"/>
    </row>
    <row r="1403" spans="2:56">
      <c r="B1403" s="156"/>
      <c r="C1403" s="128" t="s">
        <v>453</v>
      </c>
      <c r="D1403" s="128">
        <f ca="1">IF(C1396&gt;=2,D1398+P1390,D1401)</f>
        <v>8888</v>
      </c>
      <c r="E1403" s="139">
        <f ca="1">E1402</f>
        <v>8888</v>
      </c>
      <c r="F1403" s="157"/>
      <c r="G1403" s="2" t="s">
        <v>453</v>
      </c>
      <c r="H1403" s="128">
        <f ca="1">IF(G1396&gt;=2,H1399,H1401)</f>
        <v>8888</v>
      </c>
      <c r="I1403" s="139">
        <f ca="1">IF(G1396&gt;=2,I1402,I1401)</f>
        <v>8888</v>
      </c>
      <c r="K1403" s="128" t="s">
        <v>453</v>
      </c>
      <c r="L1403" s="128">
        <f ca="1">IF(K1396&gt;=2,IF(X1391,IF(K1396=2,L1398+P1390/4,L1398+P1390),L1398+P1390),L1401)</f>
        <v>8888</v>
      </c>
      <c r="M1403" s="139">
        <f ca="1">IF(K1396&gt;=2,M1402,M1401)</f>
        <v>8888</v>
      </c>
      <c r="AA1403" s="143" t="s">
        <v>453</v>
      </c>
      <c r="AB1403" s="128">
        <f ca="1">IF($AA1396,D1403,AB1402)</f>
        <v>-18.624000000000006</v>
      </c>
      <c r="AC1403" s="129">
        <f ca="1">IF($AA1396,E1403,AC1402)</f>
        <v>1.3399999999999999</v>
      </c>
      <c r="AD1403" s="157"/>
      <c r="AE1403" s="2" t="s">
        <v>453</v>
      </c>
      <c r="AF1403" s="128">
        <f ca="1">IF($AE1396,H1403,AF1402)</f>
        <v>8888</v>
      </c>
      <c r="AG1403" s="129">
        <f ca="1">IF($AE1396,I1403,AG1402)</f>
        <v>8888</v>
      </c>
      <c r="AI1403" s="128" t="s">
        <v>453</v>
      </c>
      <c r="AJ1403" s="128">
        <f ca="1">IF($AI1396,L1403,AJ1402)</f>
        <v>-18.624000000000006</v>
      </c>
      <c r="AK1403" s="129">
        <f ca="1">IF($AI1396,M1403,AK1402)</f>
        <v>-1.3899999999999997</v>
      </c>
      <c r="AM1403" s="128" t="s">
        <v>453</v>
      </c>
      <c r="AN1403" s="128">
        <f ca="1">L1389</f>
        <v>-18.624000000000006</v>
      </c>
      <c r="AO1403" s="129">
        <f ca="1">IF(AN1403&gt;-Fuselage!$D$366,(FUSELAGE_a_ellipse)*SQRT(1-((AN1403+Fuselage!$D$366)/(Fuselage!$K$364-FUSELAGE_t_fuselage))^2),IF(AN1403&gt;$L$2505+Fuselage!$K$370,FUSELAGE_a_ellipse,(FUSELAGE_a_ellipse+FUSELAGE_t_fuselage-FUSELAGE_d_fo/4)/Fuselage!$K$368*(AN1403-$L$2505-Fuselage!$K$370)+FUSELAGE_a_ellipse))</f>
        <v>1.4960570012328709</v>
      </c>
      <c r="AQ1403" s="128" t="s">
        <v>453</v>
      </c>
      <c r="AR1403" s="128">
        <f t="shared" ca="1" si="132"/>
        <v>-18.624000000000006</v>
      </c>
      <c r="AS1403" s="129">
        <f t="shared" ca="1" si="133"/>
        <v>-1.4960570012328709</v>
      </c>
      <c r="BD1403" s="157"/>
    </row>
    <row r="1404" spans="2:56">
      <c r="B1404" s="156"/>
      <c r="C1404" s="128" t="s">
        <v>394</v>
      </c>
      <c r="D1404" s="128">
        <f ca="1">IF(C1396&gt;=2,D1403,D1401)</f>
        <v>8888</v>
      </c>
      <c r="E1404" s="139">
        <f ca="1">IF(C1396&gt;=2,E1402-P1389,E1401)</f>
        <v>8888</v>
      </c>
      <c r="F1404" s="157"/>
      <c r="G1404" s="2" t="s">
        <v>394</v>
      </c>
      <c r="H1404" s="128">
        <f ca="1">IF(G1396&gt;=2,H1399,H1401)</f>
        <v>8888</v>
      </c>
      <c r="I1404" s="139">
        <f ca="1">IF(G1396&gt;=2,I1403-P1389,I1401)</f>
        <v>8888</v>
      </c>
      <c r="K1404" s="128" t="s">
        <v>394</v>
      </c>
      <c r="L1404" s="128">
        <f ca="1">L1403</f>
        <v>8888</v>
      </c>
      <c r="M1404" s="139">
        <f ca="1">IF(K1396&gt;=2,M1403-P1389,M1401)</f>
        <v>8888</v>
      </c>
      <c r="AA1404" s="143" t="s">
        <v>394</v>
      </c>
      <c r="AB1404" s="128">
        <f ca="1">IF($AA1396,D1404,AB1402)</f>
        <v>-18.624000000000006</v>
      </c>
      <c r="AC1404" s="129">
        <f ca="1">IF($AA1396,E1404,AC1402)</f>
        <v>1.3399999999999999</v>
      </c>
      <c r="AD1404" s="157"/>
      <c r="AE1404" s="2" t="s">
        <v>394</v>
      </c>
      <c r="AF1404" s="128">
        <f ca="1">IF($AE1396,H1404,AF1402)</f>
        <v>8888</v>
      </c>
      <c r="AG1404" s="129">
        <f ca="1">IF($AE1396,I1404,AG1402)</f>
        <v>8888</v>
      </c>
      <c r="AI1404" s="128" t="s">
        <v>394</v>
      </c>
      <c r="AJ1404" s="128">
        <f ca="1">IF($AI1396,L1404,AJ1402)</f>
        <v>-18.624000000000006</v>
      </c>
      <c r="AK1404" s="129">
        <f ca="1">IF($AI1396,M1404,AK1402)</f>
        <v>-1.3899999999999997</v>
      </c>
      <c r="BD1404" s="157"/>
    </row>
    <row r="1405" spans="2:56">
      <c r="B1405" s="156"/>
      <c r="C1405" s="188" t="s">
        <v>454</v>
      </c>
      <c r="D1405" s="188">
        <f ca="1">IF(C1396&gt;=2,D1398,D1401)</f>
        <v>8888</v>
      </c>
      <c r="E1405" s="189">
        <f ca="1">E1404</f>
        <v>8888</v>
      </c>
      <c r="F1405" s="157"/>
      <c r="G1405" s="115" t="s">
        <v>454</v>
      </c>
      <c r="H1405" s="188">
        <f ca="1">IF(G1396&gt;=2,H1398,H1401)</f>
        <v>8888</v>
      </c>
      <c r="I1405" s="189">
        <f ca="1">IF(G1396&gt;=2,I1404,I1401)</f>
        <v>8888</v>
      </c>
      <c r="K1405" s="188" t="s">
        <v>454</v>
      </c>
      <c r="L1405" s="188">
        <f ca="1">IF(K1396&gt;=2,L1398,L1401)</f>
        <v>8888</v>
      </c>
      <c r="M1405" s="189">
        <f ca="1">IF(K1396&gt;=2,M1404,M1401)</f>
        <v>8888</v>
      </c>
      <c r="AA1405" s="195" t="s">
        <v>454</v>
      </c>
      <c r="AB1405" s="128">
        <f ca="1">IF($AA1396,D1405,AB1402)</f>
        <v>-18.624000000000006</v>
      </c>
      <c r="AC1405" s="129">
        <f ca="1">IF($AA1396,E1405,AC1402)</f>
        <v>1.3399999999999999</v>
      </c>
      <c r="AD1405" s="157"/>
      <c r="AE1405" s="115" t="s">
        <v>454</v>
      </c>
      <c r="AF1405" s="188">
        <f ca="1">IF($AE1396,H1405,AF1402)</f>
        <v>8888</v>
      </c>
      <c r="AG1405" s="196">
        <f ca="1">IF($AE1396,I1405,AG1402)</f>
        <v>8888</v>
      </c>
      <c r="AI1405" s="188" t="s">
        <v>454</v>
      </c>
      <c r="AJ1405" s="188">
        <f ca="1">IF($AI1396,L1405,AJ1402)</f>
        <v>-18.624000000000006</v>
      </c>
      <c r="AK1405" s="196">
        <f ca="1">IF($AI1396,M1405,AK1402)</f>
        <v>-1.3899999999999997</v>
      </c>
      <c r="BD1405" s="157"/>
    </row>
    <row r="1406" spans="2:56">
      <c r="B1406" s="156"/>
      <c r="C1406" s="128" t="s">
        <v>507</v>
      </c>
      <c r="D1406" s="128">
        <f ca="1">IF(C1396&gt;=3,D1398,D1405)</f>
        <v>8888</v>
      </c>
      <c r="E1406" s="139">
        <f ca="1">IF(C1396&gt;=3,E1405-P1391,E1405)</f>
        <v>8888</v>
      </c>
      <c r="F1406" s="157"/>
      <c r="G1406" s="2" t="s">
        <v>507</v>
      </c>
      <c r="H1406" s="128">
        <f ca="1">IF(G1396&gt;=3,H1398,H1405)</f>
        <v>8888</v>
      </c>
      <c r="I1406" s="139">
        <f ca="1">IF(G1396&gt;=3,I1405-P1391,I1405)</f>
        <v>8888</v>
      </c>
      <c r="K1406" s="128" t="s">
        <v>507</v>
      </c>
      <c r="L1406" s="128">
        <f ca="1">IF(K1396&gt;=3,L1398,L1405)</f>
        <v>8888</v>
      </c>
      <c r="M1406" s="139">
        <f ca="1">IF(K1396&gt;=3,M1405-P1391,M1405)</f>
        <v>8888</v>
      </c>
      <c r="AA1406" s="143" t="s">
        <v>507</v>
      </c>
      <c r="AB1406" s="128">
        <f ca="1">IF($AA1396,D1406,AB1402)</f>
        <v>-18.624000000000006</v>
      </c>
      <c r="AC1406" s="129">
        <f ca="1">IF($AA1396,E1406,AC1402)</f>
        <v>1.3399999999999999</v>
      </c>
      <c r="AD1406" s="157"/>
      <c r="AE1406" s="2" t="s">
        <v>507</v>
      </c>
      <c r="AF1406" s="128">
        <f ca="1">IF($AE1396,H1406,AF1402)</f>
        <v>8888</v>
      </c>
      <c r="AG1406" s="129">
        <f ca="1">IF($AE1396,I1406,AG1402)</f>
        <v>8888</v>
      </c>
      <c r="AI1406" s="128" t="s">
        <v>507</v>
      </c>
      <c r="AJ1406" s="128">
        <f ca="1">IF($AI1396,L1406,AJ1402)</f>
        <v>-18.624000000000006</v>
      </c>
      <c r="AK1406" s="129">
        <f ca="1">IF($AI1396,M1406,AK1402)</f>
        <v>-1.3899999999999997</v>
      </c>
      <c r="BD1406" s="157"/>
    </row>
    <row r="1407" spans="2:56">
      <c r="B1407" s="156"/>
      <c r="C1407" s="128" t="s">
        <v>455</v>
      </c>
      <c r="D1407" s="128">
        <f ca="1">IF(C1396&gt;=3,D1403,D1405)</f>
        <v>8888</v>
      </c>
      <c r="E1407" s="139">
        <f ca="1">E1406</f>
        <v>8888</v>
      </c>
      <c r="F1407" s="157"/>
      <c r="G1407" s="2" t="s">
        <v>455</v>
      </c>
      <c r="H1407" s="128">
        <f ca="1">IF(G1396&gt;=3,H1399,H1405)</f>
        <v>8888</v>
      </c>
      <c r="I1407" s="139">
        <f ca="1">IF(G1396&gt;=3,I1406,I1405)</f>
        <v>8888</v>
      </c>
      <c r="K1407" s="128" t="s">
        <v>455</v>
      </c>
      <c r="L1407" s="128">
        <f ca="1">IF(K1396&gt;=3,IF(X1391,IF(K1396=3,L1398+P1390/4,L1398+P1390),L1398+P1390),L1401)</f>
        <v>8888</v>
      </c>
      <c r="M1407" s="139">
        <f ca="1">IF(K1396&gt;=3,M1406,M1405)</f>
        <v>8888</v>
      </c>
      <c r="AA1407" s="143" t="s">
        <v>455</v>
      </c>
      <c r="AB1407" s="128">
        <f ca="1">IF($AA1396,D1407,AB1402)</f>
        <v>-18.624000000000006</v>
      </c>
      <c r="AC1407" s="129">
        <f ca="1">IF($AA1396,E1407,AC1402)</f>
        <v>1.3399999999999999</v>
      </c>
      <c r="AD1407" s="157"/>
      <c r="AE1407" s="2" t="s">
        <v>455</v>
      </c>
      <c r="AF1407" s="128">
        <f ca="1">IF($AE1396,H1407,AF1402)</f>
        <v>8888</v>
      </c>
      <c r="AG1407" s="129">
        <f ca="1">IF($AE1396,I1407,AG1402)</f>
        <v>8888</v>
      </c>
      <c r="AI1407" s="128" t="s">
        <v>455</v>
      </c>
      <c r="AJ1407" s="128">
        <f ca="1">IF($AI1396,L1407,AJ1402)</f>
        <v>-18.624000000000006</v>
      </c>
      <c r="AK1407" s="129">
        <f ca="1">IF($AI1396,M1407,AK1402)</f>
        <v>-1.3899999999999997</v>
      </c>
      <c r="AL1407" s="156"/>
      <c r="BD1407" s="157"/>
    </row>
    <row r="1408" spans="2:56">
      <c r="B1408" s="156"/>
      <c r="C1408" s="128" t="s">
        <v>311</v>
      </c>
      <c r="D1408" s="128">
        <f ca="1">IF(C1396&gt;=3,D1403,D1405)</f>
        <v>8888</v>
      </c>
      <c r="E1408" s="139">
        <f ca="1">IF(C1396&gt;=3,E1407-P1389,E1405)</f>
        <v>8888</v>
      </c>
      <c r="F1408" s="157"/>
      <c r="G1408" s="2" t="s">
        <v>311</v>
      </c>
      <c r="H1408" s="128">
        <f ca="1">IF(G1396&gt;=3,H1399,H1405)</f>
        <v>8888</v>
      </c>
      <c r="I1408" s="139">
        <f ca="1">IF(G1396&gt;=3,I1407-P1389,I1405)</f>
        <v>8888</v>
      </c>
      <c r="K1408" s="128" t="s">
        <v>311</v>
      </c>
      <c r="L1408" s="128">
        <f ca="1">L1407</f>
        <v>8888</v>
      </c>
      <c r="M1408" s="139">
        <f ca="1">IF(K1396&gt;=3,M1407-P1389,M1405)</f>
        <v>8888</v>
      </c>
      <c r="AA1408" s="143" t="s">
        <v>311</v>
      </c>
      <c r="AB1408" s="128">
        <f ca="1">IF($AA1396,D1408,AB1402)</f>
        <v>-18.624000000000006</v>
      </c>
      <c r="AC1408" s="129">
        <f ca="1">IF($AA1396,E1408,AC1402)</f>
        <v>1.3399999999999999</v>
      </c>
      <c r="AD1408" s="157"/>
      <c r="AE1408" s="2" t="s">
        <v>311</v>
      </c>
      <c r="AF1408" s="128">
        <f ca="1">IF($AE1396,H1408,AF1402)</f>
        <v>8888</v>
      </c>
      <c r="AG1408" s="129">
        <f ca="1">IF($AE1396,I1408,AG1402)</f>
        <v>8888</v>
      </c>
      <c r="AI1408" s="128" t="s">
        <v>311</v>
      </c>
      <c r="AJ1408" s="128">
        <f ca="1">IF($AI1396,L1408,AJ1402)</f>
        <v>-18.624000000000006</v>
      </c>
      <c r="AK1408" s="129">
        <f ca="1">IF($AI1396,M1408,AK1402)</f>
        <v>-1.3899999999999997</v>
      </c>
      <c r="AL1408" s="156"/>
      <c r="BD1408" s="157"/>
    </row>
    <row r="1409" spans="2:56">
      <c r="B1409" s="156"/>
      <c r="C1409" s="188" t="s">
        <v>35</v>
      </c>
      <c r="D1409" s="188">
        <f ca="1">IF(C1396&gt;=3,D1398,D1405)</f>
        <v>8888</v>
      </c>
      <c r="E1409" s="189">
        <f ca="1">E1408</f>
        <v>8888</v>
      </c>
      <c r="F1409" s="157"/>
      <c r="G1409" s="2" t="s">
        <v>35</v>
      </c>
      <c r="H1409" s="188">
        <f ca="1">IF(G1396&gt;=3,H1398,H1405)</f>
        <v>8888</v>
      </c>
      <c r="I1409" s="189">
        <f ca="1">IF(G1396&gt;=3,I1408,I1405)</f>
        <v>8888</v>
      </c>
      <c r="K1409" s="188" t="s">
        <v>35</v>
      </c>
      <c r="L1409" s="188">
        <f ca="1">IF(K1396&gt;=3,L1398,L1405)</f>
        <v>8888</v>
      </c>
      <c r="M1409" s="189">
        <f ca="1">IF(K1396&gt;=3,M1408,M1405)</f>
        <v>8888</v>
      </c>
      <c r="AA1409" s="143" t="s">
        <v>35</v>
      </c>
      <c r="AB1409" s="128">
        <f ca="1">IF($AA1396,D1409,AB1402)</f>
        <v>-18.624000000000006</v>
      </c>
      <c r="AC1409" s="129">
        <f ca="1">IF($AA1396,E1409,AC1402)</f>
        <v>1.3399999999999999</v>
      </c>
      <c r="AD1409" s="157"/>
      <c r="AE1409" s="2" t="s">
        <v>35</v>
      </c>
      <c r="AF1409" s="188">
        <f ca="1">IF($AE1396,H1409,AF1402)</f>
        <v>8888</v>
      </c>
      <c r="AG1409" s="196">
        <f ca="1">IF($AE1396,I1409,AG1402)</f>
        <v>8888</v>
      </c>
      <c r="AI1409" s="128" t="s">
        <v>35</v>
      </c>
      <c r="AJ1409" s="128">
        <f ca="1">IF($AI1396,L1409,AJ1402)</f>
        <v>-18.624000000000006</v>
      </c>
      <c r="AK1409" s="129">
        <f ca="1">IF($AI1396,M1409,AK1402)</f>
        <v>-1.3899999999999997</v>
      </c>
      <c r="AL1409" s="156"/>
      <c r="BD1409" s="157"/>
    </row>
    <row r="1410" spans="2:56" ht="15" thickBot="1">
      <c r="B1410" s="156"/>
      <c r="C1410" s="130" t="s">
        <v>396</v>
      </c>
      <c r="D1410" s="130">
        <f ca="1">D1398</f>
        <v>8888</v>
      </c>
      <c r="E1410" s="140">
        <f ca="1">E1398</f>
        <v>8888</v>
      </c>
      <c r="F1410" s="157"/>
      <c r="G1410" s="192" t="s">
        <v>312</v>
      </c>
      <c r="H1410" s="128">
        <f ca="1">IF(G1396&gt;=4,H1398,H1409)</f>
        <v>8888</v>
      </c>
      <c r="I1410" s="139">
        <f ca="1">IF(G1396&gt;=4,I1409-P1391,I1409)</f>
        <v>8888</v>
      </c>
      <c r="K1410" s="130" t="s">
        <v>396</v>
      </c>
      <c r="L1410" s="130">
        <f ca="1">L1398</f>
        <v>8888</v>
      </c>
      <c r="M1410" s="140">
        <f ca="1">M1398</f>
        <v>8888</v>
      </c>
      <c r="AA1410" s="144" t="s">
        <v>396</v>
      </c>
      <c r="AB1410" s="130">
        <f ca="1">IF($AA1396,D1410,AB1402)</f>
        <v>-18.624000000000006</v>
      </c>
      <c r="AC1410" s="132">
        <f ca="1">IF($AA1396,E1410,AC1402)</f>
        <v>1.3399999999999999</v>
      </c>
      <c r="AD1410" s="157"/>
      <c r="AE1410" s="192" t="s">
        <v>312</v>
      </c>
      <c r="AF1410" s="128">
        <f ca="1">IF($AE1396,H1410,AF1402)</f>
        <v>8888</v>
      </c>
      <c r="AG1410" s="129">
        <f ca="1">IF($AE1396,I1410,AG1402)</f>
        <v>8888</v>
      </c>
      <c r="AI1410" s="130" t="s">
        <v>396</v>
      </c>
      <c r="AJ1410" s="130">
        <f ca="1">IF($AI1396,L1410,AJ1402)</f>
        <v>-18.624000000000006</v>
      </c>
      <c r="AK1410" s="132">
        <f ca="1">IF($AI1396,M1410,AK1402)</f>
        <v>-1.3899999999999997</v>
      </c>
      <c r="BD1410" s="157"/>
    </row>
    <row r="1411" spans="2:56">
      <c r="B1411" s="156"/>
      <c r="F1411" s="157"/>
      <c r="G1411" s="2" t="s">
        <v>313</v>
      </c>
      <c r="H1411" s="128">
        <f ca="1">IF(G1396&gt;=4,H1399,H1409)</f>
        <v>8888</v>
      </c>
      <c r="I1411" s="139">
        <f ca="1">IF(G1396&gt;=4,I1410,I1409)</f>
        <v>8888</v>
      </c>
      <c r="AD1411" s="157"/>
      <c r="AE1411" s="2" t="s">
        <v>313</v>
      </c>
      <c r="AF1411" s="128">
        <f ca="1">IF($AE1396,H1411,AF1402)</f>
        <v>8888</v>
      </c>
      <c r="AG1411" s="129">
        <f ca="1">IF($AE1396,I1411,AG1402)</f>
        <v>8888</v>
      </c>
      <c r="BD1411" s="157"/>
    </row>
    <row r="1412" spans="2:56">
      <c r="B1412" s="156"/>
      <c r="F1412" s="157"/>
      <c r="G1412" s="2" t="s">
        <v>7</v>
      </c>
      <c r="H1412" s="128">
        <f ca="1">IF(G1396&gt;=4,H1399,H1409)</f>
        <v>8888</v>
      </c>
      <c r="I1412" s="139">
        <f ca="1">IF(G1396&gt;=4,I1411-P1389,I1409)</f>
        <v>8888</v>
      </c>
      <c r="AD1412" s="157"/>
      <c r="AE1412" s="2" t="s">
        <v>7</v>
      </c>
      <c r="AF1412" s="128">
        <f ca="1">IF($AE1396,H1412,AF1402)</f>
        <v>8888</v>
      </c>
      <c r="AG1412" s="129">
        <f ca="1">IF($AE1396,I1412,AG1402)</f>
        <v>8888</v>
      </c>
      <c r="BD1412" s="157"/>
    </row>
    <row r="1413" spans="2:56">
      <c r="B1413" s="156"/>
      <c r="F1413" s="157"/>
      <c r="G1413" s="115" t="s">
        <v>8</v>
      </c>
      <c r="H1413" s="188">
        <f ca="1">IF(G1396&gt;=4,H1398,H1409)</f>
        <v>8888</v>
      </c>
      <c r="I1413" s="189">
        <f ca="1">IF(G1396&gt;=4,I1412,I1409)</f>
        <v>8888</v>
      </c>
      <c r="AD1413" s="157"/>
      <c r="AE1413" s="115" t="s">
        <v>8</v>
      </c>
      <c r="AF1413" s="188">
        <f ca="1">IF($AE1396,H1413,AF1402)</f>
        <v>8888</v>
      </c>
      <c r="AG1413" s="196">
        <f ca="1">IF($AE1396,I1413,AG1402)</f>
        <v>8888</v>
      </c>
      <c r="BD1413" s="157"/>
    </row>
    <row r="1414" spans="2:56">
      <c r="B1414" s="156"/>
      <c r="F1414" s="157"/>
      <c r="G1414" s="2" t="s">
        <v>9</v>
      </c>
      <c r="H1414" s="128">
        <f ca="1">IF(G1396&gt;=5,H1398,H1413)</f>
        <v>8888</v>
      </c>
      <c r="I1414" s="139">
        <f ca="1">IF(G1396&gt;=5,I1413-P1391,I1413)</f>
        <v>8888</v>
      </c>
      <c r="AD1414" s="157"/>
      <c r="AE1414" s="2" t="s">
        <v>9</v>
      </c>
      <c r="AF1414" s="128">
        <f ca="1">IF($AE1396,H1414,AF1402)</f>
        <v>8888</v>
      </c>
      <c r="AG1414" s="129">
        <f ca="1">IF($AE1396,I1414,AG1402)</f>
        <v>8888</v>
      </c>
      <c r="BD1414" s="157"/>
    </row>
    <row r="1415" spans="2:56">
      <c r="B1415" s="156"/>
      <c r="F1415" s="157"/>
      <c r="G1415" s="2" t="s">
        <v>196</v>
      </c>
      <c r="H1415" s="128">
        <f ca="1">IF(G1396&gt;=5,H1399,H1413)</f>
        <v>8888</v>
      </c>
      <c r="I1415" s="139">
        <f ca="1">IF(G1396&gt;=5,I1414,I1413)</f>
        <v>8888</v>
      </c>
      <c r="AD1415" s="157"/>
      <c r="AE1415" s="2" t="s">
        <v>196</v>
      </c>
      <c r="AF1415" s="128">
        <f ca="1">IF($AE1396,H1415,AF1402)</f>
        <v>8888</v>
      </c>
      <c r="AG1415" s="129">
        <f ca="1">IF($AE1396,I1415,AG1402)</f>
        <v>8888</v>
      </c>
      <c r="BD1415" s="157"/>
    </row>
    <row r="1416" spans="2:56">
      <c r="B1416" s="156"/>
      <c r="F1416" s="157"/>
      <c r="G1416" s="2" t="s">
        <v>10</v>
      </c>
      <c r="H1416" s="128">
        <f ca="1">IF(G1396&gt;=5,H1399,H1413)</f>
        <v>8888</v>
      </c>
      <c r="I1416" s="139">
        <f ca="1">IF(G1396&gt;=5,I1415-P1389,I1413)</f>
        <v>8888</v>
      </c>
      <c r="AD1416" s="157"/>
      <c r="AE1416" s="2" t="s">
        <v>10</v>
      </c>
      <c r="AF1416" s="128">
        <f ca="1">IF($AE1396,H1416,AF1402)</f>
        <v>8888</v>
      </c>
      <c r="AG1416" s="129">
        <f ca="1">IF($AE1396,I1416,AG1402)</f>
        <v>8888</v>
      </c>
      <c r="BD1416" s="157"/>
    </row>
    <row r="1417" spans="2:56">
      <c r="B1417" s="156"/>
      <c r="F1417" s="157"/>
      <c r="G1417" s="2" t="s">
        <v>161</v>
      </c>
      <c r="H1417" s="188">
        <f ca="1">IF(G1396&gt;=5,H1398,H1413)</f>
        <v>8888</v>
      </c>
      <c r="I1417" s="189">
        <f ca="1">IF(G1396&gt;=5,I1416,I1413)</f>
        <v>8888</v>
      </c>
      <c r="AD1417" s="157"/>
      <c r="AE1417" s="2" t="s">
        <v>161</v>
      </c>
      <c r="AF1417" s="188">
        <f ca="1">IF($AE1396,H1417,AF1402)</f>
        <v>8888</v>
      </c>
      <c r="AG1417" s="196">
        <f ca="1">IF($AE1396,I1417,AG1402)</f>
        <v>8888</v>
      </c>
      <c r="BD1417" s="157"/>
    </row>
    <row r="1418" spans="2:56">
      <c r="B1418" s="156"/>
      <c r="F1418" s="157"/>
      <c r="G1418" s="192" t="s">
        <v>11</v>
      </c>
      <c r="H1418" s="128">
        <f ca="1">IF(G1396&gt;=6,H1398,H1417)</f>
        <v>8888</v>
      </c>
      <c r="I1418" s="139">
        <f ca="1">IF(G1396&gt;=6,I1417-P1391,I1417)</f>
        <v>8888</v>
      </c>
      <c r="AD1418" s="157"/>
      <c r="AE1418" s="192" t="s">
        <v>11</v>
      </c>
      <c r="AF1418" s="128">
        <f ca="1">IF($AE1396,H1418,AF1402)</f>
        <v>8888</v>
      </c>
      <c r="AG1418" s="129">
        <f ca="1">IF($AE1396,I1418,AG1402)</f>
        <v>8888</v>
      </c>
      <c r="BD1418" s="157"/>
    </row>
    <row r="1419" spans="2:56">
      <c r="B1419" s="156"/>
      <c r="F1419" s="157"/>
      <c r="G1419" s="2" t="s">
        <v>12</v>
      </c>
      <c r="H1419" s="128">
        <f ca="1">IF(G1396&gt;=6,H1399,H1417)</f>
        <v>8888</v>
      </c>
      <c r="I1419" s="139">
        <f ca="1">IF(G1396&gt;=6,I1418,I1417)</f>
        <v>8888</v>
      </c>
      <c r="AD1419" s="157"/>
      <c r="AE1419" s="2" t="s">
        <v>12</v>
      </c>
      <c r="AF1419" s="128">
        <f ca="1">IF($AE1396,H1419,AF1402)</f>
        <v>8888</v>
      </c>
      <c r="AG1419" s="129">
        <f ca="1">IF($AE1396,I1419,AG1402)</f>
        <v>8888</v>
      </c>
      <c r="BD1419" s="157"/>
    </row>
    <row r="1420" spans="2:56">
      <c r="B1420" s="156"/>
      <c r="F1420" s="157"/>
      <c r="G1420" s="2" t="s">
        <v>13</v>
      </c>
      <c r="H1420" s="128">
        <f ca="1">IF(G1396&gt;=6,H1399,H1417)</f>
        <v>8888</v>
      </c>
      <c r="I1420" s="139">
        <f ca="1">IF(G1396&gt;=6,I1419-P1389,I1417)</f>
        <v>8888</v>
      </c>
      <c r="AD1420" s="157"/>
      <c r="AE1420" s="2" t="s">
        <v>13</v>
      </c>
      <c r="AF1420" s="128">
        <f ca="1">IF($AE1396,H1420,AF1402)</f>
        <v>8888</v>
      </c>
      <c r="AG1420" s="129">
        <f ca="1">IF($AE1396,I1420,AG1402)</f>
        <v>8888</v>
      </c>
      <c r="BD1420" s="157"/>
    </row>
    <row r="1421" spans="2:56">
      <c r="B1421" s="156"/>
      <c r="F1421" s="157"/>
      <c r="G1421" s="115" t="s">
        <v>14</v>
      </c>
      <c r="H1421" s="188">
        <f ca="1">IF(G1396&gt;=6,H1398,H1417)</f>
        <v>8888</v>
      </c>
      <c r="I1421" s="189">
        <f ca="1">IF(G1396&gt;=6,I1420,I1417)</f>
        <v>8888</v>
      </c>
      <c r="AD1421" s="157"/>
      <c r="AE1421" s="115" t="s">
        <v>14</v>
      </c>
      <c r="AF1421" s="188">
        <f ca="1">IF($AE1396,H1421,AF1402)</f>
        <v>8888</v>
      </c>
      <c r="AG1421" s="196">
        <f ca="1">IF($AE1396,I1421,AG1402)</f>
        <v>8888</v>
      </c>
      <c r="BD1421" s="157"/>
    </row>
    <row r="1422" spans="2:56" ht="15" thickBot="1">
      <c r="B1422" s="156"/>
      <c r="G1422" s="130" t="s">
        <v>396</v>
      </c>
      <c r="H1422" s="130">
        <f ca="1">H1398</f>
        <v>8888</v>
      </c>
      <c r="I1422" s="140">
        <f ca="1">I1398</f>
        <v>8888</v>
      </c>
      <c r="AE1422" s="130" t="s">
        <v>396</v>
      </c>
      <c r="AF1422" s="130">
        <f ca="1">IF($AE1396,H1422,AF1402)</f>
        <v>8888</v>
      </c>
      <c r="AG1422" s="132">
        <f ca="1">IF($AE1396,I1422,AG1402)</f>
        <v>8888</v>
      </c>
      <c r="BD1422" s="157"/>
    </row>
    <row r="1423" spans="2:56">
      <c r="B1423" s="156"/>
      <c r="BD1423" s="157"/>
    </row>
    <row r="1424" spans="2:56">
      <c r="B1424" s="156"/>
      <c r="BD1424" s="157"/>
    </row>
    <row r="1425" spans="2:56">
      <c r="B1425" s="156"/>
      <c r="C1425" s="200" t="s">
        <v>336</v>
      </c>
      <c r="D1425">
        <f>D1389+1</f>
        <v>35</v>
      </c>
      <c r="G1425" s="200" t="s">
        <v>638</v>
      </c>
      <c r="H1425">
        <f ca="1">LOOKUP(D1428,$C$191:$C$196,$D$191:$D$196)</f>
        <v>0</v>
      </c>
      <c r="K1425" s="200" t="s">
        <v>644</v>
      </c>
      <c r="L1425">
        <f ca="1">L1389-H1430</f>
        <v>-18.624000000000006</v>
      </c>
      <c r="O1425" s="200" t="s">
        <v>404</v>
      </c>
      <c r="P1425">
        <f ca="1">IF(D1427=1,SEAT_w_cushion_FC,IF(D1427=2,SEAT_w_cushion_BC,IF(D1427=3,SEAT_w_cushion_YC,0)))</f>
        <v>0</v>
      </c>
      <c r="S1425" s="200" t="s">
        <v>647</v>
      </c>
      <c r="T1425">
        <f ca="1">LOOKUP(D1428,$C$191:$C$196,$E$191:$E$196)</f>
        <v>0</v>
      </c>
      <c r="W1425" t="s">
        <v>130</v>
      </c>
      <c r="X1425" t="str">
        <f ca="1">OFFSET(Fuselage!$B$275,D1425,5)</f>
        <v>None</v>
      </c>
      <c r="AN1425" s="200" t="s">
        <v>135</v>
      </c>
      <c r="AO1425">
        <f ca="1">MAX(0,H1430-MAX(T1425,T1427,T1429,P1426)-X1426)</f>
        <v>0</v>
      </c>
      <c r="BD1425" s="157"/>
    </row>
    <row r="1426" spans="2:56">
      <c r="B1426" s="156"/>
      <c r="C1426" s="200" t="s">
        <v>200</v>
      </c>
      <c r="D1426" t="str">
        <f ca="1">OFFSET(Fuselage!$B$275,D1425,0)</f>
        <v/>
      </c>
      <c r="G1426" s="200" t="s">
        <v>639</v>
      </c>
      <c r="H1426">
        <f ca="1">LOOKUP(D1429,$C$191:$C$196,$D$191:$D$196)</f>
        <v>0</v>
      </c>
      <c r="O1426" s="200" t="s">
        <v>535</v>
      </c>
      <c r="P1426">
        <f ca="1">IF(D1427=1,SEAT_length_FC,IF(D1427=2,SEAT_length_BC,IF(D1427=3,SEAT_length_YC,0)))</f>
        <v>0</v>
      </c>
      <c r="S1426" s="200" t="s">
        <v>648</v>
      </c>
      <c r="T1426">
        <f ca="1">LOOKUP(D1428,$C$191:$C$196,$F$191:$F$196)</f>
        <v>0</v>
      </c>
      <c r="W1426" t="s">
        <v>131</v>
      </c>
      <c r="X1426">
        <f ca="1">LOOKUP(X1425,$I$191:$I$198,$J$191:$J$198)</f>
        <v>0</v>
      </c>
      <c r="BD1426" s="157"/>
    </row>
    <row r="1427" spans="2:56">
      <c r="B1427" s="156"/>
      <c r="C1427" s="200" t="s">
        <v>337</v>
      </c>
      <c r="D1427" t="str">
        <f ca="1">OFFSET(Fuselage!$B$275,D1425,4)</f>
        <v/>
      </c>
      <c r="G1427" s="200" t="s">
        <v>309</v>
      </c>
      <c r="H1427">
        <f ca="1">LOOKUP(D1430,$C$191:$C$196,$D$191:$D$196)</f>
        <v>0</v>
      </c>
      <c r="K1427" s="200" t="s">
        <v>645</v>
      </c>
      <c r="L1427">
        <f ca="1">IF(D1427=1,FUSELAGE_nseats_left_FC,IF(D1427=2,FUSELAGE_nseats_left_BC,IF(D1427=3,FUSELAGE_nseats_left_YC,0)))</f>
        <v>0</v>
      </c>
      <c r="O1427" s="200" t="s">
        <v>405</v>
      </c>
      <c r="P1427">
        <f ca="1">IF(D1427=1,SEAT_w_armrest_FC,IF(D1427=2,SEAT_w_armrest_BC,IF(D1427=3,SEAT_w_armrest_YC,0)))</f>
        <v>0</v>
      </c>
      <c r="S1427" s="200" t="s">
        <v>652</v>
      </c>
      <c r="T1427">
        <f ca="1">LOOKUP(D1429,$C$191:$C$196,$E$191:$E$196)</f>
        <v>0</v>
      </c>
      <c r="W1427" s="200" t="s">
        <v>393</v>
      </c>
      <c r="X1427" t="b">
        <f ca="1">IF(OFFSET(Fuselage!$B$275,D1425,6)="YES",TRUE(),FALSE())</f>
        <v>0</v>
      </c>
      <c r="BD1427" s="157"/>
    </row>
    <row r="1428" spans="2:56">
      <c r="B1428" s="156"/>
      <c r="C1428" s="200" t="s">
        <v>640</v>
      </c>
      <c r="D1428" t="str">
        <f ca="1">OFFSET(Fuselage!$B$275,D1425,1)</f>
        <v>None</v>
      </c>
      <c r="G1428" s="200" t="s">
        <v>132</v>
      </c>
      <c r="H1428">
        <f ca="1">IF(D1427=1,SEAT_pitch_FC,IF(D1427=2,SEAT_pitch_BC,IF(D1427=3,SEAT_pitch_YC,0)))</f>
        <v>0</v>
      </c>
      <c r="K1428" s="200" t="s">
        <v>646</v>
      </c>
      <c r="L1428">
        <f ca="1">IF(D1427=1,FUSELAGE_nseats_middle_FC,IF(D1427=2,FUSELAGE_nseats_middle_BC,IF(D1427=3,FUSELAGE_nseats_middle_YC,0)))</f>
        <v>0</v>
      </c>
      <c r="S1428" s="200" t="s">
        <v>653</v>
      </c>
      <c r="T1428">
        <f ca="1">LOOKUP(D1429,$C$191:$C$196,$F$191:$F$196)</f>
        <v>0</v>
      </c>
      <c r="BD1428" s="157"/>
    </row>
    <row r="1429" spans="2:56">
      <c r="B1429" s="156"/>
      <c r="C1429" s="200" t="s">
        <v>642</v>
      </c>
      <c r="D1429" t="str">
        <f ca="1">OFFSET(Fuselage!$B$275,D1425,2)</f>
        <v>None</v>
      </c>
      <c r="G1429" s="200" t="s">
        <v>129</v>
      </c>
      <c r="H1429">
        <f ca="1">IF(OR(X1425="Type A",X1425="Type B"),MAX(H1425:H1428)+42*0.0254,IF(X1425="Type C",MAX(H1425:H1428)+X1426,IF(X1425&lt;&gt;"None",24*0.0254,0)))</f>
        <v>0</v>
      </c>
      <c r="K1429" s="200" t="s">
        <v>655</v>
      </c>
      <c r="L1429">
        <f ca="1">IF(D1427=1,FUSELAGE_nseats_right_FC,IF(D1427=2,FUSELAGE_nseats_right_BC,IF(D1427=3,FUSELAGE_nseats_right_YC,0)))</f>
        <v>0</v>
      </c>
      <c r="O1429" s="200" t="s">
        <v>407</v>
      </c>
      <c r="P1429">
        <f ca="1">($C$13-(L1427+L1428+L1429)*(P1425+P1427)+(FUSELAGE_n_aisles-1)*P1427)/FUSELAGE_n_aisles</f>
        <v>2.76</v>
      </c>
      <c r="S1429" s="200" t="s">
        <v>651</v>
      </c>
      <c r="T1429">
        <f ca="1">LOOKUP(D1430,$C$191:$C$196,$E$191:$E$196)</f>
        <v>0</v>
      </c>
      <c r="BD1429" s="157"/>
    </row>
    <row r="1430" spans="2:56">
      <c r="B1430" s="156"/>
      <c r="C1430" s="200" t="s">
        <v>641</v>
      </c>
      <c r="D1430" t="str">
        <f ca="1">OFFSET(Fuselage!$B$275,D1425,3)</f>
        <v>None</v>
      </c>
      <c r="G1430" s="200" t="s">
        <v>643</v>
      </c>
      <c r="H1430">
        <f ca="1">MAX(H1425:H1429)</f>
        <v>0</v>
      </c>
      <c r="S1430" s="200" t="s">
        <v>654</v>
      </c>
      <c r="T1430">
        <f ca="1">LOOKUP(D1430,$C$191:$C$196,$F$191:$F$196)</f>
        <v>0</v>
      </c>
      <c r="BD1430" s="157"/>
    </row>
    <row r="1431" spans="2:56" ht="15" thickBot="1">
      <c r="B1431" s="156"/>
      <c r="BD1431" s="157"/>
    </row>
    <row r="1432" spans="2:56" ht="15" thickBot="1">
      <c r="B1432" s="156"/>
      <c r="C1432" s="141">
        <f ca="1">L1429</f>
        <v>0</v>
      </c>
      <c r="D1432" s="197" t="str">
        <f ca="1">IF($D1427=1,"FC",IF($D1427=2,"BC",IF($D1427=3,"YC","Nothing")))</f>
        <v>Nothing</v>
      </c>
      <c r="E1432" s="198"/>
      <c r="G1432" s="141">
        <f ca="1">L1428</f>
        <v>0</v>
      </c>
      <c r="H1432" s="197" t="str">
        <f ca="1">IF($D1427=1,"FC",IF($D1427=2,"BC",IF($D1427=3,"YC","Nothing")))</f>
        <v>Nothing</v>
      </c>
      <c r="I1432" s="198"/>
      <c r="K1432" s="141">
        <f ca="1" xml:space="preserve"> L1427</f>
        <v>0</v>
      </c>
      <c r="L1432" s="197" t="str">
        <f ca="1">IF($D1427=1,"FC",IF($D1427=2,"BC",IF($D1427=3,"YC","Nothing")))</f>
        <v>Nothing</v>
      </c>
      <c r="M1432" s="198"/>
      <c r="O1432" s="141">
        <f ca="1">IF($D1430&lt;&gt;"None",1,0)</f>
        <v>0</v>
      </c>
      <c r="P1432" s="326" t="s">
        <v>380</v>
      </c>
      <c r="Q1432" s="327"/>
      <c r="S1432" s="141">
        <f ca="1">IF($D1429&lt;&gt;"None",1,0)</f>
        <v>0</v>
      </c>
      <c r="T1432" s="326" t="s">
        <v>381</v>
      </c>
      <c r="U1432" s="327"/>
      <c r="W1432" s="141">
        <f ca="1">IF($D1428&lt;&gt;"None",1,0)</f>
        <v>0</v>
      </c>
      <c r="X1432" s="326" t="s">
        <v>382</v>
      </c>
      <c r="Y1432" s="327"/>
      <c r="AA1432" s="141">
        <f ca="1">IF($D1430="None",1,0)</f>
        <v>1</v>
      </c>
      <c r="AB1432" s="326" t="str">
        <f ca="1">IF(AA1432,D1432,$D1430)</f>
        <v>Nothing</v>
      </c>
      <c r="AC1432" s="327"/>
      <c r="AE1432" s="141">
        <f ca="1">IF($D1429="None",1,0)</f>
        <v>1</v>
      </c>
      <c r="AF1432" s="326" t="str">
        <f ca="1">IF(AE1432,H1432,$D1429)</f>
        <v>Nothing</v>
      </c>
      <c r="AG1432" s="327"/>
      <c r="AI1432" s="141">
        <f ca="1">IF($D1428="None",1,0)</f>
        <v>1</v>
      </c>
      <c r="AJ1432" s="326" t="str">
        <f ca="1">IF(AI1432,L1432,$D1428)</f>
        <v>Nothing</v>
      </c>
      <c r="AK1432" s="327"/>
      <c r="AM1432" s="141">
        <f ca="1">IF($X1425="None",0,1)</f>
        <v>0</v>
      </c>
      <c r="AN1432" s="197" t="s">
        <v>133</v>
      </c>
      <c r="AO1432" s="198"/>
      <c r="AQ1432" s="141">
        <f ca="1">IF($X1425="None",0,1)</f>
        <v>0</v>
      </c>
      <c r="AR1432" s="197" t="s">
        <v>134</v>
      </c>
      <c r="AS1432" s="198"/>
      <c r="BD1432" s="157"/>
    </row>
    <row r="1433" spans="2:56" ht="15" thickBot="1">
      <c r="B1433" s="156"/>
      <c r="C1433" s="136" t="s">
        <v>452</v>
      </c>
      <c r="D1433" s="136" t="s">
        <v>384</v>
      </c>
      <c r="E1433" s="138" t="s">
        <v>385</v>
      </c>
      <c r="G1433" s="136" t="s">
        <v>452</v>
      </c>
      <c r="H1433" s="136" t="s">
        <v>384</v>
      </c>
      <c r="I1433" s="138" t="s">
        <v>385</v>
      </c>
      <c r="K1433" s="193" t="s">
        <v>452</v>
      </c>
      <c r="L1433" s="193" t="s">
        <v>384</v>
      </c>
      <c r="M1433" s="194" t="s">
        <v>385</v>
      </c>
      <c r="O1433" s="136" t="s">
        <v>452</v>
      </c>
      <c r="P1433" s="136" t="s">
        <v>384</v>
      </c>
      <c r="Q1433" s="138" t="s">
        <v>385</v>
      </c>
      <c r="S1433" s="136" t="s">
        <v>452</v>
      </c>
      <c r="T1433" s="136" t="s">
        <v>384</v>
      </c>
      <c r="U1433" s="138" t="s">
        <v>385</v>
      </c>
      <c r="W1433" s="136" t="s">
        <v>452</v>
      </c>
      <c r="X1433" s="136" t="s">
        <v>384</v>
      </c>
      <c r="Y1433" s="138" t="s">
        <v>385</v>
      </c>
      <c r="AA1433" s="136" t="s">
        <v>452</v>
      </c>
      <c r="AB1433" s="136" t="s">
        <v>384</v>
      </c>
      <c r="AC1433" s="138" t="s">
        <v>385</v>
      </c>
      <c r="AE1433" s="136" t="s">
        <v>452</v>
      </c>
      <c r="AF1433" s="136" t="s">
        <v>384</v>
      </c>
      <c r="AG1433" s="138" t="s">
        <v>385</v>
      </c>
      <c r="AI1433" s="193" t="s">
        <v>452</v>
      </c>
      <c r="AJ1433" s="193" t="s">
        <v>384</v>
      </c>
      <c r="AK1433" s="194" t="s">
        <v>385</v>
      </c>
      <c r="AM1433" s="193" t="s">
        <v>452</v>
      </c>
      <c r="AN1433" s="193" t="s">
        <v>384</v>
      </c>
      <c r="AO1433" s="194" t="s">
        <v>385</v>
      </c>
      <c r="AQ1433" s="193" t="s">
        <v>452</v>
      </c>
      <c r="AR1433" s="193" t="s">
        <v>384</v>
      </c>
      <c r="AS1433" s="194" t="s">
        <v>385</v>
      </c>
      <c r="BD1433" s="157"/>
    </row>
    <row r="1434" spans="2:56">
      <c r="B1434" s="156"/>
      <c r="C1434" s="128" t="s">
        <v>396</v>
      </c>
      <c r="D1434" s="158">
        <f ca="1">IF(C1432&gt;=1,L1425,8888)</f>
        <v>8888</v>
      </c>
      <c r="E1434" s="160">
        <f ca="1">IF(C1432&gt;=1,1/2*($C$13-P1425-2*P1427)+1/2*P1425,8888)</f>
        <v>8888</v>
      </c>
      <c r="G1434" s="128" t="s">
        <v>396</v>
      </c>
      <c r="H1434" s="158">
        <f ca="1">IF(G1432&gt;=1,L1425,8888)</f>
        <v>8888</v>
      </c>
      <c r="I1434" s="160">
        <f ca="1">IF(G1432&gt;=1,E1445-P1429,8888)</f>
        <v>8888</v>
      </c>
      <c r="K1434" s="128" t="s">
        <v>396</v>
      </c>
      <c r="L1434" s="158">
        <f ca="1">IF(K1432&gt;=1,L1425,8888)</f>
        <v>8888</v>
      </c>
      <c r="M1434" s="160">
        <f ca="1">IF(K1432&gt;=1,IF(FUSELAGE_n_aisles=1,E1445-P1429,I1457-P1429),8888)</f>
        <v>8888</v>
      </c>
      <c r="O1434" s="128" t="s">
        <v>396</v>
      </c>
      <c r="P1434" s="158">
        <f ca="1">IF(O1432,$L1425,8888)</f>
        <v>8888</v>
      </c>
      <c r="Q1434" s="209">
        <f ca="1">IF(O1432,FUSELAGE_y_position_of_left_seat_YC-(FUSELAGE_nseats_right_YC-1)*(SEAT_w_cushion_YC+SEAT_w_armrest_YC)/2+T1430/2,8888)</f>
        <v>8888</v>
      </c>
      <c r="S1434" s="128" t="s">
        <v>396</v>
      </c>
      <c r="T1434" s="158">
        <f ca="1">IF(S1432,$L1425,8888)</f>
        <v>8888</v>
      </c>
      <c r="U1434" s="160">
        <f ca="1">IF(S1432,T1428/2,8888)</f>
        <v>8888</v>
      </c>
      <c r="W1434" s="128" t="s">
        <v>396</v>
      </c>
      <c r="X1434" s="158">
        <f ca="1">IF(W1432,$L1425,8888)</f>
        <v>8888</v>
      </c>
      <c r="Y1434" s="160">
        <f ca="1">IF(W1432,-FUSELAGE_y_position_of_left_seat_YC+(FUSELAGE_nseats_left_YC-1)*(SEAT_w_cushion_YC+SEAT_w_armrest_YC)/2-T1426/2,8888)</f>
        <v>8888</v>
      </c>
      <c r="AA1434" s="128" t="s">
        <v>396</v>
      </c>
      <c r="AB1434" s="158">
        <f ca="1">IF($AA1432,D1434,P1434)</f>
        <v>8888</v>
      </c>
      <c r="AC1434" s="174">
        <f ca="1">IF($AA1432,E1434,Q1434)</f>
        <v>8888</v>
      </c>
      <c r="AE1434" s="128" t="s">
        <v>396</v>
      </c>
      <c r="AF1434" s="158">
        <f ca="1">IF($AE1432,H1434,T1434)</f>
        <v>8888</v>
      </c>
      <c r="AG1434" s="174">
        <f ca="1">IF($AE1432,I1434,U1434)</f>
        <v>8888</v>
      </c>
      <c r="AI1434" s="128" t="s">
        <v>396</v>
      </c>
      <c r="AJ1434" s="158">
        <f ca="1">IF($AI1432,L1434,X1434)</f>
        <v>8888</v>
      </c>
      <c r="AK1434" s="174">
        <f ca="1">IF($AI1432,M1434,Y1434)</f>
        <v>8888</v>
      </c>
      <c r="AM1434" s="128" t="s">
        <v>396</v>
      </c>
      <c r="AN1434" s="158">
        <f ca="1">AN1403</f>
        <v>-18.624000000000006</v>
      </c>
      <c r="AO1434" s="174">
        <f ca="1">IF(AN1434&gt;-Fuselage!$D$366,(FUSELAGE_a_ellipse)*SQRT(1-((AN1434+Fuselage!$D$366)/(Fuselage!$K$364-FUSELAGE_t_fuselage))^2),IF(AN1434&gt;$L$2505+Fuselage!$K$370,FUSELAGE_a_ellipse,(FUSELAGE_a_ellipse+FUSELAGE_t_fuselage-FUSELAGE_d_fo/4)/Fuselage!$K$368*(AN1434-$L$2505-Fuselage!$K$370)+FUSELAGE_a_ellipse))</f>
        <v>1.4960570012328709</v>
      </c>
      <c r="AQ1434" s="128" t="s">
        <v>396</v>
      </c>
      <c r="AR1434" s="158">
        <f t="shared" ref="AR1434:AR1439" ca="1" si="134">AN1434</f>
        <v>-18.624000000000006</v>
      </c>
      <c r="AS1434" s="174">
        <f t="shared" ref="AS1434:AS1439" ca="1" si="135">-AO1434</f>
        <v>-1.4960570012328709</v>
      </c>
      <c r="BD1434" s="157"/>
    </row>
    <row r="1435" spans="2:56">
      <c r="B1435" s="156"/>
      <c r="C1435" s="128" t="s">
        <v>213</v>
      </c>
      <c r="D1435" s="128">
        <f ca="1">IF(X1427,D1434+P1426/4,D1434+P1426)</f>
        <v>8888</v>
      </c>
      <c r="E1435" s="139">
        <f ca="1">E1434</f>
        <v>8888</v>
      </c>
      <c r="G1435" s="128" t="s">
        <v>213</v>
      </c>
      <c r="H1435" s="128">
        <f ca="1">H1434+P1426</f>
        <v>8888</v>
      </c>
      <c r="I1435" s="139">
        <f ca="1">I1434</f>
        <v>8888</v>
      </c>
      <c r="K1435" s="128" t="s">
        <v>213</v>
      </c>
      <c r="L1435" s="128">
        <f ca="1">IF(X1427,IF(K1432=1,L1434+P1426/4,L1434+P1426),L1434+P1426)</f>
        <v>8888</v>
      </c>
      <c r="M1435" s="139">
        <f ca="1">M1434</f>
        <v>8888</v>
      </c>
      <c r="O1435" s="128" t="s">
        <v>213</v>
      </c>
      <c r="P1435" s="128">
        <f ca="1">P1434+$T1429</f>
        <v>8888</v>
      </c>
      <c r="Q1435" s="139">
        <f ca="1">Q1434</f>
        <v>8888</v>
      </c>
      <c r="S1435" s="128" t="s">
        <v>213</v>
      </c>
      <c r="T1435" s="128">
        <f ca="1">T1434+$T1427</f>
        <v>8888</v>
      </c>
      <c r="U1435" s="139">
        <f ca="1">U1434</f>
        <v>8888</v>
      </c>
      <c r="W1435" s="128" t="s">
        <v>213</v>
      </c>
      <c r="X1435" s="128">
        <f ca="1">X1434+$T1425</f>
        <v>8888</v>
      </c>
      <c r="Y1435" s="139">
        <f ca="1">Y1434</f>
        <v>8888</v>
      </c>
      <c r="AA1435" s="143" t="s">
        <v>213</v>
      </c>
      <c r="AB1435" s="128">
        <f ca="1">IF($AA1432,D1435,P1435)</f>
        <v>8888</v>
      </c>
      <c r="AC1435" s="129">
        <f ca="1">IF($AA1432,E1435,Q1435)</f>
        <v>8888</v>
      </c>
      <c r="AE1435" s="128" t="s">
        <v>213</v>
      </c>
      <c r="AF1435" s="128">
        <f ca="1">IF($AE1432,H1435,T1435)</f>
        <v>8888</v>
      </c>
      <c r="AG1435" s="129">
        <f ca="1">IF($AE1432,I1435,U1435)</f>
        <v>8888</v>
      </c>
      <c r="AI1435" s="128" t="s">
        <v>213</v>
      </c>
      <c r="AJ1435" s="128">
        <f ca="1">IF($AI1432,L1435,X1435)</f>
        <v>8888</v>
      </c>
      <c r="AK1435" s="129">
        <f ca="1">IF($AI1432,M1435,Y1435)</f>
        <v>8888</v>
      </c>
      <c r="AM1435" s="128" t="s">
        <v>213</v>
      </c>
      <c r="AN1435" s="128">
        <f ca="1">AN1434-AO1425/2</f>
        <v>-18.624000000000006</v>
      </c>
      <c r="AO1435" s="129">
        <f ca="1">IF(AN1435&gt;-Fuselage!$D$366,(FUSELAGE_a_ellipse)*SQRT(1-((AN1435+Fuselage!$D$366)/(Fuselage!$K$364-FUSELAGE_t_fuselage))^2),IF(AN1435&gt;$L$2505+Fuselage!$K$370,FUSELAGE_a_ellipse,(FUSELAGE_a_ellipse+FUSELAGE_t_fuselage-FUSELAGE_d_fo/4)/Fuselage!$K$368*(AN1435-$L$2505-Fuselage!$K$370)+FUSELAGE_a_ellipse))</f>
        <v>1.4960570012328709</v>
      </c>
      <c r="AQ1435" s="128" t="s">
        <v>213</v>
      </c>
      <c r="AR1435" s="128">
        <f t="shared" ca="1" si="134"/>
        <v>-18.624000000000006</v>
      </c>
      <c r="AS1435" s="129">
        <f t="shared" ca="1" si="135"/>
        <v>-1.4960570012328709</v>
      </c>
      <c r="BD1435" s="157"/>
    </row>
    <row r="1436" spans="2:56">
      <c r="B1436" s="156"/>
      <c r="C1436" s="128" t="s">
        <v>286</v>
      </c>
      <c r="D1436" s="128">
        <f ca="1">D1435</f>
        <v>8888</v>
      </c>
      <c r="E1436" s="139">
        <f ca="1">E1435-P1425</f>
        <v>8888</v>
      </c>
      <c r="G1436" s="128" t="s">
        <v>286</v>
      </c>
      <c r="H1436" s="128">
        <f ca="1">H1435</f>
        <v>8888</v>
      </c>
      <c r="I1436" s="139">
        <f ca="1">I1435-P1425</f>
        <v>8888</v>
      </c>
      <c r="K1436" s="128" t="s">
        <v>286</v>
      </c>
      <c r="L1436" s="128">
        <f ca="1">L1435</f>
        <v>8888</v>
      </c>
      <c r="M1436" s="139">
        <f ca="1">M1435-P1425</f>
        <v>8888</v>
      </c>
      <c r="O1436" s="128" t="s">
        <v>286</v>
      </c>
      <c r="P1436" s="128">
        <f ca="1">P1435</f>
        <v>8888</v>
      </c>
      <c r="Q1436" s="139">
        <f ca="1">Q1435-$T1430</f>
        <v>8888</v>
      </c>
      <c r="S1436" s="128" t="s">
        <v>286</v>
      </c>
      <c r="T1436" s="128">
        <f ca="1">T1435</f>
        <v>8888</v>
      </c>
      <c r="U1436" s="139">
        <f ca="1">U1435-$T1428</f>
        <v>8888</v>
      </c>
      <c r="W1436" s="128" t="s">
        <v>286</v>
      </c>
      <c r="X1436" s="128">
        <f ca="1">X1435</f>
        <v>8888</v>
      </c>
      <c r="Y1436" s="139">
        <f ca="1">Y1435+$T1426</f>
        <v>8888</v>
      </c>
      <c r="AA1436" s="143" t="s">
        <v>286</v>
      </c>
      <c r="AB1436" s="128">
        <f ca="1">IF($AA1432,D1436,P1436)</f>
        <v>8888</v>
      </c>
      <c r="AC1436" s="129">
        <f ca="1">IF($AA1432,E1436,Q1436)</f>
        <v>8888</v>
      </c>
      <c r="AE1436" s="128" t="s">
        <v>286</v>
      </c>
      <c r="AF1436" s="128">
        <f ca="1">IF($AE1432,H1436,T1436)</f>
        <v>8888</v>
      </c>
      <c r="AG1436" s="129">
        <f ca="1">IF($AE1432,I1436,U1436)</f>
        <v>8888</v>
      </c>
      <c r="AI1436" s="128" t="s">
        <v>286</v>
      </c>
      <c r="AJ1436" s="128">
        <f ca="1">IF($AI1432,L1436,X1436)</f>
        <v>8888</v>
      </c>
      <c r="AK1436" s="129">
        <f ca="1">IF($AI1432,M1436,Y1436)</f>
        <v>8888</v>
      </c>
      <c r="AM1436" s="128" t="s">
        <v>286</v>
      </c>
      <c r="AN1436" s="128">
        <f ca="1">AN1435</f>
        <v>-18.624000000000006</v>
      </c>
      <c r="AO1436" s="129">
        <f ca="1">IF(AN1436&gt;-Fuselage!$D$366,IF(AM1432,(FUSELAGE_a_ellipse+FUSELAGE_t_fuselage)*SQRT(1-((AN1436+Fuselage!$D$366)/Fuselage!$K$364)^2),(FUSELAGE_a_ellipse)*SQRT(1-((AN1436+Fuselage!$D$366)/Fuselage!$K$364)^2)),IF(AN1436&gt;$L$2505+Fuselage!$K$370,(IF(AM1432,FUSELAGE_a_ellipse+FUSELAGE_t_fuselage,FUSELAGE_a_ellipse)),IF(AM1432,(FUSELAGE_a_ellipse+FUSELAGE_t_fuselage-FUSELAGE_d_fo/4)/Fuselage!$K$368*(AN1436-$L$2505-Fuselage!$K$370)+FUSELAGE_a_ellipse+FUSELAGE_t_fuselage,(FUSELAGE_a_ellipse+FUSELAGE_t_fuselage-FUSELAGE_d_fo/4)/Fuselage!$K$368*(AN1436-$L$2505-Fuselage!$K$370)+FUSELAGE_a_ellipse)))</f>
        <v>1.4960570012328709</v>
      </c>
      <c r="AQ1436" s="128" t="s">
        <v>286</v>
      </c>
      <c r="AR1436" s="128">
        <f t="shared" ca="1" si="134"/>
        <v>-18.624000000000006</v>
      </c>
      <c r="AS1436" s="129">
        <f t="shared" ca="1" si="135"/>
        <v>-1.4960570012328709</v>
      </c>
      <c r="BD1436" s="157"/>
    </row>
    <row r="1437" spans="2:56">
      <c r="B1437" s="156"/>
      <c r="C1437" s="188" t="s">
        <v>522</v>
      </c>
      <c r="D1437" s="188">
        <f ca="1">D1434</f>
        <v>8888</v>
      </c>
      <c r="E1437" s="189">
        <f ca="1">E1436</f>
        <v>8888</v>
      </c>
      <c r="F1437" s="157"/>
      <c r="G1437" s="2" t="s">
        <v>522</v>
      </c>
      <c r="H1437" s="128">
        <f ca="1">H1434</f>
        <v>8888</v>
      </c>
      <c r="I1437" s="139">
        <f ca="1">I1436</f>
        <v>8888</v>
      </c>
      <c r="K1437" s="128" t="s">
        <v>522</v>
      </c>
      <c r="L1437" s="128">
        <f ca="1">L1434</f>
        <v>8888</v>
      </c>
      <c r="M1437" s="139">
        <f ca="1">M1436</f>
        <v>8888</v>
      </c>
      <c r="O1437" s="188" t="s">
        <v>522</v>
      </c>
      <c r="P1437" s="188">
        <f ca="1">P1434</f>
        <v>8888</v>
      </c>
      <c r="Q1437" s="189">
        <f ca="1">Q1436</f>
        <v>8888</v>
      </c>
      <c r="S1437" s="188" t="s">
        <v>522</v>
      </c>
      <c r="T1437" s="188">
        <f ca="1">T1434</f>
        <v>8888</v>
      </c>
      <c r="U1437" s="189">
        <f ca="1">U1436</f>
        <v>8888</v>
      </c>
      <c r="W1437" s="188" t="s">
        <v>522</v>
      </c>
      <c r="X1437" s="188">
        <f ca="1">X1434</f>
        <v>8888</v>
      </c>
      <c r="Y1437" s="189">
        <f ca="1">Y1436</f>
        <v>8888</v>
      </c>
      <c r="AA1437" s="195" t="s">
        <v>522</v>
      </c>
      <c r="AB1437" s="128">
        <f ca="1">IF($AA1432,D1437,P1437)</f>
        <v>8888</v>
      </c>
      <c r="AC1437" s="129">
        <f ca="1">IF($AA1432,E1437,Q1437)</f>
        <v>8888</v>
      </c>
      <c r="AD1437" s="157"/>
      <c r="AE1437" s="2" t="s">
        <v>522</v>
      </c>
      <c r="AF1437" s="188">
        <f ca="1">IF($AE1432,H1437,T1437)</f>
        <v>8888</v>
      </c>
      <c r="AG1437" s="196">
        <f ca="1">IF($AE1432,I1437,U1437)</f>
        <v>8888</v>
      </c>
      <c r="AI1437" s="128" t="s">
        <v>522</v>
      </c>
      <c r="AJ1437" s="188">
        <f ca="1">IF($AI1432,L1437,X1437)</f>
        <v>8888</v>
      </c>
      <c r="AK1437" s="196">
        <f ca="1">IF($AI1432,M1437,Y1437)</f>
        <v>8888</v>
      </c>
      <c r="AM1437" s="128" t="s">
        <v>522</v>
      </c>
      <c r="AN1437" s="128">
        <f ca="1">AN1436-X1426</f>
        <v>-18.624000000000006</v>
      </c>
      <c r="AO1437" s="129">
        <f ca="1">IF(AN1437&gt;-Fuselage!$D$366,IF(AM1432,(FUSELAGE_a_ellipse+FUSELAGE_t_fuselage)*SQRT(1-((AN1437+Fuselage!$D$366)/Fuselage!$K$364)^2),(FUSELAGE_a_ellipse)*SQRT(1-((AN1437+Fuselage!$D$366)/Fuselage!$K$364)^2)),IF(AN1437&gt;$L$2505+Fuselage!$K$370,(IF(AM1432,FUSELAGE_a_ellipse+FUSELAGE_t_fuselage,FUSELAGE_a_ellipse)),IF(AM1432,(FUSELAGE_a_ellipse+FUSELAGE_t_fuselage-FUSELAGE_d_fo/4)/Fuselage!$K$368*(AN1437-$L$2505-Fuselage!$K$370)+FUSELAGE_a_ellipse+FUSELAGE_t_fuselage,(FUSELAGE_a_ellipse+FUSELAGE_t_fuselage-FUSELAGE_d_fo/4)/Fuselage!$K$368*(AN1437-$L$2505-Fuselage!$K$370)+FUSELAGE_a_ellipse)))</f>
        <v>1.4960570012328709</v>
      </c>
      <c r="AQ1437" s="128" t="s">
        <v>522</v>
      </c>
      <c r="AR1437" s="128">
        <f t="shared" ca="1" si="134"/>
        <v>-18.624000000000006</v>
      </c>
      <c r="AS1437" s="129">
        <f t="shared" ca="1" si="135"/>
        <v>-1.4960570012328709</v>
      </c>
      <c r="BD1437" s="157"/>
    </row>
    <row r="1438" spans="2:56" ht="15" thickBot="1">
      <c r="B1438" s="156"/>
      <c r="C1438" s="128" t="s">
        <v>49</v>
      </c>
      <c r="D1438" s="128">
        <f ca="1">IF(C1432&gt;=2,D1434,D1437)</f>
        <v>8888</v>
      </c>
      <c r="E1438" s="139">
        <f ca="1">IF(C1432&gt;=2,E1437-P1427,E1437)</f>
        <v>8888</v>
      </c>
      <c r="F1438" s="157"/>
      <c r="G1438" s="192" t="s">
        <v>49</v>
      </c>
      <c r="H1438" s="190">
        <f ca="1">IF(G1432&gt;=2,H1434,H1437)</f>
        <v>8888</v>
      </c>
      <c r="I1438" s="191">
        <f ca="1">IF(G1432&gt;=2,I1437-P1427,I1437)</f>
        <v>8888</v>
      </c>
      <c r="K1438" s="190" t="s">
        <v>49</v>
      </c>
      <c r="L1438" s="190">
        <f ca="1">IF(K1432&gt;=2,L1434,L1437)</f>
        <v>8888</v>
      </c>
      <c r="M1438" s="191">
        <f ca="1">IF(K1432&gt;=2,M1437-P1427,M1437)</f>
        <v>8888</v>
      </c>
      <c r="O1438" s="130" t="s">
        <v>396</v>
      </c>
      <c r="P1438" s="130">
        <f ca="1">P1434</f>
        <v>8888</v>
      </c>
      <c r="Q1438" s="140">
        <f ca="1">Q1434</f>
        <v>8888</v>
      </c>
      <c r="S1438" s="130" t="s">
        <v>396</v>
      </c>
      <c r="T1438" s="130">
        <f ca="1">T1434</f>
        <v>8888</v>
      </c>
      <c r="U1438" s="140">
        <f ca="1">U1434</f>
        <v>8888</v>
      </c>
      <c r="W1438" s="130" t="s">
        <v>396</v>
      </c>
      <c r="X1438" s="130">
        <f ca="1">X1434</f>
        <v>8888</v>
      </c>
      <c r="Y1438" s="140">
        <f ca="1">Y1434</f>
        <v>8888</v>
      </c>
      <c r="AA1438" s="143" t="s">
        <v>49</v>
      </c>
      <c r="AB1438" s="128">
        <f ca="1">IF($AA1432,D1438,P1438)</f>
        <v>8888</v>
      </c>
      <c r="AC1438" s="129">
        <f ca="1">IF($AA1432,E1438,Q1438)</f>
        <v>8888</v>
      </c>
      <c r="AD1438" s="157"/>
      <c r="AE1438" s="192" t="s">
        <v>49</v>
      </c>
      <c r="AF1438" s="128">
        <f ca="1">IF($AE1432,H1438,T1438)</f>
        <v>8888</v>
      </c>
      <c r="AG1438" s="129">
        <f ca="1">IF($AE1432,I1438,U1438)</f>
        <v>8888</v>
      </c>
      <c r="AI1438" s="190" t="s">
        <v>49</v>
      </c>
      <c r="AJ1438" s="128">
        <f ca="1">IF($AI1432,L1438,X1438)</f>
        <v>8888</v>
      </c>
      <c r="AK1438" s="129">
        <f ca="1">IF($AI1432,M1438,Y1438)</f>
        <v>8888</v>
      </c>
      <c r="AM1438" s="128" t="s">
        <v>49</v>
      </c>
      <c r="AN1438" s="128">
        <f ca="1">AN1437</f>
        <v>-18.624000000000006</v>
      </c>
      <c r="AO1438" s="129">
        <f ca="1">IF(AN1438&gt;-Fuselage!$D$366,(FUSELAGE_a_ellipse)*SQRT(1-((AN1438+Fuselage!$D$366)/(Fuselage!$K$364-FUSELAGE_t_fuselage))^2),IF(AN1438&gt;$L$2505+Fuselage!$K$370,FUSELAGE_a_ellipse,(FUSELAGE_a_ellipse+FUSELAGE_t_fuselage-FUSELAGE_d_fo/4)/Fuselage!$K$368*(AN1438-$L$2505-Fuselage!$K$370)+FUSELAGE_a_ellipse))</f>
        <v>1.4960570012328709</v>
      </c>
      <c r="AQ1438" s="128" t="s">
        <v>49</v>
      </c>
      <c r="AR1438" s="128">
        <f t="shared" ca="1" si="134"/>
        <v>-18.624000000000006</v>
      </c>
      <c r="AS1438" s="129">
        <f t="shared" ca="1" si="135"/>
        <v>-1.4960570012328709</v>
      </c>
      <c r="BD1438" s="157"/>
    </row>
    <row r="1439" spans="2:56">
      <c r="B1439" s="156"/>
      <c r="C1439" s="128" t="s">
        <v>453</v>
      </c>
      <c r="D1439" s="128">
        <f ca="1">IF(C1432&gt;=2,D1434+P1426,D1437)</f>
        <v>8888</v>
      </c>
      <c r="E1439" s="139">
        <f ca="1">E1438</f>
        <v>8888</v>
      </c>
      <c r="F1439" s="157"/>
      <c r="G1439" s="2" t="s">
        <v>453</v>
      </c>
      <c r="H1439" s="128">
        <f ca="1">IF(G1432&gt;=2,H1435,H1437)</f>
        <v>8888</v>
      </c>
      <c r="I1439" s="139">
        <f ca="1">IF(G1432&gt;=2,I1438,I1437)</f>
        <v>8888</v>
      </c>
      <c r="K1439" s="128" t="s">
        <v>453</v>
      </c>
      <c r="L1439" s="128">
        <f ca="1">IF(K1432&gt;=2,IF(X1427,IF(K1432=2,L1434+P1426/4,L1434+P1426),L1434+P1426),L1437)</f>
        <v>8888</v>
      </c>
      <c r="M1439" s="139">
        <f ca="1">IF(K1432&gt;=2,M1438,M1437)</f>
        <v>8888</v>
      </c>
      <c r="AA1439" s="143" t="s">
        <v>453</v>
      </c>
      <c r="AB1439" s="128">
        <f ca="1">IF($AA1432,D1439,AB1438)</f>
        <v>8888</v>
      </c>
      <c r="AC1439" s="129">
        <f ca="1">IF($AA1432,E1439,AC1438)</f>
        <v>8888</v>
      </c>
      <c r="AD1439" s="157"/>
      <c r="AE1439" s="2" t="s">
        <v>453</v>
      </c>
      <c r="AF1439" s="128">
        <f ca="1">IF($AE1432,H1439,AF1438)</f>
        <v>8888</v>
      </c>
      <c r="AG1439" s="129">
        <f ca="1">IF($AE1432,I1439,AG1438)</f>
        <v>8888</v>
      </c>
      <c r="AI1439" s="128" t="s">
        <v>453</v>
      </c>
      <c r="AJ1439" s="128">
        <f ca="1">IF($AI1432,L1439,AJ1438)</f>
        <v>8888</v>
      </c>
      <c r="AK1439" s="129">
        <f ca="1">IF($AI1432,M1439,AK1438)</f>
        <v>8888</v>
      </c>
      <c r="AM1439" s="128" t="s">
        <v>453</v>
      </c>
      <c r="AN1439" s="128">
        <f ca="1">L1425</f>
        <v>-18.624000000000006</v>
      </c>
      <c r="AO1439" s="129">
        <f ca="1">IF(AN1439&gt;-Fuselage!$D$366,(FUSELAGE_a_ellipse)*SQRT(1-((AN1439+Fuselage!$D$366)/(Fuselage!$K$364-FUSELAGE_t_fuselage))^2),IF(AN1439&gt;$L$2505+Fuselage!$K$370,FUSELAGE_a_ellipse,(FUSELAGE_a_ellipse+FUSELAGE_t_fuselage-FUSELAGE_d_fo/4)/Fuselage!$K$368*(AN1439-$L$2505-Fuselage!$K$370)+FUSELAGE_a_ellipse))</f>
        <v>1.4960570012328709</v>
      </c>
      <c r="AQ1439" s="128" t="s">
        <v>453</v>
      </c>
      <c r="AR1439" s="128">
        <f t="shared" ca="1" si="134"/>
        <v>-18.624000000000006</v>
      </c>
      <c r="AS1439" s="129">
        <f t="shared" ca="1" si="135"/>
        <v>-1.4960570012328709</v>
      </c>
      <c r="BD1439" s="157"/>
    </row>
    <row r="1440" spans="2:56">
      <c r="B1440" s="156"/>
      <c r="C1440" s="128" t="s">
        <v>394</v>
      </c>
      <c r="D1440" s="128">
        <f ca="1">IF(C1432&gt;=2,D1439,D1437)</f>
        <v>8888</v>
      </c>
      <c r="E1440" s="139">
        <f ca="1">IF(C1432&gt;=2,E1438-P1425,E1437)</f>
        <v>8888</v>
      </c>
      <c r="F1440" s="157"/>
      <c r="G1440" s="2" t="s">
        <v>394</v>
      </c>
      <c r="H1440" s="128">
        <f ca="1">IF(G1432&gt;=2,H1435,H1437)</f>
        <v>8888</v>
      </c>
      <c r="I1440" s="139">
        <f ca="1">IF(G1432&gt;=2,I1439-P1425,I1437)</f>
        <v>8888</v>
      </c>
      <c r="K1440" s="128" t="s">
        <v>394</v>
      </c>
      <c r="L1440" s="128">
        <f ca="1">L1439</f>
        <v>8888</v>
      </c>
      <c r="M1440" s="139">
        <f ca="1">IF(K1432&gt;=2,M1439-P1425,M1437)</f>
        <v>8888</v>
      </c>
      <c r="AA1440" s="143" t="s">
        <v>394</v>
      </c>
      <c r="AB1440" s="128">
        <f ca="1">IF($AA1432,D1440,AB1438)</f>
        <v>8888</v>
      </c>
      <c r="AC1440" s="129">
        <f ca="1">IF($AA1432,E1440,AC1438)</f>
        <v>8888</v>
      </c>
      <c r="AD1440" s="157"/>
      <c r="AE1440" s="2" t="s">
        <v>394</v>
      </c>
      <c r="AF1440" s="128">
        <f ca="1">IF($AE1432,H1440,AF1438)</f>
        <v>8888</v>
      </c>
      <c r="AG1440" s="129">
        <f ca="1">IF($AE1432,I1440,AG1438)</f>
        <v>8888</v>
      </c>
      <c r="AI1440" s="128" t="s">
        <v>394</v>
      </c>
      <c r="AJ1440" s="128">
        <f ca="1">IF($AI1432,L1440,AJ1438)</f>
        <v>8888</v>
      </c>
      <c r="AK1440" s="129">
        <f ca="1">IF($AI1432,M1440,AK1438)</f>
        <v>8888</v>
      </c>
      <c r="BD1440" s="157"/>
    </row>
    <row r="1441" spans="2:56">
      <c r="B1441" s="156"/>
      <c r="C1441" s="188" t="s">
        <v>454</v>
      </c>
      <c r="D1441" s="188">
        <f ca="1">IF(C1432&gt;=2,D1434,D1437)</f>
        <v>8888</v>
      </c>
      <c r="E1441" s="189">
        <f ca="1">E1440</f>
        <v>8888</v>
      </c>
      <c r="F1441" s="157"/>
      <c r="G1441" s="115" t="s">
        <v>454</v>
      </c>
      <c r="H1441" s="188">
        <f ca="1">IF(G1432&gt;=2,H1434,H1437)</f>
        <v>8888</v>
      </c>
      <c r="I1441" s="189">
        <f ca="1">IF(G1432&gt;=2,I1440,I1437)</f>
        <v>8888</v>
      </c>
      <c r="K1441" s="188" t="s">
        <v>454</v>
      </c>
      <c r="L1441" s="188">
        <f ca="1">IF(K1432&gt;=2,L1434,L1437)</f>
        <v>8888</v>
      </c>
      <c r="M1441" s="189">
        <f ca="1">IF(K1432&gt;=2,M1440,M1437)</f>
        <v>8888</v>
      </c>
      <c r="AA1441" s="195" t="s">
        <v>454</v>
      </c>
      <c r="AB1441" s="128">
        <f ca="1">IF($AA1432,D1441,AB1438)</f>
        <v>8888</v>
      </c>
      <c r="AC1441" s="129">
        <f ca="1">IF($AA1432,E1441,AC1438)</f>
        <v>8888</v>
      </c>
      <c r="AD1441" s="157"/>
      <c r="AE1441" s="115" t="s">
        <v>454</v>
      </c>
      <c r="AF1441" s="188">
        <f ca="1">IF($AE1432,H1441,AF1438)</f>
        <v>8888</v>
      </c>
      <c r="AG1441" s="196">
        <f ca="1">IF($AE1432,I1441,AG1438)</f>
        <v>8888</v>
      </c>
      <c r="AI1441" s="188" t="s">
        <v>454</v>
      </c>
      <c r="AJ1441" s="188">
        <f ca="1">IF($AI1432,L1441,AJ1438)</f>
        <v>8888</v>
      </c>
      <c r="AK1441" s="196">
        <f ca="1">IF($AI1432,M1441,AK1438)</f>
        <v>8888</v>
      </c>
      <c r="BD1441" s="157"/>
    </row>
    <row r="1442" spans="2:56">
      <c r="B1442" s="156"/>
      <c r="C1442" s="128" t="s">
        <v>507</v>
      </c>
      <c r="D1442" s="128">
        <f ca="1">IF(C1432&gt;=3,D1434,D1441)</f>
        <v>8888</v>
      </c>
      <c r="E1442" s="139">
        <f ca="1">IF(C1432&gt;=3,E1441-P1427,E1441)</f>
        <v>8888</v>
      </c>
      <c r="F1442" s="157"/>
      <c r="G1442" s="2" t="s">
        <v>507</v>
      </c>
      <c r="H1442" s="128">
        <f ca="1">IF(G1432&gt;=3,H1434,H1441)</f>
        <v>8888</v>
      </c>
      <c r="I1442" s="139">
        <f ca="1">IF(G1432&gt;=3,I1441-P1427,I1441)</f>
        <v>8888</v>
      </c>
      <c r="K1442" s="128" t="s">
        <v>507</v>
      </c>
      <c r="L1442" s="128">
        <f ca="1">IF(K1432&gt;=3,L1434,L1441)</f>
        <v>8888</v>
      </c>
      <c r="M1442" s="139">
        <f ca="1">IF(K1432&gt;=3,M1441-P1427,M1441)</f>
        <v>8888</v>
      </c>
      <c r="AA1442" s="143" t="s">
        <v>507</v>
      </c>
      <c r="AB1442" s="128">
        <f ca="1">IF($AA1432,D1442,AB1438)</f>
        <v>8888</v>
      </c>
      <c r="AC1442" s="129">
        <f ca="1">IF($AA1432,E1442,AC1438)</f>
        <v>8888</v>
      </c>
      <c r="AD1442" s="157"/>
      <c r="AE1442" s="2" t="s">
        <v>507</v>
      </c>
      <c r="AF1442" s="128">
        <f ca="1">IF($AE1432,H1442,AF1438)</f>
        <v>8888</v>
      </c>
      <c r="AG1442" s="129">
        <f ca="1">IF($AE1432,I1442,AG1438)</f>
        <v>8888</v>
      </c>
      <c r="AI1442" s="128" t="s">
        <v>507</v>
      </c>
      <c r="AJ1442" s="128">
        <f ca="1">IF($AI1432,L1442,AJ1438)</f>
        <v>8888</v>
      </c>
      <c r="AK1442" s="129">
        <f ca="1">IF($AI1432,M1442,AK1438)</f>
        <v>8888</v>
      </c>
      <c r="BD1442" s="157"/>
    </row>
    <row r="1443" spans="2:56">
      <c r="B1443" s="156"/>
      <c r="C1443" s="128" t="s">
        <v>455</v>
      </c>
      <c r="D1443" s="128">
        <f ca="1">IF(C1432&gt;=3,D1439,D1441)</f>
        <v>8888</v>
      </c>
      <c r="E1443" s="139">
        <f ca="1">E1442</f>
        <v>8888</v>
      </c>
      <c r="F1443" s="157"/>
      <c r="G1443" s="2" t="s">
        <v>455</v>
      </c>
      <c r="H1443" s="128">
        <f ca="1">IF(G1432&gt;=3,H1435,H1441)</f>
        <v>8888</v>
      </c>
      <c r="I1443" s="139">
        <f ca="1">IF(G1432&gt;=3,I1442,I1441)</f>
        <v>8888</v>
      </c>
      <c r="K1443" s="128" t="s">
        <v>455</v>
      </c>
      <c r="L1443" s="128">
        <f ca="1">IF(K1432&gt;=3,IF(X1427,IF(K1432=3,L1434+P1426/4,L1434+P1426),L1434+P1426),L1437)</f>
        <v>8888</v>
      </c>
      <c r="M1443" s="139">
        <f ca="1">IF(K1432&gt;=3,M1442,M1441)</f>
        <v>8888</v>
      </c>
      <c r="AA1443" s="143" t="s">
        <v>455</v>
      </c>
      <c r="AB1443" s="128">
        <f ca="1">IF($AA1432,D1443,AB1438)</f>
        <v>8888</v>
      </c>
      <c r="AC1443" s="129">
        <f ca="1">IF($AA1432,E1443,AC1438)</f>
        <v>8888</v>
      </c>
      <c r="AD1443" s="157"/>
      <c r="AE1443" s="2" t="s">
        <v>455</v>
      </c>
      <c r="AF1443" s="128">
        <f ca="1">IF($AE1432,H1443,AF1438)</f>
        <v>8888</v>
      </c>
      <c r="AG1443" s="129">
        <f ca="1">IF($AE1432,I1443,AG1438)</f>
        <v>8888</v>
      </c>
      <c r="AI1443" s="128" t="s">
        <v>455</v>
      </c>
      <c r="AJ1443" s="128">
        <f ca="1">IF($AI1432,L1443,AJ1438)</f>
        <v>8888</v>
      </c>
      <c r="AK1443" s="129">
        <f ca="1">IF($AI1432,M1443,AK1438)</f>
        <v>8888</v>
      </c>
      <c r="AL1443" s="156"/>
      <c r="BD1443" s="157"/>
    </row>
    <row r="1444" spans="2:56">
      <c r="B1444" s="156"/>
      <c r="C1444" s="128" t="s">
        <v>311</v>
      </c>
      <c r="D1444" s="128">
        <f ca="1">IF(C1432&gt;=3,D1439,D1441)</f>
        <v>8888</v>
      </c>
      <c r="E1444" s="139">
        <f ca="1">IF(C1432&gt;=3,E1443-P1425,E1441)</f>
        <v>8888</v>
      </c>
      <c r="F1444" s="157"/>
      <c r="G1444" s="2" t="s">
        <v>311</v>
      </c>
      <c r="H1444" s="128">
        <f ca="1">IF(G1432&gt;=3,H1435,H1441)</f>
        <v>8888</v>
      </c>
      <c r="I1444" s="139">
        <f ca="1">IF(G1432&gt;=3,I1443-P1425,I1441)</f>
        <v>8888</v>
      </c>
      <c r="K1444" s="128" t="s">
        <v>311</v>
      </c>
      <c r="L1444" s="128">
        <f ca="1">L1443</f>
        <v>8888</v>
      </c>
      <c r="M1444" s="139">
        <f ca="1">IF(K1432&gt;=3,M1443-P1425,M1441)</f>
        <v>8888</v>
      </c>
      <c r="AA1444" s="143" t="s">
        <v>311</v>
      </c>
      <c r="AB1444" s="128">
        <f ca="1">IF($AA1432,D1444,AB1438)</f>
        <v>8888</v>
      </c>
      <c r="AC1444" s="129">
        <f ca="1">IF($AA1432,E1444,AC1438)</f>
        <v>8888</v>
      </c>
      <c r="AD1444" s="157"/>
      <c r="AE1444" s="2" t="s">
        <v>311</v>
      </c>
      <c r="AF1444" s="128">
        <f ca="1">IF($AE1432,H1444,AF1438)</f>
        <v>8888</v>
      </c>
      <c r="AG1444" s="129">
        <f ca="1">IF($AE1432,I1444,AG1438)</f>
        <v>8888</v>
      </c>
      <c r="AI1444" s="128" t="s">
        <v>311</v>
      </c>
      <c r="AJ1444" s="128">
        <f ca="1">IF($AI1432,L1444,AJ1438)</f>
        <v>8888</v>
      </c>
      <c r="AK1444" s="129">
        <f ca="1">IF($AI1432,M1444,AK1438)</f>
        <v>8888</v>
      </c>
      <c r="AL1444" s="156"/>
      <c r="BD1444" s="157"/>
    </row>
    <row r="1445" spans="2:56">
      <c r="B1445" s="156"/>
      <c r="C1445" s="188" t="s">
        <v>35</v>
      </c>
      <c r="D1445" s="188">
        <f ca="1">IF(C1432&gt;=3,D1434,D1441)</f>
        <v>8888</v>
      </c>
      <c r="E1445" s="189">
        <f ca="1">E1444</f>
        <v>8888</v>
      </c>
      <c r="F1445" s="157"/>
      <c r="G1445" s="2" t="s">
        <v>35</v>
      </c>
      <c r="H1445" s="188">
        <f ca="1">IF(G1432&gt;=3,H1434,H1441)</f>
        <v>8888</v>
      </c>
      <c r="I1445" s="189">
        <f ca="1">IF(G1432&gt;=3,I1444,I1441)</f>
        <v>8888</v>
      </c>
      <c r="K1445" s="188" t="s">
        <v>35</v>
      </c>
      <c r="L1445" s="188">
        <f ca="1">IF(K1432&gt;=3,L1434,L1441)</f>
        <v>8888</v>
      </c>
      <c r="M1445" s="189">
        <f ca="1">IF(K1432&gt;=3,M1444,M1441)</f>
        <v>8888</v>
      </c>
      <c r="AA1445" s="143" t="s">
        <v>35</v>
      </c>
      <c r="AB1445" s="128">
        <f ca="1">IF($AA1432,D1445,AB1438)</f>
        <v>8888</v>
      </c>
      <c r="AC1445" s="129">
        <f ca="1">IF($AA1432,E1445,AC1438)</f>
        <v>8888</v>
      </c>
      <c r="AD1445" s="157"/>
      <c r="AE1445" s="2" t="s">
        <v>35</v>
      </c>
      <c r="AF1445" s="188">
        <f ca="1">IF($AE1432,H1445,AF1438)</f>
        <v>8888</v>
      </c>
      <c r="AG1445" s="196">
        <f ca="1">IF($AE1432,I1445,AG1438)</f>
        <v>8888</v>
      </c>
      <c r="AI1445" s="128" t="s">
        <v>35</v>
      </c>
      <c r="AJ1445" s="128">
        <f ca="1">IF($AI1432,L1445,AJ1438)</f>
        <v>8888</v>
      </c>
      <c r="AK1445" s="129">
        <f ca="1">IF($AI1432,M1445,AK1438)</f>
        <v>8888</v>
      </c>
      <c r="AL1445" s="156"/>
      <c r="BD1445" s="157"/>
    </row>
    <row r="1446" spans="2:56" ht="15" thickBot="1">
      <c r="B1446" s="156"/>
      <c r="C1446" s="130" t="s">
        <v>396</v>
      </c>
      <c r="D1446" s="130">
        <f ca="1">D1434</f>
        <v>8888</v>
      </c>
      <c r="E1446" s="140">
        <f ca="1">E1434</f>
        <v>8888</v>
      </c>
      <c r="F1446" s="157"/>
      <c r="G1446" s="192" t="s">
        <v>312</v>
      </c>
      <c r="H1446" s="128">
        <f ca="1">IF(G1432&gt;=4,H1434,H1445)</f>
        <v>8888</v>
      </c>
      <c r="I1446" s="139">
        <f ca="1">IF(G1432&gt;=4,I1445-P1427,I1445)</f>
        <v>8888</v>
      </c>
      <c r="K1446" s="130" t="s">
        <v>396</v>
      </c>
      <c r="L1446" s="130">
        <f ca="1">L1434</f>
        <v>8888</v>
      </c>
      <c r="M1446" s="140">
        <f ca="1">M1434</f>
        <v>8888</v>
      </c>
      <c r="AA1446" s="144" t="s">
        <v>396</v>
      </c>
      <c r="AB1446" s="130">
        <f ca="1">IF($AA1432,D1446,AB1438)</f>
        <v>8888</v>
      </c>
      <c r="AC1446" s="132">
        <f ca="1">IF($AA1432,E1446,AC1438)</f>
        <v>8888</v>
      </c>
      <c r="AD1446" s="157"/>
      <c r="AE1446" s="192" t="s">
        <v>312</v>
      </c>
      <c r="AF1446" s="128">
        <f ca="1">IF($AE1432,H1446,AF1438)</f>
        <v>8888</v>
      </c>
      <c r="AG1446" s="129">
        <f ca="1">IF($AE1432,I1446,AG1438)</f>
        <v>8888</v>
      </c>
      <c r="AI1446" s="130" t="s">
        <v>396</v>
      </c>
      <c r="AJ1446" s="130">
        <f ca="1">IF($AI1432,L1446,AJ1438)</f>
        <v>8888</v>
      </c>
      <c r="AK1446" s="132">
        <f ca="1">IF($AI1432,M1446,AK1438)</f>
        <v>8888</v>
      </c>
      <c r="BD1446" s="157"/>
    </row>
    <row r="1447" spans="2:56">
      <c r="B1447" s="156"/>
      <c r="F1447" s="157"/>
      <c r="G1447" s="2" t="s">
        <v>313</v>
      </c>
      <c r="H1447" s="128">
        <f ca="1">IF(G1432&gt;=4,H1435,H1445)</f>
        <v>8888</v>
      </c>
      <c r="I1447" s="139">
        <f ca="1">IF(G1432&gt;=4,I1446,I1445)</f>
        <v>8888</v>
      </c>
      <c r="AD1447" s="157"/>
      <c r="AE1447" s="2" t="s">
        <v>313</v>
      </c>
      <c r="AF1447" s="128">
        <f ca="1">IF($AE1432,H1447,AF1438)</f>
        <v>8888</v>
      </c>
      <c r="AG1447" s="129">
        <f ca="1">IF($AE1432,I1447,AG1438)</f>
        <v>8888</v>
      </c>
      <c r="BD1447" s="157"/>
    </row>
    <row r="1448" spans="2:56">
      <c r="B1448" s="156"/>
      <c r="F1448" s="157"/>
      <c r="G1448" s="2" t="s">
        <v>7</v>
      </c>
      <c r="H1448" s="128">
        <f ca="1">IF(G1432&gt;=4,H1435,H1445)</f>
        <v>8888</v>
      </c>
      <c r="I1448" s="139">
        <f ca="1">IF(G1432&gt;=4,I1447-P1425,I1445)</f>
        <v>8888</v>
      </c>
      <c r="AD1448" s="157"/>
      <c r="AE1448" s="2" t="s">
        <v>7</v>
      </c>
      <c r="AF1448" s="128">
        <f ca="1">IF($AE1432,H1448,AF1438)</f>
        <v>8888</v>
      </c>
      <c r="AG1448" s="129">
        <f ca="1">IF($AE1432,I1448,AG1438)</f>
        <v>8888</v>
      </c>
      <c r="BD1448" s="157"/>
    </row>
    <row r="1449" spans="2:56">
      <c r="B1449" s="156"/>
      <c r="F1449" s="157"/>
      <c r="G1449" s="115" t="s">
        <v>8</v>
      </c>
      <c r="H1449" s="188">
        <f ca="1">IF(G1432&gt;=4,H1434,H1445)</f>
        <v>8888</v>
      </c>
      <c r="I1449" s="189">
        <f ca="1">IF(G1432&gt;=4,I1448,I1445)</f>
        <v>8888</v>
      </c>
      <c r="AD1449" s="157"/>
      <c r="AE1449" s="115" t="s">
        <v>8</v>
      </c>
      <c r="AF1449" s="188">
        <f ca="1">IF($AE1432,H1449,AF1438)</f>
        <v>8888</v>
      </c>
      <c r="AG1449" s="196">
        <f ca="1">IF($AE1432,I1449,AG1438)</f>
        <v>8888</v>
      </c>
      <c r="BD1449" s="157"/>
    </row>
    <row r="1450" spans="2:56">
      <c r="B1450" s="156"/>
      <c r="F1450" s="157"/>
      <c r="G1450" s="2" t="s">
        <v>9</v>
      </c>
      <c r="H1450" s="128">
        <f ca="1">IF(G1432&gt;=5,H1434,H1449)</f>
        <v>8888</v>
      </c>
      <c r="I1450" s="139">
        <f ca="1">IF(G1432&gt;=5,I1449-P1427,I1449)</f>
        <v>8888</v>
      </c>
      <c r="AD1450" s="157"/>
      <c r="AE1450" s="2" t="s">
        <v>9</v>
      </c>
      <c r="AF1450" s="128">
        <f ca="1">IF($AE1432,H1450,AF1438)</f>
        <v>8888</v>
      </c>
      <c r="AG1450" s="129">
        <f ca="1">IF($AE1432,I1450,AG1438)</f>
        <v>8888</v>
      </c>
      <c r="BD1450" s="157"/>
    </row>
    <row r="1451" spans="2:56">
      <c r="B1451" s="156"/>
      <c r="F1451" s="157"/>
      <c r="G1451" s="2" t="s">
        <v>196</v>
      </c>
      <c r="H1451" s="128">
        <f ca="1">IF(G1432&gt;=5,H1435,H1449)</f>
        <v>8888</v>
      </c>
      <c r="I1451" s="139">
        <f ca="1">IF(G1432&gt;=5,I1450,I1449)</f>
        <v>8888</v>
      </c>
      <c r="AD1451" s="157"/>
      <c r="AE1451" s="2" t="s">
        <v>196</v>
      </c>
      <c r="AF1451" s="128">
        <f ca="1">IF($AE1432,H1451,AF1438)</f>
        <v>8888</v>
      </c>
      <c r="AG1451" s="129">
        <f ca="1">IF($AE1432,I1451,AG1438)</f>
        <v>8888</v>
      </c>
      <c r="BD1451" s="157"/>
    </row>
    <row r="1452" spans="2:56">
      <c r="B1452" s="156"/>
      <c r="F1452" s="157"/>
      <c r="G1452" s="2" t="s">
        <v>10</v>
      </c>
      <c r="H1452" s="128">
        <f ca="1">IF(G1432&gt;=5,H1435,H1449)</f>
        <v>8888</v>
      </c>
      <c r="I1452" s="139">
        <f ca="1">IF(G1432&gt;=5,I1451-P1425,I1449)</f>
        <v>8888</v>
      </c>
      <c r="AD1452" s="157"/>
      <c r="AE1452" s="2" t="s">
        <v>10</v>
      </c>
      <c r="AF1452" s="128">
        <f ca="1">IF($AE1432,H1452,AF1438)</f>
        <v>8888</v>
      </c>
      <c r="AG1452" s="129">
        <f ca="1">IF($AE1432,I1452,AG1438)</f>
        <v>8888</v>
      </c>
      <c r="BD1452" s="157"/>
    </row>
    <row r="1453" spans="2:56">
      <c r="B1453" s="156"/>
      <c r="F1453" s="157"/>
      <c r="G1453" s="2" t="s">
        <v>161</v>
      </c>
      <c r="H1453" s="188">
        <f ca="1">IF(G1432&gt;=5,H1434,H1449)</f>
        <v>8888</v>
      </c>
      <c r="I1453" s="189">
        <f ca="1">IF(G1432&gt;=5,I1452,I1449)</f>
        <v>8888</v>
      </c>
      <c r="AD1453" s="157"/>
      <c r="AE1453" s="2" t="s">
        <v>161</v>
      </c>
      <c r="AF1453" s="188">
        <f ca="1">IF($AE1432,H1453,AF1438)</f>
        <v>8888</v>
      </c>
      <c r="AG1453" s="196">
        <f ca="1">IF($AE1432,I1453,AG1438)</f>
        <v>8888</v>
      </c>
      <c r="BD1453" s="157"/>
    </row>
    <row r="1454" spans="2:56">
      <c r="B1454" s="156"/>
      <c r="F1454" s="157"/>
      <c r="G1454" s="192" t="s">
        <v>11</v>
      </c>
      <c r="H1454" s="128">
        <f ca="1">IF(G1432&gt;=6,H1434,H1453)</f>
        <v>8888</v>
      </c>
      <c r="I1454" s="139">
        <f ca="1">IF(G1432&gt;=6,I1453-P1427,I1453)</f>
        <v>8888</v>
      </c>
      <c r="AD1454" s="157"/>
      <c r="AE1454" s="192" t="s">
        <v>11</v>
      </c>
      <c r="AF1454" s="128">
        <f ca="1">IF($AE1432,H1454,AF1438)</f>
        <v>8888</v>
      </c>
      <c r="AG1454" s="129">
        <f ca="1">IF($AE1432,I1454,AG1438)</f>
        <v>8888</v>
      </c>
      <c r="BD1454" s="157"/>
    </row>
    <row r="1455" spans="2:56">
      <c r="B1455" s="156"/>
      <c r="F1455" s="157"/>
      <c r="G1455" s="2" t="s">
        <v>12</v>
      </c>
      <c r="H1455" s="128">
        <f ca="1">IF(G1432&gt;=6,H1435,H1453)</f>
        <v>8888</v>
      </c>
      <c r="I1455" s="139">
        <f ca="1">IF(G1432&gt;=6,I1454,I1453)</f>
        <v>8888</v>
      </c>
      <c r="AD1455" s="157"/>
      <c r="AE1455" s="2" t="s">
        <v>12</v>
      </c>
      <c r="AF1455" s="128">
        <f ca="1">IF($AE1432,H1455,AF1438)</f>
        <v>8888</v>
      </c>
      <c r="AG1455" s="129">
        <f ca="1">IF($AE1432,I1455,AG1438)</f>
        <v>8888</v>
      </c>
      <c r="BD1455" s="157"/>
    </row>
    <row r="1456" spans="2:56">
      <c r="B1456" s="156"/>
      <c r="F1456" s="157"/>
      <c r="G1456" s="2" t="s">
        <v>13</v>
      </c>
      <c r="H1456" s="128">
        <f ca="1">IF(G1432&gt;=6,H1435,H1453)</f>
        <v>8888</v>
      </c>
      <c r="I1456" s="139">
        <f ca="1">IF(G1432&gt;=6,I1455-P1425,I1453)</f>
        <v>8888</v>
      </c>
      <c r="AD1456" s="157"/>
      <c r="AE1456" s="2" t="s">
        <v>13</v>
      </c>
      <c r="AF1456" s="128">
        <f ca="1">IF($AE1432,H1456,AF1438)</f>
        <v>8888</v>
      </c>
      <c r="AG1456" s="129">
        <f ca="1">IF($AE1432,I1456,AG1438)</f>
        <v>8888</v>
      </c>
      <c r="BD1456" s="157"/>
    </row>
    <row r="1457" spans="2:56">
      <c r="B1457" s="156"/>
      <c r="F1457" s="157"/>
      <c r="G1457" s="115" t="s">
        <v>14</v>
      </c>
      <c r="H1457" s="188">
        <f ca="1">IF(G1432&gt;=6,H1434,H1453)</f>
        <v>8888</v>
      </c>
      <c r="I1457" s="189">
        <f ca="1">IF(G1432&gt;=6,I1456,I1453)</f>
        <v>8888</v>
      </c>
      <c r="AD1457" s="157"/>
      <c r="AE1457" s="115" t="s">
        <v>14</v>
      </c>
      <c r="AF1457" s="188">
        <f ca="1">IF($AE1432,H1457,AF1438)</f>
        <v>8888</v>
      </c>
      <c r="AG1457" s="196">
        <f ca="1">IF($AE1432,I1457,AG1438)</f>
        <v>8888</v>
      </c>
      <c r="BD1457" s="157"/>
    </row>
    <row r="1458" spans="2:56" ht="15" thickBot="1">
      <c r="B1458" s="156"/>
      <c r="G1458" s="130" t="s">
        <v>396</v>
      </c>
      <c r="H1458" s="130">
        <f ca="1">H1434</f>
        <v>8888</v>
      </c>
      <c r="I1458" s="140">
        <f ca="1">I1434</f>
        <v>8888</v>
      </c>
      <c r="AE1458" s="130" t="s">
        <v>396</v>
      </c>
      <c r="AF1458" s="130">
        <f ca="1">IF($AE1432,H1458,AF1438)</f>
        <v>8888</v>
      </c>
      <c r="AG1458" s="132">
        <f ca="1">IF($AE1432,I1458,AG1438)</f>
        <v>8888</v>
      </c>
      <c r="BD1458" s="157"/>
    </row>
    <row r="1459" spans="2:56">
      <c r="B1459" s="156"/>
      <c r="BD1459" s="157"/>
    </row>
    <row r="1460" spans="2:56">
      <c r="B1460" s="156"/>
      <c r="BD1460" s="157"/>
    </row>
    <row r="1461" spans="2:56">
      <c r="B1461" s="156"/>
      <c r="C1461" s="200" t="s">
        <v>336</v>
      </c>
      <c r="D1461">
        <f>D1425+1</f>
        <v>36</v>
      </c>
      <c r="G1461" s="200" t="s">
        <v>638</v>
      </c>
      <c r="H1461">
        <f ca="1">LOOKUP(D1464,$C$191:$C$196,$D$191:$D$196)</f>
        <v>0</v>
      </c>
      <c r="K1461" s="200" t="s">
        <v>644</v>
      </c>
      <c r="L1461">
        <f ca="1">L1425-H1466</f>
        <v>-18.624000000000006</v>
      </c>
      <c r="O1461" s="200" t="s">
        <v>404</v>
      </c>
      <c r="P1461">
        <f ca="1">IF(D1463=1,SEAT_w_cushion_FC,IF(D1463=2,SEAT_w_cushion_BC,IF(D1463=3,SEAT_w_cushion_YC,0)))</f>
        <v>0</v>
      </c>
      <c r="S1461" s="200" t="s">
        <v>647</v>
      </c>
      <c r="T1461">
        <f ca="1">LOOKUP(D1464,$C$191:$C$196,$E$191:$E$196)</f>
        <v>0</v>
      </c>
      <c r="W1461" t="s">
        <v>130</v>
      </c>
      <c r="X1461" t="str">
        <f ca="1">OFFSET(Fuselage!$B$275,D1461,5)</f>
        <v>None</v>
      </c>
      <c r="AN1461" s="200" t="s">
        <v>135</v>
      </c>
      <c r="AO1461">
        <f ca="1">MAX(0,H1466-MAX(T1461,T1463,T1465,P1462)-X1462)</f>
        <v>0</v>
      </c>
      <c r="BD1461" s="157"/>
    </row>
    <row r="1462" spans="2:56">
      <c r="B1462" s="156"/>
      <c r="C1462" s="200" t="s">
        <v>200</v>
      </c>
      <c r="D1462" t="str">
        <f ca="1">OFFSET(Fuselage!$B$275,D1461,0)</f>
        <v/>
      </c>
      <c r="G1462" s="200" t="s">
        <v>639</v>
      </c>
      <c r="H1462">
        <f ca="1">LOOKUP(D1465,$C$191:$C$196,$D$191:$D$196)</f>
        <v>0</v>
      </c>
      <c r="O1462" s="200" t="s">
        <v>535</v>
      </c>
      <c r="P1462">
        <f ca="1">IF(D1463=1,SEAT_length_FC,IF(D1463=2,SEAT_length_BC,IF(D1463=3,SEAT_length_YC,0)))</f>
        <v>0</v>
      </c>
      <c r="S1462" s="200" t="s">
        <v>648</v>
      </c>
      <c r="T1462">
        <f ca="1">LOOKUP(D1464,$C$191:$C$196,$F$191:$F$196)</f>
        <v>0</v>
      </c>
      <c r="W1462" t="s">
        <v>131</v>
      </c>
      <c r="X1462">
        <f ca="1">LOOKUP(X1461,$I$191:$I$198,$J$191:$J$198)</f>
        <v>0</v>
      </c>
      <c r="BD1462" s="157"/>
    </row>
    <row r="1463" spans="2:56">
      <c r="B1463" s="156"/>
      <c r="C1463" s="200" t="s">
        <v>337</v>
      </c>
      <c r="D1463" t="str">
        <f ca="1">OFFSET(Fuselage!$B$275,D1461,4)</f>
        <v/>
      </c>
      <c r="G1463" s="200" t="s">
        <v>309</v>
      </c>
      <c r="H1463">
        <f ca="1">LOOKUP(D1466,$C$191:$C$196,$D$191:$D$196)</f>
        <v>0</v>
      </c>
      <c r="K1463" s="200" t="s">
        <v>645</v>
      </c>
      <c r="L1463">
        <f ca="1">IF(D1463=1,FUSELAGE_nseats_left_FC,IF(D1463=2,FUSELAGE_nseats_left_BC,IF(D1463=3,FUSELAGE_nseats_left_YC,0)))</f>
        <v>0</v>
      </c>
      <c r="O1463" s="200" t="s">
        <v>405</v>
      </c>
      <c r="P1463">
        <f ca="1">IF(D1463=1,SEAT_w_armrest_FC,IF(D1463=2,SEAT_w_armrest_BC,IF(D1463=3,SEAT_w_armrest_YC,0)))</f>
        <v>0</v>
      </c>
      <c r="S1463" s="200" t="s">
        <v>652</v>
      </c>
      <c r="T1463">
        <f ca="1">LOOKUP(D1465,$C$191:$C$196,$E$191:$E$196)</f>
        <v>0</v>
      </c>
      <c r="W1463" s="200" t="s">
        <v>393</v>
      </c>
      <c r="X1463" t="b">
        <f ca="1">IF(OFFSET(Fuselage!$B$275,D1461,6)="YES",TRUE(),FALSE())</f>
        <v>0</v>
      </c>
      <c r="BD1463" s="157"/>
    </row>
    <row r="1464" spans="2:56">
      <c r="B1464" s="156"/>
      <c r="C1464" s="200" t="s">
        <v>640</v>
      </c>
      <c r="D1464" t="str">
        <f ca="1">OFFSET(Fuselage!$B$275,D1461,1)</f>
        <v>None</v>
      </c>
      <c r="G1464" s="200" t="s">
        <v>132</v>
      </c>
      <c r="H1464">
        <f ca="1">IF(D1463=1,SEAT_pitch_FC,IF(D1463=2,SEAT_pitch_BC,IF(D1463=3,SEAT_pitch_YC,0)))</f>
        <v>0</v>
      </c>
      <c r="K1464" s="200" t="s">
        <v>646</v>
      </c>
      <c r="L1464">
        <f ca="1">IF(D1463=1,FUSELAGE_nseats_middle_FC,IF(D1463=2,FUSELAGE_nseats_middle_BC,IF(D1463=3,FUSELAGE_nseats_middle_YC,0)))</f>
        <v>0</v>
      </c>
      <c r="S1464" s="200" t="s">
        <v>653</v>
      </c>
      <c r="T1464">
        <f ca="1">LOOKUP(D1465,$C$191:$C$196,$F$191:$F$196)</f>
        <v>0</v>
      </c>
      <c r="BD1464" s="157"/>
    </row>
    <row r="1465" spans="2:56">
      <c r="B1465" s="156"/>
      <c r="C1465" s="200" t="s">
        <v>642</v>
      </c>
      <c r="D1465" t="str">
        <f ca="1">OFFSET(Fuselage!$B$275,D1461,2)</f>
        <v>None</v>
      </c>
      <c r="G1465" s="200" t="s">
        <v>129</v>
      </c>
      <c r="H1465">
        <f ca="1">IF(OR(X1461="Type A",X1461="Type B"),MAX(H1461:H1464)+42*0.0254,IF(X1461="Type C",MAX(H1461:H1464)+X1462,IF(X1461&lt;&gt;"None",24*0.0254,0)))</f>
        <v>0</v>
      </c>
      <c r="K1465" s="200" t="s">
        <v>655</v>
      </c>
      <c r="L1465">
        <f ca="1">IF(D1463=1,FUSELAGE_nseats_right_FC,IF(D1463=2,FUSELAGE_nseats_right_BC,IF(D1463=3,FUSELAGE_nseats_right_YC,0)))</f>
        <v>0</v>
      </c>
      <c r="O1465" s="200" t="s">
        <v>407</v>
      </c>
      <c r="P1465">
        <f ca="1">($C$13-(L1463+L1464+L1465)*(P1461+P1463)+(FUSELAGE_n_aisles-1)*P1463)/FUSELAGE_n_aisles</f>
        <v>2.76</v>
      </c>
      <c r="S1465" s="200" t="s">
        <v>651</v>
      </c>
      <c r="T1465">
        <f ca="1">LOOKUP(D1466,$C$191:$C$196,$E$191:$E$196)</f>
        <v>0</v>
      </c>
      <c r="BD1465" s="157"/>
    </row>
    <row r="1466" spans="2:56">
      <c r="B1466" s="156"/>
      <c r="C1466" s="200" t="s">
        <v>641</v>
      </c>
      <c r="D1466" t="str">
        <f ca="1">OFFSET(Fuselage!$B$275,D1461,3)</f>
        <v>None</v>
      </c>
      <c r="G1466" s="200" t="s">
        <v>643</v>
      </c>
      <c r="H1466">
        <f ca="1">MAX(H1461:H1465)</f>
        <v>0</v>
      </c>
      <c r="S1466" s="200" t="s">
        <v>654</v>
      </c>
      <c r="T1466">
        <f ca="1">LOOKUP(D1466,$C$191:$C$196,$F$191:$F$196)</f>
        <v>0</v>
      </c>
      <c r="BD1466" s="157"/>
    </row>
    <row r="1467" spans="2:56" ht="15" thickBot="1">
      <c r="B1467" s="156"/>
      <c r="BD1467" s="157"/>
    </row>
    <row r="1468" spans="2:56" ht="15" thickBot="1">
      <c r="B1468" s="156"/>
      <c r="C1468" s="141">
        <f ca="1">L1465</f>
        <v>0</v>
      </c>
      <c r="D1468" s="197" t="str">
        <f ca="1">IF($D1463=1,"FC",IF($D1463=2,"BC",IF($D1463=3,"YC","Nothing")))</f>
        <v>Nothing</v>
      </c>
      <c r="E1468" s="198"/>
      <c r="G1468" s="141">
        <f ca="1">L1464</f>
        <v>0</v>
      </c>
      <c r="H1468" s="197" t="str">
        <f ca="1">IF($D1463=1,"FC",IF($D1463=2,"BC",IF($D1463=3,"YC","Nothing")))</f>
        <v>Nothing</v>
      </c>
      <c r="I1468" s="198"/>
      <c r="K1468" s="141">
        <f ca="1" xml:space="preserve"> L1463</f>
        <v>0</v>
      </c>
      <c r="L1468" s="197" t="str">
        <f ca="1">IF($D1463=1,"FC",IF($D1463=2,"BC",IF($D1463=3,"YC","Nothing")))</f>
        <v>Nothing</v>
      </c>
      <c r="M1468" s="198"/>
      <c r="O1468" s="141">
        <f ca="1">IF($D1466&lt;&gt;"None",1,0)</f>
        <v>0</v>
      </c>
      <c r="P1468" s="326" t="s">
        <v>380</v>
      </c>
      <c r="Q1468" s="327"/>
      <c r="S1468" s="141">
        <f ca="1">IF($D1465&lt;&gt;"None",1,0)</f>
        <v>0</v>
      </c>
      <c r="T1468" s="326" t="s">
        <v>381</v>
      </c>
      <c r="U1468" s="327"/>
      <c r="W1468" s="141">
        <f ca="1">IF($D1464&lt;&gt;"None",1,0)</f>
        <v>0</v>
      </c>
      <c r="X1468" s="326" t="s">
        <v>382</v>
      </c>
      <c r="Y1468" s="327"/>
      <c r="AA1468" s="141">
        <f ca="1">IF($D1466="None",1,0)</f>
        <v>1</v>
      </c>
      <c r="AB1468" s="326" t="str">
        <f ca="1">IF(AA1468,D1468,$D1466)</f>
        <v>Nothing</v>
      </c>
      <c r="AC1468" s="327"/>
      <c r="AE1468" s="141">
        <f ca="1">IF($D1465="None",1,0)</f>
        <v>1</v>
      </c>
      <c r="AF1468" s="326" t="str">
        <f ca="1">IF(AE1468,H1468,$D1465)</f>
        <v>Nothing</v>
      </c>
      <c r="AG1468" s="327"/>
      <c r="AI1468" s="141">
        <f ca="1">IF($D1464="None",1,0)</f>
        <v>1</v>
      </c>
      <c r="AJ1468" s="326" t="str">
        <f ca="1">IF(AI1468,L1468,$D1464)</f>
        <v>Nothing</v>
      </c>
      <c r="AK1468" s="327"/>
      <c r="AM1468" s="141">
        <f ca="1">IF($X1461="None",0,1)</f>
        <v>0</v>
      </c>
      <c r="AN1468" s="197" t="s">
        <v>133</v>
      </c>
      <c r="AO1468" s="198"/>
      <c r="AQ1468" s="141">
        <f ca="1">IF($X1461="None",0,1)</f>
        <v>0</v>
      </c>
      <c r="AR1468" s="197" t="s">
        <v>134</v>
      </c>
      <c r="AS1468" s="198"/>
      <c r="BD1468" s="157"/>
    </row>
    <row r="1469" spans="2:56" ht="15" thickBot="1">
      <c r="B1469" s="156"/>
      <c r="C1469" s="136" t="s">
        <v>452</v>
      </c>
      <c r="D1469" s="136" t="s">
        <v>384</v>
      </c>
      <c r="E1469" s="138" t="s">
        <v>385</v>
      </c>
      <c r="G1469" s="136" t="s">
        <v>452</v>
      </c>
      <c r="H1469" s="136" t="s">
        <v>384</v>
      </c>
      <c r="I1469" s="138" t="s">
        <v>385</v>
      </c>
      <c r="K1469" s="193" t="s">
        <v>452</v>
      </c>
      <c r="L1469" s="193" t="s">
        <v>384</v>
      </c>
      <c r="M1469" s="194" t="s">
        <v>385</v>
      </c>
      <c r="O1469" s="136" t="s">
        <v>452</v>
      </c>
      <c r="P1469" s="136" t="s">
        <v>384</v>
      </c>
      <c r="Q1469" s="138" t="s">
        <v>385</v>
      </c>
      <c r="S1469" s="136" t="s">
        <v>452</v>
      </c>
      <c r="T1469" s="136" t="s">
        <v>384</v>
      </c>
      <c r="U1469" s="138" t="s">
        <v>385</v>
      </c>
      <c r="W1469" s="136" t="s">
        <v>452</v>
      </c>
      <c r="X1469" s="136" t="s">
        <v>384</v>
      </c>
      <c r="Y1469" s="138" t="s">
        <v>385</v>
      </c>
      <c r="AA1469" s="136" t="s">
        <v>452</v>
      </c>
      <c r="AB1469" s="136" t="s">
        <v>384</v>
      </c>
      <c r="AC1469" s="138" t="s">
        <v>385</v>
      </c>
      <c r="AE1469" s="136" t="s">
        <v>452</v>
      </c>
      <c r="AF1469" s="136" t="s">
        <v>384</v>
      </c>
      <c r="AG1469" s="138" t="s">
        <v>385</v>
      </c>
      <c r="AI1469" s="193" t="s">
        <v>452</v>
      </c>
      <c r="AJ1469" s="193" t="s">
        <v>384</v>
      </c>
      <c r="AK1469" s="194" t="s">
        <v>385</v>
      </c>
      <c r="AM1469" s="193" t="s">
        <v>452</v>
      </c>
      <c r="AN1469" s="193" t="s">
        <v>384</v>
      </c>
      <c r="AO1469" s="194" t="s">
        <v>385</v>
      </c>
      <c r="AQ1469" s="193" t="s">
        <v>452</v>
      </c>
      <c r="AR1469" s="193" t="s">
        <v>384</v>
      </c>
      <c r="AS1469" s="194" t="s">
        <v>385</v>
      </c>
      <c r="BD1469" s="157"/>
    </row>
    <row r="1470" spans="2:56">
      <c r="B1470" s="156"/>
      <c r="C1470" s="128" t="s">
        <v>396</v>
      </c>
      <c r="D1470" s="158">
        <f ca="1">IF(C1468&gt;=1,L1461,8888)</f>
        <v>8888</v>
      </c>
      <c r="E1470" s="160">
        <f ca="1">IF(C1468&gt;=1,1/2*($C$13-P1461-2*P1463)+1/2*P1461,8888)</f>
        <v>8888</v>
      </c>
      <c r="G1470" s="128" t="s">
        <v>396</v>
      </c>
      <c r="H1470" s="158">
        <f ca="1">IF(G1468&gt;=1,L1461,8888)</f>
        <v>8888</v>
      </c>
      <c r="I1470" s="160">
        <f ca="1">IF(G1468&gt;=1,E1481-P1465,8888)</f>
        <v>8888</v>
      </c>
      <c r="K1470" s="128" t="s">
        <v>396</v>
      </c>
      <c r="L1470" s="158">
        <f ca="1">IF(K1468&gt;=1,L1461,8888)</f>
        <v>8888</v>
      </c>
      <c r="M1470" s="160">
        <f ca="1">IF(K1468&gt;=1,IF(FUSELAGE_n_aisles=1,E1481-P1465,I1493-P1465),8888)</f>
        <v>8888</v>
      </c>
      <c r="O1470" s="128" t="s">
        <v>396</v>
      </c>
      <c r="P1470" s="158">
        <f ca="1">IF(O1468,$L1461,8888)</f>
        <v>8888</v>
      </c>
      <c r="Q1470" s="209">
        <f ca="1">IF(O1468,FUSELAGE_y_position_of_left_seat_YC-(FUSELAGE_nseats_right_YC-1)*(SEAT_w_cushion_YC+SEAT_w_armrest_YC)/2+T1466/2,8888)</f>
        <v>8888</v>
      </c>
      <c r="S1470" s="128" t="s">
        <v>396</v>
      </c>
      <c r="T1470" s="158">
        <f ca="1">IF(S1468,$L1461,8888)</f>
        <v>8888</v>
      </c>
      <c r="U1470" s="160">
        <f ca="1">IF(S1468,T1464/2,8888)</f>
        <v>8888</v>
      </c>
      <c r="W1470" s="128" t="s">
        <v>396</v>
      </c>
      <c r="X1470" s="158">
        <f ca="1">IF(W1468,$L1461,8888)</f>
        <v>8888</v>
      </c>
      <c r="Y1470" s="160">
        <f ca="1">IF(W1468,-FUSELAGE_y_position_of_left_seat_YC+(FUSELAGE_nseats_left_YC-1)*(SEAT_w_cushion_YC+SEAT_w_armrest_YC)/2-T1462/2,8888)</f>
        <v>8888</v>
      </c>
      <c r="AA1470" s="128" t="s">
        <v>396</v>
      </c>
      <c r="AB1470" s="158">
        <f ca="1">IF($AA1468,D1470,P1470)</f>
        <v>8888</v>
      </c>
      <c r="AC1470" s="174">
        <f ca="1">IF($AA1468,E1470,Q1470)</f>
        <v>8888</v>
      </c>
      <c r="AE1470" s="128" t="s">
        <v>396</v>
      </c>
      <c r="AF1470" s="158">
        <f ca="1">IF($AE1468,H1470,T1470)</f>
        <v>8888</v>
      </c>
      <c r="AG1470" s="174">
        <f ca="1">IF($AE1468,I1470,U1470)</f>
        <v>8888</v>
      </c>
      <c r="AI1470" s="128" t="s">
        <v>396</v>
      </c>
      <c r="AJ1470" s="158">
        <f ca="1">IF($AI1468,L1470,X1470)</f>
        <v>8888</v>
      </c>
      <c r="AK1470" s="174">
        <f ca="1">IF($AI1468,M1470,Y1470)</f>
        <v>8888</v>
      </c>
      <c r="AM1470" s="128" t="s">
        <v>396</v>
      </c>
      <c r="AN1470" s="158">
        <f ca="1">AN1439</f>
        <v>-18.624000000000006</v>
      </c>
      <c r="AO1470" s="174">
        <f ca="1">IF(AN1470&gt;-Fuselage!$D$366,(FUSELAGE_a_ellipse)*SQRT(1-((AN1470+Fuselage!$D$366)/(Fuselage!$K$364-FUSELAGE_t_fuselage))^2),IF(AN1470&gt;$L$2505+Fuselage!$K$370,FUSELAGE_a_ellipse,(FUSELAGE_a_ellipse+FUSELAGE_t_fuselage-FUSELAGE_d_fo/4)/Fuselage!$K$368*(AN1470-$L$2505-Fuselage!$K$370)+FUSELAGE_a_ellipse))</f>
        <v>1.4960570012328709</v>
      </c>
      <c r="AQ1470" s="128" t="s">
        <v>396</v>
      </c>
      <c r="AR1470" s="158">
        <f t="shared" ref="AR1470:AR1475" ca="1" si="136">AN1470</f>
        <v>-18.624000000000006</v>
      </c>
      <c r="AS1470" s="174">
        <f t="shared" ref="AS1470:AS1475" ca="1" si="137">-AO1470</f>
        <v>-1.4960570012328709</v>
      </c>
      <c r="BD1470" s="157"/>
    </row>
    <row r="1471" spans="2:56">
      <c r="B1471" s="156"/>
      <c r="C1471" s="128" t="s">
        <v>213</v>
      </c>
      <c r="D1471" s="128">
        <f ca="1">IF(X1463,D1470+P1462/4,D1470+P1462)</f>
        <v>8888</v>
      </c>
      <c r="E1471" s="139">
        <f ca="1">E1470</f>
        <v>8888</v>
      </c>
      <c r="G1471" s="128" t="s">
        <v>213</v>
      </c>
      <c r="H1471" s="128">
        <f ca="1">H1470+P1462</f>
        <v>8888</v>
      </c>
      <c r="I1471" s="139">
        <f ca="1">I1470</f>
        <v>8888</v>
      </c>
      <c r="K1471" s="128" t="s">
        <v>213</v>
      </c>
      <c r="L1471" s="128">
        <f ca="1">IF(X1463,IF(K1468=1,L1470+P1462/4,L1470+P1462),L1470+P1462)</f>
        <v>8888</v>
      </c>
      <c r="M1471" s="139">
        <f ca="1">M1470</f>
        <v>8888</v>
      </c>
      <c r="O1471" s="128" t="s">
        <v>213</v>
      </c>
      <c r="P1471" s="128">
        <f ca="1">P1470+$T1465</f>
        <v>8888</v>
      </c>
      <c r="Q1471" s="139">
        <f ca="1">Q1470</f>
        <v>8888</v>
      </c>
      <c r="S1471" s="128" t="s">
        <v>213</v>
      </c>
      <c r="T1471" s="128">
        <f ca="1">T1470+$T1463</f>
        <v>8888</v>
      </c>
      <c r="U1471" s="139">
        <f ca="1">U1470</f>
        <v>8888</v>
      </c>
      <c r="W1471" s="128" t="s">
        <v>213</v>
      </c>
      <c r="X1471" s="128">
        <f ca="1">X1470+$T1461</f>
        <v>8888</v>
      </c>
      <c r="Y1471" s="139">
        <f ca="1">Y1470</f>
        <v>8888</v>
      </c>
      <c r="AA1471" s="143" t="s">
        <v>213</v>
      </c>
      <c r="AB1471" s="128">
        <f ca="1">IF($AA1468,D1471,P1471)</f>
        <v>8888</v>
      </c>
      <c r="AC1471" s="129">
        <f ca="1">IF($AA1468,E1471,Q1471)</f>
        <v>8888</v>
      </c>
      <c r="AE1471" s="128" t="s">
        <v>213</v>
      </c>
      <c r="AF1471" s="128">
        <f ca="1">IF($AE1468,H1471,T1471)</f>
        <v>8888</v>
      </c>
      <c r="AG1471" s="129">
        <f ca="1">IF($AE1468,I1471,U1471)</f>
        <v>8888</v>
      </c>
      <c r="AI1471" s="128" t="s">
        <v>213</v>
      </c>
      <c r="AJ1471" s="128">
        <f ca="1">IF($AI1468,L1471,X1471)</f>
        <v>8888</v>
      </c>
      <c r="AK1471" s="129">
        <f ca="1">IF($AI1468,M1471,Y1471)</f>
        <v>8888</v>
      </c>
      <c r="AM1471" s="128" t="s">
        <v>213</v>
      </c>
      <c r="AN1471" s="128">
        <f ca="1">AN1470-AO1461/2</f>
        <v>-18.624000000000006</v>
      </c>
      <c r="AO1471" s="129">
        <f ca="1">IF(AN1471&gt;-Fuselage!$D$366,(FUSELAGE_a_ellipse)*SQRT(1-((AN1471+Fuselage!$D$366)/(Fuselage!$K$364-FUSELAGE_t_fuselage))^2),IF(AN1471&gt;$L$2505+Fuselage!$K$370,FUSELAGE_a_ellipse,(FUSELAGE_a_ellipse+FUSELAGE_t_fuselage-FUSELAGE_d_fo/4)/Fuselage!$K$368*(AN1471-$L$2505-Fuselage!$K$370)+FUSELAGE_a_ellipse))</f>
        <v>1.4960570012328709</v>
      </c>
      <c r="AQ1471" s="128" t="s">
        <v>213</v>
      </c>
      <c r="AR1471" s="128">
        <f t="shared" ca="1" si="136"/>
        <v>-18.624000000000006</v>
      </c>
      <c r="AS1471" s="129">
        <f t="shared" ca="1" si="137"/>
        <v>-1.4960570012328709</v>
      </c>
      <c r="BD1471" s="157"/>
    </row>
    <row r="1472" spans="2:56">
      <c r="B1472" s="156"/>
      <c r="C1472" s="128" t="s">
        <v>286</v>
      </c>
      <c r="D1472" s="128">
        <f ca="1">D1471</f>
        <v>8888</v>
      </c>
      <c r="E1472" s="139">
        <f ca="1">E1471-P1461</f>
        <v>8888</v>
      </c>
      <c r="G1472" s="128" t="s">
        <v>286</v>
      </c>
      <c r="H1472" s="128">
        <f ca="1">H1471</f>
        <v>8888</v>
      </c>
      <c r="I1472" s="139">
        <f ca="1">I1471-P1461</f>
        <v>8888</v>
      </c>
      <c r="K1472" s="128" t="s">
        <v>286</v>
      </c>
      <c r="L1472" s="128">
        <f ca="1">L1471</f>
        <v>8888</v>
      </c>
      <c r="M1472" s="139">
        <f ca="1">M1471-P1461</f>
        <v>8888</v>
      </c>
      <c r="O1472" s="128" t="s">
        <v>286</v>
      </c>
      <c r="P1472" s="128">
        <f ca="1">P1471</f>
        <v>8888</v>
      </c>
      <c r="Q1472" s="139">
        <f ca="1">Q1471-$T1466</f>
        <v>8888</v>
      </c>
      <c r="S1472" s="128" t="s">
        <v>286</v>
      </c>
      <c r="T1472" s="128">
        <f ca="1">T1471</f>
        <v>8888</v>
      </c>
      <c r="U1472" s="139">
        <f ca="1">U1471-$T1464</f>
        <v>8888</v>
      </c>
      <c r="W1472" s="128" t="s">
        <v>286</v>
      </c>
      <c r="X1472" s="128">
        <f ca="1">X1471</f>
        <v>8888</v>
      </c>
      <c r="Y1472" s="139">
        <f ca="1">Y1471+$T1462</f>
        <v>8888</v>
      </c>
      <c r="AA1472" s="143" t="s">
        <v>286</v>
      </c>
      <c r="AB1472" s="128">
        <f ca="1">IF($AA1468,D1472,P1472)</f>
        <v>8888</v>
      </c>
      <c r="AC1472" s="129">
        <f ca="1">IF($AA1468,E1472,Q1472)</f>
        <v>8888</v>
      </c>
      <c r="AE1472" s="128" t="s">
        <v>286</v>
      </c>
      <c r="AF1472" s="128">
        <f ca="1">IF($AE1468,H1472,T1472)</f>
        <v>8888</v>
      </c>
      <c r="AG1472" s="129">
        <f ca="1">IF($AE1468,I1472,U1472)</f>
        <v>8888</v>
      </c>
      <c r="AI1472" s="128" t="s">
        <v>286</v>
      </c>
      <c r="AJ1472" s="128">
        <f ca="1">IF($AI1468,L1472,X1472)</f>
        <v>8888</v>
      </c>
      <c r="AK1472" s="129">
        <f ca="1">IF($AI1468,M1472,Y1472)</f>
        <v>8888</v>
      </c>
      <c r="AM1472" s="128" t="s">
        <v>286</v>
      </c>
      <c r="AN1472" s="128">
        <f ca="1">AN1471</f>
        <v>-18.624000000000006</v>
      </c>
      <c r="AO1472" s="129">
        <f ca="1">IF(AN1472&gt;-Fuselage!$D$366,IF(AM1468,(FUSELAGE_a_ellipse+FUSELAGE_t_fuselage)*SQRT(1-((AN1472+Fuselage!$D$366)/Fuselage!$K$364)^2),(FUSELAGE_a_ellipse)*SQRT(1-((AN1472+Fuselage!$D$366)/Fuselage!$K$364)^2)),IF(AN1472&gt;$L$2505+Fuselage!$K$370,(IF(AM1468,FUSELAGE_a_ellipse+FUSELAGE_t_fuselage,FUSELAGE_a_ellipse)),IF(AM1468,(FUSELAGE_a_ellipse+FUSELAGE_t_fuselage-FUSELAGE_d_fo/4)/Fuselage!$K$368*(AN1472-$L$2505-Fuselage!$K$370)+FUSELAGE_a_ellipse+FUSELAGE_t_fuselage,(FUSELAGE_a_ellipse+FUSELAGE_t_fuselage-FUSELAGE_d_fo/4)/Fuselage!$K$368*(AN1472-$L$2505-Fuselage!$K$370)+FUSELAGE_a_ellipse)))</f>
        <v>1.4960570012328709</v>
      </c>
      <c r="AQ1472" s="128" t="s">
        <v>286</v>
      </c>
      <c r="AR1472" s="128">
        <f t="shared" ca="1" si="136"/>
        <v>-18.624000000000006</v>
      </c>
      <c r="AS1472" s="129">
        <f t="shared" ca="1" si="137"/>
        <v>-1.4960570012328709</v>
      </c>
      <c r="BD1472" s="157"/>
    </row>
    <row r="1473" spans="2:56">
      <c r="B1473" s="156"/>
      <c r="C1473" s="188" t="s">
        <v>522</v>
      </c>
      <c r="D1473" s="188">
        <f ca="1">D1470</f>
        <v>8888</v>
      </c>
      <c r="E1473" s="189">
        <f ca="1">E1472</f>
        <v>8888</v>
      </c>
      <c r="F1473" s="157"/>
      <c r="G1473" s="2" t="s">
        <v>522</v>
      </c>
      <c r="H1473" s="128">
        <f ca="1">H1470</f>
        <v>8888</v>
      </c>
      <c r="I1473" s="139">
        <f ca="1">I1472</f>
        <v>8888</v>
      </c>
      <c r="K1473" s="128" t="s">
        <v>522</v>
      </c>
      <c r="L1473" s="128">
        <f ca="1">L1470</f>
        <v>8888</v>
      </c>
      <c r="M1473" s="139">
        <f ca="1">M1472</f>
        <v>8888</v>
      </c>
      <c r="O1473" s="188" t="s">
        <v>522</v>
      </c>
      <c r="P1473" s="188">
        <f ca="1">P1470</f>
        <v>8888</v>
      </c>
      <c r="Q1473" s="189">
        <f ca="1">Q1472</f>
        <v>8888</v>
      </c>
      <c r="S1473" s="188" t="s">
        <v>522</v>
      </c>
      <c r="T1473" s="188">
        <f ca="1">T1470</f>
        <v>8888</v>
      </c>
      <c r="U1473" s="189">
        <f ca="1">U1472</f>
        <v>8888</v>
      </c>
      <c r="W1473" s="188" t="s">
        <v>522</v>
      </c>
      <c r="X1473" s="188">
        <f ca="1">X1470</f>
        <v>8888</v>
      </c>
      <c r="Y1473" s="189">
        <f ca="1">Y1472</f>
        <v>8888</v>
      </c>
      <c r="AA1473" s="195" t="s">
        <v>522</v>
      </c>
      <c r="AB1473" s="128">
        <f ca="1">IF($AA1468,D1473,P1473)</f>
        <v>8888</v>
      </c>
      <c r="AC1473" s="129">
        <f ca="1">IF($AA1468,E1473,Q1473)</f>
        <v>8888</v>
      </c>
      <c r="AD1473" s="157"/>
      <c r="AE1473" s="2" t="s">
        <v>522</v>
      </c>
      <c r="AF1473" s="188">
        <f ca="1">IF($AE1468,H1473,T1473)</f>
        <v>8888</v>
      </c>
      <c r="AG1473" s="196">
        <f ca="1">IF($AE1468,I1473,U1473)</f>
        <v>8888</v>
      </c>
      <c r="AI1473" s="128" t="s">
        <v>522</v>
      </c>
      <c r="AJ1473" s="188">
        <f ca="1">IF($AI1468,L1473,X1473)</f>
        <v>8888</v>
      </c>
      <c r="AK1473" s="196">
        <f ca="1">IF($AI1468,M1473,Y1473)</f>
        <v>8888</v>
      </c>
      <c r="AM1473" s="128" t="s">
        <v>522</v>
      </c>
      <c r="AN1473" s="128">
        <f ca="1">AN1472-X1462</f>
        <v>-18.624000000000006</v>
      </c>
      <c r="AO1473" s="129">
        <f ca="1">IF(AN1473&gt;-Fuselage!$D$366,IF(AM1468,(FUSELAGE_a_ellipse+FUSELAGE_t_fuselage)*SQRT(1-((AN1473+Fuselage!$D$366)/Fuselage!$K$364)^2),(FUSELAGE_a_ellipse)*SQRT(1-((AN1473+Fuselage!$D$366)/Fuselage!$K$364)^2)),IF(AN1473&gt;$L$2505+Fuselage!$K$370,(IF(AM1468,FUSELAGE_a_ellipse+FUSELAGE_t_fuselage,FUSELAGE_a_ellipse)),IF(AM1468,(FUSELAGE_a_ellipse+FUSELAGE_t_fuselage-FUSELAGE_d_fo/4)/Fuselage!$K$368*(AN1473-$L$2505-Fuselage!$K$370)+FUSELAGE_a_ellipse+FUSELAGE_t_fuselage,(FUSELAGE_a_ellipse+FUSELAGE_t_fuselage-FUSELAGE_d_fo/4)/Fuselage!$K$368*(AN1473-$L$2505-Fuselage!$K$370)+FUSELAGE_a_ellipse)))</f>
        <v>1.4960570012328709</v>
      </c>
      <c r="AQ1473" s="128" t="s">
        <v>522</v>
      </c>
      <c r="AR1473" s="128">
        <f t="shared" ca="1" si="136"/>
        <v>-18.624000000000006</v>
      </c>
      <c r="AS1473" s="129">
        <f t="shared" ca="1" si="137"/>
        <v>-1.4960570012328709</v>
      </c>
      <c r="BD1473" s="157"/>
    </row>
    <row r="1474" spans="2:56" ht="15" thickBot="1">
      <c r="B1474" s="156"/>
      <c r="C1474" s="128" t="s">
        <v>49</v>
      </c>
      <c r="D1474" s="128">
        <f ca="1">IF(C1468&gt;=2,D1470,D1473)</f>
        <v>8888</v>
      </c>
      <c r="E1474" s="139">
        <f ca="1">IF(C1468&gt;=2,E1473-P1463,E1473)</f>
        <v>8888</v>
      </c>
      <c r="F1474" s="157"/>
      <c r="G1474" s="192" t="s">
        <v>49</v>
      </c>
      <c r="H1474" s="190">
        <f ca="1">IF(G1468&gt;=2,H1470,H1473)</f>
        <v>8888</v>
      </c>
      <c r="I1474" s="191">
        <f ca="1">IF(G1468&gt;=2,I1473-P1463,I1473)</f>
        <v>8888</v>
      </c>
      <c r="K1474" s="190" t="s">
        <v>49</v>
      </c>
      <c r="L1474" s="190">
        <f ca="1">IF(K1468&gt;=2,L1470,L1473)</f>
        <v>8888</v>
      </c>
      <c r="M1474" s="191">
        <f ca="1">IF(K1468&gt;=2,M1473-P1463,M1473)</f>
        <v>8888</v>
      </c>
      <c r="O1474" s="130" t="s">
        <v>396</v>
      </c>
      <c r="P1474" s="130">
        <f ca="1">P1470</f>
        <v>8888</v>
      </c>
      <c r="Q1474" s="140">
        <f ca="1">Q1470</f>
        <v>8888</v>
      </c>
      <c r="S1474" s="130" t="s">
        <v>396</v>
      </c>
      <c r="T1474" s="130">
        <f ca="1">T1470</f>
        <v>8888</v>
      </c>
      <c r="U1474" s="140">
        <f ca="1">U1470</f>
        <v>8888</v>
      </c>
      <c r="W1474" s="130" t="s">
        <v>396</v>
      </c>
      <c r="X1474" s="130">
        <f ca="1">X1470</f>
        <v>8888</v>
      </c>
      <c r="Y1474" s="140">
        <f ca="1">Y1470</f>
        <v>8888</v>
      </c>
      <c r="AA1474" s="143" t="s">
        <v>49</v>
      </c>
      <c r="AB1474" s="128">
        <f ca="1">IF($AA1468,D1474,P1474)</f>
        <v>8888</v>
      </c>
      <c r="AC1474" s="129">
        <f ca="1">IF($AA1468,E1474,Q1474)</f>
        <v>8888</v>
      </c>
      <c r="AD1474" s="157"/>
      <c r="AE1474" s="192" t="s">
        <v>49</v>
      </c>
      <c r="AF1474" s="128">
        <f ca="1">IF($AE1468,H1474,T1474)</f>
        <v>8888</v>
      </c>
      <c r="AG1474" s="129">
        <f ca="1">IF($AE1468,I1474,U1474)</f>
        <v>8888</v>
      </c>
      <c r="AI1474" s="190" t="s">
        <v>49</v>
      </c>
      <c r="AJ1474" s="128">
        <f ca="1">IF($AI1468,L1474,X1474)</f>
        <v>8888</v>
      </c>
      <c r="AK1474" s="129">
        <f ca="1">IF($AI1468,M1474,Y1474)</f>
        <v>8888</v>
      </c>
      <c r="AM1474" s="128" t="s">
        <v>49</v>
      </c>
      <c r="AN1474" s="128">
        <f ca="1">AN1473</f>
        <v>-18.624000000000006</v>
      </c>
      <c r="AO1474" s="129">
        <f ca="1">IF(AN1474&gt;-Fuselage!$D$366,(FUSELAGE_a_ellipse)*SQRT(1-((AN1474+Fuselage!$D$366)/(Fuselage!$K$364-FUSELAGE_t_fuselage))^2),IF(AN1474&gt;$L$2505+Fuselage!$K$370,FUSELAGE_a_ellipse,(FUSELAGE_a_ellipse+FUSELAGE_t_fuselage-FUSELAGE_d_fo/4)/Fuselage!$K$368*(AN1474-$L$2505-Fuselage!$K$370)+FUSELAGE_a_ellipse))</f>
        <v>1.4960570012328709</v>
      </c>
      <c r="AQ1474" s="128" t="s">
        <v>49</v>
      </c>
      <c r="AR1474" s="128">
        <f t="shared" ca="1" si="136"/>
        <v>-18.624000000000006</v>
      </c>
      <c r="AS1474" s="129">
        <f t="shared" ca="1" si="137"/>
        <v>-1.4960570012328709</v>
      </c>
      <c r="BD1474" s="157"/>
    </row>
    <row r="1475" spans="2:56">
      <c r="B1475" s="156"/>
      <c r="C1475" s="128" t="s">
        <v>453</v>
      </c>
      <c r="D1475" s="128">
        <f ca="1">IF(C1468&gt;=2,D1470+P1462,D1473)</f>
        <v>8888</v>
      </c>
      <c r="E1475" s="139">
        <f ca="1">E1474</f>
        <v>8888</v>
      </c>
      <c r="F1475" s="157"/>
      <c r="G1475" s="2" t="s">
        <v>453</v>
      </c>
      <c r="H1475" s="128">
        <f ca="1">IF(G1468&gt;=2,H1471,H1473)</f>
        <v>8888</v>
      </c>
      <c r="I1475" s="139">
        <f ca="1">IF(G1468&gt;=2,I1474,I1473)</f>
        <v>8888</v>
      </c>
      <c r="K1475" s="128" t="s">
        <v>453</v>
      </c>
      <c r="L1475" s="128">
        <f ca="1">IF(K1468&gt;=2,IF(X1463,IF(K1468=2,L1470+P1462/4,L1470+P1462),L1470+P1462),L1473)</f>
        <v>8888</v>
      </c>
      <c r="M1475" s="139">
        <f ca="1">IF(K1468&gt;=2,M1474,M1473)</f>
        <v>8888</v>
      </c>
      <c r="AA1475" s="143" t="s">
        <v>453</v>
      </c>
      <c r="AB1475" s="128">
        <f ca="1">IF($AA1468,D1475,AB1474)</f>
        <v>8888</v>
      </c>
      <c r="AC1475" s="129">
        <f ca="1">IF($AA1468,E1475,AC1474)</f>
        <v>8888</v>
      </c>
      <c r="AD1475" s="157"/>
      <c r="AE1475" s="2" t="s">
        <v>453</v>
      </c>
      <c r="AF1475" s="128">
        <f ca="1">IF($AE1468,H1475,AF1474)</f>
        <v>8888</v>
      </c>
      <c r="AG1475" s="129">
        <f ca="1">IF($AE1468,I1475,AG1474)</f>
        <v>8888</v>
      </c>
      <c r="AI1475" s="128" t="s">
        <v>453</v>
      </c>
      <c r="AJ1475" s="128">
        <f ca="1">IF($AI1468,L1475,AJ1474)</f>
        <v>8888</v>
      </c>
      <c r="AK1475" s="129">
        <f ca="1">IF($AI1468,M1475,AK1474)</f>
        <v>8888</v>
      </c>
      <c r="AM1475" s="128" t="s">
        <v>453</v>
      </c>
      <c r="AN1475" s="128">
        <f ca="1">L1461</f>
        <v>-18.624000000000006</v>
      </c>
      <c r="AO1475" s="129">
        <f ca="1">IF(AN1475&gt;-Fuselage!$D$366,(FUSELAGE_a_ellipse)*SQRT(1-((AN1475+Fuselage!$D$366)/(Fuselage!$K$364-FUSELAGE_t_fuselage))^2),IF(AN1475&gt;$L$2505+Fuselage!$K$370,FUSELAGE_a_ellipse,(FUSELAGE_a_ellipse+FUSELAGE_t_fuselage-FUSELAGE_d_fo/4)/Fuselage!$K$368*(AN1475-$L$2505-Fuselage!$K$370)+FUSELAGE_a_ellipse))</f>
        <v>1.4960570012328709</v>
      </c>
      <c r="AQ1475" s="128" t="s">
        <v>453</v>
      </c>
      <c r="AR1475" s="128">
        <f t="shared" ca="1" si="136"/>
        <v>-18.624000000000006</v>
      </c>
      <c r="AS1475" s="129">
        <f t="shared" ca="1" si="137"/>
        <v>-1.4960570012328709</v>
      </c>
      <c r="BD1475" s="157"/>
    </row>
    <row r="1476" spans="2:56">
      <c r="B1476" s="156"/>
      <c r="C1476" s="128" t="s">
        <v>394</v>
      </c>
      <c r="D1476" s="128">
        <f ca="1">IF(C1468&gt;=2,D1475,D1473)</f>
        <v>8888</v>
      </c>
      <c r="E1476" s="139">
        <f ca="1">IF(C1468&gt;=2,E1474-P1461,E1473)</f>
        <v>8888</v>
      </c>
      <c r="F1476" s="157"/>
      <c r="G1476" s="2" t="s">
        <v>394</v>
      </c>
      <c r="H1476" s="128">
        <f ca="1">IF(G1468&gt;=2,H1471,H1473)</f>
        <v>8888</v>
      </c>
      <c r="I1476" s="139">
        <f ca="1">IF(G1468&gt;=2,I1475-P1461,I1473)</f>
        <v>8888</v>
      </c>
      <c r="K1476" s="128" t="s">
        <v>394</v>
      </c>
      <c r="L1476" s="128">
        <f ca="1">L1475</f>
        <v>8888</v>
      </c>
      <c r="M1476" s="139">
        <f ca="1">IF(K1468&gt;=2,M1475-P1461,M1473)</f>
        <v>8888</v>
      </c>
      <c r="AA1476" s="143" t="s">
        <v>394</v>
      </c>
      <c r="AB1476" s="128">
        <f ca="1">IF($AA1468,D1476,AB1474)</f>
        <v>8888</v>
      </c>
      <c r="AC1476" s="129">
        <f ca="1">IF($AA1468,E1476,AC1474)</f>
        <v>8888</v>
      </c>
      <c r="AD1476" s="157"/>
      <c r="AE1476" s="2" t="s">
        <v>394</v>
      </c>
      <c r="AF1476" s="128">
        <f ca="1">IF($AE1468,H1476,AF1474)</f>
        <v>8888</v>
      </c>
      <c r="AG1476" s="129">
        <f ca="1">IF($AE1468,I1476,AG1474)</f>
        <v>8888</v>
      </c>
      <c r="AI1476" s="128" t="s">
        <v>394</v>
      </c>
      <c r="AJ1476" s="128">
        <f ca="1">IF($AI1468,L1476,AJ1474)</f>
        <v>8888</v>
      </c>
      <c r="AK1476" s="129">
        <f ca="1">IF($AI1468,M1476,AK1474)</f>
        <v>8888</v>
      </c>
      <c r="BD1476" s="157"/>
    </row>
    <row r="1477" spans="2:56">
      <c r="B1477" s="156"/>
      <c r="C1477" s="188" t="s">
        <v>454</v>
      </c>
      <c r="D1477" s="188">
        <f ca="1">IF(C1468&gt;=2,D1470,D1473)</f>
        <v>8888</v>
      </c>
      <c r="E1477" s="189">
        <f ca="1">E1476</f>
        <v>8888</v>
      </c>
      <c r="F1477" s="157"/>
      <c r="G1477" s="115" t="s">
        <v>454</v>
      </c>
      <c r="H1477" s="188">
        <f ca="1">IF(G1468&gt;=2,H1470,H1473)</f>
        <v>8888</v>
      </c>
      <c r="I1477" s="189">
        <f ca="1">IF(G1468&gt;=2,I1476,I1473)</f>
        <v>8888</v>
      </c>
      <c r="K1477" s="188" t="s">
        <v>454</v>
      </c>
      <c r="L1477" s="188">
        <f ca="1">IF(K1468&gt;=2,L1470,L1473)</f>
        <v>8888</v>
      </c>
      <c r="M1477" s="189">
        <f ca="1">IF(K1468&gt;=2,M1476,M1473)</f>
        <v>8888</v>
      </c>
      <c r="AA1477" s="195" t="s">
        <v>454</v>
      </c>
      <c r="AB1477" s="128">
        <f ca="1">IF($AA1468,D1477,AB1474)</f>
        <v>8888</v>
      </c>
      <c r="AC1477" s="129">
        <f ca="1">IF($AA1468,E1477,AC1474)</f>
        <v>8888</v>
      </c>
      <c r="AD1477" s="157"/>
      <c r="AE1477" s="115" t="s">
        <v>454</v>
      </c>
      <c r="AF1477" s="188">
        <f ca="1">IF($AE1468,H1477,AF1474)</f>
        <v>8888</v>
      </c>
      <c r="AG1477" s="196">
        <f ca="1">IF($AE1468,I1477,AG1474)</f>
        <v>8888</v>
      </c>
      <c r="AI1477" s="188" t="s">
        <v>454</v>
      </c>
      <c r="AJ1477" s="188">
        <f ca="1">IF($AI1468,L1477,AJ1474)</f>
        <v>8888</v>
      </c>
      <c r="AK1477" s="196">
        <f ca="1">IF($AI1468,M1477,AK1474)</f>
        <v>8888</v>
      </c>
      <c r="BD1477" s="157"/>
    </row>
    <row r="1478" spans="2:56">
      <c r="B1478" s="156"/>
      <c r="C1478" s="128" t="s">
        <v>507</v>
      </c>
      <c r="D1478" s="128">
        <f ca="1">IF(C1468&gt;=3,D1470,D1477)</f>
        <v>8888</v>
      </c>
      <c r="E1478" s="139">
        <f ca="1">IF(C1468&gt;=3,E1477-P1463,E1477)</f>
        <v>8888</v>
      </c>
      <c r="F1478" s="157"/>
      <c r="G1478" s="2" t="s">
        <v>507</v>
      </c>
      <c r="H1478" s="128">
        <f ca="1">IF(G1468&gt;=3,H1470,H1477)</f>
        <v>8888</v>
      </c>
      <c r="I1478" s="139">
        <f ca="1">IF(G1468&gt;=3,I1477-P1463,I1477)</f>
        <v>8888</v>
      </c>
      <c r="K1478" s="128" t="s">
        <v>507</v>
      </c>
      <c r="L1478" s="128">
        <f ca="1">IF(K1468&gt;=3,L1470,L1477)</f>
        <v>8888</v>
      </c>
      <c r="M1478" s="139">
        <f ca="1">IF(K1468&gt;=3,M1477-P1463,M1477)</f>
        <v>8888</v>
      </c>
      <c r="AA1478" s="143" t="s">
        <v>507</v>
      </c>
      <c r="AB1478" s="128">
        <f ca="1">IF($AA1468,D1478,AB1474)</f>
        <v>8888</v>
      </c>
      <c r="AC1478" s="129">
        <f ca="1">IF($AA1468,E1478,AC1474)</f>
        <v>8888</v>
      </c>
      <c r="AD1478" s="157"/>
      <c r="AE1478" s="2" t="s">
        <v>507</v>
      </c>
      <c r="AF1478" s="128">
        <f ca="1">IF($AE1468,H1478,AF1474)</f>
        <v>8888</v>
      </c>
      <c r="AG1478" s="129">
        <f ca="1">IF($AE1468,I1478,AG1474)</f>
        <v>8888</v>
      </c>
      <c r="AI1478" s="128" t="s">
        <v>507</v>
      </c>
      <c r="AJ1478" s="128">
        <f ca="1">IF($AI1468,L1478,AJ1474)</f>
        <v>8888</v>
      </c>
      <c r="AK1478" s="129">
        <f ca="1">IF($AI1468,M1478,AK1474)</f>
        <v>8888</v>
      </c>
      <c r="BD1478" s="157"/>
    </row>
    <row r="1479" spans="2:56">
      <c r="B1479" s="156"/>
      <c r="C1479" s="128" t="s">
        <v>455</v>
      </c>
      <c r="D1479" s="128">
        <f ca="1">IF(C1468&gt;=3,D1475,D1477)</f>
        <v>8888</v>
      </c>
      <c r="E1479" s="139">
        <f ca="1">E1478</f>
        <v>8888</v>
      </c>
      <c r="F1479" s="157"/>
      <c r="G1479" s="2" t="s">
        <v>455</v>
      </c>
      <c r="H1479" s="128">
        <f ca="1">IF(G1468&gt;=3,H1471,H1477)</f>
        <v>8888</v>
      </c>
      <c r="I1479" s="139">
        <f ca="1">IF(G1468&gt;=3,I1478,I1477)</f>
        <v>8888</v>
      </c>
      <c r="K1479" s="128" t="s">
        <v>455</v>
      </c>
      <c r="L1479" s="128">
        <f ca="1">IF(K1468&gt;=3,IF(X1463,IF(K1468=3,L1470+P1462/4,L1470+P1462),L1470+P1462),L1473)</f>
        <v>8888</v>
      </c>
      <c r="M1479" s="139">
        <f ca="1">IF(K1468&gt;=3,M1478,M1477)</f>
        <v>8888</v>
      </c>
      <c r="AA1479" s="143" t="s">
        <v>455</v>
      </c>
      <c r="AB1479" s="128">
        <f ca="1">IF($AA1468,D1479,AB1474)</f>
        <v>8888</v>
      </c>
      <c r="AC1479" s="129">
        <f ca="1">IF($AA1468,E1479,AC1474)</f>
        <v>8888</v>
      </c>
      <c r="AD1479" s="157"/>
      <c r="AE1479" s="2" t="s">
        <v>455</v>
      </c>
      <c r="AF1479" s="128">
        <f ca="1">IF($AE1468,H1479,AF1474)</f>
        <v>8888</v>
      </c>
      <c r="AG1479" s="129">
        <f ca="1">IF($AE1468,I1479,AG1474)</f>
        <v>8888</v>
      </c>
      <c r="AI1479" s="128" t="s">
        <v>455</v>
      </c>
      <c r="AJ1479" s="128">
        <f ca="1">IF($AI1468,L1479,AJ1474)</f>
        <v>8888</v>
      </c>
      <c r="AK1479" s="129">
        <f ca="1">IF($AI1468,M1479,AK1474)</f>
        <v>8888</v>
      </c>
      <c r="AL1479" s="156"/>
      <c r="BD1479" s="157"/>
    </row>
    <row r="1480" spans="2:56">
      <c r="B1480" s="156"/>
      <c r="C1480" s="128" t="s">
        <v>311</v>
      </c>
      <c r="D1480" s="128">
        <f ca="1">IF(C1468&gt;=3,D1475,D1477)</f>
        <v>8888</v>
      </c>
      <c r="E1480" s="139">
        <f ca="1">IF(C1468&gt;=3,E1479-P1461,E1477)</f>
        <v>8888</v>
      </c>
      <c r="F1480" s="157"/>
      <c r="G1480" s="2" t="s">
        <v>311</v>
      </c>
      <c r="H1480" s="128">
        <f ca="1">IF(G1468&gt;=3,H1471,H1477)</f>
        <v>8888</v>
      </c>
      <c r="I1480" s="139">
        <f ca="1">IF(G1468&gt;=3,I1479-P1461,I1477)</f>
        <v>8888</v>
      </c>
      <c r="K1480" s="128" t="s">
        <v>311</v>
      </c>
      <c r="L1480" s="128">
        <f ca="1">L1479</f>
        <v>8888</v>
      </c>
      <c r="M1480" s="139">
        <f ca="1">IF(K1468&gt;=3,M1479-P1461,M1477)</f>
        <v>8888</v>
      </c>
      <c r="AA1480" s="143" t="s">
        <v>311</v>
      </c>
      <c r="AB1480" s="128">
        <f ca="1">IF($AA1468,D1480,AB1474)</f>
        <v>8888</v>
      </c>
      <c r="AC1480" s="129">
        <f ca="1">IF($AA1468,E1480,AC1474)</f>
        <v>8888</v>
      </c>
      <c r="AD1480" s="157"/>
      <c r="AE1480" s="2" t="s">
        <v>311</v>
      </c>
      <c r="AF1480" s="128">
        <f ca="1">IF($AE1468,H1480,AF1474)</f>
        <v>8888</v>
      </c>
      <c r="AG1480" s="129">
        <f ca="1">IF($AE1468,I1480,AG1474)</f>
        <v>8888</v>
      </c>
      <c r="AI1480" s="128" t="s">
        <v>311</v>
      </c>
      <c r="AJ1480" s="128">
        <f ca="1">IF($AI1468,L1480,AJ1474)</f>
        <v>8888</v>
      </c>
      <c r="AK1480" s="129">
        <f ca="1">IF($AI1468,M1480,AK1474)</f>
        <v>8888</v>
      </c>
      <c r="AL1480" s="156"/>
      <c r="BD1480" s="157"/>
    </row>
    <row r="1481" spans="2:56">
      <c r="B1481" s="156"/>
      <c r="C1481" s="188" t="s">
        <v>35</v>
      </c>
      <c r="D1481" s="188">
        <f ca="1">IF(C1468&gt;=3,D1470,D1477)</f>
        <v>8888</v>
      </c>
      <c r="E1481" s="189">
        <f ca="1">E1480</f>
        <v>8888</v>
      </c>
      <c r="F1481" s="157"/>
      <c r="G1481" s="2" t="s">
        <v>35</v>
      </c>
      <c r="H1481" s="188">
        <f ca="1">IF(G1468&gt;=3,H1470,H1477)</f>
        <v>8888</v>
      </c>
      <c r="I1481" s="189">
        <f ca="1">IF(G1468&gt;=3,I1480,I1477)</f>
        <v>8888</v>
      </c>
      <c r="K1481" s="188" t="s">
        <v>35</v>
      </c>
      <c r="L1481" s="188">
        <f ca="1">IF(K1468&gt;=3,L1470,L1477)</f>
        <v>8888</v>
      </c>
      <c r="M1481" s="189">
        <f ca="1">IF(K1468&gt;=3,M1480,M1477)</f>
        <v>8888</v>
      </c>
      <c r="AA1481" s="143" t="s">
        <v>35</v>
      </c>
      <c r="AB1481" s="128">
        <f ca="1">IF($AA1468,D1481,AB1474)</f>
        <v>8888</v>
      </c>
      <c r="AC1481" s="129">
        <f ca="1">IF($AA1468,E1481,AC1474)</f>
        <v>8888</v>
      </c>
      <c r="AD1481" s="157"/>
      <c r="AE1481" s="2" t="s">
        <v>35</v>
      </c>
      <c r="AF1481" s="188">
        <f ca="1">IF($AE1468,H1481,AF1474)</f>
        <v>8888</v>
      </c>
      <c r="AG1481" s="196">
        <f ca="1">IF($AE1468,I1481,AG1474)</f>
        <v>8888</v>
      </c>
      <c r="AI1481" s="128" t="s">
        <v>35</v>
      </c>
      <c r="AJ1481" s="128">
        <f ca="1">IF($AI1468,L1481,AJ1474)</f>
        <v>8888</v>
      </c>
      <c r="AK1481" s="129">
        <f ca="1">IF($AI1468,M1481,AK1474)</f>
        <v>8888</v>
      </c>
      <c r="AL1481" s="156"/>
      <c r="BD1481" s="157"/>
    </row>
    <row r="1482" spans="2:56" ht="15" thickBot="1">
      <c r="B1482" s="156"/>
      <c r="C1482" s="130" t="s">
        <v>396</v>
      </c>
      <c r="D1482" s="130">
        <f ca="1">D1470</f>
        <v>8888</v>
      </c>
      <c r="E1482" s="140">
        <f ca="1">E1470</f>
        <v>8888</v>
      </c>
      <c r="F1482" s="157"/>
      <c r="G1482" s="192" t="s">
        <v>312</v>
      </c>
      <c r="H1482" s="128">
        <f ca="1">IF(G1468&gt;=4,H1470,H1481)</f>
        <v>8888</v>
      </c>
      <c r="I1482" s="139">
        <f ca="1">IF(G1468&gt;=4,I1481-P1463,I1481)</f>
        <v>8888</v>
      </c>
      <c r="K1482" s="130" t="s">
        <v>396</v>
      </c>
      <c r="L1482" s="130">
        <f ca="1">L1470</f>
        <v>8888</v>
      </c>
      <c r="M1482" s="140">
        <f ca="1">M1470</f>
        <v>8888</v>
      </c>
      <c r="AA1482" s="144" t="s">
        <v>396</v>
      </c>
      <c r="AB1482" s="130">
        <f ca="1">IF($AA1468,D1482,AB1474)</f>
        <v>8888</v>
      </c>
      <c r="AC1482" s="132">
        <f ca="1">IF($AA1468,E1482,AC1474)</f>
        <v>8888</v>
      </c>
      <c r="AD1482" s="157"/>
      <c r="AE1482" s="192" t="s">
        <v>312</v>
      </c>
      <c r="AF1482" s="128">
        <f ca="1">IF($AE1468,H1482,AF1474)</f>
        <v>8888</v>
      </c>
      <c r="AG1482" s="129">
        <f ca="1">IF($AE1468,I1482,AG1474)</f>
        <v>8888</v>
      </c>
      <c r="AI1482" s="130" t="s">
        <v>396</v>
      </c>
      <c r="AJ1482" s="130">
        <f ca="1">IF($AI1468,L1482,AJ1474)</f>
        <v>8888</v>
      </c>
      <c r="AK1482" s="132">
        <f ca="1">IF($AI1468,M1482,AK1474)</f>
        <v>8888</v>
      </c>
      <c r="BD1482" s="157"/>
    </row>
    <row r="1483" spans="2:56">
      <c r="B1483" s="156"/>
      <c r="F1483" s="157"/>
      <c r="G1483" s="2" t="s">
        <v>313</v>
      </c>
      <c r="H1483" s="128">
        <f ca="1">IF(G1468&gt;=4,H1471,H1481)</f>
        <v>8888</v>
      </c>
      <c r="I1483" s="139">
        <f ca="1">IF(G1468&gt;=4,I1482,I1481)</f>
        <v>8888</v>
      </c>
      <c r="AD1483" s="157"/>
      <c r="AE1483" s="2" t="s">
        <v>313</v>
      </c>
      <c r="AF1483" s="128">
        <f ca="1">IF($AE1468,H1483,AF1474)</f>
        <v>8888</v>
      </c>
      <c r="AG1483" s="129">
        <f ca="1">IF($AE1468,I1483,AG1474)</f>
        <v>8888</v>
      </c>
      <c r="BD1483" s="157"/>
    </row>
    <row r="1484" spans="2:56">
      <c r="B1484" s="156"/>
      <c r="F1484" s="157"/>
      <c r="G1484" s="2" t="s">
        <v>7</v>
      </c>
      <c r="H1484" s="128">
        <f ca="1">IF(G1468&gt;=4,H1471,H1481)</f>
        <v>8888</v>
      </c>
      <c r="I1484" s="139">
        <f ca="1">IF(G1468&gt;=4,I1483-P1461,I1481)</f>
        <v>8888</v>
      </c>
      <c r="AD1484" s="157"/>
      <c r="AE1484" s="2" t="s">
        <v>7</v>
      </c>
      <c r="AF1484" s="128">
        <f ca="1">IF($AE1468,H1484,AF1474)</f>
        <v>8888</v>
      </c>
      <c r="AG1484" s="129">
        <f ca="1">IF($AE1468,I1484,AG1474)</f>
        <v>8888</v>
      </c>
      <c r="BD1484" s="157"/>
    </row>
    <row r="1485" spans="2:56">
      <c r="B1485" s="156"/>
      <c r="F1485" s="157"/>
      <c r="G1485" s="115" t="s">
        <v>8</v>
      </c>
      <c r="H1485" s="188">
        <f ca="1">IF(G1468&gt;=4,H1470,H1481)</f>
        <v>8888</v>
      </c>
      <c r="I1485" s="189">
        <f ca="1">IF(G1468&gt;=4,I1484,I1481)</f>
        <v>8888</v>
      </c>
      <c r="AD1485" s="157"/>
      <c r="AE1485" s="115" t="s">
        <v>8</v>
      </c>
      <c r="AF1485" s="188">
        <f ca="1">IF($AE1468,H1485,AF1474)</f>
        <v>8888</v>
      </c>
      <c r="AG1485" s="196">
        <f ca="1">IF($AE1468,I1485,AG1474)</f>
        <v>8888</v>
      </c>
      <c r="BD1485" s="157"/>
    </row>
    <row r="1486" spans="2:56">
      <c r="B1486" s="156"/>
      <c r="F1486" s="157"/>
      <c r="G1486" s="2" t="s">
        <v>9</v>
      </c>
      <c r="H1486" s="128">
        <f ca="1">IF(G1468&gt;=5,H1470,H1485)</f>
        <v>8888</v>
      </c>
      <c r="I1486" s="139">
        <f ca="1">IF(G1468&gt;=5,I1485-P1463,I1485)</f>
        <v>8888</v>
      </c>
      <c r="AD1486" s="157"/>
      <c r="AE1486" s="2" t="s">
        <v>9</v>
      </c>
      <c r="AF1486" s="128">
        <f ca="1">IF($AE1468,H1486,AF1474)</f>
        <v>8888</v>
      </c>
      <c r="AG1486" s="129">
        <f ca="1">IF($AE1468,I1486,AG1474)</f>
        <v>8888</v>
      </c>
      <c r="BD1486" s="157"/>
    </row>
    <row r="1487" spans="2:56">
      <c r="B1487" s="156"/>
      <c r="F1487" s="157"/>
      <c r="G1487" s="2" t="s">
        <v>196</v>
      </c>
      <c r="H1487" s="128">
        <f ca="1">IF(G1468&gt;=5,H1471,H1485)</f>
        <v>8888</v>
      </c>
      <c r="I1487" s="139">
        <f ca="1">IF(G1468&gt;=5,I1486,I1485)</f>
        <v>8888</v>
      </c>
      <c r="AD1487" s="157"/>
      <c r="AE1487" s="2" t="s">
        <v>196</v>
      </c>
      <c r="AF1487" s="128">
        <f ca="1">IF($AE1468,H1487,AF1474)</f>
        <v>8888</v>
      </c>
      <c r="AG1487" s="129">
        <f ca="1">IF($AE1468,I1487,AG1474)</f>
        <v>8888</v>
      </c>
      <c r="BD1487" s="157"/>
    </row>
    <row r="1488" spans="2:56">
      <c r="B1488" s="156"/>
      <c r="F1488" s="157"/>
      <c r="G1488" s="2" t="s">
        <v>10</v>
      </c>
      <c r="H1488" s="128">
        <f ca="1">IF(G1468&gt;=5,H1471,H1485)</f>
        <v>8888</v>
      </c>
      <c r="I1488" s="139">
        <f ca="1">IF(G1468&gt;=5,I1487-P1461,I1485)</f>
        <v>8888</v>
      </c>
      <c r="AD1488" s="157"/>
      <c r="AE1488" s="2" t="s">
        <v>10</v>
      </c>
      <c r="AF1488" s="128">
        <f ca="1">IF($AE1468,H1488,AF1474)</f>
        <v>8888</v>
      </c>
      <c r="AG1488" s="129">
        <f ca="1">IF($AE1468,I1488,AG1474)</f>
        <v>8888</v>
      </c>
      <c r="BD1488" s="157"/>
    </row>
    <row r="1489" spans="2:56">
      <c r="B1489" s="156"/>
      <c r="F1489" s="157"/>
      <c r="G1489" s="2" t="s">
        <v>161</v>
      </c>
      <c r="H1489" s="188">
        <f ca="1">IF(G1468&gt;=5,H1470,H1485)</f>
        <v>8888</v>
      </c>
      <c r="I1489" s="189">
        <f ca="1">IF(G1468&gt;=5,I1488,I1485)</f>
        <v>8888</v>
      </c>
      <c r="AD1489" s="157"/>
      <c r="AE1489" s="2" t="s">
        <v>161</v>
      </c>
      <c r="AF1489" s="188">
        <f ca="1">IF($AE1468,H1489,AF1474)</f>
        <v>8888</v>
      </c>
      <c r="AG1489" s="196">
        <f ca="1">IF($AE1468,I1489,AG1474)</f>
        <v>8888</v>
      </c>
      <c r="BD1489" s="157"/>
    </row>
    <row r="1490" spans="2:56">
      <c r="B1490" s="156"/>
      <c r="F1490" s="157"/>
      <c r="G1490" s="192" t="s">
        <v>11</v>
      </c>
      <c r="H1490" s="128">
        <f ca="1">IF(G1468&gt;=6,H1470,H1489)</f>
        <v>8888</v>
      </c>
      <c r="I1490" s="139">
        <f ca="1">IF(G1468&gt;=6,I1489-P1463,I1489)</f>
        <v>8888</v>
      </c>
      <c r="AD1490" s="157"/>
      <c r="AE1490" s="192" t="s">
        <v>11</v>
      </c>
      <c r="AF1490" s="128">
        <f ca="1">IF($AE1468,H1490,AF1474)</f>
        <v>8888</v>
      </c>
      <c r="AG1490" s="129">
        <f ca="1">IF($AE1468,I1490,AG1474)</f>
        <v>8888</v>
      </c>
      <c r="BD1490" s="157"/>
    </row>
    <row r="1491" spans="2:56">
      <c r="B1491" s="156"/>
      <c r="F1491" s="157"/>
      <c r="G1491" s="2" t="s">
        <v>12</v>
      </c>
      <c r="H1491" s="128">
        <f ca="1">IF(G1468&gt;=6,H1471,H1489)</f>
        <v>8888</v>
      </c>
      <c r="I1491" s="139">
        <f ca="1">IF(G1468&gt;=6,I1490,I1489)</f>
        <v>8888</v>
      </c>
      <c r="AD1491" s="157"/>
      <c r="AE1491" s="2" t="s">
        <v>12</v>
      </c>
      <c r="AF1491" s="128">
        <f ca="1">IF($AE1468,H1491,AF1474)</f>
        <v>8888</v>
      </c>
      <c r="AG1491" s="129">
        <f ca="1">IF($AE1468,I1491,AG1474)</f>
        <v>8888</v>
      </c>
      <c r="BD1491" s="157"/>
    </row>
    <row r="1492" spans="2:56">
      <c r="B1492" s="156"/>
      <c r="F1492" s="157"/>
      <c r="G1492" s="2" t="s">
        <v>13</v>
      </c>
      <c r="H1492" s="128">
        <f ca="1">IF(G1468&gt;=6,H1471,H1489)</f>
        <v>8888</v>
      </c>
      <c r="I1492" s="139">
        <f ca="1">IF(G1468&gt;=6,I1491-P1461,I1489)</f>
        <v>8888</v>
      </c>
      <c r="AD1492" s="157"/>
      <c r="AE1492" s="2" t="s">
        <v>13</v>
      </c>
      <c r="AF1492" s="128">
        <f ca="1">IF($AE1468,H1492,AF1474)</f>
        <v>8888</v>
      </c>
      <c r="AG1492" s="129">
        <f ca="1">IF($AE1468,I1492,AG1474)</f>
        <v>8888</v>
      </c>
      <c r="BD1492" s="157"/>
    </row>
    <row r="1493" spans="2:56">
      <c r="B1493" s="156"/>
      <c r="F1493" s="157"/>
      <c r="G1493" s="115" t="s">
        <v>14</v>
      </c>
      <c r="H1493" s="188">
        <f ca="1">IF(G1468&gt;=6,H1470,H1489)</f>
        <v>8888</v>
      </c>
      <c r="I1493" s="189">
        <f ca="1">IF(G1468&gt;=6,I1492,I1489)</f>
        <v>8888</v>
      </c>
      <c r="AD1493" s="157"/>
      <c r="AE1493" s="115" t="s">
        <v>14</v>
      </c>
      <c r="AF1493" s="188">
        <f ca="1">IF($AE1468,H1493,AF1474)</f>
        <v>8888</v>
      </c>
      <c r="AG1493" s="196">
        <f ca="1">IF($AE1468,I1493,AG1474)</f>
        <v>8888</v>
      </c>
      <c r="BD1493" s="157"/>
    </row>
    <row r="1494" spans="2:56" ht="15" thickBot="1">
      <c r="B1494" s="156"/>
      <c r="G1494" s="130" t="s">
        <v>396</v>
      </c>
      <c r="H1494" s="130">
        <f ca="1">H1470</f>
        <v>8888</v>
      </c>
      <c r="I1494" s="140">
        <f ca="1">I1470</f>
        <v>8888</v>
      </c>
      <c r="AE1494" s="130" t="s">
        <v>396</v>
      </c>
      <c r="AF1494" s="130">
        <f ca="1">IF($AE1468,H1494,AF1474)</f>
        <v>8888</v>
      </c>
      <c r="AG1494" s="132">
        <f ca="1">IF($AE1468,I1494,AG1474)</f>
        <v>8888</v>
      </c>
      <c r="BD1494" s="157"/>
    </row>
    <row r="1495" spans="2:56">
      <c r="B1495" s="156"/>
      <c r="BD1495" s="157"/>
    </row>
    <row r="1496" spans="2:56">
      <c r="B1496" s="156"/>
      <c r="BD1496" s="157"/>
    </row>
    <row r="1497" spans="2:56">
      <c r="B1497" s="156"/>
      <c r="C1497" s="200" t="s">
        <v>336</v>
      </c>
      <c r="D1497">
        <f>D1461+1</f>
        <v>37</v>
      </c>
      <c r="G1497" s="200" t="s">
        <v>638</v>
      </c>
      <c r="H1497">
        <f ca="1">LOOKUP(D1500,$C$191:$C$196,$D$191:$D$196)</f>
        <v>0</v>
      </c>
      <c r="K1497" s="200" t="s">
        <v>644</v>
      </c>
      <c r="L1497">
        <f ca="1">L1461-H1502</f>
        <v>-18.624000000000006</v>
      </c>
      <c r="O1497" s="200" t="s">
        <v>404</v>
      </c>
      <c r="P1497">
        <f ca="1">IF(D1499=1,SEAT_w_cushion_FC,IF(D1499=2,SEAT_w_cushion_BC,IF(D1499=3,SEAT_w_cushion_YC,0)))</f>
        <v>0</v>
      </c>
      <c r="S1497" s="200" t="s">
        <v>647</v>
      </c>
      <c r="T1497">
        <f ca="1">LOOKUP(D1500,$C$191:$C$196,$E$191:$E$196)</f>
        <v>0</v>
      </c>
      <c r="W1497" t="s">
        <v>130</v>
      </c>
      <c r="X1497" t="str">
        <f ca="1">OFFSET(Fuselage!$B$275,D1497,5)</f>
        <v>None</v>
      </c>
      <c r="AN1497" s="200" t="s">
        <v>135</v>
      </c>
      <c r="AO1497">
        <f ca="1">MAX(0,H1502-MAX(T1497,T1499,T1501,P1498)-X1498)</f>
        <v>0</v>
      </c>
      <c r="BD1497" s="157"/>
    </row>
    <row r="1498" spans="2:56">
      <c r="B1498" s="156"/>
      <c r="C1498" s="200" t="s">
        <v>200</v>
      </c>
      <c r="D1498" t="str">
        <f ca="1">OFFSET(Fuselage!$B$275,D1497,0)</f>
        <v/>
      </c>
      <c r="G1498" s="200" t="s">
        <v>639</v>
      </c>
      <c r="H1498">
        <f ca="1">LOOKUP(D1501,$C$191:$C$196,$D$191:$D$196)</f>
        <v>0</v>
      </c>
      <c r="O1498" s="200" t="s">
        <v>535</v>
      </c>
      <c r="P1498">
        <f ca="1">IF(D1499=1,SEAT_length_FC,IF(D1499=2,SEAT_length_BC,IF(D1499=3,SEAT_length_YC,0)))</f>
        <v>0</v>
      </c>
      <c r="S1498" s="200" t="s">
        <v>648</v>
      </c>
      <c r="T1498">
        <f ca="1">LOOKUP(D1500,$C$191:$C$196,$F$191:$F$196)</f>
        <v>0</v>
      </c>
      <c r="W1498" t="s">
        <v>131</v>
      </c>
      <c r="X1498">
        <f ca="1">LOOKUP(X1497,$I$191:$I$198,$J$191:$J$198)</f>
        <v>0</v>
      </c>
      <c r="BD1498" s="157"/>
    </row>
    <row r="1499" spans="2:56">
      <c r="B1499" s="156"/>
      <c r="C1499" s="200" t="s">
        <v>337</v>
      </c>
      <c r="D1499" t="str">
        <f ca="1">OFFSET(Fuselage!$B$275,D1497,4)</f>
        <v/>
      </c>
      <c r="G1499" s="200" t="s">
        <v>309</v>
      </c>
      <c r="H1499">
        <f ca="1">LOOKUP(D1502,$C$191:$C$196,$D$191:$D$196)</f>
        <v>0</v>
      </c>
      <c r="K1499" s="200" t="s">
        <v>645</v>
      </c>
      <c r="L1499">
        <f ca="1">IF(D1499=1,FUSELAGE_nseats_left_FC,IF(D1499=2,FUSELAGE_nseats_left_BC,IF(D1499=3,FUSELAGE_nseats_left_YC,0)))</f>
        <v>0</v>
      </c>
      <c r="O1499" s="200" t="s">
        <v>405</v>
      </c>
      <c r="P1499">
        <f ca="1">IF(D1499=1,SEAT_w_armrest_FC,IF(D1499=2,SEAT_w_armrest_BC,IF(D1499=3,SEAT_w_armrest_YC,0)))</f>
        <v>0</v>
      </c>
      <c r="S1499" s="200" t="s">
        <v>652</v>
      </c>
      <c r="T1499">
        <f ca="1">LOOKUP(D1501,$C$191:$C$196,$E$191:$E$196)</f>
        <v>0</v>
      </c>
      <c r="W1499" s="200" t="s">
        <v>393</v>
      </c>
      <c r="X1499" t="b">
        <f ca="1">IF(OFFSET(Fuselage!$B$275,D1497,6)="YES",TRUE(),FALSE())</f>
        <v>0</v>
      </c>
      <c r="BD1499" s="157"/>
    </row>
    <row r="1500" spans="2:56">
      <c r="B1500" s="156"/>
      <c r="C1500" s="200" t="s">
        <v>640</v>
      </c>
      <c r="D1500" t="str">
        <f ca="1">OFFSET(Fuselage!$B$275,D1497,1)</f>
        <v>None</v>
      </c>
      <c r="G1500" s="200" t="s">
        <v>132</v>
      </c>
      <c r="H1500">
        <f ca="1">IF(D1499=1,SEAT_pitch_FC,IF(D1499=2,SEAT_pitch_BC,IF(D1499=3,SEAT_pitch_YC,0)))</f>
        <v>0</v>
      </c>
      <c r="K1500" s="200" t="s">
        <v>646</v>
      </c>
      <c r="L1500">
        <f ca="1">IF(D1499=1,FUSELAGE_nseats_middle_FC,IF(D1499=2,FUSELAGE_nseats_middle_BC,IF(D1499=3,FUSELAGE_nseats_middle_YC,0)))</f>
        <v>0</v>
      </c>
      <c r="S1500" s="200" t="s">
        <v>653</v>
      </c>
      <c r="T1500">
        <f ca="1">LOOKUP(D1501,$C$191:$C$196,$F$191:$F$196)</f>
        <v>0</v>
      </c>
      <c r="BD1500" s="157"/>
    </row>
    <row r="1501" spans="2:56">
      <c r="B1501" s="156"/>
      <c r="C1501" s="200" t="s">
        <v>642</v>
      </c>
      <c r="D1501" t="str">
        <f ca="1">OFFSET(Fuselage!$B$275,D1497,2)</f>
        <v>None</v>
      </c>
      <c r="G1501" s="200" t="s">
        <v>129</v>
      </c>
      <c r="H1501">
        <f ca="1">IF(OR(X1497="Type A",X1497="Type B"),MAX(H1497:H1500)+42*0.0254,IF(X1497="Type C",MAX(H1497:H1500)+X1498,IF(X1497&lt;&gt;"None",24*0.0254,0)))</f>
        <v>0</v>
      </c>
      <c r="K1501" s="200" t="s">
        <v>655</v>
      </c>
      <c r="L1501">
        <f ca="1">IF(D1499=1,FUSELAGE_nseats_right_FC,IF(D1499=2,FUSELAGE_nseats_right_BC,IF(D1499=3,FUSELAGE_nseats_right_YC,0)))</f>
        <v>0</v>
      </c>
      <c r="O1501" s="200" t="s">
        <v>407</v>
      </c>
      <c r="P1501">
        <f ca="1">($C$13-(L1499+L1500+L1501)*(P1497+P1499)+(FUSELAGE_n_aisles-1)*P1499)/FUSELAGE_n_aisles</f>
        <v>2.76</v>
      </c>
      <c r="S1501" s="200" t="s">
        <v>651</v>
      </c>
      <c r="T1501">
        <f ca="1">LOOKUP(D1502,$C$191:$C$196,$E$191:$E$196)</f>
        <v>0</v>
      </c>
      <c r="BD1501" s="157"/>
    </row>
    <row r="1502" spans="2:56">
      <c r="B1502" s="156"/>
      <c r="C1502" s="200" t="s">
        <v>641</v>
      </c>
      <c r="D1502" t="str">
        <f ca="1">OFFSET(Fuselage!$B$275,D1497,3)</f>
        <v>None</v>
      </c>
      <c r="G1502" s="200" t="s">
        <v>643</v>
      </c>
      <c r="H1502">
        <f ca="1">MAX(H1497:H1501)</f>
        <v>0</v>
      </c>
      <c r="S1502" s="200" t="s">
        <v>654</v>
      </c>
      <c r="T1502">
        <f ca="1">LOOKUP(D1502,$C$191:$C$196,$F$191:$F$196)</f>
        <v>0</v>
      </c>
      <c r="BD1502" s="157"/>
    </row>
    <row r="1503" spans="2:56" ht="15" thickBot="1">
      <c r="B1503" s="156"/>
      <c r="BD1503" s="157"/>
    </row>
    <row r="1504" spans="2:56" ht="15" thickBot="1">
      <c r="B1504" s="156"/>
      <c r="C1504" s="141">
        <f ca="1">L1501</f>
        <v>0</v>
      </c>
      <c r="D1504" s="197" t="str">
        <f ca="1">IF($D1499=1,"FC",IF($D1499=2,"BC",IF($D1499=3,"YC","Nothing")))</f>
        <v>Nothing</v>
      </c>
      <c r="E1504" s="198"/>
      <c r="G1504" s="141">
        <f ca="1">L1500</f>
        <v>0</v>
      </c>
      <c r="H1504" s="197" t="str">
        <f ca="1">IF($D1499=1,"FC",IF($D1499=2,"BC",IF($D1499=3,"YC","Nothing")))</f>
        <v>Nothing</v>
      </c>
      <c r="I1504" s="198"/>
      <c r="K1504" s="141">
        <f ca="1" xml:space="preserve"> L1499</f>
        <v>0</v>
      </c>
      <c r="L1504" s="197" t="str">
        <f ca="1">IF($D1499=1,"FC",IF($D1499=2,"BC",IF($D1499=3,"YC","Nothing")))</f>
        <v>Nothing</v>
      </c>
      <c r="M1504" s="198"/>
      <c r="O1504" s="141">
        <f ca="1">IF($D1502&lt;&gt;"None",1,0)</f>
        <v>0</v>
      </c>
      <c r="P1504" s="326" t="s">
        <v>380</v>
      </c>
      <c r="Q1504" s="327"/>
      <c r="S1504" s="141">
        <f ca="1">IF($D1501&lt;&gt;"None",1,0)</f>
        <v>0</v>
      </c>
      <c r="T1504" s="326" t="s">
        <v>381</v>
      </c>
      <c r="U1504" s="327"/>
      <c r="W1504" s="141">
        <f ca="1">IF($D1500&lt;&gt;"None",1,0)</f>
        <v>0</v>
      </c>
      <c r="X1504" s="326" t="s">
        <v>382</v>
      </c>
      <c r="Y1504" s="327"/>
      <c r="AA1504" s="141">
        <f ca="1">IF($D1502="None",1,0)</f>
        <v>1</v>
      </c>
      <c r="AB1504" s="326" t="str">
        <f ca="1">IF(AA1504,D1504,$D1502)</f>
        <v>Nothing</v>
      </c>
      <c r="AC1504" s="327"/>
      <c r="AE1504" s="141">
        <f ca="1">IF($D1501="None",1,0)</f>
        <v>1</v>
      </c>
      <c r="AF1504" s="326" t="str">
        <f ca="1">IF(AE1504,H1504,$D1501)</f>
        <v>Nothing</v>
      </c>
      <c r="AG1504" s="327"/>
      <c r="AI1504" s="141">
        <f ca="1">IF($D1500="None",1,0)</f>
        <v>1</v>
      </c>
      <c r="AJ1504" s="326" t="str">
        <f ca="1">IF(AI1504,L1504,$D1500)</f>
        <v>Nothing</v>
      </c>
      <c r="AK1504" s="327"/>
      <c r="AM1504" s="141">
        <f ca="1">IF($X1497="None",0,1)</f>
        <v>0</v>
      </c>
      <c r="AN1504" s="197" t="s">
        <v>133</v>
      </c>
      <c r="AO1504" s="198"/>
      <c r="AQ1504" s="141">
        <f ca="1">IF($X1497="None",0,1)</f>
        <v>0</v>
      </c>
      <c r="AR1504" s="197" t="s">
        <v>134</v>
      </c>
      <c r="AS1504" s="198"/>
      <c r="BD1504" s="157"/>
    </row>
    <row r="1505" spans="2:56" ht="15" thickBot="1">
      <c r="B1505" s="156"/>
      <c r="C1505" s="136" t="s">
        <v>452</v>
      </c>
      <c r="D1505" s="136" t="s">
        <v>384</v>
      </c>
      <c r="E1505" s="138" t="s">
        <v>385</v>
      </c>
      <c r="G1505" s="136" t="s">
        <v>452</v>
      </c>
      <c r="H1505" s="136" t="s">
        <v>384</v>
      </c>
      <c r="I1505" s="138" t="s">
        <v>385</v>
      </c>
      <c r="K1505" s="193" t="s">
        <v>452</v>
      </c>
      <c r="L1505" s="193" t="s">
        <v>384</v>
      </c>
      <c r="M1505" s="194" t="s">
        <v>385</v>
      </c>
      <c r="O1505" s="136" t="s">
        <v>452</v>
      </c>
      <c r="P1505" s="136" t="s">
        <v>384</v>
      </c>
      <c r="Q1505" s="138" t="s">
        <v>385</v>
      </c>
      <c r="S1505" s="136" t="s">
        <v>452</v>
      </c>
      <c r="T1505" s="136" t="s">
        <v>384</v>
      </c>
      <c r="U1505" s="138" t="s">
        <v>385</v>
      </c>
      <c r="W1505" s="136" t="s">
        <v>452</v>
      </c>
      <c r="X1505" s="136" t="s">
        <v>384</v>
      </c>
      <c r="Y1505" s="138" t="s">
        <v>385</v>
      </c>
      <c r="AA1505" s="136" t="s">
        <v>452</v>
      </c>
      <c r="AB1505" s="136" t="s">
        <v>384</v>
      </c>
      <c r="AC1505" s="138" t="s">
        <v>385</v>
      </c>
      <c r="AE1505" s="136" t="s">
        <v>452</v>
      </c>
      <c r="AF1505" s="136" t="s">
        <v>384</v>
      </c>
      <c r="AG1505" s="138" t="s">
        <v>385</v>
      </c>
      <c r="AI1505" s="193" t="s">
        <v>452</v>
      </c>
      <c r="AJ1505" s="193" t="s">
        <v>384</v>
      </c>
      <c r="AK1505" s="194" t="s">
        <v>385</v>
      </c>
      <c r="AM1505" s="193" t="s">
        <v>452</v>
      </c>
      <c r="AN1505" s="193" t="s">
        <v>384</v>
      </c>
      <c r="AO1505" s="194" t="s">
        <v>385</v>
      </c>
      <c r="AQ1505" s="193" t="s">
        <v>452</v>
      </c>
      <c r="AR1505" s="193" t="s">
        <v>384</v>
      </c>
      <c r="AS1505" s="194" t="s">
        <v>385</v>
      </c>
      <c r="BD1505" s="157"/>
    </row>
    <row r="1506" spans="2:56">
      <c r="B1506" s="156"/>
      <c r="C1506" s="128" t="s">
        <v>396</v>
      </c>
      <c r="D1506" s="158">
        <f ca="1">IF(C1504&gt;=1,L1497,8888)</f>
        <v>8888</v>
      </c>
      <c r="E1506" s="160">
        <f ca="1">IF(C1504&gt;=1,1/2*($C$13-P1497-2*P1499)+1/2*P1497,8888)</f>
        <v>8888</v>
      </c>
      <c r="G1506" s="128" t="s">
        <v>396</v>
      </c>
      <c r="H1506" s="158">
        <f ca="1">IF(G1504&gt;=1,L1497,8888)</f>
        <v>8888</v>
      </c>
      <c r="I1506" s="160">
        <f ca="1">IF(G1504&gt;=1,E1517-P1501,8888)</f>
        <v>8888</v>
      </c>
      <c r="K1506" s="128" t="s">
        <v>396</v>
      </c>
      <c r="L1506" s="158">
        <f ca="1">IF(K1504&gt;=1,L1497,8888)</f>
        <v>8888</v>
      </c>
      <c r="M1506" s="160">
        <f ca="1">IF(K1504&gt;=1,IF(FUSELAGE_n_aisles=1,E1517-P1501,I1529-P1501),8888)</f>
        <v>8888</v>
      </c>
      <c r="O1506" s="128" t="s">
        <v>396</v>
      </c>
      <c r="P1506" s="158">
        <f ca="1">IF(O1504,$L1497,8888)</f>
        <v>8888</v>
      </c>
      <c r="Q1506" s="209">
        <f ca="1">IF(O1504,FUSELAGE_y_position_of_left_seat_YC-(FUSELAGE_nseats_right_YC-1)*(SEAT_w_cushion_YC+SEAT_w_armrest_YC)/2+T1502/2,8888)</f>
        <v>8888</v>
      </c>
      <c r="S1506" s="128" t="s">
        <v>396</v>
      </c>
      <c r="T1506" s="158">
        <f ca="1">IF(S1504,$L1497,8888)</f>
        <v>8888</v>
      </c>
      <c r="U1506" s="160">
        <f ca="1">IF(S1504,T1500/2,8888)</f>
        <v>8888</v>
      </c>
      <c r="W1506" s="128" t="s">
        <v>396</v>
      </c>
      <c r="X1506" s="158">
        <f ca="1">IF(W1504,$L1497,8888)</f>
        <v>8888</v>
      </c>
      <c r="Y1506" s="160">
        <f ca="1">IF(W1504,-FUSELAGE_y_position_of_left_seat_YC+(FUSELAGE_nseats_left_YC-1)*(SEAT_w_cushion_YC+SEAT_w_armrest_YC)/2-T1498/2,8888)</f>
        <v>8888</v>
      </c>
      <c r="AA1506" s="128" t="s">
        <v>396</v>
      </c>
      <c r="AB1506" s="158">
        <f ca="1">IF($AA1504,D1506,P1506)</f>
        <v>8888</v>
      </c>
      <c r="AC1506" s="174">
        <f ca="1">IF($AA1504,E1506,Q1506)</f>
        <v>8888</v>
      </c>
      <c r="AE1506" s="128" t="s">
        <v>396</v>
      </c>
      <c r="AF1506" s="158">
        <f ca="1">IF($AE1504,H1506,T1506)</f>
        <v>8888</v>
      </c>
      <c r="AG1506" s="174">
        <f ca="1">IF($AE1504,I1506,U1506)</f>
        <v>8888</v>
      </c>
      <c r="AI1506" s="128" t="s">
        <v>396</v>
      </c>
      <c r="AJ1506" s="158">
        <f ca="1">IF($AI1504,L1506,X1506)</f>
        <v>8888</v>
      </c>
      <c r="AK1506" s="174">
        <f ca="1">IF($AI1504,M1506,Y1506)</f>
        <v>8888</v>
      </c>
      <c r="AM1506" s="128" t="s">
        <v>396</v>
      </c>
      <c r="AN1506" s="158">
        <f ca="1">AN1475</f>
        <v>-18.624000000000006</v>
      </c>
      <c r="AO1506" s="174">
        <f ca="1">IF(AN1506&gt;-Fuselage!$D$366,(FUSELAGE_a_ellipse)*SQRT(1-((AN1506+Fuselage!$D$366)/(Fuselage!$K$364-FUSELAGE_t_fuselage))^2),IF(AN1506&gt;$L$2505+Fuselage!$K$370,FUSELAGE_a_ellipse,(FUSELAGE_a_ellipse+FUSELAGE_t_fuselage-FUSELAGE_d_fo/4)/Fuselage!$K$368*(AN1506-$L$2505-Fuselage!$K$370)+FUSELAGE_a_ellipse))</f>
        <v>1.4960570012328709</v>
      </c>
      <c r="AQ1506" s="128" t="s">
        <v>396</v>
      </c>
      <c r="AR1506" s="158">
        <f t="shared" ref="AR1506:AR1511" ca="1" si="138">AN1506</f>
        <v>-18.624000000000006</v>
      </c>
      <c r="AS1506" s="174">
        <f t="shared" ref="AS1506:AS1511" ca="1" si="139">-AO1506</f>
        <v>-1.4960570012328709</v>
      </c>
      <c r="BD1506" s="157"/>
    </row>
    <row r="1507" spans="2:56">
      <c r="B1507" s="156"/>
      <c r="C1507" s="128" t="s">
        <v>213</v>
      </c>
      <c r="D1507" s="128">
        <f ca="1">IF(X1499,D1506+P1498/4,D1506+P1498)</f>
        <v>8888</v>
      </c>
      <c r="E1507" s="139">
        <f ca="1">E1506</f>
        <v>8888</v>
      </c>
      <c r="G1507" s="128" t="s">
        <v>213</v>
      </c>
      <c r="H1507" s="128">
        <f ca="1">H1506+P1498</f>
        <v>8888</v>
      </c>
      <c r="I1507" s="139">
        <f ca="1">I1506</f>
        <v>8888</v>
      </c>
      <c r="K1507" s="128" t="s">
        <v>213</v>
      </c>
      <c r="L1507" s="128">
        <f ca="1">IF(X1499,IF(K1504=1,L1506+P1498/4,L1506+P1498),L1506+P1498)</f>
        <v>8888</v>
      </c>
      <c r="M1507" s="139">
        <f ca="1">M1506</f>
        <v>8888</v>
      </c>
      <c r="O1507" s="128" t="s">
        <v>213</v>
      </c>
      <c r="P1507" s="128">
        <f ca="1">P1506+$T1501</f>
        <v>8888</v>
      </c>
      <c r="Q1507" s="139">
        <f ca="1">Q1506</f>
        <v>8888</v>
      </c>
      <c r="S1507" s="128" t="s">
        <v>213</v>
      </c>
      <c r="T1507" s="128">
        <f ca="1">T1506+$T1499</f>
        <v>8888</v>
      </c>
      <c r="U1507" s="139">
        <f ca="1">U1506</f>
        <v>8888</v>
      </c>
      <c r="W1507" s="128" t="s">
        <v>213</v>
      </c>
      <c r="X1507" s="128">
        <f ca="1">X1506+$T1497</f>
        <v>8888</v>
      </c>
      <c r="Y1507" s="139">
        <f ca="1">Y1506</f>
        <v>8888</v>
      </c>
      <c r="AA1507" s="143" t="s">
        <v>213</v>
      </c>
      <c r="AB1507" s="128">
        <f ca="1">IF($AA1504,D1507,P1507)</f>
        <v>8888</v>
      </c>
      <c r="AC1507" s="129">
        <f ca="1">IF($AA1504,E1507,Q1507)</f>
        <v>8888</v>
      </c>
      <c r="AE1507" s="128" t="s">
        <v>213</v>
      </c>
      <c r="AF1507" s="128">
        <f ca="1">IF($AE1504,H1507,T1507)</f>
        <v>8888</v>
      </c>
      <c r="AG1507" s="129">
        <f ca="1">IF($AE1504,I1507,U1507)</f>
        <v>8888</v>
      </c>
      <c r="AI1507" s="128" t="s">
        <v>213</v>
      </c>
      <c r="AJ1507" s="128">
        <f ca="1">IF($AI1504,L1507,X1507)</f>
        <v>8888</v>
      </c>
      <c r="AK1507" s="129">
        <f ca="1">IF($AI1504,M1507,Y1507)</f>
        <v>8888</v>
      </c>
      <c r="AM1507" s="128" t="s">
        <v>213</v>
      </c>
      <c r="AN1507" s="128">
        <f ca="1">AN1506-AO1497/2</f>
        <v>-18.624000000000006</v>
      </c>
      <c r="AO1507" s="129">
        <f ca="1">IF(AN1507&gt;-Fuselage!$D$366,(FUSELAGE_a_ellipse)*SQRT(1-((AN1507+Fuselage!$D$366)/(Fuselage!$K$364-FUSELAGE_t_fuselage))^2),IF(AN1507&gt;$L$2505+Fuselage!$K$370,FUSELAGE_a_ellipse,(FUSELAGE_a_ellipse+FUSELAGE_t_fuselage-FUSELAGE_d_fo/4)/Fuselage!$K$368*(AN1507-$L$2505-Fuselage!$K$370)+FUSELAGE_a_ellipse))</f>
        <v>1.4960570012328709</v>
      </c>
      <c r="AQ1507" s="128" t="s">
        <v>213</v>
      </c>
      <c r="AR1507" s="128">
        <f t="shared" ca="1" si="138"/>
        <v>-18.624000000000006</v>
      </c>
      <c r="AS1507" s="129">
        <f t="shared" ca="1" si="139"/>
        <v>-1.4960570012328709</v>
      </c>
      <c r="BD1507" s="157"/>
    </row>
    <row r="1508" spans="2:56">
      <c r="B1508" s="156"/>
      <c r="C1508" s="128" t="s">
        <v>286</v>
      </c>
      <c r="D1508" s="128">
        <f ca="1">D1507</f>
        <v>8888</v>
      </c>
      <c r="E1508" s="139">
        <f ca="1">E1507-P1497</f>
        <v>8888</v>
      </c>
      <c r="G1508" s="128" t="s">
        <v>286</v>
      </c>
      <c r="H1508" s="128">
        <f ca="1">H1507</f>
        <v>8888</v>
      </c>
      <c r="I1508" s="139">
        <f ca="1">I1507-P1497</f>
        <v>8888</v>
      </c>
      <c r="K1508" s="128" t="s">
        <v>286</v>
      </c>
      <c r="L1508" s="128">
        <f ca="1">L1507</f>
        <v>8888</v>
      </c>
      <c r="M1508" s="139">
        <f ca="1">M1507-P1497</f>
        <v>8888</v>
      </c>
      <c r="O1508" s="128" t="s">
        <v>286</v>
      </c>
      <c r="P1508" s="128">
        <f ca="1">P1507</f>
        <v>8888</v>
      </c>
      <c r="Q1508" s="139">
        <f ca="1">Q1507-$T1502</f>
        <v>8888</v>
      </c>
      <c r="S1508" s="128" t="s">
        <v>286</v>
      </c>
      <c r="T1508" s="128">
        <f ca="1">T1507</f>
        <v>8888</v>
      </c>
      <c r="U1508" s="139">
        <f ca="1">U1507-$T1500</f>
        <v>8888</v>
      </c>
      <c r="W1508" s="128" t="s">
        <v>286</v>
      </c>
      <c r="X1508" s="128">
        <f ca="1">X1507</f>
        <v>8888</v>
      </c>
      <c r="Y1508" s="139">
        <f ca="1">Y1507+$T1498</f>
        <v>8888</v>
      </c>
      <c r="AA1508" s="143" t="s">
        <v>286</v>
      </c>
      <c r="AB1508" s="128">
        <f ca="1">IF($AA1504,D1508,P1508)</f>
        <v>8888</v>
      </c>
      <c r="AC1508" s="129">
        <f ca="1">IF($AA1504,E1508,Q1508)</f>
        <v>8888</v>
      </c>
      <c r="AE1508" s="128" t="s">
        <v>286</v>
      </c>
      <c r="AF1508" s="128">
        <f ca="1">IF($AE1504,H1508,T1508)</f>
        <v>8888</v>
      </c>
      <c r="AG1508" s="129">
        <f ca="1">IF($AE1504,I1508,U1508)</f>
        <v>8888</v>
      </c>
      <c r="AI1508" s="128" t="s">
        <v>286</v>
      </c>
      <c r="AJ1508" s="128">
        <f ca="1">IF($AI1504,L1508,X1508)</f>
        <v>8888</v>
      </c>
      <c r="AK1508" s="129">
        <f ca="1">IF($AI1504,M1508,Y1508)</f>
        <v>8888</v>
      </c>
      <c r="AM1508" s="128" t="s">
        <v>286</v>
      </c>
      <c r="AN1508" s="128">
        <f ca="1">AN1507</f>
        <v>-18.624000000000006</v>
      </c>
      <c r="AO1508" s="129">
        <f ca="1">IF(AN1508&gt;-Fuselage!$D$366,IF(AM1504,(FUSELAGE_a_ellipse+FUSELAGE_t_fuselage)*SQRT(1-((AN1508+Fuselage!$D$366)/Fuselage!$K$364)^2),(FUSELAGE_a_ellipse)*SQRT(1-((AN1508+Fuselage!$D$366)/Fuselage!$K$364)^2)),IF(AN1508&gt;$L$2505+Fuselage!$K$370,(IF(AM1504,FUSELAGE_a_ellipse+FUSELAGE_t_fuselage,FUSELAGE_a_ellipse)),IF(AM1504,(FUSELAGE_a_ellipse+FUSELAGE_t_fuselage-FUSELAGE_d_fo/4)/Fuselage!$K$368*(AN1508-$L$2505-Fuselage!$K$370)+FUSELAGE_a_ellipse+FUSELAGE_t_fuselage,(FUSELAGE_a_ellipse+FUSELAGE_t_fuselage-FUSELAGE_d_fo/4)/Fuselage!$K$368*(AN1508-$L$2505-Fuselage!$K$370)+FUSELAGE_a_ellipse)))</f>
        <v>1.4960570012328709</v>
      </c>
      <c r="AQ1508" s="128" t="s">
        <v>286</v>
      </c>
      <c r="AR1508" s="128">
        <f t="shared" ca="1" si="138"/>
        <v>-18.624000000000006</v>
      </c>
      <c r="AS1508" s="129">
        <f t="shared" ca="1" si="139"/>
        <v>-1.4960570012328709</v>
      </c>
      <c r="BD1508" s="157"/>
    </row>
    <row r="1509" spans="2:56">
      <c r="B1509" s="156"/>
      <c r="C1509" s="188" t="s">
        <v>522</v>
      </c>
      <c r="D1509" s="188">
        <f ca="1">D1506</f>
        <v>8888</v>
      </c>
      <c r="E1509" s="189">
        <f ca="1">E1508</f>
        <v>8888</v>
      </c>
      <c r="F1509" s="157"/>
      <c r="G1509" s="2" t="s">
        <v>522</v>
      </c>
      <c r="H1509" s="128">
        <f ca="1">H1506</f>
        <v>8888</v>
      </c>
      <c r="I1509" s="139">
        <f ca="1">I1508</f>
        <v>8888</v>
      </c>
      <c r="K1509" s="128" t="s">
        <v>522</v>
      </c>
      <c r="L1509" s="128">
        <f ca="1">L1506</f>
        <v>8888</v>
      </c>
      <c r="M1509" s="139">
        <f ca="1">M1508</f>
        <v>8888</v>
      </c>
      <c r="O1509" s="188" t="s">
        <v>522</v>
      </c>
      <c r="P1509" s="188">
        <f ca="1">P1506</f>
        <v>8888</v>
      </c>
      <c r="Q1509" s="189">
        <f ca="1">Q1508</f>
        <v>8888</v>
      </c>
      <c r="S1509" s="188" t="s">
        <v>522</v>
      </c>
      <c r="T1509" s="188">
        <f ca="1">T1506</f>
        <v>8888</v>
      </c>
      <c r="U1509" s="189">
        <f ca="1">U1508</f>
        <v>8888</v>
      </c>
      <c r="W1509" s="188" t="s">
        <v>522</v>
      </c>
      <c r="X1509" s="188">
        <f ca="1">X1506</f>
        <v>8888</v>
      </c>
      <c r="Y1509" s="189">
        <f ca="1">Y1508</f>
        <v>8888</v>
      </c>
      <c r="AA1509" s="195" t="s">
        <v>522</v>
      </c>
      <c r="AB1509" s="128">
        <f ca="1">IF($AA1504,D1509,P1509)</f>
        <v>8888</v>
      </c>
      <c r="AC1509" s="129">
        <f ca="1">IF($AA1504,E1509,Q1509)</f>
        <v>8888</v>
      </c>
      <c r="AD1509" s="157"/>
      <c r="AE1509" s="2" t="s">
        <v>522</v>
      </c>
      <c r="AF1509" s="188">
        <f ca="1">IF($AE1504,H1509,T1509)</f>
        <v>8888</v>
      </c>
      <c r="AG1509" s="196">
        <f ca="1">IF($AE1504,I1509,U1509)</f>
        <v>8888</v>
      </c>
      <c r="AI1509" s="128" t="s">
        <v>522</v>
      </c>
      <c r="AJ1509" s="188">
        <f ca="1">IF($AI1504,L1509,X1509)</f>
        <v>8888</v>
      </c>
      <c r="AK1509" s="196">
        <f ca="1">IF($AI1504,M1509,Y1509)</f>
        <v>8888</v>
      </c>
      <c r="AM1509" s="128" t="s">
        <v>522</v>
      </c>
      <c r="AN1509" s="128">
        <f ca="1">AN1508-X1498</f>
        <v>-18.624000000000006</v>
      </c>
      <c r="AO1509" s="129">
        <f ca="1">IF(AN1509&gt;-Fuselage!$D$366,IF(AM1504,(FUSELAGE_a_ellipse+FUSELAGE_t_fuselage)*SQRT(1-((AN1509+Fuselage!$D$366)/Fuselage!$K$364)^2),(FUSELAGE_a_ellipse)*SQRT(1-((AN1509+Fuselage!$D$366)/Fuselage!$K$364)^2)),IF(AN1509&gt;$L$2505+Fuselage!$K$370,(IF(AM1504,FUSELAGE_a_ellipse+FUSELAGE_t_fuselage,FUSELAGE_a_ellipse)),IF(AM1504,(FUSELAGE_a_ellipse+FUSELAGE_t_fuselage-FUSELAGE_d_fo/4)/Fuselage!$K$368*(AN1509-$L$2505-Fuselage!$K$370)+FUSELAGE_a_ellipse+FUSELAGE_t_fuselage,(FUSELAGE_a_ellipse+FUSELAGE_t_fuselage-FUSELAGE_d_fo/4)/Fuselage!$K$368*(AN1509-$L$2505-Fuselage!$K$370)+FUSELAGE_a_ellipse)))</f>
        <v>1.4960570012328709</v>
      </c>
      <c r="AQ1509" s="128" t="s">
        <v>522</v>
      </c>
      <c r="AR1509" s="128">
        <f t="shared" ca="1" si="138"/>
        <v>-18.624000000000006</v>
      </c>
      <c r="AS1509" s="129">
        <f t="shared" ca="1" si="139"/>
        <v>-1.4960570012328709</v>
      </c>
      <c r="BD1509" s="157"/>
    </row>
    <row r="1510" spans="2:56" ht="15" thickBot="1">
      <c r="B1510" s="156"/>
      <c r="C1510" s="128" t="s">
        <v>49</v>
      </c>
      <c r="D1510" s="128">
        <f ca="1">IF(C1504&gt;=2,D1506,D1509)</f>
        <v>8888</v>
      </c>
      <c r="E1510" s="139">
        <f ca="1">IF(C1504&gt;=2,E1509-P1499,E1509)</f>
        <v>8888</v>
      </c>
      <c r="F1510" s="157"/>
      <c r="G1510" s="192" t="s">
        <v>49</v>
      </c>
      <c r="H1510" s="190">
        <f ca="1">IF(G1504&gt;=2,H1506,H1509)</f>
        <v>8888</v>
      </c>
      <c r="I1510" s="191">
        <f ca="1">IF(G1504&gt;=2,I1509-P1499,I1509)</f>
        <v>8888</v>
      </c>
      <c r="K1510" s="190" t="s">
        <v>49</v>
      </c>
      <c r="L1510" s="190">
        <f ca="1">IF(K1504&gt;=2,L1506,L1509)</f>
        <v>8888</v>
      </c>
      <c r="M1510" s="191">
        <f ca="1">IF(K1504&gt;=2,M1509-P1499,M1509)</f>
        <v>8888</v>
      </c>
      <c r="O1510" s="130" t="s">
        <v>396</v>
      </c>
      <c r="P1510" s="130">
        <f ca="1">P1506</f>
        <v>8888</v>
      </c>
      <c r="Q1510" s="140">
        <f ca="1">Q1506</f>
        <v>8888</v>
      </c>
      <c r="S1510" s="130" t="s">
        <v>396</v>
      </c>
      <c r="T1510" s="130">
        <f ca="1">T1506</f>
        <v>8888</v>
      </c>
      <c r="U1510" s="140">
        <f ca="1">U1506</f>
        <v>8888</v>
      </c>
      <c r="W1510" s="130" t="s">
        <v>396</v>
      </c>
      <c r="X1510" s="130">
        <f ca="1">X1506</f>
        <v>8888</v>
      </c>
      <c r="Y1510" s="140">
        <f ca="1">Y1506</f>
        <v>8888</v>
      </c>
      <c r="AA1510" s="143" t="s">
        <v>49</v>
      </c>
      <c r="AB1510" s="128">
        <f ca="1">IF($AA1504,D1510,P1510)</f>
        <v>8888</v>
      </c>
      <c r="AC1510" s="129">
        <f ca="1">IF($AA1504,E1510,Q1510)</f>
        <v>8888</v>
      </c>
      <c r="AD1510" s="157"/>
      <c r="AE1510" s="192" t="s">
        <v>49</v>
      </c>
      <c r="AF1510" s="128">
        <f ca="1">IF($AE1504,H1510,T1510)</f>
        <v>8888</v>
      </c>
      <c r="AG1510" s="129">
        <f ca="1">IF($AE1504,I1510,U1510)</f>
        <v>8888</v>
      </c>
      <c r="AI1510" s="190" t="s">
        <v>49</v>
      </c>
      <c r="AJ1510" s="128">
        <f ca="1">IF($AI1504,L1510,X1510)</f>
        <v>8888</v>
      </c>
      <c r="AK1510" s="129">
        <f ca="1">IF($AI1504,M1510,Y1510)</f>
        <v>8888</v>
      </c>
      <c r="AM1510" s="128" t="s">
        <v>49</v>
      </c>
      <c r="AN1510" s="128">
        <f ca="1">AN1509</f>
        <v>-18.624000000000006</v>
      </c>
      <c r="AO1510" s="129">
        <f ca="1">IF(AN1510&gt;-Fuselage!$D$366,(FUSELAGE_a_ellipse)*SQRT(1-((AN1510+Fuselage!$D$366)/(Fuselage!$K$364-FUSELAGE_t_fuselage))^2),IF(AN1510&gt;$L$2505+Fuselage!$K$370,FUSELAGE_a_ellipse,(FUSELAGE_a_ellipse+FUSELAGE_t_fuselage-FUSELAGE_d_fo/4)/Fuselage!$K$368*(AN1510-$L$2505-Fuselage!$K$370)+FUSELAGE_a_ellipse))</f>
        <v>1.4960570012328709</v>
      </c>
      <c r="AQ1510" s="128" t="s">
        <v>49</v>
      </c>
      <c r="AR1510" s="128">
        <f t="shared" ca="1" si="138"/>
        <v>-18.624000000000006</v>
      </c>
      <c r="AS1510" s="129">
        <f t="shared" ca="1" si="139"/>
        <v>-1.4960570012328709</v>
      </c>
      <c r="BD1510" s="157"/>
    </row>
    <row r="1511" spans="2:56">
      <c r="B1511" s="156"/>
      <c r="C1511" s="128" t="s">
        <v>453</v>
      </c>
      <c r="D1511" s="128">
        <f ca="1">IF(C1504&gt;=2,D1506+P1498,D1509)</f>
        <v>8888</v>
      </c>
      <c r="E1511" s="139">
        <f ca="1">E1510</f>
        <v>8888</v>
      </c>
      <c r="F1511" s="157"/>
      <c r="G1511" s="2" t="s">
        <v>453</v>
      </c>
      <c r="H1511" s="128">
        <f ca="1">IF(G1504&gt;=2,H1507,H1509)</f>
        <v>8888</v>
      </c>
      <c r="I1511" s="139">
        <f ca="1">IF(G1504&gt;=2,I1510,I1509)</f>
        <v>8888</v>
      </c>
      <c r="K1511" s="128" t="s">
        <v>453</v>
      </c>
      <c r="L1511" s="128">
        <f ca="1">IF(K1504&gt;=2,IF(X1499,IF(K1504=2,L1506+P1498/4,L1506+P1498),L1506+P1498),L1509)</f>
        <v>8888</v>
      </c>
      <c r="M1511" s="139">
        <f ca="1">IF(K1504&gt;=2,M1510,M1509)</f>
        <v>8888</v>
      </c>
      <c r="AA1511" s="143" t="s">
        <v>453</v>
      </c>
      <c r="AB1511" s="128">
        <f ca="1">IF($AA1504,D1511,AB1510)</f>
        <v>8888</v>
      </c>
      <c r="AC1511" s="129">
        <f ca="1">IF($AA1504,E1511,AC1510)</f>
        <v>8888</v>
      </c>
      <c r="AD1511" s="157"/>
      <c r="AE1511" s="2" t="s">
        <v>453</v>
      </c>
      <c r="AF1511" s="128">
        <f ca="1">IF($AE1504,H1511,AF1510)</f>
        <v>8888</v>
      </c>
      <c r="AG1511" s="129">
        <f ca="1">IF($AE1504,I1511,AG1510)</f>
        <v>8888</v>
      </c>
      <c r="AI1511" s="128" t="s">
        <v>453</v>
      </c>
      <c r="AJ1511" s="128">
        <f ca="1">IF($AI1504,L1511,AJ1510)</f>
        <v>8888</v>
      </c>
      <c r="AK1511" s="129">
        <f ca="1">IF($AI1504,M1511,AK1510)</f>
        <v>8888</v>
      </c>
      <c r="AM1511" s="128" t="s">
        <v>453</v>
      </c>
      <c r="AN1511" s="128">
        <f ca="1">L1497</f>
        <v>-18.624000000000006</v>
      </c>
      <c r="AO1511" s="129">
        <f ca="1">IF(AN1511&gt;-Fuselage!$D$366,(FUSELAGE_a_ellipse)*SQRT(1-((AN1511+Fuselage!$D$366)/(Fuselage!$K$364-FUSELAGE_t_fuselage))^2),IF(AN1511&gt;$L$2505+Fuselage!$K$370,FUSELAGE_a_ellipse,(FUSELAGE_a_ellipse+FUSELAGE_t_fuselage-FUSELAGE_d_fo/4)/Fuselage!$K$368*(AN1511-$L$2505-Fuselage!$K$370)+FUSELAGE_a_ellipse))</f>
        <v>1.4960570012328709</v>
      </c>
      <c r="AQ1511" s="128" t="s">
        <v>453</v>
      </c>
      <c r="AR1511" s="128">
        <f t="shared" ca="1" si="138"/>
        <v>-18.624000000000006</v>
      </c>
      <c r="AS1511" s="129">
        <f t="shared" ca="1" si="139"/>
        <v>-1.4960570012328709</v>
      </c>
      <c r="BD1511" s="157"/>
    </row>
    <row r="1512" spans="2:56">
      <c r="B1512" s="156"/>
      <c r="C1512" s="128" t="s">
        <v>394</v>
      </c>
      <c r="D1512" s="128">
        <f ca="1">IF(C1504&gt;=2,D1511,D1509)</f>
        <v>8888</v>
      </c>
      <c r="E1512" s="139">
        <f ca="1">IF(C1504&gt;=2,E1510-P1497,E1509)</f>
        <v>8888</v>
      </c>
      <c r="F1512" s="157"/>
      <c r="G1512" s="2" t="s">
        <v>394</v>
      </c>
      <c r="H1512" s="128">
        <f ca="1">IF(G1504&gt;=2,H1507,H1509)</f>
        <v>8888</v>
      </c>
      <c r="I1512" s="139">
        <f ca="1">IF(G1504&gt;=2,I1511-P1497,I1509)</f>
        <v>8888</v>
      </c>
      <c r="K1512" s="128" t="s">
        <v>394</v>
      </c>
      <c r="L1512" s="128">
        <f ca="1">L1511</f>
        <v>8888</v>
      </c>
      <c r="M1512" s="139">
        <f ca="1">IF(K1504&gt;=2,M1511-P1497,M1509)</f>
        <v>8888</v>
      </c>
      <c r="AA1512" s="143" t="s">
        <v>394</v>
      </c>
      <c r="AB1512" s="128">
        <f ca="1">IF($AA1504,D1512,AB1510)</f>
        <v>8888</v>
      </c>
      <c r="AC1512" s="129">
        <f ca="1">IF($AA1504,E1512,AC1510)</f>
        <v>8888</v>
      </c>
      <c r="AD1512" s="157"/>
      <c r="AE1512" s="2" t="s">
        <v>394</v>
      </c>
      <c r="AF1512" s="128">
        <f ca="1">IF($AE1504,H1512,AF1510)</f>
        <v>8888</v>
      </c>
      <c r="AG1512" s="129">
        <f ca="1">IF($AE1504,I1512,AG1510)</f>
        <v>8888</v>
      </c>
      <c r="AI1512" s="128" t="s">
        <v>394</v>
      </c>
      <c r="AJ1512" s="128">
        <f ca="1">IF($AI1504,L1512,AJ1510)</f>
        <v>8888</v>
      </c>
      <c r="AK1512" s="129">
        <f ca="1">IF($AI1504,M1512,AK1510)</f>
        <v>8888</v>
      </c>
      <c r="BD1512" s="157"/>
    </row>
    <row r="1513" spans="2:56">
      <c r="B1513" s="156"/>
      <c r="C1513" s="188" t="s">
        <v>454</v>
      </c>
      <c r="D1513" s="188">
        <f ca="1">IF(C1504&gt;=2,D1506,D1509)</f>
        <v>8888</v>
      </c>
      <c r="E1513" s="189">
        <f ca="1">E1512</f>
        <v>8888</v>
      </c>
      <c r="F1513" s="157"/>
      <c r="G1513" s="115" t="s">
        <v>454</v>
      </c>
      <c r="H1513" s="188">
        <f ca="1">IF(G1504&gt;=2,H1506,H1509)</f>
        <v>8888</v>
      </c>
      <c r="I1513" s="189">
        <f ca="1">IF(G1504&gt;=2,I1512,I1509)</f>
        <v>8888</v>
      </c>
      <c r="K1513" s="188" t="s">
        <v>454</v>
      </c>
      <c r="L1513" s="188">
        <f ca="1">IF(K1504&gt;=2,L1506,L1509)</f>
        <v>8888</v>
      </c>
      <c r="M1513" s="189">
        <f ca="1">IF(K1504&gt;=2,M1512,M1509)</f>
        <v>8888</v>
      </c>
      <c r="AA1513" s="195" t="s">
        <v>454</v>
      </c>
      <c r="AB1513" s="128">
        <f ca="1">IF($AA1504,D1513,AB1510)</f>
        <v>8888</v>
      </c>
      <c r="AC1513" s="129">
        <f ca="1">IF($AA1504,E1513,AC1510)</f>
        <v>8888</v>
      </c>
      <c r="AD1513" s="157"/>
      <c r="AE1513" s="115" t="s">
        <v>454</v>
      </c>
      <c r="AF1513" s="188">
        <f ca="1">IF($AE1504,H1513,AF1510)</f>
        <v>8888</v>
      </c>
      <c r="AG1513" s="196">
        <f ca="1">IF($AE1504,I1513,AG1510)</f>
        <v>8888</v>
      </c>
      <c r="AI1513" s="188" t="s">
        <v>454</v>
      </c>
      <c r="AJ1513" s="188">
        <f ca="1">IF($AI1504,L1513,AJ1510)</f>
        <v>8888</v>
      </c>
      <c r="AK1513" s="196">
        <f ca="1">IF($AI1504,M1513,AK1510)</f>
        <v>8888</v>
      </c>
      <c r="BD1513" s="157"/>
    </row>
    <row r="1514" spans="2:56">
      <c r="B1514" s="156"/>
      <c r="C1514" s="128" t="s">
        <v>507</v>
      </c>
      <c r="D1514" s="128">
        <f ca="1">IF(C1504&gt;=3,D1506,D1513)</f>
        <v>8888</v>
      </c>
      <c r="E1514" s="139">
        <f ca="1">IF(C1504&gt;=3,E1513-P1499,E1513)</f>
        <v>8888</v>
      </c>
      <c r="F1514" s="157"/>
      <c r="G1514" s="2" t="s">
        <v>507</v>
      </c>
      <c r="H1514" s="128">
        <f ca="1">IF(G1504&gt;=3,H1506,H1513)</f>
        <v>8888</v>
      </c>
      <c r="I1514" s="139">
        <f ca="1">IF(G1504&gt;=3,I1513-P1499,I1513)</f>
        <v>8888</v>
      </c>
      <c r="K1514" s="128" t="s">
        <v>507</v>
      </c>
      <c r="L1514" s="128">
        <f ca="1">IF(K1504&gt;=3,L1506,L1513)</f>
        <v>8888</v>
      </c>
      <c r="M1514" s="139">
        <f ca="1">IF(K1504&gt;=3,M1513-P1499,M1513)</f>
        <v>8888</v>
      </c>
      <c r="AA1514" s="143" t="s">
        <v>507</v>
      </c>
      <c r="AB1514" s="128">
        <f ca="1">IF($AA1504,D1514,AB1510)</f>
        <v>8888</v>
      </c>
      <c r="AC1514" s="129">
        <f ca="1">IF($AA1504,E1514,AC1510)</f>
        <v>8888</v>
      </c>
      <c r="AD1514" s="157"/>
      <c r="AE1514" s="2" t="s">
        <v>507</v>
      </c>
      <c r="AF1514" s="128">
        <f ca="1">IF($AE1504,H1514,AF1510)</f>
        <v>8888</v>
      </c>
      <c r="AG1514" s="129">
        <f ca="1">IF($AE1504,I1514,AG1510)</f>
        <v>8888</v>
      </c>
      <c r="AI1514" s="128" t="s">
        <v>507</v>
      </c>
      <c r="AJ1514" s="128">
        <f ca="1">IF($AI1504,L1514,AJ1510)</f>
        <v>8888</v>
      </c>
      <c r="AK1514" s="129">
        <f ca="1">IF($AI1504,M1514,AK1510)</f>
        <v>8888</v>
      </c>
      <c r="BD1514" s="157"/>
    </row>
    <row r="1515" spans="2:56">
      <c r="B1515" s="156"/>
      <c r="C1515" s="128" t="s">
        <v>455</v>
      </c>
      <c r="D1515" s="128">
        <f ca="1">IF(C1504&gt;=3,D1511,D1513)</f>
        <v>8888</v>
      </c>
      <c r="E1515" s="139">
        <f ca="1">E1514</f>
        <v>8888</v>
      </c>
      <c r="F1515" s="157"/>
      <c r="G1515" s="2" t="s">
        <v>455</v>
      </c>
      <c r="H1515" s="128">
        <f ca="1">IF(G1504&gt;=3,H1507,H1513)</f>
        <v>8888</v>
      </c>
      <c r="I1515" s="139">
        <f ca="1">IF(G1504&gt;=3,I1514,I1513)</f>
        <v>8888</v>
      </c>
      <c r="K1515" s="128" t="s">
        <v>455</v>
      </c>
      <c r="L1515" s="128">
        <f ca="1">IF(K1504&gt;=3,IF(X1499,IF(K1504=3,L1506+P1498/4,L1506+P1498),L1506+P1498),L1509)</f>
        <v>8888</v>
      </c>
      <c r="M1515" s="139">
        <f ca="1">IF(K1504&gt;=3,M1514,M1513)</f>
        <v>8888</v>
      </c>
      <c r="AA1515" s="143" t="s">
        <v>455</v>
      </c>
      <c r="AB1515" s="128">
        <f ca="1">IF($AA1504,D1515,AB1510)</f>
        <v>8888</v>
      </c>
      <c r="AC1515" s="129">
        <f ca="1">IF($AA1504,E1515,AC1510)</f>
        <v>8888</v>
      </c>
      <c r="AD1515" s="157"/>
      <c r="AE1515" s="2" t="s">
        <v>455</v>
      </c>
      <c r="AF1515" s="128">
        <f ca="1">IF($AE1504,H1515,AF1510)</f>
        <v>8888</v>
      </c>
      <c r="AG1515" s="129">
        <f ca="1">IF($AE1504,I1515,AG1510)</f>
        <v>8888</v>
      </c>
      <c r="AI1515" s="128" t="s">
        <v>455</v>
      </c>
      <c r="AJ1515" s="128">
        <f ca="1">IF($AI1504,L1515,AJ1510)</f>
        <v>8888</v>
      </c>
      <c r="AK1515" s="129">
        <f ca="1">IF($AI1504,M1515,AK1510)</f>
        <v>8888</v>
      </c>
      <c r="AL1515" s="156"/>
      <c r="BD1515" s="157"/>
    </row>
    <row r="1516" spans="2:56">
      <c r="B1516" s="156"/>
      <c r="C1516" s="128" t="s">
        <v>311</v>
      </c>
      <c r="D1516" s="128">
        <f ca="1">IF(C1504&gt;=3,D1511,D1513)</f>
        <v>8888</v>
      </c>
      <c r="E1516" s="139">
        <f ca="1">IF(C1504&gt;=3,E1515-P1497,E1513)</f>
        <v>8888</v>
      </c>
      <c r="F1516" s="157"/>
      <c r="G1516" s="2" t="s">
        <v>311</v>
      </c>
      <c r="H1516" s="128">
        <f ca="1">IF(G1504&gt;=3,H1507,H1513)</f>
        <v>8888</v>
      </c>
      <c r="I1516" s="139">
        <f ca="1">IF(G1504&gt;=3,I1515-P1497,I1513)</f>
        <v>8888</v>
      </c>
      <c r="K1516" s="128" t="s">
        <v>311</v>
      </c>
      <c r="L1516" s="128">
        <f ca="1">L1515</f>
        <v>8888</v>
      </c>
      <c r="M1516" s="139">
        <f ca="1">IF(K1504&gt;=3,M1515-P1497,M1513)</f>
        <v>8888</v>
      </c>
      <c r="AA1516" s="143" t="s">
        <v>311</v>
      </c>
      <c r="AB1516" s="128">
        <f ca="1">IF($AA1504,D1516,AB1510)</f>
        <v>8888</v>
      </c>
      <c r="AC1516" s="129">
        <f ca="1">IF($AA1504,E1516,AC1510)</f>
        <v>8888</v>
      </c>
      <c r="AD1516" s="157"/>
      <c r="AE1516" s="2" t="s">
        <v>311</v>
      </c>
      <c r="AF1516" s="128">
        <f ca="1">IF($AE1504,H1516,AF1510)</f>
        <v>8888</v>
      </c>
      <c r="AG1516" s="129">
        <f ca="1">IF($AE1504,I1516,AG1510)</f>
        <v>8888</v>
      </c>
      <c r="AI1516" s="128" t="s">
        <v>311</v>
      </c>
      <c r="AJ1516" s="128">
        <f ca="1">IF($AI1504,L1516,AJ1510)</f>
        <v>8888</v>
      </c>
      <c r="AK1516" s="129">
        <f ca="1">IF($AI1504,M1516,AK1510)</f>
        <v>8888</v>
      </c>
      <c r="AL1516" s="156"/>
      <c r="BD1516" s="157"/>
    </row>
    <row r="1517" spans="2:56">
      <c r="B1517" s="156"/>
      <c r="C1517" s="188" t="s">
        <v>35</v>
      </c>
      <c r="D1517" s="188">
        <f ca="1">IF(C1504&gt;=3,D1506,D1513)</f>
        <v>8888</v>
      </c>
      <c r="E1517" s="189">
        <f ca="1">E1516</f>
        <v>8888</v>
      </c>
      <c r="F1517" s="157"/>
      <c r="G1517" s="2" t="s">
        <v>35</v>
      </c>
      <c r="H1517" s="188">
        <f ca="1">IF(G1504&gt;=3,H1506,H1513)</f>
        <v>8888</v>
      </c>
      <c r="I1517" s="189">
        <f ca="1">IF(G1504&gt;=3,I1516,I1513)</f>
        <v>8888</v>
      </c>
      <c r="K1517" s="188" t="s">
        <v>35</v>
      </c>
      <c r="L1517" s="188">
        <f ca="1">IF(K1504&gt;=3,L1506,L1513)</f>
        <v>8888</v>
      </c>
      <c r="M1517" s="189">
        <f ca="1">IF(K1504&gt;=3,M1516,M1513)</f>
        <v>8888</v>
      </c>
      <c r="AA1517" s="143" t="s">
        <v>35</v>
      </c>
      <c r="AB1517" s="128">
        <f ca="1">IF($AA1504,D1517,AB1510)</f>
        <v>8888</v>
      </c>
      <c r="AC1517" s="129">
        <f ca="1">IF($AA1504,E1517,AC1510)</f>
        <v>8888</v>
      </c>
      <c r="AD1517" s="157"/>
      <c r="AE1517" s="2" t="s">
        <v>35</v>
      </c>
      <c r="AF1517" s="188">
        <f ca="1">IF($AE1504,H1517,AF1510)</f>
        <v>8888</v>
      </c>
      <c r="AG1517" s="196">
        <f ca="1">IF($AE1504,I1517,AG1510)</f>
        <v>8888</v>
      </c>
      <c r="AI1517" s="128" t="s">
        <v>35</v>
      </c>
      <c r="AJ1517" s="128">
        <f ca="1">IF($AI1504,L1517,AJ1510)</f>
        <v>8888</v>
      </c>
      <c r="AK1517" s="129">
        <f ca="1">IF($AI1504,M1517,AK1510)</f>
        <v>8888</v>
      </c>
      <c r="AL1517" s="156"/>
      <c r="BD1517" s="157"/>
    </row>
    <row r="1518" spans="2:56" ht="15" thickBot="1">
      <c r="B1518" s="156"/>
      <c r="C1518" s="130" t="s">
        <v>396</v>
      </c>
      <c r="D1518" s="130">
        <f ca="1">D1506</f>
        <v>8888</v>
      </c>
      <c r="E1518" s="140">
        <f ca="1">E1506</f>
        <v>8888</v>
      </c>
      <c r="F1518" s="157"/>
      <c r="G1518" s="192" t="s">
        <v>312</v>
      </c>
      <c r="H1518" s="128">
        <f ca="1">IF(G1504&gt;=4,H1506,H1517)</f>
        <v>8888</v>
      </c>
      <c r="I1518" s="139">
        <f ca="1">IF(G1504&gt;=4,I1517-P1499,I1517)</f>
        <v>8888</v>
      </c>
      <c r="K1518" s="130" t="s">
        <v>396</v>
      </c>
      <c r="L1518" s="130">
        <f ca="1">L1506</f>
        <v>8888</v>
      </c>
      <c r="M1518" s="140">
        <f ca="1">M1506</f>
        <v>8888</v>
      </c>
      <c r="AA1518" s="144" t="s">
        <v>396</v>
      </c>
      <c r="AB1518" s="130">
        <f ca="1">IF($AA1504,D1518,AB1510)</f>
        <v>8888</v>
      </c>
      <c r="AC1518" s="132">
        <f ca="1">IF($AA1504,E1518,AC1510)</f>
        <v>8888</v>
      </c>
      <c r="AD1518" s="157"/>
      <c r="AE1518" s="192" t="s">
        <v>312</v>
      </c>
      <c r="AF1518" s="128">
        <f ca="1">IF($AE1504,H1518,AF1510)</f>
        <v>8888</v>
      </c>
      <c r="AG1518" s="129">
        <f ca="1">IF($AE1504,I1518,AG1510)</f>
        <v>8888</v>
      </c>
      <c r="AI1518" s="130" t="s">
        <v>396</v>
      </c>
      <c r="AJ1518" s="130">
        <f ca="1">IF($AI1504,L1518,AJ1510)</f>
        <v>8888</v>
      </c>
      <c r="AK1518" s="132">
        <f ca="1">IF($AI1504,M1518,AK1510)</f>
        <v>8888</v>
      </c>
      <c r="BD1518" s="157"/>
    </row>
    <row r="1519" spans="2:56">
      <c r="B1519" s="156"/>
      <c r="F1519" s="157"/>
      <c r="G1519" s="2" t="s">
        <v>313</v>
      </c>
      <c r="H1519" s="128">
        <f ca="1">IF(G1504&gt;=4,H1507,H1517)</f>
        <v>8888</v>
      </c>
      <c r="I1519" s="139">
        <f ca="1">IF(G1504&gt;=4,I1518,I1517)</f>
        <v>8888</v>
      </c>
      <c r="AD1519" s="157"/>
      <c r="AE1519" s="2" t="s">
        <v>313</v>
      </c>
      <c r="AF1519" s="128">
        <f ca="1">IF($AE1504,H1519,AF1510)</f>
        <v>8888</v>
      </c>
      <c r="AG1519" s="129">
        <f ca="1">IF($AE1504,I1519,AG1510)</f>
        <v>8888</v>
      </c>
      <c r="BD1519" s="157"/>
    </row>
    <row r="1520" spans="2:56">
      <c r="B1520" s="156"/>
      <c r="F1520" s="157"/>
      <c r="G1520" s="2" t="s">
        <v>7</v>
      </c>
      <c r="H1520" s="128">
        <f ca="1">IF(G1504&gt;=4,H1507,H1517)</f>
        <v>8888</v>
      </c>
      <c r="I1520" s="139">
        <f ca="1">IF(G1504&gt;=4,I1519-P1497,I1517)</f>
        <v>8888</v>
      </c>
      <c r="AD1520" s="157"/>
      <c r="AE1520" s="2" t="s">
        <v>7</v>
      </c>
      <c r="AF1520" s="128">
        <f ca="1">IF($AE1504,H1520,AF1510)</f>
        <v>8888</v>
      </c>
      <c r="AG1520" s="129">
        <f ca="1">IF($AE1504,I1520,AG1510)</f>
        <v>8888</v>
      </c>
      <c r="BD1520" s="157"/>
    </row>
    <row r="1521" spans="2:56">
      <c r="B1521" s="156"/>
      <c r="F1521" s="157"/>
      <c r="G1521" s="115" t="s">
        <v>8</v>
      </c>
      <c r="H1521" s="188">
        <f ca="1">IF(G1504&gt;=4,H1506,H1517)</f>
        <v>8888</v>
      </c>
      <c r="I1521" s="189">
        <f ca="1">IF(G1504&gt;=4,I1520,I1517)</f>
        <v>8888</v>
      </c>
      <c r="AD1521" s="157"/>
      <c r="AE1521" s="115" t="s">
        <v>8</v>
      </c>
      <c r="AF1521" s="188">
        <f ca="1">IF($AE1504,H1521,AF1510)</f>
        <v>8888</v>
      </c>
      <c r="AG1521" s="196">
        <f ca="1">IF($AE1504,I1521,AG1510)</f>
        <v>8888</v>
      </c>
      <c r="BD1521" s="157"/>
    </row>
    <row r="1522" spans="2:56">
      <c r="B1522" s="156"/>
      <c r="F1522" s="157"/>
      <c r="G1522" s="2" t="s">
        <v>9</v>
      </c>
      <c r="H1522" s="128">
        <f ca="1">IF(G1504&gt;=5,H1506,H1521)</f>
        <v>8888</v>
      </c>
      <c r="I1522" s="139">
        <f ca="1">IF(G1504&gt;=5,I1521-P1499,I1521)</f>
        <v>8888</v>
      </c>
      <c r="AD1522" s="157"/>
      <c r="AE1522" s="2" t="s">
        <v>9</v>
      </c>
      <c r="AF1522" s="128">
        <f ca="1">IF($AE1504,H1522,AF1510)</f>
        <v>8888</v>
      </c>
      <c r="AG1522" s="129">
        <f ca="1">IF($AE1504,I1522,AG1510)</f>
        <v>8888</v>
      </c>
      <c r="BD1522" s="157"/>
    </row>
    <row r="1523" spans="2:56">
      <c r="B1523" s="156"/>
      <c r="F1523" s="157"/>
      <c r="G1523" s="2" t="s">
        <v>196</v>
      </c>
      <c r="H1523" s="128">
        <f ca="1">IF(G1504&gt;=5,H1507,H1521)</f>
        <v>8888</v>
      </c>
      <c r="I1523" s="139">
        <f ca="1">IF(G1504&gt;=5,I1522,I1521)</f>
        <v>8888</v>
      </c>
      <c r="AD1523" s="157"/>
      <c r="AE1523" s="2" t="s">
        <v>196</v>
      </c>
      <c r="AF1523" s="128">
        <f ca="1">IF($AE1504,H1523,AF1510)</f>
        <v>8888</v>
      </c>
      <c r="AG1523" s="129">
        <f ca="1">IF($AE1504,I1523,AG1510)</f>
        <v>8888</v>
      </c>
      <c r="BD1523" s="157"/>
    </row>
    <row r="1524" spans="2:56">
      <c r="B1524" s="156"/>
      <c r="F1524" s="157"/>
      <c r="G1524" s="2" t="s">
        <v>10</v>
      </c>
      <c r="H1524" s="128">
        <f ca="1">IF(G1504&gt;=5,H1507,H1521)</f>
        <v>8888</v>
      </c>
      <c r="I1524" s="139">
        <f ca="1">IF(G1504&gt;=5,I1523-P1497,I1521)</f>
        <v>8888</v>
      </c>
      <c r="AD1524" s="157"/>
      <c r="AE1524" s="2" t="s">
        <v>10</v>
      </c>
      <c r="AF1524" s="128">
        <f ca="1">IF($AE1504,H1524,AF1510)</f>
        <v>8888</v>
      </c>
      <c r="AG1524" s="129">
        <f ca="1">IF($AE1504,I1524,AG1510)</f>
        <v>8888</v>
      </c>
      <c r="BD1524" s="157"/>
    </row>
    <row r="1525" spans="2:56">
      <c r="B1525" s="156"/>
      <c r="F1525" s="157"/>
      <c r="G1525" s="2" t="s">
        <v>161</v>
      </c>
      <c r="H1525" s="188">
        <f ca="1">IF(G1504&gt;=5,H1506,H1521)</f>
        <v>8888</v>
      </c>
      <c r="I1525" s="189">
        <f ca="1">IF(G1504&gt;=5,I1524,I1521)</f>
        <v>8888</v>
      </c>
      <c r="AD1525" s="157"/>
      <c r="AE1525" s="2" t="s">
        <v>161</v>
      </c>
      <c r="AF1525" s="188">
        <f ca="1">IF($AE1504,H1525,AF1510)</f>
        <v>8888</v>
      </c>
      <c r="AG1525" s="196">
        <f ca="1">IF($AE1504,I1525,AG1510)</f>
        <v>8888</v>
      </c>
      <c r="BD1525" s="157"/>
    </row>
    <row r="1526" spans="2:56">
      <c r="B1526" s="156"/>
      <c r="F1526" s="157"/>
      <c r="G1526" s="192" t="s">
        <v>11</v>
      </c>
      <c r="H1526" s="128">
        <f ca="1">IF(G1504&gt;=6,H1506,H1525)</f>
        <v>8888</v>
      </c>
      <c r="I1526" s="139">
        <f ca="1">IF(G1504&gt;=6,I1525-P1499,I1525)</f>
        <v>8888</v>
      </c>
      <c r="AD1526" s="157"/>
      <c r="AE1526" s="192" t="s">
        <v>11</v>
      </c>
      <c r="AF1526" s="128">
        <f ca="1">IF($AE1504,H1526,AF1510)</f>
        <v>8888</v>
      </c>
      <c r="AG1526" s="129">
        <f ca="1">IF($AE1504,I1526,AG1510)</f>
        <v>8888</v>
      </c>
      <c r="BD1526" s="157"/>
    </row>
    <row r="1527" spans="2:56">
      <c r="B1527" s="156"/>
      <c r="F1527" s="157"/>
      <c r="G1527" s="2" t="s">
        <v>12</v>
      </c>
      <c r="H1527" s="128">
        <f ca="1">IF(G1504&gt;=6,H1507,H1525)</f>
        <v>8888</v>
      </c>
      <c r="I1527" s="139">
        <f ca="1">IF(G1504&gt;=6,I1526,I1525)</f>
        <v>8888</v>
      </c>
      <c r="AD1527" s="157"/>
      <c r="AE1527" s="2" t="s">
        <v>12</v>
      </c>
      <c r="AF1527" s="128">
        <f ca="1">IF($AE1504,H1527,AF1510)</f>
        <v>8888</v>
      </c>
      <c r="AG1527" s="129">
        <f ca="1">IF($AE1504,I1527,AG1510)</f>
        <v>8888</v>
      </c>
      <c r="BD1527" s="157"/>
    </row>
    <row r="1528" spans="2:56">
      <c r="B1528" s="156"/>
      <c r="F1528" s="157"/>
      <c r="G1528" s="2" t="s">
        <v>13</v>
      </c>
      <c r="H1528" s="128">
        <f ca="1">IF(G1504&gt;=6,H1507,H1525)</f>
        <v>8888</v>
      </c>
      <c r="I1528" s="139">
        <f ca="1">IF(G1504&gt;=6,I1527-P1497,I1525)</f>
        <v>8888</v>
      </c>
      <c r="AD1528" s="157"/>
      <c r="AE1528" s="2" t="s">
        <v>13</v>
      </c>
      <c r="AF1528" s="128">
        <f ca="1">IF($AE1504,H1528,AF1510)</f>
        <v>8888</v>
      </c>
      <c r="AG1528" s="129">
        <f ca="1">IF($AE1504,I1528,AG1510)</f>
        <v>8888</v>
      </c>
      <c r="BD1528" s="157"/>
    </row>
    <row r="1529" spans="2:56">
      <c r="B1529" s="156"/>
      <c r="F1529" s="157"/>
      <c r="G1529" s="115" t="s">
        <v>14</v>
      </c>
      <c r="H1529" s="188">
        <f ca="1">IF(G1504&gt;=6,H1506,H1525)</f>
        <v>8888</v>
      </c>
      <c r="I1529" s="189">
        <f ca="1">IF(G1504&gt;=6,I1528,I1525)</f>
        <v>8888</v>
      </c>
      <c r="AD1529" s="157"/>
      <c r="AE1529" s="115" t="s">
        <v>14</v>
      </c>
      <c r="AF1529" s="188">
        <f ca="1">IF($AE1504,H1529,AF1510)</f>
        <v>8888</v>
      </c>
      <c r="AG1529" s="196">
        <f ca="1">IF($AE1504,I1529,AG1510)</f>
        <v>8888</v>
      </c>
      <c r="BD1529" s="157"/>
    </row>
    <row r="1530" spans="2:56" ht="15" thickBot="1">
      <c r="B1530" s="156"/>
      <c r="G1530" s="130" t="s">
        <v>396</v>
      </c>
      <c r="H1530" s="130">
        <f ca="1">H1506</f>
        <v>8888</v>
      </c>
      <c r="I1530" s="140">
        <f ca="1">I1506</f>
        <v>8888</v>
      </c>
      <c r="AE1530" s="130" t="s">
        <v>396</v>
      </c>
      <c r="AF1530" s="130">
        <f ca="1">IF($AE1504,H1530,AF1510)</f>
        <v>8888</v>
      </c>
      <c r="AG1530" s="132">
        <f ca="1">IF($AE1504,I1530,AG1510)</f>
        <v>8888</v>
      </c>
      <c r="BD1530" s="157"/>
    </row>
    <row r="1531" spans="2:56">
      <c r="B1531" s="156"/>
      <c r="BD1531" s="157"/>
    </row>
    <row r="1532" spans="2:56">
      <c r="B1532" s="156"/>
      <c r="BD1532" s="157"/>
    </row>
    <row r="1533" spans="2:56">
      <c r="B1533" s="156"/>
      <c r="C1533" s="200" t="s">
        <v>336</v>
      </c>
      <c r="D1533">
        <f>D1497+1</f>
        <v>38</v>
      </c>
      <c r="G1533" s="200" t="s">
        <v>638</v>
      </c>
      <c r="H1533">
        <f ca="1">LOOKUP(D1536,$C$191:$C$196,$D$191:$D$196)</f>
        <v>0</v>
      </c>
      <c r="K1533" s="200" t="s">
        <v>644</v>
      </c>
      <c r="L1533">
        <f ca="1">L1497-H1538</f>
        <v>-18.624000000000006</v>
      </c>
      <c r="O1533" s="200" t="s">
        <v>404</v>
      </c>
      <c r="P1533">
        <f ca="1">IF(D1535=1,SEAT_w_cushion_FC,IF(D1535=2,SEAT_w_cushion_BC,IF(D1535=3,SEAT_w_cushion_YC,0)))</f>
        <v>0</v>
      </c>
      <c r="S1533" s="200" t="s">
        <v>647</v>
      </c>
      <c r="T1533">
        <f ca="1">LOOKUP(D1536,$C$191:$C$196,$E$191:$E$196)</f>
        <v>0</v>
      </c>
      <c r="W1533" t="s">
        <v>130</v>
      </c>
      <c r="X1533" t="str">
        <f ca="1">OFFSET(Fuselage!$B$275,D1533,5)</f>
        <v>None</v>
      </c>
      <c r="AN1533" s="200" t="s">
        <v>135</v>
      </c>
      <c r="AO1533">
        <f ca="1">MAX(0,H1538-MAX(T1533,T1535,T1537,P1534)-X1534)</f>
        <v>0</v>
      </c>
      <c r="BD1533" s="157"/>
    </row>
    <row r="1534" spans="2:56">
      <c r="B1534" s="156"/>
      <c r="C1534" s="200" t="s">
        <v>200</v>
      </c>
      <c r="D1534" t="str">
        <f ca="1">OFFSET(Fuselage!$B$275,D1533,0)</f>
        <v/>
      </c>
      <c r="G1534" s="200" t="s">
        <v>639</v>
      </c>
      <c r="H1534">
        <f ca="1">LOOKUP(D1537,$C$191:$C$196,$D$191:$D$196)</f>
        <v>0</v>
      </c>
      <c r="O1534" s="200" t="s">
        <v>535</v>
      </c>
      <c r="P1534">
        <f ca="1">IF(D1535=1,SEAT_length_FC,IF(D1535=2,SEAT_length_BC,IF(D1535=3,SEAT_length_YC,0)))</f>
        <v>0</v>
      </c>
      <c r="S1534" s="200" t="s">
        <v>648</v>
      </c>
      <c r="T1534">
        <f ca="1">LOOKUP(D1536,$C$191:$C$196,$F$191:$F$196)</f>
        <v>0</v>
      </c>
      <c r="W1534" t="s">
        <v>131</v>
      </c>
      <c r="X1534">
        <f ca="1">LOOKUP(X1533,$I$191:$I$198,$J$191:$J$198)</f>
        <v>0</v>
      </c>
      <c r="BD1534" s="157"/>
    </row>
    <row r="1535" spans="2:56">
      <c r="B1535" s="156"/>
      <c r="C1535" s="200" t="s">
        <v>337</v>
      </c>
      <c r="D1535" t="str">
        <f ca="1">OFFSET(Fuselage!$B$275,D1533,4)</f>
        <v/>
      </c>
      <c r="G1535" s="200" t="s">
        <v>309</v>
      </c>
      <c r="H1535">
        <f ca="1">LOOKUP(D1538,$C$191:$C$196,$D$191:$D$196)</f>
        <v>0</v>
      </c>
      <c r="K1535" s="200" t="s">
        <v>645</v>
      </c>
      <c r="L1535">
        <f ca="1">IF(D1535=1,FUSELAGE_nseats_left_FC,IF(D1535=2,FUSELAGE_nseats_left_BC,IF(D1535=3,FUSELAGE_nseats_left_YC,0)))</f>
        <v>0</v>
      </c>
      <c r="O1535" s="200" t="s">
        <v>405</v>
      </c>
      <c r="P1535">
        <f ca="1">IF(D1535=1,SEAT_w_armrest_FC,IF(D1535=2,SEAT_w_armrest_BC,IF(D1535=3,SEAT_w_armrest_YC,0)))</f>
        <v>0</v>
      </c>
      <c r="S1535" s="200" t="s">
        <v>652</v>
      </c>
      <c r="T1535">
        <f ca="1">LOOKUP(D1537,$C$191:$C$196,$E$191:$E$196)</f>
        <v>0</v>
      </c>
      <c r="W1535" s="200" t="s">
        <v>393</v>
      </c>
      <c r="X1535" t="b">
        <f ca="1">IF(OFFSET(Fuselage!$B$275,D1533,6)="YES",TRUE(),FALSE())</f>
        <v>0</v>
      </c>
      <c r="BD1535" s="157"/>
    </row>
    <row r="1536" spans="2:56">
      <c r="B1536" s="156"/>
      <c r="C1536" s="200" t="s">
        <v>640</v>
      </c>
      <c r="D1536" t="str">
        <f ca="1">OFFSET(Fuselage!$B$275,D1533,1)</f>
        <v>None</v>
      </c>
      <c r="G1536" s="200" t="s">
        <v>132</v>
      </c>
      <c r="H1536">
        <f ca="1">IF(D1535=1,SEAT_pitch_FC,IF(D1535=2,SEAT_pitch_BC,IF(D1535=3,SEAT_pitch_YC,0)))</f>
        <v>0</v>
      </c>
      <c r="K1536" s="200" t="s">
        <v>646</v>
      </c>
      <c r="L1536">
        <f ca="1">IF(D1535=1,FUSELAGE_nseats_middle_FC,IF(D1535=2,FUSELAGE_nseats_middle_BC,IF(D1535=3,FUSELAGE_nseats_middle_YC,0)))</f>
        <v>0</v>
      </c>
      <c r="S1536" s="200" t="s">
        <v>653</v>
      </c>
      <c r="T1536">
        <f ca="1">LOOKUP(D1537,$C$191:$C$196,$F$191:$F$196)</f>
        <v>0</v>
      </c>
      <c r="BD1536" s="157"/>
    </row>
    <row r="1537" spans="2:56">
      <c r="B1537" s="156"/>
      <c r="C1537" s="200" t="s">
        <v>642</v>
      </c>
      <c r="D1537" t="str">
        <f ca="1">OFFSET(Fuselage!$B$275,D1533,2)</f>
        <v>None</v>
      </c>
      <c r="G1537" s="200" t="s">
        <v>129</v>
      </c>
      <c r="H1537">
        <f ca="1">IF(OR(X1533="Type A",X1533="Type B"),MAX(H1533:H1536)+42*0.0254,IF(X1533="Type C",MAX(H1533:H1536)+X1534,IF(X1533&lt;&gt;"None",24*0.0254,0)))</f>
        <v>0</v>
      </c>
      <c r="K1537" s="200" t="s">
        <v>655</v>
      </c>
      <c r="L1537">
        <f ca="1">IF(D1535=1,FUSELAGE_nseats_right_FC,IF(D1535=2,FUSELAGE_nseats_right_BC,IF(D1535=3,FUSELAGE_nseats_right_YC,0)))</f>
        <v>0</v>
      </c>
      <c r="O1537" s="200" t="s">
        <v>407</v>
      </c>
      <c r="P1537">
        <f ca="1">($C$13-(L1535+L1536+L1537)*(P1533+P1535)+(FUSELAGE_n_aisles-1)*P1535)/FUSELAGE_n_aisles</f>
        <v>2.76</v>
      </c>
      <c r="S1537" s="200" t="s">
        <v>651</v>
      </c>
      <c r="T1537">
        <f ca="1">LOOKUP(D1538,$C$191:$C$196,$E$191:$E$196)</f>
        <v>0</v>
      </c>
      <c r="BD1537" s="157"/>
    </row>
    <row r="1538" spans="2:56">
      <c r="B1538" s="156"/>
      <c r="C1538" s="200" t="s">
        <v>641</v>
      </c>
      <c r="D1538" t="str">
        <f ca="1">OFFSET(Fuselage!$B$275,D1533,3)</f>
        <v>None</v>
      </c>
      <c r="G1538" s="200" t="s">
        <v>643</v>
      </c>
      <c r="H1538">
        <f ca="1">MAX(H1533:H1537)</f>
        <v>0</v>
      </c>
      <c r="S1538" s="200" t="s">
        <v>654</v>
      </c>
      <c r="T1538">
        <f ca="1">LOOKUP(D1538,$C$191:$C$196,$F$191:$F$196)</f>
        <v>0</v>
      </c>
      <c r="BD1538" s="157"/>
    </row>
    <row r="1539" spans="2:56" ht="15" thickBot="1">
      <c r="B1539" s="156"/>
      <c r="BD1539" s="157"/>
    </row>
    <row r="1540" spans="2:56" ht="15" thickBot="1">
      <c r="B1540" s="156"/>
      <c r="C1540" s="141">
        <f ca="1">L1537</f>
        <v>0</v>
      </c>
      <c r="D1540" s="197" t="str">
        <f ca="1">IF($D1535=1,"FC",IF($D1535=2,"BC",IF($D1535=3,"YC","Nothing")))</f>
        <v>Nothing</v>
      </c>
      <c r="E1540" s="198"/>
      <c r="G1540" s="141">
        <f ca="1">L1536</f>
        <v>0</v>
      </c>
      <c r="H1540" s="197" t="str">
        <f ca="1">IF($D1535=1,"FC",IF($D1535=2,"BC",IF($D1535=3,"YC","Nothing")))</f>
        <v>Nothing</v>
      </c>
      <c r="I1540" s="198"/>
      <c r="K1540" s="141">
        <f ca="1" xml:space="preserve"> L1535</f>
        <v>0</v>
      </c>
      <c r="L1540" s="197" t="str">
        <f ca="1">IF($D1535=1,"FC",IF($D1535=2,"BC",IF($D1535=3,"YC","Nothing")))</f>
        <v>Nothing</v>
      </c>
      <c r="M1540" s="198"/>
      <c r="O1540" s="141">
        <f ca="1">IF($D1538&lt;&gt;"None",1,0)</f>
        <v>0</v>
      </c>
      <c r="P1540" s="326" t="s">
        <v>380</v>
      </c>
      <c r="Q1540" s="327"/>
      <c r="S1540" s="141">
        <f ca="1">IF($D1537&lt;&gt;"None",1,0)</f>
        <v>0</v>
      </c>
      <c r="T1540" s="326" t="s">
        <v>381</v>
      </c>
      <c r="U1540" s="327"/>
      <c r="W1540" s="141">
        <f ca="1">IF($D1536&lt;&gt;"None",1,0)</f>
        <v>0</v>
      </c>
      <c r="X1540" s="326" t="s">
        <v>382</v>
      </c>
      <c r="Y1540" s="327"/>
      <c r="AA1540" s="141">
        <f ca="1">IF($D1538="None",1,0)</f>
        <v>1</v>
      </c>
      <c r="AB1540" s="326" t="str">
        <f ca="1">IF(AA1540,D1540,$D1538)</f>
        <v>Nothing</v>
      </c>
      <c r="AC1540" s="327"/>
      <c r="AE1540" s="141">
        <f ca="1">IF($D1537="None",1,0)</f>
        <v>1</v>
      </c>
      <c r="AF1540" s="326" t="str">
        <f ca="1">IF(AE1540,H1540,$D1537)</f>
        <v>Nothing</v>
      </c>
      <c r="AG1540" s="327"/>
      <c r="AI1540" s="141">
        <f ca="1">IF($D1536="None",1,0)</f>
        <v>1</v>
      </c>
      <c r="AJ1540" s="326" t="str">
        <f ca="1">IF(AI1540,L1540,$D1536)</f>
        <v>Nothing</v>
      </c>
      <c r="AK1540" s="327"/>
      <c r="AM1540" s="141">
        <f ca="1">IF($X1533="None",0,1)</f>
        <v>0</v>
      </c>
      <c r="AN1540" s="197" t="s">
        <v>133</v>
      </c>
      <c r="AO1540" s="198"/>
      <c r="AQ1540" s="141">
        <f ca="1">IF($X1533="None",0,1)</f>
        <v>0</v>
      </c>
      <c r="AR1540" s="197" t="s">
        <v>134</v>
      </c>
      <c r="AS1540" s="198"/>
      <c r="BD1540" s="157"/>
    </row>
    <row r="1541" spans="2:56" ht="15" thickBot="1">
      <c r="B1541" s="156"/>
      <c r="C1541" s="136" t="s">
        <v>452</v>
      </c>
      <c r="D1541" s="136" t="s">
        <v>384</v>
      </c>
      <c r="E1541" s="138" t="s">
        <v>385</v>
      </c>
      <c r="G1541" s="136" t="s">
        <v>452</v>
      </c>
      <c r="H1541" s="136" t="s">
        <v>384</v>
      </c>
      <c r="I1541" s="138" t="s">
        <v>385</v>
      </c>
      <c r="K1541" s="193" t="s">
        <v>452</v>
      </c>
      <c r="L1541" s="193" t="s">
        <v>384</v>
      </c>
      <c r="M1541" s="194" t="s">
        <v>385</v>
      </c>
      <c r="O1541" s="136" t="s">
        <v>452</v>
      </c>
      <c r="P1541" s="136" t="s">
        <v>384</v>
      </c>
      <c r="Q1541" s="138" t="s">
        <v>385</v>
      </c>
      <c r="S1541" s="136" t="s">
        <v>452</v>
      </c>
      <c r="T1541" s="136" t="s">
        <v>384</v>
      </c>
      <c r="U1541" s="138" t="s">
        <v>385</v>
      </c>
      <c r="W1541" s="136" t="s">
        <v>452</v>
      </c>
      <c r="X1541" s="136" t="s">
        <v>384</v>
      </c>
      <c r="Y1541" s="138" t="s">
        <v>385</v>
      </c>
      <c r="AA1541" s="136" t="s">
        <v>452</v>
      </c>
      <c r="AB1541" s="136" t="s">
        <v>384</v>
      </c>
      <c r="AC1541" s="138" t="s">
        <v>385</v>
      </c>
      <c r="AE1541" s="136" t="s">
        <v>452</v>
      </c>
      <c r="AF1541" s="136" t="s">
        <v>384</v>
      </c>
      <c r="AG1541" s="138" t="s">
        <v>385</v>
      </c>
      <c r="AI1541" s="193" t="s">
        <v>452</v>
      </c>
      <c r="AJ1541" s="193" t="s">
        <v>384</v>
      </c>
      <c r="AK1541" s="194" t="s">
        <v>385</v>
      </c>
      <c r="AM1541" s="193" t="s">
        <v>452</v>
      </c>
      <c r="AN1541" s="193" t="s">
        <v>384</v>
      </c>
      <c r="AO1541" s="194" t="s">
        <v>385</v>
      </c>
      <c r="AQ1541" s="193" t="s">
        <v>452</v>
      </c>
      <c r="AR1541" s="193" t="s">
        <v>384</v>
      </c>
      <c r="AS1541" s="194" t="s">
        <v>385</v>
      </c>
      <c r="BD1541" s="157"/>
    </row>
    <row r="1542" spans="2:56">
      <c r="B1542" s="156"/>
      <c r="C1542" s="128" t="s">
        <v>396</v>
      </c>
      <c r="D1542" s="158">
        <f ca="1">IF(C1540&gt;=1,L1533,8888)</f>
        <v>8888</v>
      </c>
      <c r="E1542" s="160">
        <f ca="1">IF(C1540&gt;=1,1/2*($C$13-P1533-2*P1535)+1/2*P1533,8888)</f>
        <v>8888</v>
      </c>
      <c r="G1542" s="128" t="s">
        <v>396</v>
      </c>
      <c r="H1542" s="158">
        <f ca="1">IF(G1540&gt;=1,L1533,8888)</f>
        <v>8888</v>
      </c>
      <c r="I1542" s="160">
        <f ca="1">IF(G1540&gt;=1,E1553-P1537,8888)</f>
        <v>8888</v>
      </c>
      <c r="K1542" s="128" t="s">
        <v>396</v>
      </c>
      <c r="L1542" s="158">
        <f ca="1">IF(K1540&gt;=1,L1533,8888)</f>
        <v>8888</v>
      </c>
      <c r="M1542" s="160">
        <f ca="1">IF(K1540&gt;=1,IF(FUSELAGE_n_aisles=1,E1553-P1537,I1565-P1537),8888)</f>
        <v>8888</v>
      </c>
      <c r="O1542" s="128" t="s">
        <v>396</v>
      </c>
      <c r="P1542" s="158">
        <f ca="1">IF(O1540,$L1533,8888)</f>
        <v>8888</v>
      </c>
      <c r="Q1542" s="209">
        <f ca="1">IF(O1540,FUSELAGE_y_position_of_left_seat_YC-(FUSELAGE_nseats_right_YC-1)*(SEAT_w_cushion_YC+SEAT_w_armrest_YC)/2+T1538/2,8888)</f>
        <v>8888</v>
      </c>
      <c r="S1542" s="128" t="s">
        <v>396</v>
      </c>
      <c r="T1542" s="158">
        <f ca="1">IF(S1540,$L1533,8888)</f>
        <v>8888</v>
      </c>
      <c r="U1542" s="160">
        <f ca="1">IF(S1540,T1536/2,8888)</f>
        <v>8888</v>
      </c>
      <c r="W1542" s="128" t="s">
        <v>396</v>
      </c>
      <c r="X1542" s="158">
        <f ca="1">IF(W1540,$L1533,8888)</f>
        <v>8888</v>
      </c>
      <c r="Y1542" s="160">
        <f ca="1">IF(W1540,-FUSELAGE_y_position_of_left_seat_YC+(FUSELAGE_nseats_left_YC-1)*(SEAT_w_cushion_YC+SEAT_w_armrest_YC)/2-T1534/2,8888)</f>
        <v>8888</v>
      </c>
      <c r="AA1542" s="128" t="s">
        <v>396</v>
      </c>
      <c r="AB1542" s="158">
        <f ca="1">IF($AA1540,D1542,P1542)</f>
        <v>8888</v>
      </c>
      <c r="AC1542" s="174">
        <f ca="1">IF($AA1540,E1542,Q1542)</f>
        <v>8888</v>
      </c>
      <c r="AE1542" s="128" t="s">
        <v>396</v>
      </c>
      <c r="AF1542" s="158">
        <f ca="1">IF($AE1540,H1542,T1542)</f>
        <v>8888</v>
      </c>
      <c r="AG1542" s="174">
        <f ca="1">IF($AE1540,I1542,U1542)</f>
        <v>8888</v>
      </c>
      <c r="AI1542" s="128" t="s">
        <v>396</v>
      </c>
      <c r="AJ1542" s="158">
        <f ca="1">IF($AI1540,L1542,X1542)</f>
        <v>8888</v>
      </c>
      <c r="AK1542" s="174">
        <f ca="1">IF($AI1540,M1542,Y1542)</f>
        <v>8888</v>
      </c>
      <c r="AM1542" s="128" t="s">
        <v>396</v>
      </c>
      <c r="AN1542" s="158">
        <f ca="1">AN1511</f>
        <v>-18.624000000000006</v>
      </c>
      <c r="AO1542" s="174">
        <f ca="1">IF(AN1542&gt;-Fuselage!$D$366,(FUSELAGE_a_ellipse)*SQRT(1-((AN1542+Fuselage!$D$366)/(Fuselage!$K$364-FUSELAGE_t_fuselage))^2),IF(AN1542&gt;$L$2505+Fuselage!$K$370,FUSELAGE_a_ellipse,(FUSELAGE_a_ellipse+FUSELAGE_t_fuselage-FUSELAGE_d_fo/4)/Fuselage!$K$368*(AN1542-$L$2505-Fuselage!$K$370)+FUSELAGE_a_ellipse))</f>
        <v>1.4960570012328709</v>
      </c>
      <c r="AQ1542" s="128" t="s">
        <v>396</v>
      </c>
      <c r="AR1542" s="158">
        <f t="shared" ref="AR1542:AR1547" ca="1" si="140">AN1542</f>
        <v>-18.624000000000006</v>
      </c>
      <c r="AS1542" s="174">
        <f t="shared" ref="AS1542:AS1547" ca="1" si="141">-AO1542</f>
        <v>-1.4960570012328709</v>
      </c>
      <c r="BD1542" s="157"/>
    </row>
    <row r="1543" spans="2:56">
      <c r="B1543" s="156"/>
      <c r="C1543" s="128" t="s">
        <v>213</v>
      </c>
      <c r="D1543" s="128">
        <f ca="1">IF(X1535,D1542+P1534/4,D1542+P1534)</f>
        <v>8888</v>
      </c>
      <c r="E1543" s="139">
        <f ca="1">E1542</f>
        <v>8888</v>
      </c>
      <c r="G1543" s="128" t="s">
        <v>213</v>
      </c>
      <c r="H1543" s="128">
        <f ca="1">H1542+P1534</f>
        <v>8888</v>
      </c>
      <c r="I1543" s="139">
        <f ca="1">I1542</f>
        <v>8888</v>
      </c>
      <c r="K1543" s="128" t="s">
        <v>213</v>
      </c>
      <c r="L1543" s="128">
        <f ca="1">IF(X1535,IF(K1540=1,L1542+P1534/4,L1542+P1534),L1542+P1534)</f>
        <v>8888</v>
      </c>
      <c r="M1543" s="139">
        <f ca="1">M1542</f>
        <v>8888</v>
      </c>
      <c r="O1543" s="128" t="s">
        <v>213</v>
      </c>
      <c r="P1543" s="128">
        <f ca="1">P1542+$T1537</f>
        <v>8888</v>
      </c>
      <c r="Q1543" s="139">
        <f ca="1">Q1542</f>
        <v>8888</v>
      </c>
      <c r="S1543" s="128" t="s">
        <v>213</v>
      </c>
      <c r="T1543" s="128">
        <f ca="1">T1542+$T1535</f>
        <v>8888</v>
      </c>
      <c r="U1543" s="139">
        <f ca="1">U1542</f>
        <v>8888</v>
      </c>
      <c r="W1543" s="128" t="s">
        <v>213</v>
      </c>
      <c r="X1543" s="128">
        <f ca="1">X1542+$T1533</f>
        <v>8888</v>
      </c>
      <c r="Y1543" s="139">
        <f ca="1">Y1542</f>
        <v>8888</v>
      </c>
      <c r="AA1543" s="143" t="s">
        <v>213</v>
      </c>
      <c r="AB1543" s="128">
        <f ca="1">IF($AA1540,D1543,P1543)</f>
        <v>8888</v>
      </c>
      <c r="AC1543" s="129">
        <f ca="1">IF($AA1540,E1543,Q1543)</f>
        <v>8888</v>
      </c>
      <c r="AE1543" s="128" t="s">
        <v>213</v>
      </c>
      <c r="AF1543" s="128">
        <f ca="1">IF($AE1540,H1543,T1543)</f>
        <v>8888</v>
      </c>
      <c r="AG1543" s="129">
        <f ca="1">IF($AE1540,I1543,U1543)</f>
        <v>8888</v>
      </c>
      <c r="AI1543" s="128" t="s">
        <v>213</v>
      </c>
      <c r="AJ1543" s="128">
        <f ca="1">IF($AI1540,L1543,X1543)</f>
        <v>8888</v>
      </c>
      <c r="AK1543" s="129">
        <f ca="1">IF($AI1540,M1543,Y1543)</f>
        <v>8888</v>
      </c>
      <c r="AM1543" s="128" t="s">
        <v>213</v>
      </c>
      <c r="AN1543" s="128">
        <f ca="1">AN1542-AO1533/2</f>
        <v>-18.624000000000006</v>
      </c>
      <c r="AO1543" s="129">
        <f ca="1">IF(AN1543&gt;-Fuselage!$D$366,(FUSELAGE_a_ellipse)*SQRT(1-((AN1543+Fuselage!$D$366)/(Fuselage!$K$364-FUSELAGE_t_fuselage))^2),IF(AN1543&gt;$L$2505+Fuselage!$K$370,FUSELAGE_a_ellipse,(FUSELAGE_a_ellipse+FUSELAGE_t_fuselage-FUSELAGE_d_fo/4)/Fuselage!$K$368*(AN1543-$L$2505-Fuselage!$K$370)+FUSELAGE_a_ellipse))</f>
        <v>1.4960570012328709</v>
      </c>
      <c r="AQ1543" s="128" t="s">
        <v>213</v>
      </c>
      <c r="AR1543" s="128">
        <f t="shared" ca="1" si="140"/>
        <v>-18.624000000000006</v>
      </c>
      <c r="AS1543" s="129">
        <f t="shared" ca="1" si="141"/>
        <v>-1.4960570012328709</v>
      </c>
      <c r="BD1543" s="157"/>
    </row>
    <row r="1544" spans="2:56">
      <c r="B1544" s="156"/>
      <c r="C1544" s="128" t="s">
        <v>286</v>
      </c>
      <c r="D1544" s="128">
        <f ca="1">D1543</f>
        <v>8888</v>
      </c>
      <c r="E1544" s="139">
        <f ca="1">E1543-P1533</f>
        <v>8888</v>
      </c>
      <c r="G1544" s="128" t="s">
        <v>286</v>
      </c>
      <c r="H1544" s="128">
        <f ca="1">H1543</f>
        <v>8888</v>
      </c>
      <c r="I1544" s="139">
        <f ca="1">I1543-P1533</f>
        <v>8888</v>
      </c>
      <c r="K1544" s="128" t="s">
        <v>286</v>
      </c>
      <c r="L1544" s="128">
        <f ca="1">L1543</f>
        <v>8888</v>
      </c>
      <c r="M1544" s="139">
        <f ca="1">M1543-P1533</f>
        <v>8888</v>
      </c>
      <c r="O1544" s="128" t="s">
        <v>286</v>
      </c>
      <c r="P1544" s="128">
        <f ca="1">P1543</f>
        <v>8888</v>
      </c>
      <c r="Q1544" s="139">
        <f ca="1">Q1543-$T1538</f>
        <v>8888</v>
      </c>
      <c r="S1544" s="128" t="s">
        <v>286</v>
      </c>
      <c r="T1544" s="128">
        <f ca="1">T1543</f>
        <v>8888</v>
      </c>
      <c r="U1544" s="139">
        <f ca="1">U1543-$T1536</f>
        <v>8888</v>
      </c>
      <c r="W1544" s="128" t="s">
        <v>286</v>
      </c>
      <c r="X1544" s="128">
        <f ca="1">X1543</f>
        <v>8888</v>
      </c>
      <c r="Y1544" s="139">
        <f ca="1">Y1543+$T1534</f>
        <v>8888</v>
      </c>
      <c r="AA1544" s="143" t="s">
        <v>286</v>
      </c>
      <c r="AB1544" s="128">
        <f ca="1">IF($AA1540,D1544,P1544)</f>
        <v>8888</v>
      </c>
      <c r="AC1544" s="129">
        <f ca="1">IF($AA1540,E1544,Q1544)</f>
        <v>8888</v>
      </c>
      <c r="AE1544" s="128" t="s">
        <v>286</v>
      </c>
      <c r="AF1544" s="128">
        <f ca="1">IF($AE1540,H1544,T1544)</f>
        <v>8888</v>
      </c>
      <c r="AG1544" s="129">
        <f ca="1">IF($AE1540,I1544,U1544)</f>
        <v>8888</v>
      </c>
      <c r="AI1544" s="128" t="s">
        <v>286</v>
      </c>
      <c r="AJ1544" s="128">
        <f ca="1">IF($AI1540,L1544,X1544)</f>
        <v>8888</v>
      </c>
      <c r="AK1544" s="129">
        <f ca="1">IF($AI1540,M1544,Y1544)</f>
        <v>8888</v>
      </c>
      <c r="AM1544" s="128" t="s">
        <v>286</v>
      </c>
      <c r="AN1544" s="128">
        <f ca="1">AN1543</f>
        <v>-18.624000000000006</v>
      </c>
      <c r="AO1544" s="129">
        <f ca="1">IF(AN1544&gt;-Fuselage!$D$366,IF(AM1540,(FUSELAGE_a_ellipse+FUSELAGE_t_fuselage)*SQRT(1-((AN1544+Fuselage!$D$366)/Fuselage!$K$364)^2),(FUSELAGE_a_ellipse)*SQRT(1-((AN1544+Fuselage!$D$366)/Fuselage!$K$364)^2)),IF(AN1544&gt;$L$2505+Fuselage!$K$370,(IF(AM1540,FUSELAGE_a_ellipse+FUSELAGE_t_fuselage,FUSELAGE_a_ellipse)),IF(AM1540,(FUSELAGE_a_ellipse+FUSELAGE_t_fuselage-FUSELAGE_d_fo/4)/Fuselage!$K$368*(AN1544-$L$2505-Fuselage!$K$370)+FUSELAGE_a_ellipse+FUSELAGE_t_fuselage,(FUSELAGE_a_ellipse+FUSELAGE_t_fuselage-FUSELAGE_d_fo/4)/Fuselage!$K$368*(AN1544-$L$2505-Fuselage!$K$370)+FUSELAGE_a_ellipse)))</f>
        <v>1.4960570012328709</v>
      </c>
      <c r="AQ1544" s="128" t="s">
        <v>286</v>
      </c>
      <c r="AR1544" s="128">
        <f t="shared" ca="1" si="140"/>
        <v>-18.624000000000006</v>
      </c>
      <c r="AS1544" s="129">
        <f t="shared" ca="1" si="141"/>
        <v>-1.4960570012328709</v>
      </c>
      <c r="BD1544" s="157"/>
    </row>
    <row r="1545" spans="2:56">
      <c r="B1545" s="156"/>
      <c r="C1545" s="188" t="s">
        <v>522</v>
      </c>
      <c r="D1545" s="188">
        <f ca="1">D1542</f>
        <v>8888</v>
      </c>
      <c r="E1545" s="189">
        <f ca="1">E1544</f>
        <v>8888</v>
      </c>
      <c r="F1545" s="157"/>
      <c r="G1545" s="2" t="s">
        <v>522</v>
      </c>
      <c r="H1545" s="128">
        <f ca="1">H1542</f>
        <v>8888</v>
      </c>
      <c r="I1545" s="139">
        <f ca="1">I1544</f>
        <v>8888</v>
      </c>
      <c r="K1545" s="128" t="s">
        <v>522</v>
      </c>
      <c r="L1545" s="128">
        <f ca="1">L1542</f>
        <v>8888</v>
      </c>
      <c r="M1545" s="139">
        <f ca="1">M1544</f>
        <v>8888</v>
      </c>
      <c r="O1545" s="188" t="s">
        <v>522</v>
      </c>
      <c r="P1545" s="188">
        <f ca="1">P1542</f>
        <v>8888</v>
      </c>
      <c r="Q1545" s="189">
        <f ca="1">Q1544</f>
        <v>8888</v>
      </c>
      <c r="S1545" s="188" t="s">
        <v>522</v>
      </c>
      <c r="T1545" s="188">
        <f ca="1">T1542</f>
        <v>8888</v>
      </c>
      <c r="U1545" s="189">
        <f ca="1">U1544</f>
        <v>8888</v>
      </c>
      <c r="W1545" s="188" t="s">
        <v>522</v>
      </c>
      <c r="X1545" s="188">
        <f ca="1">X1542</f>
        <v>8888</v>
      </c>
      <c r="Y1545" s="189">
        <f ca="1">Y1544</f>
        <v>8888</v>
      </c>
      <c r="AA1545" s="195" t="s">
        <v>522</v>
      </c>
      <c r="AB1545" s="128">
        <f ca="1">IF($AA1540,D1545,P1545)</f>
        <v>8888</v>
      </c>
      <c r="AC1545" s="129">
        <f ca="1">IF($AA1540,E1545,Q1545)</f>
        <v>8888</v>
      </c>
      <c r="AD1545" s="157"/>
      <c r="AE1545" s="2" t="s">
        <v>522</v>
      </c>
      <c r="AF1545" s="188">
        <f ca="1">IF($AE1540,H1545,T1545)</f>
        <v>8888</v>
      </c>
      <c r="AG1545" s="196">
        <f ca="1">IF($AE1540,I1545,U1545)</f>
        <v>8888</v>
      </c>
      <c r="AI1545" s="128" t="s">
        <v>522</v>
      </c>
      <c r="AJ1545" s="188">
        <f ca="1">IF($AI1540,L1545,X1545)</f>
        <v>8888</v>
      </c>
      <c r="AK1545" s="196">
        <f ca="1">IF($AI1540,M1545,Y1545)</f>
        <v>8888</v>
      </c>
      <c r="AM1545" s="128" t="s">
        <v>522</v>
      </c>
      <c r="AN1545" s="128">
        <f ca="1">AN1544-X1534</f>
        <v>-18.624000000000006</v>
      </c>
      <c r="AO1545" s="129">
        <f ca="1">IF(AN1545&gt;-Fuselage!$D$366,IF(AM1540,(FUSELAGE_a_ellipse+FUSELAGE_t_fuselage)*SQRT(1-((AN1545+Fuselage!$D$366)/Fuselage!$K$364)^2),(FUSELAGE_a_ellipse)*SQRT(1-((AN1545+Fuselage!$D$366)/Fuselage!$K$364)^2)),IF(AN1545&gt;$L$2505+Fuselage!$K$370,(IF(AM1540,FUSELAGE_a_ellipse+FUSELAGE_t_fuselage,FUSELAGE_a_ellipse)),IF(AM1540,(FUSELAGE_a_ellipse+FUSELAGE_t_fuselage-FUSELAGE_d_fo/4)/Fuselage!$K$368*(AN1545-$L$2505-Fuselage!$K$370)+FUSELAGE_a_ellipse+FUSELAGE_t_fuselage,(FUSELAGE_a_ellipse+FUSELAGE_t_fuselage-FUSELAGE_d_fo/4)/Fuselage!$K$368*(AN1545-$L$2505-Fuselage!$K$370)+FUSELAGE_a_ellipse)))</f>
        <v>1.4960570012328709</v>
      </c>
      <c r="AQ1545" s="128" t="s">
        <v>522</v>
      </c>
      <c r="AR1545" s="128">
        <f t="shared" ca="1" si="140"/>
        <v>-18.624000000000006</v>
      </c>
      <c r="AS1545" s="129">
        <f t="shared" ca="1" si="141"/>
        <v>-1.4960570012328709</v>
      </c>
      <c r="BD1545" s="157"/>
    </row>
    <row r="1546" spans="2:56" ht="15" thickBot="1">
      <c r="B1546" s="156"/>
      <c r="C1546" s="128" t="s">
        <v>49</v>
      </c>
      <c r="D1546" s="128">
        <f ca="1">IF(C1540&gt;=2,D1542,D1545)</f>
        <v>8888</v>
      </c>
      <c r="E1546" s="139">
        <f ca="1">IF(C1540&gt;=2,E1545-P1535,E1545)</f>
        <v>8888</v>
      </c>
      <c r="F1546" s="157"/>
      <c r="G1546" s="192" t="s">
        <v>49</v>
      </c>
      <c r="H1546" s="190">
        <f ca="1">IF(G1540&gt;=2,H1542,H1545)</f>
        <v>8888</v>
      </c>
      <c r="I1546" s="191">
        <f ca="1">IF(G1540&gt;=2,I1545-P1535,I1545)</f>
        <v>8888</v>
      </c>
      <c r="K1546" s="190" t="s">
        <v>49</v>
      </c>
      <c r="L1546" s="190">
        <f ca="1">IF(K1540&gt;=2,L1542,L1545)</f>
        <v>8888</v>
      </c>
      <c r="M1546" s="191">
        <f ca="1">IF(K1540&gt;=2,M1545-P1535,M1545)</f>
        <v>8888</v>
      </c>
      <c r="O1546" s="130" t="s">
        <v>396</v>
      </c>
      <c r="P1546" s="130">
        <f ca="1">P1542</f>
        <v>8888</v>
      </c>
      <c r="Q1546" s="140">
        <f ca="1">Q1542</f>
        <v>8888</v>
      </c>
      <c r="S1546" s="130" t="s">
        <v>396</v>
      </c>
      <c r="T1546" s="130">
        <f ca="1">T1542</f>
        <v>8888</v>
      </c>
      <c r="U1546" s="140">
        <f ca="1">U1542</f>
        <v>8888</v>
      </c>
      <c r="W1546" s="130" t="s">
        <v>396</v>
      </c>
      <c r="X1546" s="130">
        <f ca="1">X1542</f>
        <v>8888</v>
      </c>
      <c r="Y1546" s="140">
        <f ca="1">Y1542</f>
        <v>8888</v>
      </c>
      <c r="AA1546" s="143" t="s">
        <v>49</v>
      </c>
      <c r="AB1546" s="128">
        <f ca="1">IF($AA1540,D1546,P1546)</f>
        <v>8888</v>
      </c>
      <c r="AC1546" s="129">
        <f ca="1">IF($AA1540,E1546,Q1546)</f>
        <v>8888</v>
      </c>
      <c r="AD1546" s="157"/>
      <c r="AE1546" s="192" t="s">
        <v>49</v>
      </c>
      <c r="AF1546" s="128">
        <f ca="1">IF($AE1540,H1546,T1546)</f>
        <v>8888</v>
      </c>
      <c r="AG1546" s="129">
        <f ca="1">IF($AE1540,I1546,U1546)</f>
        <v>8888</v>
      </c>
      <c r="AI1546" s="190" t="s">
        <v>49</v>
      </c>
      <c r="AJ1546" s="128">
        <f ca="1">IF($AI1540,L1546,X1546)</f>
        <v>8888</v>
      </c>
      <c r="AK1546" s="129">
        <f ca="1">IF($AI1540,M1546,Y1546)</f>
        <v>8888</v>
      </c>
      <c r="AM1546" s="128" t="s">
        <v>49</v>
      </c>
      <c r="AN1546" s="128">
        <f ca="1">AN1545</f>
        <v>-18.624000000000006</v>
      </c>
      <c r="AO1546" s="129">
        <f ca="1">IF(AN1546&gt;-Fuselage!$D$366,(FUSELAGE_a_ellipse)*SQRT(1-((AN1546+Fuselage!$D$366)/(Fuselage!$K$364-FUSELAGE_t_fuselage))^2),IF(AN1546&gt;$L$2505+Fuselage!$K$370,FUSELAGE_a_ellipse,(FUSELAGE_a_ellipse+FUSELAGE_t_fuselage-FUSELAGE_d_fo/4)/Fuselage!$K$368*(AN1546-$L$2505-Fuselage!$K$370)+FUSELAGE_a_ellipse))</f>
        <v>1.4960570012328709</v>
      </c>
      <c r="AQ1546" s="128" t="s">
        <v>49</v>
      </c>
      <c r="AR1546" s="128">
        <f t="shared" ca="1" si="140"/>
        <v>-18.624000000000006</v>
      </c>
      <c r="AS1546" s="129">
        <f t="shared" ca="1" si="141"/>
        <v>-1.4960570012328709</v>
      </c>
      <c r="BD1546" s="157"/>
    </row>
    <row r="1547" spans="2:56">
      <c r="B1547" s="156"/>
      <c r="C1547" s="128" t="s">
        <v>453</v>
      </c>
      <c r="D1547" s="128">
        <f ca="1">IF(C1540&gt;=2,D1542+P1534,D1545)</f>
        <v>8888</v>
      </c>
      <c r="E1547" s="139">
        <f ca="1">E1546</f>
        <v>8888</v>
      </c>
      <c r="F1547" s="157"/>
      <c r="G1547" s="2" t="s">
        <v>453</v>
      </c>
      <c r="H1547" s="128">
        <f ca="1">IF(G1540&gt;=2,H1543,H1545)</f>
        <v>8888</v>
      </c>
      <c r="I1547" s="139">
        <f ca="1">IF(G1540&gt;=2,I1546,I1545)</f>
        <v>8888</v>
      </c>
      <c r="K1547" s="128" t="s">
        <v>453</v>
      </c>
      <c r="L1547" s="128">
        <f ca="1">IF(K1540&gt;=2,IF(X1535,IF(K1540=2,L1542+P1534/4,L1542+P1534),L1542+P1534),L1545)</f>
        <v>8888</v>
      </c>
      <c r="M1547" s="139">
        <f ca="1">IF(K1540&gt;=2,M1546,M1545)</f>
        <v>8888</v>
      </c>
      <c r="AA1547" s="143" t="s">
        <v>453</v>
      </c>
      <c r="AB1547" s="128">
        <f ca="1">IF($AA1540,D1547,AB1546)</f>
        <v>8888</v>
      </c>
      <c r="AC1547" s="129">
        <f ca="1">IF($AA1540,E1547,AC1546)</f>
        <v>8888</v>
      </c>
      <c r="AD1547" s="157"/>
      <c r="AE1547" s="2" t="s">
        <v>453</v>
      </c>
      <c r="AF1547" s="128">
        <f ca="1">IF($AE1540,H1547,AF1546)</f>
        <v>8888</v>
      </c>
      <c r="AG1547" s="129">
        <f ca="1">IF($AE1540,I1547,AG1546)</f>
        <v>8888</v>
      </c>
      <c r="AI1547" s="128" t="s">
        <v>453</v>
      </c>
      <c r="AJ1547" s="128">
        <f ca="1">IF($AI1540,L1547,AJ1546)</f>
        <v>8888</v>
      </c>
      <c r="AK1547" s="129">
        <f ca="1">IF($AI1540,M1547,AK1546)</f>
        <v>8888</v>
      </c>
      <c r="AM1547" s="128" t="s">
        <v>453</v>
      </c>
      <c r="AN1547" s="128">
        <f ca="1">L1533</f>
        <v>-18.624000000000006</v>
      </c>
      <c r="AO1547" s="129">
        <f ca="1">IF(AN1547&gt;-Fuselage!$D$366,(FUSELAGE_a_ellipse)*SQRT(1-((AN1547+Fuselage!$D$366)/(Fuselage!$K$364-FUSELAGE_t_fuselage))^2),IF(AN1547&gt;$L$2505+Fuselage!$K$370,FUSELAGE_a_ellipse,(FUSELAGE_a_ellipse+FUSELAGE_t_fuselage-FUSELAGE_d_fo/4)/Fuselage!$K$368*(AN1547-$L$2505-Fuselage!$K$370)+FUSELAGE_a_ellipse))</f>
        <v>1.4960570012328709</v>
      </c>
      <c r="AQ1547" s="128" t="s">
        <v>453</v>
      </c>
      <c r="AR1547" s="128">
        <f t="shared" ca="1" si="140"/>
        <v>-18.624000000000006</v>
      </c>
      <c r="AS1547" s="129">
        <f t="shared" ca="1" si="141"/>
        <v>-1.4960570012328709</v>
      </c>
      <c r="BD1547" s="157"/>
    </row>
    <row r="1548" spans="2:56">
      <c r="B1548" s="156"/>
      <c r="C1548" s="128" t="s">
        <v>394</v>
      </c>
      <c r="D1548" s="128">
        <f ca="1">IF(C1540&gt;=2,D1547,D1545)</f>
        <v>8888</v>
      </c>
      <c r="E1548" s="139">
        <f ca="1">IF(C1540&gt;=2,E1546-P1533,E1545)</f>
        <v>8888</v>
      </c>
      <c r="F1548" s="157"/>
      <c r="G1548" s="2" t="s">
        <v>394</v>
      </c>
      <c r="H1548" s="128">
        <f ca="1">IF(G1540&gt;=2,H1543,H1545)</f>
        <v>8888</v>
      </c>
      <c r="I1548" s="139">
        <f ca="1">IF(G1540&gt;=2,I1547-P1533,I1545)</f>
        <v>8888</v>
      </c>
      <c r="K1548" s="128" t="s">
        <v>394</v>
      </c>
      <c r="L1548" s="128">
        <f ca="1">L1547</f>
        <v>8888</v>
      </c>
      <c r="M1548" s="139">
        <f ca="1">IF(K1540&gt;=2,M1547-P1533,M1545)</f>
        <v>8888</v>
      </c>
      <c r="AA1548" s="143" t="s">
        <v>394</v>
      </c>
      <c r="AB1548" s="128">
        <f ca="1">IF($AA1540,D1548,AB1546)</f>
        <v>8888</v>
      </c>
      <c r="AC1548" s="129">
        <f ca="1">IF($AA1540,E1548,AC1546)</f>
        <v>8888</v>
      </c>
      <c r="AD1548" s="157"/>
      <c r="AE1548" s="2" t="s">
        <v>394</v>
      </c>
      <c r="AF1548" s="128">
        <f ca="1">IF($AE1540,H1548,AF1546)</f>
        <v>8888</v>
      </c>
      <c r="AG1548" s="129">
        <f ca="1">IF($AE1540,I1548,AG1546)</f>
        <v>8888</v>
      </c>
      <c r="AI1548" s="128" t="s">
        <v>394</v>
      </c>
      <c r="AJ1548" s="128">
        <f ca="1">IF($AI1540,L1548,AJ1546)</f>
        <v>8888</v>
      </c>
      <c r="AK1548" s="129">
        <f ca="1">IF($AI1540,M1548,AK1546)</f>
        <v>8888</v>
      </c>
      <c r="BD1548" s="157"/>
    </row>
    <row r="1549" spans="2:56">
      <c r="B1549" s="156"/>
      <c r="C1549" s="188" t="s">
        <v>454</v>
      </c>
      <c r="D1549" s="188">
        <f ca="1">IF(C1540&gt;=2,D1542,D1545)</f>
        <v>8888</v>
      </c>
      <c r="E1549" s="189">
        <f ca="1">E1548</f>
        <v>8888</v>
      </c>
      <c r="F1549" s="157"/>
      <c r="G1549" s="115" t="s">
        <v>454</v>
      </c>
      <c r="H1549" s="188">
        <f ca="1">IF(G1540&gt;=2,H1542,H1545)</f>
        <v>8888</v>
      </c>
      <c r="I1549" s="189">
        <f ca="1">IF(G1540&gt;=2,I1548,I1545)</f>
        <v>8888</v>
      </c>
      <c r="K1549" s="188" t="s">
        <v>454</v>
      </c>
      <c r="L1549" s="188">
        <f ca="1">IF(K1540&gt;=2,L1542,L1545)</f>
        <v>8888</v>
      </c>
      <c r="M1549" s="189">
        <f ca="1">IF(K1540&gt;=2,M1548,M1545)</f>
        <v>8888</v>
      </c>
      <c r="AA1549" s="195" t="s">
        <v>454</v>
      </c>
      <c r="AB1549" s="128">
        <f ca="1">IF($AA1540,D1549,AB1546)</f>
        <v>8888</v>
      </c>
      <c r="AC1549" s="129">
        <f ca="1">IF($AA1540,E1549,AC1546)</f>
        <v>8888</v>
      </c>
      <c r="AD1549" s="157"/>
      <c r="AE1549" s="115" t="s">
        <v>454</v>
      </c>
      <c r="AF1549" s="188">
        <f ca="1">IF($AE1540,H1549,AF1546)</f>
        <v>8888</v>
      </c>
      <c r="AG1549" s="196">
        <f ca="1">IF($AE1540,I1549,AG1546)</f>
        <v>8888</v>
      </c>
      <c r="AI1549" s="188" t="s">
        <v>454</v>
      </c>
      <c r="AJ1549" s="188">
        <f ca="1">IF($AI1540,L1549,AJ1546)</f>
        <v>8888</v>
      </c>
      <c r="AK1549" s="196">
        <f ca="1">IF($AI1540,M1549,AK1546)</f>
        <v>8888</v>
      </c>
      <c r="BD1549" s="157"/>
    </row>
    <row r="1550" spans="2:56">
      <c r="B1550" s="156"/>
      <c r="C1550" s="128" t="s">
        <v>507</v>
      </c>
      <c r="D1550" s="128">
        <f ca="1">IF(C1540&gt;=3,D1542,D1549)</f>
        <v>8888</v>
      </c>
      <c r="E1550" s="139">
        <f ca="1">IF(C1540&gt;=3,E1549-P1535,E1549)</f>
        <v>8888</v>
      </c>
      <c r="F1550" s="157"/>
      <c r="G1550" s="2" t="s">
        <v>507</v>
      </c>
      <c r="H1550" s="128">
        <f ca="1">IF(G1540&gt;=3,H1542,H1549)</f>
        <v>8888</v>
      </c>
      <c r="I1550" s="139">
        <f ca="1">IF(G1540&gt;=3,I1549-P1535,I1549)</f>
        <v>8888</v>
      </c>
      <c r="K1550" s="128" t="s">
        <v>507</v>
      </c>
      <c r="L1550" s="128">
        <f ca="1">IF(K1540&gt;=3,L1542,L1549)</f>
        <v>8888</v>
      </c>
      <c r="M1550" s="139">
        <f ca="1">IF(K1540&gt;=3,M1549-P1535,M1549)</f>
        <v>8888</v>
      </c>
      <c r="AA1550" s="143" t="s">
        <v>507</v>
      </c>
      <c r="AB1550" s="128">
        <f ca="1">IF($AA1540,D1550,AB1546)</f>
        <v>8888</v>
      </c>
      <c r="AC1550" s="129">
        <f ca="1">IF($AA1540,E1550,AC1546)</f>
        <v>8888</v>
      </c>
      <c r="AD1550" s="157"/>
      <c r="AE1550" s="2" t="s">
        <v>507</v>
      </c>
      <c r="AF1550" s="128">
        <f ca="1">IF($AE1540,H1550,AF1546)</f>
        <v>8888</v>
      </c>
      <c r="AG1550" s="129">
        <f ca="1">IF($AE1540,I1550,AG1546)</f>
        <v>8888</v>
      </c>
      <c r="AI1550" s="128" t="s">
        <v>507</v>
      </c>
      <c r="AJ1550" s="128">
        <f ca="1">IF($AI1540,L1550,AJ1546)</f>
        <v>8888</v>
      </c>
      <c r="AK1550" s="129">
        <f ca="1">IF($AI1540,M1550,AK1546)</f>
        <v>8888</v>
      </c>
      <c r="BD1550" s="157"/>
    </row>
    <row r="1551" spans="2:56">
      <c r="B1551" s="156"/>
      <c r="C1551" s="128" t="s">
        <v>455</v>
      </c>
      <c r="D1551" s="128">
        <f ca="1">IF(C1540&gt;=3,D1547,D1549)</f>
        <v>8888</v>
      </c>
      <c r="E1551" s="139">
        <f ca="1">E1550</f>
        <v>8888</v>
      </c>
      <c r="F1551" s="157"/>
      <c r="G1551" s="2" t="s">
        <v>455</v>
      </c>
      <c r="H1551" s="128">
        <f ca="1">IF(G1540&gt;=3,H1543,H1549)</f>
        <v>8888</v>
      </c>
      <c r="I1551" s="139">
        <f ca="1">IF(G1540&gt;=3,I1550,I1549)</f>
        <v>8888</v>
      </c>
      <c r="K1551" s="128" t="s">
        <v>455</v>
      </c>
      <c r="L1551" s="128">
        <f ca="1">IF(K1540&gt;=3,IF(X1535,IF(K1540=3,L1542+P1534/4,L1542+P1534),L1542+P1534),L1545)</f>
        <v>8888</v>
      </c>
      <c r="M1551" s="139">
        <f ca="1">IF(K1540&gt;=3,M1550,M1549)</f>
        <v>8888</v>
      </c>
      <c r="AA1551" s="143" t="s">
        <v>455</v>
      </c>
      <c r="AB1551" s="128">
        <f ca="1">IF($AA1540,D1551,AB1546)</f>
        <v>8888</v>
      </c>
      <c r="AC1551" s="129">
        <f ca="1">IF($AA1540,E1551,AC1546)</f>
        <v>8888</v>
      </c>
      <c r="AD1551" s="157"/>
      <c r="AE1551" s="2" t="s">
        <v>455</v>
      </c>
      <c r="AF1551" s="128">
        <f ca="1">IF($AE1540,H1551,AF1546)</f>
        <v>8888</v>
      </c>
      <c r="AG1551" s="129">
        <f ca="1">IF($AE1540,I1551,AG1546)</f>
        <v>8888</v>
      </c>
      <c r="AI1551" s="128" t="s">
        <v>455</v>
      </c>
      <c r="AJ1551" s="128">
        <f ca="1">IF($AI1540,L1551,AJ1546)</f>
        <v>8888</v>
      </c>
      <c r="AK1551" s="129">
        <f ca="1">IF($AI1540,M1551,AK1546)</f>
        <v>8888</v>
      </c>
      <c r="AL1551" s="156"/>
      <c r="BD1551" s="157"/>
    </row>
    <row r="1552" spans="2:56">
      <c r="B1552" s="156"/>
      <c r="C1552" s="128" t="s">
        <v>311</v>
      </c>
      <c r="D1552" s="128">
        <f ca="1">IF(C1540&gt;=3,D1547,D1549)</f>
        <v>8888</v>
      </c>
      <c r="E1552" s="139">
        <f ca="1">IF(C1540&gt;=3,E1551-P1533,E1549)</f>
        <v>8888</v>
      </c>
      <c r="F1552" s="157"/>
      <c r="G1552" s="2" t="s">
        <v>311</v>
      </c>
      <c r="H1552" s="128">
        <f ca="1">IF(G1540&gt;=3,H1543,H1549)</f>
        <v>8888</v>
      </c>
      <c r="I1552" s="139">
        <f ca="1">IF(G1540&gt;=3,I1551-P1533,I1549)</f>
        <v>8888</v>
      </c>
      <c r="K1552" s="128" t="s">
        <v>311</v>
      </c>
      <c r="L1552" s="128">
        <f ca="1">L1551</f>
        <v>8888</v>
      </c>
      <c r="M1552" s="139">
        <f ca="1">IF(K1540&gt;=3,M1551-P1533,M1549)</f>
        <v>8888</v>
      </c>
      <c r="AA1552" s="143" t="s">
        <v>311</v>
      </c>
      <c r="AB1552" s="128">
        <f ca="1">IF($AA1540,D1552,AB1546)</f>
        <v>8888</v>
      </c>
      <c r="AC1552" s="129">
        <f ca="1">IF($AA1540,E1552,AC1546)</f>
        <v>8888</v>
      </c>
      <c r="AD1552" s="157"/>
      <c r="AE1552" s="2" t="s">
        <v>311</v>
      </c>
      <c r="AF1552" s="128">
        <f ca="1">IF($AE1540,H1552,AF1546)</f>
        <v>8888</v>
      </c>
      <c r="AG1552" s="129">
        <f ca="1">IF($AE1540,I1552,AG1546)</f>
        <v>8888</v>
      </c>
      <c r="AI1552" s="128" t="s">
        <v>311</v>
      </c>
      <c r="AJ1552" s="128">
        <f ca="1">IF($AI1540,L1552,AJ1546)</f>
        <v>8888</v>
      </c>
      <c r="AK1552" s="129">
        <f ca="1">IF($AI1540,M1552,AK1546)</f>
        <v>8888</v>
      </c>
      <c r="AL1552" s="156"/>
      <c r="BD1552" s="157"/>
    </row>
    <row r="1553" spans="2:56">
      <c r="B1553" s="156"/>
      <c r="C1553" s="188" t="s">
        <v>35</v>
      </c>
      <c r="D1553" s="188">
        <f ca="1">IF(C1540&gt;=3,D1542,D1549)</f>
        <v>8888</v>
      </c>
      <c r="E1553" s="189">
        <f ca="1">E1552</f>
        <v>8888</v>
      </c>
      <c r="F1553" s="157"/>
      <c r="G1553" s="2" t="s">
        <v>35</v>
      </c>
      <c r="H1553" s="188">
        <f ca="1">IF(G1540&gt;=3,H1542,H1549)</f>
        <v>8888</v>
      </c>
      <c r="I1553" s="189">
        <f ca="1">IF(G1540&gt;=3,I1552,I1549)</f>
        <v>8888</v>
      </c>
      <c r="K1553" s="188" t="s">
        <v>35</v>
      </c>
      <c r="L1553" s="188">
        <f ca="1">IF(K1540&gt;=3,L1542,L1549)</f>
        <v>8888</v>
      </c>
      <c r="M1553" s="189">
        <f ca="1">IF(K1540&gt;=3,M1552,M1549)</f>
        <v>8888</v>
      </c>
      <c r="AA1553" s="143" t="s">
        <v>35</v>
      </c>
      <c r="AB1553" s="128">
        <f ca="1">IF($AA1540,D1553,AB1546)</f>
        <v>8888</v>
      </c>
      <c r="AC1553" s="129">
        <f ca="1">IF($AA1540,E1553,AC1546)</f>
        <v>8888</v>
      </c>
      <c r="AD1553" s="157"/>
      <c r="AE1553" s="2" t="s">
        <v>35</v>
      </c>
      <c r="AF1553" s="188">
        <f ca="1">IF($AE1540,H1553,AF1546)</f>
        <v>8888</v>
      </c>
      <c r="AG1553" s="196">
        <f ca="1">IF($AE1540,I1553,AG1546)</f>
        <v>8888</v>
      </c>
      <c r="AI1553" s="128" t="s">
        <v>35</v>
      </c>
      <c r="AJ1553" s="128">
        <f ca="1">IF($AI1540,L1553,AJ1546)</f>
        <v>8888</v>
      </c>
      <c r="AK1553" s="129">
        <f ca="1">IF($AI1540,M1553,AK1546)</f>
        <v>8888</v>
      </c>
      <c r="AL1553" s="156"/>
      <c r="BD1553" s="157"/>
    </row>
    <row r="1554" spans="2:56" ht="15" thickBot="1">
      <c r="B1554" s="156"/>
      <c r="C1554" s="130" t="s">
        <v>396</v>
      </c>
      <c r="D1554" s="130">
        <f ca="1">D1542</f>
        <v>8888</v>
      </c>
      <c r="E1554" s="140">
        <f ca="1">E1542</f>
        <v>8888</v>
      </c>
      <c r="F1554" s="157"/>
      <c r="G1554" s="192" t="s">
        <v>312</v>
      </c>
      <c r="H1554" s="128">
        <f ca="1">IF(G1540&gt;=4,H1542,H1553)</f>
        <v>8888</v>
      </c>
      <c r="I1554" s="139">
        <f ca="1">IF(G1540&gt;=4,I1553-P1535,I1553)</f>
        <v>8888</v>
      </c>
      <c r="K1554" s="130" t="s">
        <v>396</v>
      </c>
      <c r="L1554" s="130">
        <f ca="1">L1542</f>
        <v>8888</v>
      </c>
      <c r="M1554" s="140">
        <f ca="1">M1542</f>
        <v>8888</v>
      </c>
      <c r="AA1554" s="144" t="s">
        <v>396</v>
      </c>
      <c r="AB1554" s="130">
        <f ca="1">IF($AA1540,D1554,AB1546)</f>
        <v>8888</v>
      </c>
      <c r="AC1554" s="132">
        <f ca="1">IF($AA1540,E1554,AC1546)</f>
        <v>8888</v>
      </c>
      <c r="AD1554" s="157"/>
      <c r="AE1554" s="192" t="s">
        <v>312</v>
      </c>
      <c r="AF1554" s="128">
        <f ca="1">IF($AE1540,H1554,AF1546)</f>
        <v>8888</v>
      </c>
      <c r="AG1554" s="129">
        <f ca="1">IF($AE1540,I1554,AG1546)</f>
        <v>8888</v>
      </c>
      <c r="AI1554" s="130" t="s">
        <v>396</v>
      </c>
      <c r="AJ1554" s="130">
        <f ca="1">IF($AI1540,L1554,AJ1546)</f>
        <v>8888</v>
      </c>
      <c r="AK1554" s="132">
        <f ca="1">IF($AI1540,M1554,AK1546)</f>
        <v>8888</v>
      </c>
      <c r="BD1554" s="157"/>
    </row>
    <row r="1555" spans="2:56">
      <c r="B1555" s="156"/>
      <c r="F1555" s="157"/>
      <c r="G1555" s="2" t="s">
        <v>313</v>
      </c>
      <c r="H1555" s="128">
        <f ca="1">IF(G1540&gt;=4,H1543,H1553)</f>
        <v>8888</v>
      </c>
      <c r="I1555" s="139">
        <f ca="1">IF(G1540&gt;=4,I1554,I1553)</f>
        <v>8888</v>
      </c>
      <c r="AD1555" s="157"/>
      <c r="AE1555" s="2" t="s">
        <v>313</v>
      </c>
      <c r="AF1555" s="128">
        <f ca="1">IF($AE1540,H1555,AF1546)</f>
        <v>8888</v>
      </c>
      <c r="AG1555" s="129">
        <f ca="1">IF($AE1540,I1555,AG1546)</f>
        <v>8888</v>
      </c>
      <c r="BD1555" s="157"/>
    </row>
    <row r="1556" spans="2:56">
      <c r="B1556" s="156"/>
      <c r="F1556" s="157"/>
      <c r="G1556" s="2" t="s">
        <v>7</v>
      </c>
      <c r="H1556" s="128">
        <f ca="1">IF(G1540&gt;=4,H1543,H1553)</f>
        <v>8888</v>
      </c>
      <c r="I1556" s="139">
        <f ca="1">IF(G1540&gt;=4,I1555-P1533,I1553)</f>
        <v>8888</v>
      </c>
      <c r="AD1556" s="157"/>
      <c r="AE1556" s="2" t="s">
        <v>7</v>
      </c>
      <c r="AF1556" s="128">
        <f ca="1">IF($AE1540,H1556,AF1546)</f>
        <v>8888</v>
      </c>
      <c r="AG1556" s="129">
        <f ca="1">IF($AE1540,I1556,AG1546)</f>
        <v>8888</v>
      </c>
      <c r="BD1556" s="157"/>
    </row>
    <row r="1557" spans="2:56">
      <c r="B1557" s="156"/>
      <c r="F1557" s="157"/>
      <c r="G1557" s="115" t="s">
        <v>8</v>
      </c>
      <c r="H1557" s="188">
        <f ca="1">IF(G1540&gt;=4,H1542,H1553)</f>
        <v>8888</v>
      </c>
      <c r="I1557" s="189">
        <f ca="1">IF(G1540&gt;=4,I1556,I1553)</f>
        <v>8888</v>
      </c>
      <c r="AD1557" s="157"/>
      <c r="AE1557" s="115" t="s">
        <v>8</v>
      </c>
      <c r="AF1557" s="188">
        <f ca="1">IF($AE1540,H1557,AF1546)</f>
        <v>8888</v>
      </c>
      <c r="AG1557" s="196">
        <f ca="1">IF($AE1540,I1557,AG1546)</f>
        <v>8888</v>
      </c>
      <c r="BD1557" s="157"/>
    </row>
    <row r="1558" spans="2:56">
      <c r="B1558" s="156"/>
      <c r="F1558" s="157"/>
      <c r="G1558" s="2" t="s">
        <v>9</v>
      </c>
      <c r="H1558" s="128">
        <f ca="1">IF(G1540&gt;=5,H1542,H1557)</f>
        <v>8888</v>
      </c>
      <c r="I1558" s="139">
        <f ca="1">IF(G1540&gt;=5,I1557-P1535,I1557)</f>
        <v>8888</v>
      </c>
      <c r="AD1558" s="157"/>
      <c r="AE1558" s="2" t="s">
        <v>9</v>
      </c>
      <c r="AF1558" s="128">
        <f ca="1">IF($AE1540,H1558,AF1546)</f>
        <v>8888</v>
      </c>
      <c r="AG1558" s="129">
        <f ca="1">IF($AE1540,I1558,AG1546)</f>
        <v>8888</v>
      </c>
      <c r="BD1558" s="157"/>
    </row>
    <row r="1559" spans="2:56">
      <c r="B1559" s="156"/>
      <c r="F1559" s="157"/>
      <c r="G1559" s="2" t="s">
        <v>196</v>
      </c>
      <c r="H1559" s="128">
        <f ca="1">IF(G1540&gt;=5,H1543,H1557)</f>
        <v>8888</v>
      </c>
      <c r="I1559" s="139">
        <f ca="1">IF(G1540&gt;=5,I1558,I1557)</f>
        <v>8888</v>
      </c>
      <c r="AD1559" s="157"/>
      <c r="AE1559" s="2" t="s">
        <v>196</v>
      </c>
      <c r="AF1559" s="128">
        <f ca="1">IF($AE1540,H1559,AF1546)</f>
        <v>8888</v>
      </c>
      <c r="AG1559" s="129">
        <f ca="1">IF($AE1540,I1559,AG1546)</f>
        <v>8888</v>
      </c>
      <c r="BD1559" s="157"/>
    </row>
    <row r="1560" spans="2:56">
      <c r="B1560" s="156"/>
      <c r="F1560" s="157"/>
      <c r="G1560" s="2" t="s">
        <v>10</v>
      </c>
      <c r="H1560" s="128">
        <f ca="1">IF(G1540&gt;=5,H1543,H1557)</f>
        <v>8888</v>
      </c>
      <c r="I1560" s="139">
        <f ca="1">IF(G1540&gt;=5,I1559-P1533,I1557)</f>
        <v>8888</v>
      </c>
      <c r="AD1560" s="157"/>
      <c r="AE1560" s="2" t="s">
        <v>10</v>
      </c>
      <c r="AF1560" s="128">
        <f ca="1">IF($AE1540,H1560,AF1546)</f>
        <v>8888</v>
      </c>
      <c r="AG1560" s="129">
        <f ca="1">IF($AE1540,I1560,AG1546)</f>
        <v>8888</v>
      </c>
      <c r="BD1560" s="157"/>
    </row>
    <row r="1561" spans="2:56">
      <c r="B1561" s="156"/>
      <c r="F1561" s="157"/>
      <c r="G1561" s="2" t="s">
        <v>161</v>
      </c>
      <c r="H1561" s="188">
        <f ca="1">IF(G1540&gt;=5,H1542,H1557)</f>
        <v>8888</v>
      </c>
      <c r="I1561" s="189">
        <f ca="1">IF(G1540&gt;=5,I1560,I1557)</f>
        <v>8888</v>
      </c>
      <c r="AD1561" s="157"/>
      <c r="AE1561" s="2" t="s">
        <v>161</v>
      </c>
      <c r="AF1561" s="188">
        <f ca="1">IF($AE1540,H1561,AF1546)</f>
        <v>8888</v>
      </c>
      <c r="AG1561" s="196">
        <f ca="1">IF($AE1540,I1561,AG1546)</f>
        <v>8888</v>
      </c>
      <c r="BD1561" s="157"/>
    </row>
    <row r="1562" spans="2:56">
      <c r="B1562" s="156"/>
      <c r="F1562" s="157"/>
      <c r="G1562" s="192" t="s">
        <v>11</v>
      </c>
      <c r="H1562" s="128">
        <f ca="1">IF(G1540&gt;=6,H1542,H1561)</f>
        <v>8888</v>
      </c>
      <c r="I1562" s="139">
        <f ca="1">IF(G1540&gt;=6,I1561-P1535,I1561)</f>
        <v>8888</v>
      </c>
      <c r="AD1562" s="157"/>
      <c r="AE1562" s="192" t="s">
        <v>11</v>
      </c>
      <c r="AF1562" s="128">
        <f ca="1">IF($AE1540,H1562,AF1546)</f>
        <v>8888</v>
      </c>
      <c r="AG1562" s="129">
        <f ca="1">IF($AE1540,I1562,AG1546)</f>
        <v>8888</v>
      </c>
      <c r="BD1562" s="157"/>
    </row>
    <row r="1563" spans="2:56">
      <c r="B1563" s="156"/>
      <c r="F1563" s="157"/>
      <c r="G1563" s="2" t="s">
        <v>12</v>
      </c>
      <c r="H1563" s="128">
        <f ca="1">IF(G1540&gt;=6,H1543,H1561)</f>
        <v>8888</v>
      </c>
      <c r="I1563" s="139">
        <f ca="1">IF(G1540&gt;=6,I1562,I1561)</f>
        <v>8888</v>
      </c>
      <c r="AD1563" s="157"/>
      <c r="AE1563" s="2" t="s">
        <v>12</v>
      </c>
      <c r="AF1563" s="128">
        <f ca="1">IF($AE1540,H1563,AF1546)</f>
        <v>8888</v>
      </c>
      <c r="AG1563" s="129">
        <f ca="1">IF($AE1540,I1563,AG1546)</f>
        <v>8888</v>
      </c>
      <c r="BD1563" s="157"/>
    </row>
    <row r="1564" spans="2:56">
      <c r="B1564" s="156"/>
      <c r="F1564" s="157"/>
      <c r="G1564" s="2" t="s">
        <v>13</v>
      </c>
      <c r="H1564" s="128">
        <f ca="1">IF(G1540&gt;=6,H1543,H1561)</f>
        <v>8888</v>
      </c>
      <c r="I1564" s="139">
        <f ca="1">IF(G1540&gt;=6,I1563-P1533,I1561)</f>
        <v>8888</v>
      </c>
      <c r="AD1564" s="157"/>
      <c r="AE1564" s="2" t="s">
        <v>13</v>
      </c>
      <c r="AF1564" s="128">
        <f ca="1">IF($AE1540,H1564,AF1546)</f>
        <v>8888</v>
      </c>
      <c r="AG1564" s="129">
        <f ca="1">IF($AE1540,I1564,AG1546)</f>
        <v>8888</v>
      </c>
      <c r="BD1564" s="157"/>
    </row>
    <row r="1565" spans="2:56">
      <c r="B1565" s="156"/>
      <c r="F1565" s="157"/>
      <c r="G1565" s="115" t="s">
        <v>14</v>
      </c>
      <c r="H1565" s="188">
        <f ca="1">IF(G1540&gt;=6,H1542,H1561)</f>
        <v>8888</v>
      </c>
      <c r="I1565" s="189">
        <f ca="1">IF(G1540&gt;=6,I1564,I1561)</f>
        <v>8888</v>
      </c>
      <c r="AD1565" s="157"/>
      <c r="AE1565" s="115" t="s">
        <v>14</v>
      </c>
      <c r="AF1565" s="188">
        <f ca="1">IF($AE1540,H1565,AF1546)</f>
        <v>8888</v>
      </c>
      <c r="AG1565" s="196">
        <f ca="1">IF($AE1540,I1565,AG1546)</f>
        <v>8888</v>
      </c>
      <c r="BD1565" s="157"/>
    </row>
    <row r="1566" spans="2:56" ht="15" thickBot="1">
      <c r="B1566" s="156"/>
      <c r="G1566" s="130" t="s">
        <v>396</v>
      </c>
      <c r="H1566" s="130">
        <f ca="1">H1542</f>
        <v>8888</v>
      </c>
      <c r="I1566" s="140">
        <f ca="1">I1542</f>
        <v>8888</v>
      </c>
      <c r="AE1566" s="130" t="s">
        <v>396</v>
      </c>
      <c r="AF1566" s="130">
        <f ca="1">IF($AE1540,H1566,AF1546)</f>
        <v>8888</v>
      </c>
      <c r="AG1566" s="132">
        <f ca="1">IF($AE1540,I1566,AG1546)</f>
        <v>8888</v>
      </c>
      <c r="BD1566" s="157"/>
    </row>
    <row r="1567" spans="2:56">
      <c r="B1567" s="156"/>
      <c r="BD1567" s="157"/>
    </row>
    <row r="1568" spans="2:56">
      <c r="B1568" s="156"/>
      <c r="BD1568" s="157"/>
    </row>
    <row r="1569" spans="2:56">
      <c r="B1569" s="156"/>
      <c r="C1569" s="200" t="s">
        <v>336</v>
      </c>
      <c r="D1569">
        <f>D1533+1</f>
        <v>39</v>
      </c>
      <c r="G1569" s="200" t="s">
        <v>638</v>
      </c>
      <c r="H1569">
        <f ca="1">LOOKUP(D1572,$C$191:$C$196,$D$191:$D$196)</f>
        <v>0</v>
      </c>
      <c r="K1569" s="200" t="s">
        <v>644</v>
      </c>
      <c r="L1569">
        <f ca="1">L1533-H1574</f>
        <v>-18.624000000000006</v>
      </c>
      <c r="O1569" s="200" t="s">
        <v>404</v>
      </c>
      <c r="P1569">
        <f ca="1">IF(D1571=1,SEAT_w_cushion_FC,IF(D1571=2,SEAT_w_cushion_BC,IF(D1571=3,SEAT_w_cushion_YC,0)))</f>
        <v>0</v>
      </c>
      <c r="S1569" s="200" t="s">
        <v>647</v>
      </c>
      <c r="T1569">
        <f ca="1">LOOKUP(D1572,$C$191:$C$196,$E$191:$E$196)</f>
        <v>0</v>
      </c>
      <c r="W1569" t="s">
        <v>130</v>
      </c>
      <c r="X1569" t="str">
        <f ca="1">OFFSET(Fuselage!$B$275,D1569,5)</f>
        <v>None</v>
      </c>
      <c r="AN1569" s="200" t="s">
        <v>135</v>
      </c>
      <c r="AO1569">
        <f ca="1">MAX(0,H1574-MAX(T1569,T1571,T1573,P1570)-X1570)</f>
        <v>0</v>
      </c>
      <c r="BD1569" s="157"/>
    </row>
    <row r="1570" spans="2:56">
      <c r="B1570" s="156"/>
      <c r="C1570" s="200" t="s">
        <v>200</v>
      </c>
      <c r="D1570" t="str">
        <f ca="1">OFFSET(Fuselage!$B$275,D1569,0)</f>
        <v/>
      </c>
      <c r="G1570" s="200" t="s">
        <v>639</v>
      </c>
      <c r="H1570">
        <f ca="1">LOOKUP(D1573,$C$191:$C$196,$D$191:$D$196)</f>
        <v>0</v>
      </c>
      <c r="O1570" s="200" t="s">
        <v>535</v>
      </c>
      <c r="P1570">
        <f ca="1">IF(D1571=1,SEAT_length_FC,IF(D1571=2,SEAT_length_BC,IF(D1571=3,SEAT_length_YC,0)))</f>
        <v>0</v>
      </c>
      <c r="S1570" s="200" t="s">
        <v>648</v>
      </c>
      <c r="T1570">
        <f ca="1">LOOKUP(D1572,$C$191:$C$196,$F$191:$F$196)</f>
        <v>0</v>
      </c>
      <c r="W1570" t="s">
        <v>131</v>
      </c>
      <c r="X1570">
        <f ca="1">LOOKUP(X1569,$I$191:$I$198,$J$191:$J$198)</f>
        <v>0</v>
      </c>
      <c r="BD1570" s="157"/>
    </row>
    <row r="1571" spans="2:56">
      <c r="B1571" s="156"/>
      <c r="C1571" s="200" t="s">
        <v>337</v>
      </c>
      <c r="D1571" t="str">
        <f ca="1">OFFSET(Fuselage!$B$275,D1569,4)</f>
        <v/>
      </c>
      <c r="G1571" s="200" t="s">
        <v>309</v>
      </c>
      <c r="H1571">
        <f ca="1">LOOKUP(D1574,$C$191:$C$196,$D$191:$D$196)</f>
        <v>0</v>
      </c>
      <c r="K1571" s="200" t="s">
        <v>645</v>
      </c>
      <c r="L1571">
        <f ca="1">IF(D1571=1,FUSELAGE_nseats_left_FC,IF(D1571=2,FUSELAGE_nseats_left_BC,IF(D1571=3,FUSELAGE_nseats_left_YC,0)))</f>
        <v>0</v>
      </c>
      <c r="O1571" s="200" t="s">
        <v>405</v>
      </c>
      <c r="P1571">
        <f ca="1">IF(D1571=1,SEAT_w_armrest_FC,IF(D1571=2,SEAT_w_armrest_BC,IF(D1571=3,SEAT_w_armrest_YC,0)))</f>
        <v>0</v>
      </c>
      <c r="S1571" s="200" t="s">
        <v>652</v>
      </c>
      <c r="T1571">
        <f ca="1">LOOKUP(D1573,$C$191:$C$196,$E$191:$E$196)</f>
        <v>0</v>
      </c>
      <c r="W1571" s="200" t="s">
        <v>393</v>
      </c>
      <c r="X1571" t="b">
        <f ca="1">IF(OFFSET(Fuselage!$B$275,D1569,6)="YES",TRUE(),FALSE())</f>
        <v>0</v>
      </c>
      <c r="BD1571" s="157"/>
    </row>
    <row r="1572" spans="2:56">
      <c r="B1572" s="156"/>
      <c r="C1572" s="200" t="s">
        <v>640</v>
      </c>
      <c r="D1572" t="str">
        <f ca="1">OFFSET(Fuselage!$B$275,D1569,1)</f>
        <v>None</v>
      </c>
      <c r="G1572" s="200" t="s">
        <v>132</v>
      </c>
      <c r="H1572">
        <f ca="1">IF(D1571=1,SEAT_pitch_FC,IF(D1571=2,SEAT_pitch_BC,IF(D1571=3,SEAT_pitch_YC,0)))</f>
        <v>0</v>
      </c>
      <c r="K1572" s="200" t="s">
        <v>646</v>
      </c>
      <c r="L1572">
        <f ca="1">IF(D1571=1,FUSELAGE_nseats_middle_FC,IF(D1571=2,FUSELAGE_nseats_middle_BC,IF(D1571=3,FUSELAGE_nseats_middle_YC,0)))</f>
        <v>0</v>
      </c>
      <c r="S1572" s="200" t="s">
        <v>653</v>
      </c>
      <c r="T1572">
        <f ca="1">LOOKUP(D1573,$C$191:$C$196,$F$191:$F$196)</f>
        <v>0</v>
      </c>
      <c r="BD1572" s="157"/>
    </row>
    <row r="1573" spans="2:56">
      <c r="B1573" s="156"/>
      <c r="C1573" s="200" t="s">
        <v>642</v>
      </c>
      <c r="D1573" t="str">
        <f ca="1">OFFSET(Fuselage!$B$275,D1569,2)</f>
        <v>None</v>
      </c>
      <c r="G1573" s="200" t="s">
        <v>129</v>
      </c>
      <c r="H1573">
        <f ca="1">IF(OR(X1569="Type A",X1569="Type B"),MAX(H1569:H1572)+42*0.0254,IF(X1569="Type C",MAX(H1569:H1572)+X1570,IF(X1569&lt;&gt;"None",24*0.0254,0)))</f>
        <v>0</v>
      </c>
      <c r="K1573" s="200" t="s">
        <v>655</v>
      </c>
      <c r="L1573">
        <f ca="1">IF(D1571=1,FUSELAGE_nseats_right_FC,IF(D1571=2,FUSELAGE_nseats_right_BC,IF(D1571=3,FUSELAGE_nseats_right_YC,0)))</f>
        <v>0</v>
      </c>
      <c r="O1573" s="200" t="s">
        <v>407</v>
      </c>
      <c r="P1573">
        <f ca="1">($C$13-(L1571+L1572+L1573)*(P1569+P1571)+(FUSELAGE_n_aisles-1)*P1571)/FUSELAGE_n_aisles</f>
        <v>2.76</v>
      </c>
      <c r="S1573" s="200" t="s">
        <v>651</v>
      </c>
      <c r="T1573">
        <f ca="1">LOOKUP(D1574,$C$191:$C$196,$E$191:$E$196)</f>
        <v>0</v>
      </c>
      <c r="BD1573" s="157"/>
    </row>
    <row r="1574" spans="2:56">
      <c r="B1574" s="156"/>
      <c r="C1574" s="200" t="s">
        <v>641</v>
      </c>
      <c r="D1574" t="str">
        <f ca="1">OFFSET(Fuselage!$B$275,D1569,3)</f>
        <v>None</v>
      </c>
      <c r="G1574" s="200" t="s">
        <v>643</v>
      </c>
      <c r="H1574">
        <f ca="1">MAX(H1569:H1573)</f>
        <v>0</v>
      </c>
      <c r="S1574" s="200" t="s">
        <v>654</v>
      </c>
      <c r="T1574">
        <f ca="1">LOOKUP(D1574,$C$191:$C$196,$F$191:$F$196)</f>
        <v>0</v>
      </c>
      <c r="BD1574" s="157"/>
    </row>
    <row r="1575" spans="2:56" ht="15" thickBot="1">
      <c r="B1575" s="156"/>
      <c r="BD1575" s="157"/>
    </row>
    <row r="1576" spans="2:56" ht="15" thickBot="1">
      <c r="B1576" s="156"/>
      <c r="C1576" s="141">
        <f ca="1">L1573</f>
        <v>0</v>
      </c>
      <c r="D1576" s="197" t="str">
        <f ca="1">IF($D1571=1,"FC",IF($D1571=2,"BC",IF($D1571=3,"YC","Nothing")))</f>
        <v>Nothing</v>
      </c>
      <c r="E1576" s="198"/>
      <c r="G1576" s="141">
        <f ca="1">L1572</f>
        <v>0</v>
      </c>
      <c r="H1576" s="197" t="str">
        <f ca="1">IF($D1571=1,"FC",IF($D1571=2,"BC",IF($D1571=3,"YC","Nothing")))</f>
        <v>Nothing</v>
      </c>
      <c r="I1576" s="198"/>
      <c r="K1576" s="141">
        <f ca="1" xml:space="preserve"> L1571</f>
        <v>0</v>
      </c>
      <c r="L1576" s="197" t="str">
        <f ca="1">IF($D1571=1,"FC",IF($D1571=2,"BC",IF($D1571=3,"YC","Nothing")))</f>
        <v>Nothing</v>
      </c>
      <c r="M1576" s="198"/>
      <c r="O1576" s="141">
        <f ca="1">IF($D1574&lt;&gt;"None",1,0)</f>
        <v>0</v>
      </c>
      <c r="P1576" s="326" t="s">
        <v>380</v>
      </c>
      <c r="Q1576" s="327"/>
      <c r="S1576" s="141">
        <f ca="1">IF($D1573&lt;&gt;"None",1,0)</f>
        <v>0</v>
      </c>
      <c r="T1576" s="326" t="s">
        <v>381</v>
      </c>
      <c r="U1576" s="327"/>
      <c r="W1576" s="141">
        <f ca="1">IF($D1572&lt;&gt;"None",1,0)</f>
        <v>0</v>
      </c>
      <c r="X1576" s="326" t="s">
        <v>382</v>
      </c>
      <c r="Y1576" s="327"/>
      <c r="AA1576" s="141">
        <f ca="1">IF($D1574="None",1,0)</f>
        <v>1</v>
      </c>
      <c r="AB1576" s="326" t="str">
        <f ca="1">IF(AA1576,D1576,$D1574)</f>
        <v>Nothing</v>
      </c>
      <c r="AC1576" s="327"/>
      <c r="AE1576" s="141">
        <f ca="1">IF($D1573="None",1,0)</f>
        <v>1</v>
      </c>
      <c r="AF1576" s="326" t="str">
        <f ca="1">IF(AE1576,H1576,$D1573)</f>
        <v>Nothing</v>
      </c>
      <c r="AG1576" s="327"/>
      <c r="AI1576" s="141">
        <f ca="1">IF($D1572="None",1,0)</f>
        <v>1</v>
      </c>
      <c r="AJ1576" s="326" t="str">
        <f ca="1">IF(AI1576,L1576,$D1572)</f>
        <v>Nothing</v>
      </c>
      <c r="AK1576" s="327"/>
      <c r="AM1576" s="141">
        <f ca="1">IF($X1569="None",0,1)</f>
        <v>0</v>
      </c>
      <c r="AN1576" s="197" t="s">
        <v>133</v>
      </c>
      <c r="AO1576" s="198"/>
      <c r="AQ1576" s="141">
        <f ca="1">IF($X1569="None",0,1)</f>
        <v>0</v>
      </c>
      <c r="AR1576" s="197" t="s">
        <v>134</v>
      </c>
      <c r="AS1576" s="198"/>
      <c r="BD1576" s="157"/>
    </row>
    <row r="1577" spans="2:56" ht="15" thickBot="1">
      <c r="B1577" s="156"/>
      <c r="C1577" s="136" t="s">
        <v>452</v>
      </c>
      <c r="D1577" s="136" t="s">
        <v>384</v>
      </c>
      <c r="E1577" s="138" t="s">
        <v>385</v>
      </c>
      <c r="G1577" s="136" t="s">
        <v>452</v>
      </c>
      <c r="H1577" s="136" t="s">
        <v>384</v>
      </c>
      <c r="I1577" s="138" t="s">
        <v>385</v>
      </c>
      <c r="K1577" s="193" t="s">
        <v>452</v>
      </c>
      <c r="L1577" s="193" t="s">
        <v>384</v>
      </c>
      <c r="M1577" s="194" t="s">
        <v>385</v>
      </c>
      <c r="O1577" s="136" t="s">
        <v>452</v>
      </c>
      <c r="P1577" s="136" t="s">
        <v>384</v>
      </c>
      <c r="Q1577" s="138" t="s">
        <v>385</v>
      </c>
      <c r="S1577" s="136" t="s">
        <v>452</v>
      </c>
      <c r="T1577" s="136" t="s">
        <v>384</v>
      </c>
      <c r="U1577" s="138" t="s">
        <v>385</v>
      </c>
      <c r="W1577" s="136" t="s">
        <v>452</v>
      </c>
      <c r="X1577" s="136" t="s">
        <v>384</v>
      </c>
      <c r="Y1577" s="138" t="s">
        <v>385</v>
      </c>
      <c r="AA1577" s="136" t="s">
        <v>452</v>
      </c>
      <c r="AB1577" s="136" t="s">
        <v>384</v>
      </c>
      <c r="AC1577" s="138" t="s">
        <v>385</v>
      </c>
      <c r="AE1577" s="136" t="s">
        <v>452</v>
      </c>
      <c r="AF1577" s="136" t="s">
        <v>384</v>
      </c>
      <c r="AG1577" s="138" t="s">
        <v>385</v>
      </c>
      <c r="AI1577" s="193" t="s">
        <v>452</v>
      </c>
      <c r="AJ1577" s="193" t="s">
        <v>384</v>
      </c>
      <c r="AK1577" s="194" t="s">
        <v>385</v>
      </c>
      <c r="AM1577" s="193" t="s">
        <v>452</v>
      </c>
      <c r="AN1577" s="193" t="s">
        <v>384</v>
      </c>
      <c r="AO1577" s="194" t="s">
        <v>385</v>
      </c>
      <c r="AQ1577" s="193" t="s">
        <v>452</v>
      </c>
      <c r="AR1577" s="193" t="s">
        <v>384</v>
      </c>
      <c r="AS1577" s="194" t="s">
        <v>385</v>
      </c>
      <c r="BD1577" s="157"/>
    </row>
    <row r="1578" spans="2:56">
      <c r="B1578" s="156"/>
      <c r="C1578" s="128" t="s">
        <v>396</v>
      </c>
      <c r="D1578" s="158">
        <f ca="1">IF(C1576&gt;=1,L1569,8888)</f>
        <v>8888</v>
      </c>
      <c r="E1578" s="160">
        <f ca="1">IF(C1576&gt;=1,1/2*($C$13-P1569-2*P1571)+1/2*P1569,8888)</f>
        <v>8888</v>
      </c>
      <c r="G1578" s="128" t="s">
        <v>396</v>
      </c>
      <c r="H1578" s="158">
        <f ca="1">IF(G1576&gt;=1,L1569,8888)</f>
        <v>8888</v>
      </c>
      <c r="I1578" s="160">
        <f ca="1">IF(G1576&gt;=1,E1589-P1573,8888)</f>
        <v>8888</v>
      </c>
      <c r="K1578" s="128" t="s">
        <v>396</v>
      </c>
      <c r="L1578" s="158">
        <f ca="1">IF(K1576&gt;=1,L1569,8888)</f>
        <v>8888</v>
      </c>
      <c r="M1578" s="160">
        <f ca="1">IF(K1576&gt;=1,IF(FUSELAGE_n_aisles=1,E1589-P1573,I1601-P1573),8888)</f>
        <v>8888</v>
      </c>
      <c r="O1578" s="128" t="s">
        <v>396</v>
      </c>
      <c r="P1578" s="158">
        <f ca="1">IF(O1576,$L1569,8888)</f>
        <v>8888</v>
      </c>
      <c r="Q1578" s="209">
        <f ca="1">IF(O1576,FUSELAGE_y_position_of_left_seat_YC-(FUSELAGE_nseats_right_YC-1)*(SEAT_w_cushion_YC+SEAT_w_armrest_YC)/2+T1574/2,8888)</f>
        <v>8888</v>
      </c>
      <c r="S1578" s="128" t="s">
        <v>396</v>
      </c>
      <c r="T1578" s="158">
        <f ca="1">IF(S1576,$L1569,8888)</f>
        <v>8888</v>
      </c>
      <c r="U1578" s="160">
        <f ca="1">IF(S1576,T1572/2,8888)</f>
        <v>8888</v>
      </c>
      <c r="W1578" s="128" t="s">
        <v>396</v>
      </c>
      <c r="X1578" s="158">
        <f ca="1">IF(W1576,$L1569,8888)</f>
        <v>8888</v>
      </c>
      <c r="Y1578" s="160">
        <f ca="1">IF(W1576,-FUSELAGE_y_position_of_left_seat_YC+(FUSELAGE_nseats_left_YC-1)*(SEAT_w_cushion_YC+SEAT_w_armrest_YC)/2-T1570/2,8888)</f>
        <v>8888</v>
      </c>
      <c r="AA1578" s="128" t="s">
        <v>396</v>
      </c>
      <c r="AB1578" s="158">
        <f ca="1">IF($AA1576,D1578,P1578)</f>
        <v>8888</v>
      </c>
      <c r="AC1578" s="174">
        <f ca="1">IF($AA1576,E1578,Q1578)</f>
        <v>8888</v>
      </c>
      <c r="AE1578" s="128" t="s">
        <v>396</v>
      </c>
      <c r="AF1578" s="158">
        <f ca="1">IF($AE1576,H1578,T1578)</f>
        <v>8888</v>
      </c>
      <c r="AG1578" s="174">
        <f ca="1">IF($AE1576,I1578,U1578)</f>
        <v>8888</v>
      </c>
      <c r="AI1578" s="128" t="s">
        <v>396</v>
      </c>
      <c r="AJ1578" s="158">
        <f ca="1">IF($AI1576,L1578,X1578)</f>
        <v>8888</v>
      </c>
      <c r="AK1578" s="174">
        <f ca="1">IF($AI1576,M1578,Y1578)</f>
        <v>8888</v>
      </c>
      <c r="AM1578" s="128" t="s">
        <v>396</v>
      </c>
      <c r="AN1578" s="158">
        <f ca="1">AN1547</f>
        <v>-18.624000000000006</v>
      </c>
      <c r="AO1578" s="174">
        <f ca="1">IF(AN1578&gt;-Fuselage!$D$366,(FUSELAGE_a_ellipse)*SQRT(1-((AN1578+Fuselage!$D$366)/(Fuselage!$K$364-FUSELAGE_t_fuselage))^2),IF(AN1578&gt;$L$2505+Fuselage!$K$370,FUSELAGE_a_ellipse,(FUSELAGE_a_ellipse+FUSELAGE_t_fuselage-FUSELAGE_d_fo/4)/Fuselage!$K$368*(AN1578-$L$2505-Fuselage!$K$370)+FUSELAGE_a_ellipse))</f>
        <v>1.4960570012328709</v>
      </c>
      <c r="AQ1578" s="128" t="s">
        <v>396</v>
      </c>
      <c r="AR1578" s="158">
        <f t="shared" ref="AR1578:AR1583" ca="1" si="142">AN1578</f>
        <v>-18.624000000000006</v>
      </c>
      <c r="AS1578" s="174">
        <f t="shared" ref="AS1578:AS1583" ca="1" si="143">-AO1578</f>
        <v>-1.4960570012328709</v>
      </c>
      <c r="BD1578" s="157"/>
    </row>
    <row r="1579" spans="2:56">
      <c r="B1579" s="156"/>
      <c r="C1579" s="128" t="s">
        <v>213</v>
      </c>
      <c r="D1579" s="128">
        <f ca="1">IF(X1571,D1578+P1570/4,D1578+P1570)</f>
        <v>8888</v>
      </c>
      <c r="E1579" s="139">
        <f ca="1">E1578</f>
        <v>8888</v>
      </c>
      <c r="G1579" s="128" t="s">
        <v>213</v>
      </c>
      <c r="H1579" s="128">
        <f ca="1">H1578+P1570</f>
        <v>8888</v>
      </c>
      <c r="I1579" s="139">
        <f ca="1">I1578</f>
        <v>8888</v>
      </c>
      <c r="K1579" s="128" t="s">
        <v>213</v>
      </c>
      <c r="L1579" s="128">
        <f ca="1">IF(X1571,IF(K1576=1,L1578+P1570/4,L1578+P1570),L1578+P1570)</f>
        <v>8888</v>
      </c>
      <c r="M1579" s="139">
        <f ca="1">M1578</f>
        <v>8888</v>
      </c>
      <c r="O1579" s="128" t="s">
        <v>213</v>
      </c>
      <c r="P1579" s="128">
        <f ca="1">P1578+$T1573</f>
        <v>8888</v>
      </c>
      <c r="Q1579" s="139">
        <f ca="1">Q1578</f>
        <v>8888</v>
      </c>
      <c r="S1579" s="128" t="s">
        <v>213</v>
      </c>
      <c r="T1579" s="128">
        <f ca="1">T1578+$T1571</f>
        <v>8888</v>
      </c>
      <c r="U1579" s="139">
        <f ca="1">U1578</f>
        <v>8888</v>
      </c>
      <c r="W1579" s="128" t="s">
        <v>213</v>
      </c>
      <c r="X1579" s="128">
        <f ca="1">X1578+$T1569</f>
        <v>8888</v>
      </c>
      <c r="Y1579" s="139">
        <f ca="1">Y1578</f>
        <v>8888</v>
      </c>
      <c r="AA1579" s="143" t="s">
        <v>213</v>
      </c>
      <c r="AB1579" s="128">
        <f ca="1">IF($AA1576,D1579,P1579)</f>
        <v>8888</v>
      </c>
      <c r="AC1579" s="129">
        <f ca="1">IF($AA1576,E1579,Q1579)</f>
        <v>8888</v>
      </c>
      <c r="AE1579" s="128" t="s">
        <v>213</v>
      </c>
      <c r="AF1579" s="128">
        <f ca="1">IF($AE1576,H1579,T1579)</f>
        <v>8888</v>
      </c>
      <c r="AG1579" s="129">
        <f ca="1">IF($AE1576,I1579,U1579)</f>
        <v>8888</v>
      </c>
      <c r="AI1579" s="128" t="s">
        <v>213</v>
      </c>
      <c r="AJ1579" s="128">
        <f ca="1">IF($AI1576,L1579,X1579)</f>
        <v>8888</v>
      </c>
      <c r="AK1579" s="129">
        <f ca="1">IF($AI1576,M1579,Y1579)</f>
        <v>8888</v>
      </c>
      <c r="AM1579" s="128" t="s">
        <v>213</v>
      </c>
      <c r="AN1579" s="128">
        <f ca="1">AN1578-AO1569/2</f>
        <v>-18.624000000000006</v>
      </c>
      <c r="AO1579" s="129">
        <f ca="1">IF(AN1579&gt;-Fuselage!$D$366,(FUSELAGE_a_ellipse)*SQRT(1-((AN1579+Fuselage!$D$366)/(Fuselage!$K$364-FUSELAGE_t_fuselage))^2),IF(AN1579&gt;$L$2505+Fuselage!$K$370,FUSELAGE_a_ellipse,(FUSELAGE_a_ellipse+FUSELAGE_t_fuselage-FUSELAGE_d_fo/4)/Fuselage!$K$368*(AN1579-$L$2505-Fuselage!$K$370)+FUSELAGE_a_ellipse))</f>
        <v>1.4960570012328709</v>
      </c>
      <c r="AQ1579" s="128" t="s">
        <v>213</v>
      </c>
      <c r="AR1579" s="128">
        <f t="shared" ca="1" si="142"/>
        <v>-18.624000000000006</v>
      </c>
      <c r="AS1579" s="129">
        <f t="shared" ca="1" si="143"/>
        <v>-1.4960570012328709</v>
      </c>
      <c r="BD1579" s="157"/>
    </row>
    <row r="1580" spans="2:56">
      <c r="B1580" s="156"/>
      <c r="C1580" s="128" t="s">
        <v>286</v>
      </c>
      <c r="D1580" s="128">
        <f ca="1">D1579</f>
        <v>8888</v>
      </c>
      <c r="E1580" s="139">
        <f ca="1">E1579-P1569</f>
        <v>8888</v>
      </c>
      <c r="G1580" s="128" t="s">
        <v>286</v>
      </c>
      <c r="H1580" s="128">
        <f ca="1">H1579</f>
        <v>8888</v>
      </c>
      <c r="I1580" s="139">
        <f ca="1">I1579-P1569</f>
        <v>8888</v>
      </c>
      <c r="K1580" s="128" t="s">
        <v>286</v>
      </c>
      <c r="L1580" s="128">
        <f ca="1">L1579</f>
        <v>8888</v>
      </c>
      <c r="M1580" s="139">
        <f ca="1">M1579-P1569</f>
        <v>8888</v>
      </c>
      <c r="O1580" s="128" t="s">
        <v>286</v>
      </c>
      <c r="P1580" s="128">
        <f ca="1">P1579</f>
        <v>8888</v>
      </c>
      <c r="Q1580" s="139">
        <f ca="1">Q1579-$T1574</f>
        <v>8888</v>
      </c>
      <c r="S1580" s="128" t="s">
        <v>286</v>
      </c>
      <c r="T1580" s="128">
        <f ca="1">T1579</f>
        <v>8888</v>
      </c>
      <c r="U1580" s="139">
        <f ca="1">U1579-$T1572</f>
        <v>8888</v>
      </c>
      <c r="W1580" s="128" t="s">
        <v>286</v>
      </c>
      <c r="X1580" s="128">
        <f ca="1">X1579</f>
        <v>8888</v>
      </c>
      <c r="Y1580" s="139">
        <f ca="1">Y1579+$T1570</f>
        <v>8888</v>
      </c>
      <c r="AA1580" s="143" t="s">
        <v>286</v>
      </c>
      <c r="AB1580" s="128">
        <f ca="1">IF($AA1576,D1580,P1580)</f>
        <v>8888</v>
      </c>
      <c r="AC1580" s="129">
        <f ca="1">IF($AA1576,E1580,Q1580)</f>
        <v>8888</v>
      </c>
      <c r="AE1580" s="128" t="s">
        <v>286</v>
      </c>
      <c r="AF1580" s="128">
        <f ca="1">IF($AE1576,H1580,T1580)</f>
        <v>8888</v>
      </c>
      <c r="AG1580" s="129">
        <f ca="1">IF($AE1576,I1580,U1580)</f>
        <v>8888</v>
      </c>
      <c r="AI1580" s="128" t="s">
        <v>286</v>
      </c>
      <c r="AJ1580" s="128">
        <f ca="1">IF($AI1576,L1580,X1580)</f>
        <v>8888</v>
      </c>
      <c r="AK1580" s="129">
        <f ca="1">IF($AI1576,M1580,Y1580)</f>
        <v>8888</v>
      </c>
      <c r="AM1580" s="128" t="s">
        <v>286</v>
      </c>
      <c r="AN1580" s="128">
        <f ca="1">AN1579</f>
        <v>-18.624000000000006</v>
      </c>
      <c r="AO1580" s="129">
        <f ca="1">IF(AN1580&gt;-Fuselage!$D$366,IF(AM1576,(FUSELAGE_a_ellipse+FUSELAGE_t_fuselage)*SQRT(1-((AN1580+Fuselage!$D$366)/Fuselage!$K$364)^2),(FUSELAGE_a_ellipse)*SQRT(1-((AN1580+Fuselage!$D$366)/Fuselage!$K$364)^2)),IF(AN1580&gt;$L$2505+Fuselage!$K$370,(IF(AM1576,FUSELAGE_a_ellipse+FUSELAGE_t_fuselage,FUSELAGE_a_ellipse)),IF(AM1576,(FUSELAGE_a_ellipse+FUSELAGE_t_fuselage-FUSELAGE_d_fo/4)/Fuselage!$K$368*(AN1580-$L$2505-Fuselage!$K$370)+FUSELAGE_a_ellipse+FUSELAGE_t_fuselage,(FUSELAGE_a_ellipse+FUSELAGE_t_fuselage-FUSELAGE_d_fo/4)/Fuselage!$K$368*(AN1580-$L$2505-Fuselage!$K$370)+FUSELAGE_a_ellipse)))</f>
        <v>1.4960570012328709</v>
      </c>
      <c r="AQ1580" s="128" t="s">
        <v>286</v>
      </c>
      <c r="AR1580" s="128">
        <f t="shared" ca="1" si="142"/>
        <v>-18.624000000000006</v>
      </c>
      <c r="AS1580" s="129">
        <f t="shared" ca="1" si="143"/>
        <v>-1.4960570012328709</v>
      </c>
      <c r="BD1580" s="157"/>
    </row>
    <row r="1581" spans="2:56">
      <c r="B1581" s="156"/>
      <c r="C1581" s="188" t="s">
        <v>522</v>
      </c>
      <c r="D1581" s="188">
        <f ca="1">D1578</f>
        <v>8888</v>
      </c>
      <c r="E1581" s="189">
        <f ca="1">E1580</f>
        <v>8888</v>
      </c>
      <c r="F1581" s="157"/>
      <c r="G1581" s="2" t="s">
        <v>522</v>
      </c>
      <c r="H1581" s="128">
        <f ca="1">H1578</f>
        <v>8888</v>
      </c>
      <c r="I1581" s="139">
        <f ca="1">I1580</f>
        <v>8888</v>
      </c>
      <c r="K1581" s="128" t="s">
        <v>522</v>
      </c>
      <c r="L1581" s="128">
        <f ca="1">L1578</f>
        <v>8888</v>
      </c>
      <c r="M1581" s="139">
        <f ca="1">M1580</f>
        <v>8888</v>
      </c>
      <c r="O1581" s="188" t="s">
        <v>522</v>
      </c>
      <c r="P1581" s="188">
        <f ca="1">P1578</f>
        <v>8888</v>
      </c>
      <c r="Q1581" s="189">
        <f ca="1">Q1580</f>
        <v>8888</v>
      </c>
      <c r="S1581" s="188" t="s">
        <v>522</v>
      </c>
      <c r="T1581" s="188">
        <f ca="1">T1578</f>
        <v>8888</v>
      </c>
      <c r="U1581" s="189">
        <f ca="1">U1580</f>
        <v>8888</v>
      </c>
      <c r="W1581" s="188" t="s">
        <v>522</v>
      </c>
      <c r="X1581" s="188">
        <f ca="1">X1578</f>
        <v>8888</v>
      </c>
      <c r="Y1581" s="189">
        <f ca="1">Y1580</f>
        <v>8888</v>
      </c>
      <c r="AA1581" s="195" t="s">
        <v>522</v>
      </c>
      <c r="AB1581" s="128">
        <f ca="1">IF($AA1576,D1581,P1581)</f>
        <v>8888</v>
      </c>
      <c r="AC1581" s="129">
        <f ca="1">IF($AA1576,E1581,Q1581)</f>
        <v>8888</v>
      </c>
      <c r="AD1581" s="157"/>
      <c r="AE1581" s="2" t="s">
        <v>522</v>
      </c>
      <c r="AF1581" s="188">
        <f ca="1">IF($AE1576,H1581,T1581)</f>
        <v>8888</v>
      </c>
      <c r="AG1581" s="196">
        <f ca="1">IF($AE1576,I1581,U1581)</f>
        <v>8888</v>
      </c>
      <c r="AI1581" s="128" t="s">
        <v>522</v>
      </c>
      <c r="AJ1581" s="188">
        <f ca="1">IF($AI1576,L1581,X1581)</f>
        <v>8888</v>
      </c>
      <c r="AK1581" s="196">
        <f ca="1">IF($AI1576,M1581,Y1581)</f>
        <v>8888</v>
      </c>
      <c r="AM1581" s="128" t="s">
        <v>522</v>
      </c>
      <c r="AN1581" s="128">
        <f ca="1">AN1580-X1570</f>
        <v>-18.624000000000006</v>
      </c>
      <c r="AO1581" s="129">
        <f ca="1">IF(AN1581&gt;-Fuselage!$D$366,IF(AM1576,(FUSELAGE_a_ellipse+FUSELAGE_t_fuselage)*SQRT(1-((AN1581+Fuselage!$D$366)/Fuselage!$K$364)^2),(FUSELAGE_a_ellipse)*SQRT(1-((AN1581+Fuselage!$D$366)/Fuselage!$K$364)^2)),IF(AN1581&gt;$L$2505+Fuselage!$K$370,(IF(AM1576,FUSELAGE_a_ellipse+FUSELAGE_t_fuselage,FUSELAGE_a_ellipse)),IF(AM1576,(FUSELAGE_a_ellipse+FUSELAGE_t_fuselage-FUSELAGE_d_fo/4)/Fuselage!$K$368*(AN1581-$L$2505-Fuselage!$K$370)+FUSELAGE_a_ellipse+FUSELAGE_t_fuselage,(FUSELAGE_a_ellipse+FUSELAGE_t_fuselage-FUSELAGE_d_fo/4)/Fuselage!$K$368*(AN1581-$L$2505-Fuselage!$K$370)+FUSELAGE_a_ellipse)))</f>
        <v>1.4960570012328709</v>
      </c>
      <c r="AQ1581" s="128" t="s">
        <v>522</v>
      </c>
      <c r="AR1581" s="128">
        <f t="shared" ca="1" si="142"/>
        <v>-18.624000000000006</v>
      </c>
      <c r="AS1581" s="129">
        <f t="shared" ca="1" si="143"/>
        <v>-1.4960570012328709</v>
      </c>
      <c r="BD1581" s="157"/>
    </row>
    <row r="1582" spans="2:56" ht="15" thickBot="1">
      <c r="B1582" s="156"/>
      <c r="C1582" s="128" t="s">
        <v>49</v>
      </c>
      <c r="D1582" s="128">
        <f ca="1">IF(C1576&gt;=2,D1578,D1581)</f>
        <v>8888</v>
      </c>
      <c r="E1582" s="139">
        <f ca="1">IF(C1576&gt;=2,E1581-P1571,E1581)</f>
        <v>8888</v>
      </c>
      <c r="F1582" s="157"/>
      <c r="G1582" s="192" t="s">
        <v>49</v>
      </c>
      <c r="H1582" s="190">
        <f ca="1">IF(G1576&gt;=2,H1578,H1581)</f>
        <v>8888</v>
      </c>
      <c r="I1582" s="191">
        <f ca="1">IF(G1576&gt;=2,I1581-P1571,I1581)</f>
        <v>8888</v>
      </c>
      <c r="K1582" s="190" t="s">
        <v>49</v>
      </c>
      <c r="L1582" s="190">
        <f ca="1">IF(K1576&gt;=2,L1578,L1581)</f>
        <v>8888</v>
      </c>
      <c r="M1582" s="191">
        <f ca="1">IF(K1576&gt;=2,M1581-P1571,M1581)</f>
        <v>8888</v>
      </c>
      <c r="O1582" s="130" t="s">
        <v>396</v>
      </c>
      <c r="P1582" s="130">
        <f ca="1">P1578</f>
        <v>8888</v>
      </c>
      <c r="Q1582" s="140">
        <f ca="1">Q1578</f>
        <v>8888</v>
      </c>
      <c r="S1582" s="130" t="s">
        <v>396</v>
      </c>
      <c r="T1582" s="130">
        <f ca="1">T1578</f>
        <v>8888</v>
      </c>
      <c r="U1582" s="140">
        <f ca="1">U1578</f>
        <v>8888</v>
      </c>
      <c r="W1582" s="130" t="s">
        <v>396</v>
      </c>
      <c r="X1582" s="130">
        <f ca="1">X1578</f>
        <v>8888</v>
      </c>
      <c r="Y1582" s="140">
        <f ca="1">Y1578</f>
        <v>8888</v>
      </c>
      <c r="AA1582" s="143" t="s">
        <v>49</v>
      </c>
      <c r="AB1582" s="128">
        <f ca="1">IF($AA1576,D1582,P1582)</f>
        <v>8888</v>
      </c>
      <c r="AC1582" s="129">
        <f ca="1">IF($AA1576,E1582,Q1582)</f>
        <v>8888</v>
      </c>
      <c r="AD1582" s="157"/>
      <c r="AE1582" s="192" t="s">
        <v>49</v>
      </c>
      <c r="AF1582" s="128">
        <f ca="1">IF($AE1576,H1582,T1582)</f>
        <v>8888</v>
      </c>
      <c r="AG1582" s="129">
        <f ca="1">IF($AE1576,I1582,U1582)</f>
        <v>8888</v>
      </c>
      <c r="AI1582" s="190" t="s">
        <v>49</v>
      </c>
      <c r="AJ1582" s="128">
        <f ca="1">IF($AI1576,L1582,X1582)</f>
        <v>8888</v>
      </c>
      <c r="AK1582" s="129">
        <f ca="1">IF($AI1576,M1582,Y1582)</f>
        <v>8888</v>
      </c>
      <c r="AM1582" s="128" t="s">
        <v>49</v>
      </c>
      <c r="AN1582" s="128">
        <f ca="1">AN1581</f>
        <v>-18.624000000000006</v>
      </c>
      <c r="AO1582" s="129">
        <f ca="1">IF(AN1582&gt;-Fuselage!$D$366,(FUSELAGE_a_ellipse)*SQRT(1-((AN1582+Fuselage!$D$366)/(Fuselage!$K$364-FUSELAGE_t_fuselage))^2),IF(AN1582&gt;$L$2505+Fuselage!$K$370,FUSELAGE_a_ellipse,(FUSELAGE_a_ellipse+FUSELAGE_t_fuselage-FUSELAGE_d_fo/4)/Fuselage!$K$368*(AN1582-$L$2505-Fuselage!$K$370)+FUSELAGE_a_ellipse))</f>
        <v>1.4960570012328709</v>
      </c>
      <c r="AQ1582" s="128" t="s">
        <v>49</v>
      </c>
      <c r="AR1582" s="128">
        <f t="shared" ca="1" si="142"/>
        <v>-18.624000000000006</v>
      </c>
      <c r="AS1582" s="129">
        <f t="shared" ca="1" si="143"/>
        <v>-1.4960570012328709</v>
      </c>
      <c r="BD1582" s="157"/>
    </row>
    <row r="1583" spans="2:56">
      <c r="B1583" s="156"/>
      <c r="C1583" s="128" t="s">
        <v>453</v>
      </c>
      <c r="D1583" s="128">
        <f ca="1">IF(C1576&gt;=2,D1578+P1570,D1581)</f>
        <v>8888</v>
      </c>
      <c r="E1583" s="139">
        <f ca="1">E1582</f>
        <v>8888</v>
      </c>
      <c r="F1583" s="157"/>
      <c r="G1583" s="2" t="s">
        <v>453</v>
      </c>
      <c r="H1583" s="128">
        <f ca="1">IF(G1576&gt;=2,H1579,H1581)</f>
        <v>8888</v>
      </c>
      <c r="I1583" s="139">
        <f ca="1">IF(G1576&gt;=2,I1582,I1581)</f>
        <v>8888</v>
      </c>
      <c r="K1583" s="128" t="s">
        <v>453</v>
      </c>
      <c r="L1583" s="128">
        <f ca="1">IF(K1576&gt;=2,IF(X1571,IF(K1576=2,L1578+P1570/4,L1578+P1570),L1578+P1570),L1581)</f>
        <v>8888</v>
      </c>
      <c r="M1583" s="139">
        <f ca="1">IF(K1576&gt;=2,M1582,M1581)</f>
        <v>8888</v>
      </c>
      <c r="AA1583" s="143" t="s">
        <v>453</v>
      </c>
      <c r="AB1583" s="128">
        <f ca="1">IF($AA1576,D1583,AB1582)</f>
        <v>8888</v>
      </c>
      <c r="AC1583" s="129">
        <f ca="1">IF($AA1576,E1583,AC1582)</f>
        <v>8888</v>
      </c>
      <c r="AD1583" s="157"/>
      <c r="AE1583" s="2" t="s">
        <v>453</v>
      </c>
      <c r="AF1583" s="128">
        <f ca="1">IF($AE1576,H1583,AF1582)</f>
        <v>8888</v>
      </c>
      <c r="AG1583" s="129">
        <f ca="1">IF($AE1576,I1583,AG1582)</f>
        <v>8888</v>
      </c>
      <c r="AI1583" s="128" t="s">
        <v>453</v>
      </c>
      <c r="AJ1583" s="128">
        <f ca="1">IF($AI1576,L1583,AJ1582)</f>
        <v>8888</v>
      </c>
      <c r="AK1583" s="129">
        <f ca="1">IF($AI1576,M1583,AK1582)</f>
        <v>8888</v>
      </c>
      <c r="AM1583" s="128" t="s">
        <v>453</v>
      </c>
      <c r="AN1583" s="128">
        <f ca="1">L1569</f>
        <v>-18.624000000000006</v>
      </c>
      <c r="AO1583" s="129">
        <f ca="1">IF(AN1583&gt;-Fuselage!$D$366,(FUSELAGE_a_ellipse)*SQRT(1-((AN1583+Fuselage!$D$366)/(Fuselage!$K$364-FUSELAGE_t_fuselage))^2),IF(AN1583&gt;$L$2505+Fuselage!$K$370,FUSELAGE_a_ellipse,(FUSELAGE_a_ellipse+FUSELAGE_t_fuselage-FUSELAGE_d_fo/4)/Fuselage!$K$368*(AN1583-$L$2505-Fuselage!$K$370)+FUSELAGE_a_ellipse))</f>
        <v>1.4960570012328709</v>
      </c>
      <c r="AQ1583" s="128" t="s">
        <v>453</v>
      </c>
      <c r="AR1583" s="128">
        <f t="shared" ca="1" si="142"/>
        <v>-18.624000000000006</v>
      </c>
      <c r="AS1583" s="129">
        <f t="shared" ca="1" si="143"/>
        <v>-1.4960570012328709</v>
      </c>
      <c r="BD1583" s="157"/>
    </row>
    <row r="1584" spans="2:56">
      <c r="B1584" s="156"/>
      <c r="C1584" s="128" t="s">
        <v>394</v>
      </c>
      <c r="D1584" s="128">
        <f ca="1">IF(C1576&gt;=2,D1583,D1581)</f>
        <v>8888</v>
      </c>
      <c r="E1584" s="139">
        <f ca="1">IF(C1576&gt;=2,E1582-P1569,E1581)</f>
        <v>8888</v>
      </c>
      <c r="F1584" s="157"/>
      <c r="G1584" s="2" t="s">
        <v>394</v>
      </c>
      <c r="H1584" s="128">
        <f ca="1">IF(G1576&gt;=2,H1579,H1581)</f>
        <v>8888</v>
      </c>
      <c r="I1584" s="139">
        <f ca="1">IF(G1576&gt;=2,I1583-P1569,I1581)</f>
        <v>8888</v>
      </c>
      <c r="K1584" s="128" t="s">
        <v>394</v>
      </c>
      <c r="L1584" s="128">
        <f ca="1">L1583</f>
        <v>8888</v>
      </c>
      <c r="M1584" s="139">
        <f ca="1">IF(K1576&gt;=2,M1583-P1569,M1581)</f>
        <v>8888</v>
      </c>
      <c r="AA1584" s="143" t="s">
        <v>394</v>
      </c>
      <c r="AB1584" s="128">
        <f ca="1">IF($AA1576,D1584,AB1582)</f>
        <v>8888</v>
      </c>
      <c r="AC1584" s="129">
        <f ca="1">IF($AA1576,E1584,AC1582)</f>
        <v>8888</v>
      </c>
      <c r="AD1584" s="157"/>
      <c r="AE1584" s="2" t="s">
        <v>394</v>
      </c>
      <c r="AF1584" s="128">
        <f ca="1">IF($AE1576,H1584,AF1582)</f>
        <v>8888</v>
      </c>
      <c r="AG1584" s="129">
        <f ca="1">IF($AE1576,I1584,AG1582)</f>
        <v>8888</v>
      </c>
      <c r="AI1584" s="128" t="s">
        <v>394</v>
      </c>
      <c r="AJ1584" s="128">
        <f ca="1">IF($AI1576,L1584,AJ1582)</f>
        <v>8888</v>
      </c>
      <c r="AK1584" s="129">
        <f ca="1">IF($AI1576,M1584,AK1582)</f>
        <v>8888</v>
      </c>
      <c r="BD1584" s="157"/>
    </row>
    <row r="1585" spans="2:56">
      <c r="B1585" s="156"/>
      <c r="C1585" s="188" t="s">
        <v>454</v>
      </c>
      <c r="D1585" s="188">
        <f ca="1">IF(C1576&gt;=2,D1578,D1581)</f>
        <v>8888</v>
      </c>
      <c r="E1585" s="189">
        <f ca="1">E1584</f>
        <v>8888</v>
      </c>
      <c r="F1585" s="157"/>
      <c r="G1585" s="115" t="s">
        <v>454</v>
      </c>
      <c r="H1585" s="188">
        <f ca="1">IF(G1576&gt;=2,H1578,H1581)</f>
        <v>8888</v>
      </c>
      <c r="I1585" s="189">
        <f ca="1">IF(G1576&gt;=2,I1584,I1581)</f>
        <v>8888</v>
      </c>
      <c r="K1585" s="188" t="s">
        <v>454</v>
      </c>
      <c r="L1585" s="188">
        <f ca="1">IF(K1576&gt;=2,L1578,L1581)</f>
        <v>8888</v>
      </c>
      <c r="M1585" s="189">
        <f ca="1">IF(K1576&gt;=2,M1584,M1581)</f>
        <v>8888</v>
      </c>
      <c r="AA1585" s="195" t="s">
        <v>454</v>
      </c>
      <c r="AB1585" s="128">
        <f ca="1">IF($AA1576,D1585,AB1582)</f>
        <v>8888</v>
      </c>
      <c r="AC1585" s="129">
        <f ca="1">IF($AA1576,E1585,AC1582)</f>
        <v>8888</v>
      </c>
      <c r="AD1585" s="157"/>
      <c r="AE1585" s="115" t="s">
        <v>454</v>
      </c>
      <c r="AF1585" s="188">
        <f ca="1">IF($AE1576,H1585,AF1582)</f>
        <v>8888</v>
      </c>
      <c r="AG1585" s="196">
        <f ca="1">IF($AE1576,I1585,AG1582)</f>
        <v>8888</v>
      </c>
      <c r="AI1585" s="188" t="s">
        <v>454</v>
      </c>
      <c r="AJ1585" s="188">
        <f ca="1">IF($AI1576,L1585,AJ1582)</f>
        <v>8888</v>
      </c>
      <c r="AK1585" s="196">
        <f ca="1">IF($AI1576,M1585,AK1582)</f>
        <v>8888</v>
      </c>
      <c r="BD1585" s="157"/>
    </row>
    <row r="1586" spans="2:56">
      <c r="B1586" s="156"/>
      <c r="C1586" s="128" t="s">
        <v>507</v>
      </c>
      <c r="D1586" s="128">
        <f ca="1">IF(C1576&gt;=3,D1578,D1585)</f>
        <v>8888</v>
      </c>
      <c r="E1586" s="139">
        <f ca="1">IF(C1576&gt;=3,E1585-P1571,E1585)</f>
        <v>8888</v>
      </c>
      <c r="F1586" s="157"/>
      <c r="G1586" s="2" t="s">
        <v>507</v>
      </c>
      <c r="H1586" s="128">
        <f ca="1">IF(G1576&gt;=3,H1578,H1585)</f>
        <v>8888</v>
      </c>
      <c r="I1586" s="139">
        <f ca="1">IF(G1576&gt;=3,I1585-P1571,I1585)</f>
        <v>8888</v>
      </c>
      <c r="K1586" s="128" t="s">
        <v>507</v>
      </c>
      <c r="L1586" s="128">
        <f ca="1">IF(K1576&gt;=3,L1578,L1585)</f>
        <v>8888</v>
      </c>
      <c r="M1586" s="139">
        <f ca="1">IF(K1576&gt;=3,M1585-P1571,M1585)</f>
        <v>8888</v>
      </c>
      <c r="AA1586" s="143" t="s">
        <v>507</v>
      </c>
      <c r="AB1586" s="128">
        <f ca="1">IF($AA1576,D1586,AB1582)</f>
        <v>8888</v>
      </c>
      <c r="AC1586" s="129">
        <f ca="1">IF($AA1576,E1586,AC1582)</f>
        <v>8888</v>
      </c>
      <c r="AD1586" s="157"/>
      <c r="AE1586" s="2" t="s">
        <v>507</v>
      </c>
      <c r="AF1586" s="128">
        <f ca="1">IF($AE1576,H1586,AF1582)</f>
        <v>8888</v>
      </c>
      <c r="AG1586" s="129">
        <f ca="1">IF($AE1576,I1586,AG1582)</f>
        <v>8888</v>
      </c>
      <c r="AI1586" s="128" t="s">
        <v>507</v>
      </c>
      <c r="AJ1586" s="128">
        <f ca="1">IF($AI1576,L1586,AJ1582)</f>
        <v>8888</v>
      </c>
      <c r="AK1586" s="129">
        <f ca="1">IF($AI1576,M1586,AK1582)</f>
        <v>8888</v>
      </c>
      <c r="BD1586" s="157"/>
    </row>
    <row r="1587" spans="2:56">
      <c r="B1587" s="156"/>
      <c r="C1587" s="128" t="s">
        <v>455</v>
      </c>
      <c r="D1587" s="128">
        <f ca="1">IF(C1576&gt;=3,D1583,D1585)</f>
        <v>8888</v>
      </c>
      <c r="E1587" s="139">
        <f ca="1">E1586</f>
        <v>8888</v>
      </c>
      <c r="F1587" s="157"/>
      <c r="G1587" s="2" t="s">
        <v>455</v>
      </c>
      <c r="H1587" s="128">
        <f ca="1">IF(G1576&gt;=3,H1579,H1585)</f>
        <v>8888</v>
      </c>
      <c r="I1587" s="139">
        <f ca="1">IF(G1576&gt;=3,I1586,I1585)</f>
        <v>8888</v>
      </c>
      <c r="K1587" s="128" t="s">
        <v>455</v>
      </c>
      <c r="L1587" s="128">
        <f ca="1">IF(K1576&gt;=3,IF(X1571,IF(K1576=3,L1578+P1570/4,L1578+P1570),L1578+P1570),L1581)</f>
        <v>8888</v>
      </c>
      <c r="M1587" s="139">
        <f ca="1">IF(K1576&gt;=3,M1586,M1585)</f>
        <v>8888</v>
      </c>
      <c r="AA1587" s="143" t="s">
        <v>455</v>
      </c>
      <c r="AB1587" s="128">
        <f ca="1">IF($AA1576,D1587,AB1582)</f>
        <v>8888</v>
      </c>
      <c r="AC1587" s="129">
        <f ca="1">IF($AA1576,E1587,AC1582)</f>
        <v>8888</v>
      </c>
      <c r="AD1587" s="157"/>
      <c r="AE1587" s="2" t="s">
        <v>455</v>
      </c>
      <c r="AF1587" s="128">
        <f ca="1">IF($AE1576,H1587,AF1582)</f>
        <v>8888</v>
      </c>
      <c r="AG1587" s="129">
        <f ca="1">IF($AE1576,I1587,AG1582)</f>
        <v>8888</v>
      </c>
      <c r="AI1587" s="128" t="s">
        <v>455</v>
      </c>
      <c r="AJ1587" s="128">
        <f ca="1">IF($AI1576,L1587,AJ1582)</f>
        <v>8888</v>
      </c>
      <c r="AK1587" s="129">
        <f ca="1">IF($AI1576,M1587,AK1582)</f>
        <v>8888</v>
      </c>
      <c r="AL1587" s="156"/>
      <c r="BD1587" s="157"/>
    </row>
    <row r="1588" spans="2:56">
      <c r="B1588" s="156"/>
      <c r="C1588" s="128" t="s">
        <v>311</v>
      </c>
      <c r="D1588" s="128">
        <f ca="1">IF(C1576&gt;=3,D1583,D1585)</f>
        <v>8888</v>
      </c>
      <c r="E1588" s="139">
        <f ca="1">IF(C1576&gt;=3,E1587-P1569,E1585)</f>
        <v>8888</v>
      </c>
      <c r="F1588" s="157"/>
      <c r="G1588" s="2" t="s">
        <v>311</v>
      </c>
      <c r="H1588" s="128">
        <f ca="1">IF(G1576&gt;=3,H1579,H1585)</f>
        <v>8888</v>
      </c>
      <c r="I1588" s="139">
        <f ca="1">IF(G1576&gt;=3,I1587-P1569,I1585)</f>
        <v>8888</v>
      </c>
      <c r="K1588" s="128" t="s">
        <v>311</v>
      </c>
      <c r="L1588" s="128">
        <f ca="1">L1587</f>
        <v>8888</v>
      </c>
      <c r="M1588" s="139">
        <f ca="1">IF(K1576&gt;=3,M1587-P1569,M1585)</f>
        <v>8888</v>
      </c>
      <c r="AA1588" s="143" t="s">
        <v>311</v>
      </c>
      <c r="AB1588" s="128">
        <f ca="1">IF($AA1576,D1588,AB1582)</f>
        <v>8888</v>
      </c>
      <c r="AC1588" s="129">
        <f ca="1">IF($AA1576,E1588,AC1582)</f>
        <v>8888</v>
      </c>
      <c r="AD1588" s="157"/>
      <c r="AE1588" s="2" t="s">
        <v>311</v>
      </c>
      <c r="AF1588" s="128">
        <f ca="1">IF($AE1576,H1588,AF1582)</f>
        <v>8888</v>
      </c>
      <c r="AG1588" s="129">
        <f ca="1">IF($AE1576,I1588,AG1582)</f>
        <v>8888</v>
      </c>
      <c r="AI1588" s="128" t="s">
        <v>311</v>
      </c>
      <c r="AJ1588" s="128">
        <f ca="1">IF($AI1576,L1588,AJ1582)</f>
        <v>8888</v>
      </c>
      <c r="AK1588" s="129">
        <f ca="1">IF($AI1576,M1588,AK1582)</f>
        <v>8888</v>
      </c>
      <c r="AL1588" s="156"/>
      <c r="BD1588" s="157"/>
    </row>
    <row r="1589" spans="2:56">
      <c r="B1589" s="156"/>
      <c r="C1589" s="188" t="s">
        <v>35</v>
      </c>
      <c r="D1589" s="188">
        <f ca="1">IF(C1576&gt;=3,D1578,D1585)</f>
        <v>8888</v>
      </c>
      <c r="E1589" s="189">
        <f ca="1">E1588</f>
        <v>8888</v>
      </c>
      <c r="F1589" s="157"/>
      <c r="G1589" s="2" t="s">
        <v>35</v>
      </c>
      <c r="H1589" s="188">
        <f ca="1">IF(G1576&gt;=3,H1578,H1585)</f>
        <v>8888</v>
      </c>
      <c r="I1589" s="189">
        <f ca="1">IF(G1576&gt;=3,I1588,I1585)</f>
        <v>8888</v>
      </c>
      <c r="K1589" s="188" t="s">
        <v>35</v>
      </c>
      <c r="L1589" s="188">
        <f ca="1">IF(K1576&gt;=3,L1578,L1585)</f>
        <v>8888</v>
      </c>
      <c r="M1589" s="189">
        <f ca="1">IF(K1576&gt;=3,M1588,M1585)</f>
        <v>8888</v>
      </c>
      <c r="AA1589" s="143" t="s">
        <v>35</v>
      </c>
      <c r="AB1589" s="128">
        <f ca="1">IF($AA1576,D1589,AB1582)</f>
        <v>8888</v>
      </c>
      <c r="AC1589" s="129">
        <f ca="1">IF($AA1576,E1589,AC1582)</f>
        <v>8888</v>
      </c>
      <c r="AD1589" s="157"/>
      <c r="AE1589" s="2" t="s">
        <v>35</v>
      </c>
      <c r="AF1589" s="188">
        <f ca="1">IF($AE1576,H1589,AF1582)</f>
        <v>8888</v>
      </c>
      <c r="AG1589" s="196">
        <f ca="1">IF($AE1576,I1589,AG1582)</f>
        <v>8888</v>
      </c>
      <c r="AI1589" s="128" t="s">
        <v>35</v>
      </c>
      <c r="AJ1589" s="128">
        <f ca="1">IF($AI1576,L1589,AJ1582)</f>
        <v>8888</v>
      </c>
      <c r="AK1589" s="129">
        <f ca="1">IF($AI1576,M1589,AK1582)</f>
        <v>8888</v>
      </c>
      <c r="AL1589" s="156"/>
      <c r="BD1589" s="157"/>
    </row>
    <row r="1590" spans="2:56" ht="15" thickBot="1">
      <c r="B1590" s="156"/>
      <c r="C1590" s="130" t="s">
        <v>396</v>
      </c>
      <c r="D1590" s="130">
        <f ca="1">D1578</f>
        <v>8888</v>
      </c>
      <c r="E1590" s="140">
        <f ca="1">E1578</f>
        <v>8888</v>
      </c>
      <c r="F1590" s="157"/>
      <c r="G1590" s="192" t="s">
        <v>312</v>
      </c>
      <c r="H1590" s="128">
        <f ca="1">IF(G1576&gt;=4,H1578,H1589)</f>
        <v>8888</v>
      </c>
      <c r="I1590" s="139">
        <f ca="1">IF(G1576&gt;=4,I1589-P1571,I1589)</f>
        <v>8888</v>
      </c>
      <c r="K1590" s="130" t="s">
        <v>396</v>
      </c>
      <c r="L1590" s="130">
        <f ca="1">L1578</f>
        <v>8888</v>
      </c>
      <c r="M1590" s="140">
        <f ca="1">M1578</f>
        <v>8888</v>
      </c>
      <c r="AA1590" s="144" t="s">
        <v>396</v>
      </c>
      <c r="AB1590" s="130">
        <f ca="1">IF($AA1576,D1590,AB1582)</f>
        <v>8888</v>
      </c>
      <c r="AC1590" s="132">
        <f ca="1">IF($AA1576,E1590,AC1582)</f>
        <v>8888</v>
      </c>
      <c r="AD1590" s="157"/>
      <c r="AE1590" s="192" t="s">
        <v>312</v>
      </c>
      <c r="AF1590" s="128">
        <f ca="1">IF($AE1576,H1590,AF1582)</f>
        <v>8888</v>
      </c>
      <c r="AG1590" s="129">
        <f ca="1">IF($AE1576,I1590,AG1582)</f>
        <v>8888</v>
      </c>
      <c r="AI1590" s="130" t="s">
        <v>396</v>
      </c>
      <c r="AJ1590" s="130">
        <f ca="1">IF($AI1576,L1590,AJ1582)</f>
        <v>8888</v>
      </c>
      <c r="AK1590" s="132">
        <f ca="1">IF($AI1576,M1590,AK1582)</f>
        <v>8888</v>
      </c>
      <c r="BD1590" s="157"/>
    </row>
    <row r="1591" spans="2:56">
      <c r="B1591" s="156"/>
      <c r="F1591" s="157"/>
      <c r="G1591" s="2" t="s">
        <v>313</v>
      </c>
      <c r="H1591" s="128">
        <f ca="1">IF(G1576&gt;=4,H1579,H1589)</f>
        <v>8888</v>
      </c>
      <c r="I1591" s="139">
        <f ca="1">IF(G1576&gt;=4,I1590,I1589)</f>
        <v>8888</v>
      </c>
      <c r="AD1591" s="157"/>
      <c r="AE1591" s="2" t="s">
        <v>313</v>
      </c>
      <c r="AF1591" s="128">
        <f ca="1">IF($AE1576,H1591,AF1582)</f>
        <v>8888</v>
      </c>
      <c r="AG1591" s="129">
        <f ca="1">IF($AE1576,I1591,AG1582)</f>
        <v>8888</v>
      </c>
      <c r="BD1591" s="157"/>
    </row>
    <row r="1592" spans="2:56">
      <c r="B1592" s="156"/>
      <c r="F1592" s="157"/>
      <c r="G1592" s="2" t="s">
        <v>7</v>
      </c>
      <c r="H1592" s="128">
        <f ca="1">IF(G1576&gt;=4,H1579,H1589)</f>
        <v>8888</v>
      </c>
      <c r="I1592" s="139">
        <f ca="1">IF(G1576&gt;=4,I1591-P1569,I1589)</f>
        <v>8888</v>
      </c>
      <c r="AD1592" s="157"/>
      <c r="AE1592" s="2" t="s">
        <v>7</v>
      </c>
      <c r="AF1592" s="128">
        <f ca="1">IF($AE1576,H1592,AF1582)</f>
        <v>8888</v>
      </c>
      <c r="AG1592" s="129">
        <f ca="1">IF($AE1576,I1592,AG1582)</f>
        <v>8888</v>
      </c>
      <c r="BD1592" s="157"/>
    </row>
    <row r="1593" spans="2:56">
      <c r="B1593" s="156"/>
      <c r="F1593" s="157"/>
      <c r="G1593" s="115" t="s">
        <v>8</v>
      </c>
      <c r="H1593" s="188">
        <f ca="1">IF(G1576&gt;=4,H1578,H1589)</f>
        <v>8888</v>
      </c>
      <c r="I1593" s="189">
        <f ca="1">IF(G1576&gt;=4,I1592,I1589)</f>
        <v>8888</v>
      </c>
      <c r="AD1593" s="157"/>
      <c r="AE1593" s="115" t="s">
        <v>8</v>
      </c>
      <c r="AF1593" s="188">
        <f ca="1">IF($AE1576,H1593,AF1582)</f>
        <v>8888</v>
      </c>
      <c r="AG1593" s="196">
        <f ca="1">IF($AE1576,I1593,AG1582)</f>
        <v>8888</v>
      </c>
      <c r="BD1593" s="157"/>
    </row>
    <row r="1594" spans="2:56">
      <c r="B1594" s="156"/>
      <c r="F1594" s="157"/>
      <c r="G1594" s="2" t="s">
        <v>9</v>
      </c>
      <c r="H1594" s="128">
        <f ca="1">IF(G1576&gt;=5,H1578,H1593)</f>
        <v>8888</v>
      </c>
      <c r="I1594" s="139">
        <f ca="1">IF(G1576&gt;=5,I1593-P1571,I1593)</f>
        <v>8888</v>
      </c>
      <c r="AD1594" s="157"/>
      <c r="AE1594" s="2" t="s">
        <v>9</v>
      </c>
      <c r="AF1594" s="128">
        <f ca="1">IF($AE1576,H1594,AF1582)</f>
        <v>8888</v>
      </c>
      <c r="AG1594" s="129">
        <f ca="1">IF($AE1576,I1594,AG1582)</f>
        <v>8888</v>
      </c>
      <c r="BD1594" s="157"/>
    </row>
    <row r="1595" spans="2:56">
      <c r="B1595" s="156"/>
      <c r="F1595" s="157"/>
      <c r="G1595" s="2" t="s">
        <v>196</v>
      </c>
      <c r="H1595" s="128">
        <f ca="1">IF(G1576&gt;=5,H1579,H1593)</f>
        <v>8888</v>
      </c>
      <c r="I1595" s="139">
        <f ca="1">IF(G1576&gt;=5,I1594,I1593)</f>
        <v>8888</v>
      </c>
      <c r="AD1595" s="157"/>
      <c r="AE1595" s="2" t="s">
        <v>196</v>
      </c>
      <c r="AF1595" s="128">
        <f ca="1">IF($AE1576,H1595,AF1582)</f>
        <v>8888</v>
      </c>
      <c r="AG1595" s="129">
        <f ca="1">IF($AE1576,I1595,AG1582)</f>
        <v>8888</v>
      </c>
      <c r="BD1595" s="157"/>
    </row>
    <row r="1596" spans="2:56">
      <c r="B1596" s="156"/>
      <c r="F1596" s="157"/>
      <c r="G1596" s="2" t="s">
        <v>10</v>
      </c>
      <c r="H1596" s="128">
        <f ca="1">IF(G1576&gt;=5,H1579,H1593)</f>
        <v>8888</v>
      </c>
      <c r="I1596" s="139">
        <f ca="1">IF(G1576&gt;=5,I1595-P1569,I1593)</f>
        <v>8888</v>
      </c>
      <c r="AD1596" s="157"/>
      <c r="AE1596" s="2" t="s">
        <v>10</v>
      </c>
      <c r="AF1596" s="128">
        <f ca="1">IF($AE1576,H1596,AF1582)</f>
        <v>8888</v>
      </c>
      <c r="AG1596" s="129">
        <f ca="1">IF($AE1576,I1596,AG1582)</f>
        <v>8888</v>
      </c>
      <c r="BD1596" s="157"/>
    </row>
    <row r="1597" spans="2:56">
      <c r="B1597" s="156"/>
      <c r="F1597" s="157"/>
      <c r="G1597" s="2" t="s">
        <v>161</v>
      </c>
      <c r="H1597" s="188">
        <f ca="1">IF(G1576&gt;=5,H1578,H1593)</f>
        <v>8888</v>
      </c>
      <c r="I1597" s="189">
        <f ca="1">IF(G1576&gt;=5,I1596,I1593)</f>
        <v>8888</v>
      </c>
      <c r="AD1597" s="157"/>
      <c r="AE1597" s="2" t="s">
        <v>161</v>
      </c>
      <c r="AF1597" s="188">
        <f ca="1">IF($AE1576,H1597,AF1582)</f>
        <v>8888</v>
      </c>
      <c r="AG1597" s="196">
        <f ca="1">IF($AE1576,I1597,AG1582)</f>
        <v>8888</v>
      </c>
      <c r="BD1597" s="157"/>
    </row>
    <row r="1598" spans="2:56">
      <c r="B1598" s="156"/>
      <c r="F1598" s="157"/>
      <c r="G1598" s="192" t="s">
        <v>11</v>
      </c>
      <c r="H1598" s="128">
        <f ca="1">IF(G1576&gt;=6,H1578,H1597)</f>
        <v>8888</v>
      </c>
      <c r="I1598" s="139">
        <f ca="1">IF(G1576&gt;=6,I1597-P1571,I1597)</f>
        <v>8888</v>
      </c>
      <c r="AD1598" s="157"/>
      <c r="AE1598" s="192" t="s">
        <v>11</v>
      </c>
      <c r="AF1598" s="128">
        <f ca="1">IF($AE1576,H1598,AF1582)</f>
        <v>8888</v>
      </c>
      <c r="AG1598" s="129">
        <f ca="1">IF($AE1576,I1598,AG1582)</f>
        <v>8888</v>
      </c>
      <c r="BD1598" s="157"/>
    </row>
    <row r="1599" spans="2:56">
      <c r="B1599" s="156"/>
      <c r="F1599" s="157"/>
      <c r="G1599" s="2" t="s">
        <v>12</v>
      </c>
      <c r="H1599" s="128">
        <f ca="1">IF(G1576&gt;=6,H1579,H1597)</f>
        <v>8888</v>
      </c>
      <c r="I1599" s="139">
        <f ca="1">IF(G1576&gt;=6,I1598,I1597)</f>
        <v>8888</v>
      </c>
      <c r="AD1599" s="157"/>
      <c r="AE1599" s="2" t="s">
        <v>12</v>
      </c>
      <c r="AF1599" s="128">
        <f ca="1">IF($AE1576,H1599,AF1582)</f>
        <v>8888</v>
      </c>
      <c r="AG1599" s="129">
        <f ca="1">IF($AE1576,I1599,AG1582)</f>
        <v>8888</v>
      </c>
      <c r="BD1599" s="157"/>
    </row>
    <row r="1600" spans="2:56">
      <c r="B1600" s="156"/>
      <c r="F1600" s="157"/>
      <c r="G1600" s="2" t="s">
        <v>13</v>
      </c>
      <c r="H1600" s="128">
        <f ca="1">IF(G1576&gt;=6,H1579,H1597)</f>
        <v>8888</v>
      </c>
      <c r="I1600" s="139">
        <f ca="1">IF(G1576&gt;=6,I1599-P1569,I1597)</f>
        <v>8888</v>
      </c>
      <c r="AD1600" s="157"/>
      <c r="AE1600" s="2" t="s">
        <v>13</v>
      </c>
      <c r="AF1600" s="128">
        <f ca="1">IF($AE1576,H1600,AF1582)</f>
        <v>8888</v>
      </c>
      <c r="AG1600" s="129">
        <f ca="1">IF($AE1576,I1600,AG1582)</f>
        <v>8888</v>
      </c>
      <c r="BD1600" s="157"/>
    </row>
    <row r="1601" spans="2:56">
      <c r="B1601" s="156"/>
      <c r="F1601" s="157"/>
      <c r="G1601" s="115" t="s">
        <v>14</v>
      </c>
      <c r="H1601" s="188">
        <f ca="1">IF(G1576&gt;=6,H1578,H1597)</f>
        <v>8888</v>
      </c>
      <c r="I1601" s="189">
        <f ca="1">IF(G1576&gt;=6,I1600,I1597)</f>
        <v>8888</v>
      </c>
      <c r="AD1601" s="157"/>
      <c r="AE1601" s="115" t="s">
        <v>14</v>
      </c>
      <c r="AF1601" s="188">
        <f ca="1">IF($AE1576,H1601,AF1582)</f>
        <v>8888</v>
      </c>
      <c r="AG1601" s="196">
        <f ca="1">IF($AE1576,I1601,AG1582)</f>
        <v>8888</v>
      </c>
      <c r="BD1601" s="157"/>
    </row>
    <row r="1602" spans="2:56" ht="15" thickBot="1">
      <c r="B1602" s="156"/>
      <c r="G1602" s="130" t="s">
        <v>396</v>
      </c>
      <c r="H1602" s="130">
        <f ca="1">H1578</f>
        <v>8888</v>
      </c>
      <c r="I1602" s="140">
        <f ca="1">I1578</f>
        <v>8888</v>
      </c>
      <c r="AE1602" s="130" t="s">
        <v>396</v>
      </c>
      <c r="AF1602" s="130">
        <f ca="1">IF($AE1576,H1602,AF1582)</f>
        <v>8888</v>
      </c>
      <c r="AG1602" s="132">
        <f ca="1">IF($AE1576,I1602,AG1582)</f>
        <v>8888</v>
      </c>
      <c r="BD1602" s="157"/>
    </row>
    <row r="1603" spans="2:56">
      <c r="B1603" s="156"/>
      <c r="BD1603" s="157"/>
    </row>
    <row r="1604" spans="2:56">
      <c r="B1604" s="156"/>
      <c r="BD1604" s="157"/>
    </row>
    <row r="1605" spans="2:56">
      <c r="B1605" s="156"/>
      <c r="C1605" s="200" t="s">
        <v>336</v>
      </c>
      <c r="D1605">
        <f>D1569+1</f>
        <v>40</v>
      </c>
      <c r="G1605" s="200" t="s">
        <v>638</v>
      </c>
      <c r="H1605">
        <f ca="1">LOOKUP(D1608,$C$191:$C$196,$D$191:$D$196)</f>
        <v>0</v>
      </c>
      <c r="K1605" s="200" t="s">
        <v>644</v>
      </c>
      <c r="L1605">
        <f ca="1">L1569-H1610</f>
        <v>-18.624000000000006</v>
      </c>
      <c r="O1605" s="200" t="s">
        <v>404</v>
      </c>
      <c r="P1605">
        <f ca="1">IF(D1607=1,SEAT_w_cushion_FC,IF(D1607=2,SEAT_w_cushion_BC,IF(D1607=3,SEAT_w_cushion_YC,0)))</f>
        <v>0</v>
      </c>
      <c r="S1605" s="200" t="s">
        <v>647</v>
      </c>
      <c r="T1605">
        <f ca="1">LOOKUP(D1608,$C$191:$C$196,$E$191:$E$196)</f>
        <v>0</v>
      </c>
      <c r="W1605" t="s">
        <v>130</v>
      </c>
      <c r="X1605" t="str">
        <f ca="1">OFFSET(Fuselage!$B$275,D1605,5)</f>
        <v>None</v>
      </c>
      <c r="AN1605" s="200" t="s">
        <v>135</v>
      </c>
      <c r="AO1605">
        <f ca="1">MAX(0,H1610-MAX(T1605,T1607,T1609,P1606)-X1606)</f>
        <v>0</v>
      </c>
      <c r="BD1605" s="157"/>
    </row>
    <row r="1606" spans="2:56">
      <c r="B1606" s="156"/>
      <c r="C1606" s="200" t="s">
        <v>200</v>
      </c>
      <c r="D1606" t="str">
        <f ca="1">OFFSET(Fuselage!$B$275,D1605,0)</f>
        <v/>
      </c>
      <c r="G1606" s="200" t="s">
        <v>639</v>
      </c>
      <c r="H1606">
        <f ca="1">LOOKUP(D1609,$C$191:$C$196,$D$191:$D$196)</f>
        <v>0</v>
      </c>
      <c r="O1606" s="200" t="s">
        <v>535</v>
      </c>
      <c r="P1606">
        <f ca="1">IF(D1607=1,SEAT_length_FC,IF(D1607=2,SEAT_length_BC,IF(D1607=3,SEAT_length_YC,0)))</f>
        <v>0</v>
      </c>
      <c r="S1606" s="200" t="s">
        <v>648</v>
      </c>
      <c r="T1606">
        <f ca="1">LOOKUP(D1608,$C$191:$C$196,$F$191:$F$196)</f>
        <v>0</v>
      </c>
      <c r="W1606" t="s">
        <v>131</v>
      </c>
      <c r="X1606">
        <f ca="1">LOOKUP(X1605,$I$191:$I$198,$J$191:$J$198)</f>
        <v>0</v>
      </c>
      <c r="BD1606" s="157"/>
    </row>
    <row r="1607" spans="2:56">
      <c r="B1607" s="156"/>
      <c r="C1607" s="200" t="s">
        <v>337</v>
      </c>
      <c r="D1607" t="str">
        <f ca="1">OFFSET(Fuselage!$B$275,D1605,4)</f>
        <v/>
      </c>
      <c r="G1607" s="200" t="s">
        <v>309</v>
      </c>
      <c r="H1607">
        <f ca="1">LOOKUP(D1610,$C$191:$C$196,$D$191:$D$196)</f>
        <v>0</v>
      </c>
      <c r="K1607" s="200" t="s">
        <v>645</v>
      </c>
      <c r="L1607">
        <f ca="1">IF(D1607=1,FUSELAGE_nseats_left_FC,IF(D1607=2,FUSELAGE_nseats_left_BC,IF(D1607=3,FUSELAGE_nseats_left_YC,0)))</f>
        <v>0</v>
      </c>
      <c r="O1607" s="200" t="s">
        <v>405</v>
      </c>
      <c r="P1607">
        <f ca="1">IF(D1607=1,SEAT_w_armrest_FC,IF(D1607=2,SEAT_w_armrest_BC,IF(D1607=3,SEAT_w_armrest_YC,0)))</f>
        <v>0</v>
      </c>
      <c r="S1607" s="200" t="s">
        <v>652</v>
      </c>
      <c r="T1607">
        <f ca="1">LOOKUP(D1609,$C$191:$C$196,$E$191:$E$196)</f>
        <v>0</v>
      </c>
      <c r="W1607" s="200" t="s">
        <v>393</v>
      </c>
      <c r="X1607" t="b">
        <f ca="1">IF(OFFSET(Fuselage!$B$275,D1605,6)="YES",TRUE(),FALSE())</f>
        <v>0</v>
      </c>
      <c r="BD1607" s="157"/>
    </row>
    <row r="1608" spans="2:56">
      <c r="B1608" s="156"/>
      <c r="C1608" s="200" t="s">
        <v>640</v>
      </c>
      <c r="D1608" t="str">
        <f ca="1">OFFSET(Fuselage!$B$275,D1605,1)</f>
        <v>None</v>
      </c>
      <c r="G1608" s="200" t="s">
        <v>132</v>
      </c>
      <c r="H1608">
        <f ca="1">IF(D1607=1,SEAT_pitch_FC,IF(D1607=2,SEAT_pitch_BC,IF(D1607=3,SEAT_pitch_YC,0)))</f>
        <v>0</v>
      </c>
      <c r="K1608" s="200" t="s">
        <v>646</v>
      </c>
      <c r="L1608">
        <f ca="1">IF(D1607=1,FUSELAGE_nseats_middle_FC,IF(D1607=2,FUSELAGE_nseats_middle_BC,IF(D1607=3,FUSELAGE_nseats_middle_YC,0)))</f>
        <v>0</v>
      </c>
      <c r="S1608" s="200" t="s">
        <v>653</v>
      </c>
      <c r="T1608">
        <f ca="1">LOOKUP(D1609,$C$191:$C$196,$F$191:$F$196)</f>
        <v>0</v>
      </c>
      <c r="BD1608" s="157"/>
    </row>
    <row r="1609" spans="2:56">
      <c r="B1609" s="156"/>
      <c r="C1609" s="200" t="s">
        <v>642</v>
      </c>
      <c r="D1609" t="str">
        <f ca="1">OFFSET(Fuselage!$B$275,D1605,2)</f>
        <v>None</v>
      </c>
      <c r="G1609" s="200" t="s">
        <v>129</v>
      </c>
      <c r="H1609">
        <f ca="1">IF(OR(X1605="Type A",X1605="Type B"),MAX(H1605:H1608)+42*0.0254,IF(X1605="Type C",MAX(H1605:H1608)+X1606,IF(X1605&lt;&gt;"None",24*0.0254,0)))</f>
        <v>0</v>
      </c>
      <c r="K1609" s="200" t="s">
        <v>655</v>
      </c>
      <c r="L1609">
        <f ca="1">IF(D1607=1,FUSELAGE_nseats_right_FC,IF(D1607=2,FUSELAGE_nseats_right_BC,IF(D1607=3,FUSELAGE_nseats_right_YC,0)))</f>
        <v>0</v>
      </c>
      <c r="O1609" s="200" t="s">
        <v>407</v>
      </c>
      <c r="P1609">
        <f ca="1">($C$13-(L1607+L1608+L1609)*(P1605+P1607)+(FUSELAGE_n_aisles-1)*P1607)/FUSELAGE_n_aisles</f>
        <v>2.76</v>
      </c>
      <c r="S1609" s="200" t="s">
        <v>651</v>
      </c>
      <c r="T1609">
        <f ca="1">LOOKUP(D1610,$C$191:$C$196,$E$191:$E$196)</f>
        <v>0</v>
      </c>
      <c r="BD1609" s="157"/>
    </row>
    <row r="1610" spans="2:56">
      <c r="B1610" s="156"/>
      <c r="C1610" s="200" t="s">
        <v>641</v>
      </c>
      <c r="D1610" t="str">
        <f ca="1">OFFSET(Fuselage!$B$275,D1605,3)</f>
        <v>None</v>
      </c>
      <c r="G1610" s="200" t="s">
        <v>643</v>
      </c>
      <c r="H1610">
        <f ca="1">MAX(H1605:H1609)</f>
        <v>0</v>
      </c>
      <c r="S1610" s="200" t="s">
        <v>654</v>
      </c>
      <c r="T1610">
        <f ca="1">LOOKUP(D1610,$C$191:$C$196,$F$191:$F$196)</f>
        <v>0</v>
      </c>
      <c r="BD1610" s="157"/>
    </row>
    <row r="1611" spans="2:56" ht="15" thickBot="1">
      <c r="B1611" s="156"/>
      <c r="BD1611" s="157"/>
    </row>
    <row r="1612" spans="2:56" ht="15" thickBot="1">
      <c r="B1612" s="156"/>
      <c r="C1612" s="141">
        <f ca="1">L1609</f>
        <v>0</v>
      </c>
      <c r="D1612" s="197" t="str">
        <f ca="1">IF($D1607=1,"FC",IF($D1607=2,"BC",IF($D1607=3,"YC","Nothing")))</f>
        <v>Nothing</v>
      </c>
      <c r="E1612" s="198"/>
      <c r="G1612" s="141">
        <f ca="1">L1608</f>
        <v>0</v>
      </c>
      <c r="H1612" s="197" t="str">
        <f ca="1">IF($D1607=1,"FC",IF($D1607=2,"BC",IF($D1607=3,"YC","Nothing")))</f>
        <v>Nothing</v>
      </c>
      <c r="I1612" s="198"/>
      <c r="K1612" s="141">
        <f ca="1" xml:space="preserve"> L1607</f>
        <v>0</v>
      </c>
      <c r="L1612" s="197" t="str">
        <f ca="1">IF($D1607=1,"FC",IF($D1607=2,"BC",IF($D1607=3,"YC","Nothing")))</f>
        <v>Nothing</v>
      </c>
      <c r="M1612" s="198"/>
      <c r="O1612" s="141">
        <f ca="1">IF($D1610&lt;&gt;"None",1,0)</f>
        <v>0</v>
      </c>
      <c r="P1612" s="326" t="s">
        <v>380</v>
      </c>
      <c r="Q1612" s="327"/>
      <c r="S1612" s="141">
        <f ca="1">IF($D1609&lt;&gt;"None",1,0)</f>
        <v>0</v>
      </c>
      <c r="T1612" s="326" t="s">
        <v>381</v>
      </c>
      <c r="U1612" s="327"/>
      <c r="W1612" s="141">
        <f ca="1">IF($D1608&lt;&gt;"None",1,0)</f>
        <v>0</v>
      </c>
      <c r="X1612" s="326" t="s">
        <v>382</v>
      </c>
      <c r="Y1612" s="327"/>
      <c r="AA1612" s="141">
        <f ca="1">IF($D1610="None",1,0)</f>
        <v>1</v>
      </c>
      <c r="AB1612" s="326" t="str">
        <f ca="1">IF(AA1612,D1612,$D1610)</f>
        <v>Nothing</v>
      </c>
      <c r="AC1612" s="327"/>
      <c r="AE1612" s="141">
        <f ca="1">IF($D1609="None",1,0)</f>
        <v>1</v>
      </c>
      <c r="AF1612" s="326" t="str">
        <f ca="1">IF(AE1612,H1612,$D1609)</f>
        <v>Nothing</v>
      </c>
      <c r="AG1612" s="327"/>
      <c r="AI1612" s="141">
        <f ca="1">IF($D1608="None",1,0)</f>
        <v>1</v>
      </c>
      <c r="AJ1612" s="326" t="str">
        <f ca="1">IF(AI1612,L1612,$D1608)</f>
        <v>Nothing</v>
      </c>
      <c r="AK1612" s="327"/>
      <c r="AM1612" s="141">
        <f ca="1">IF($X1605="None",0,1)</f>
        <v>0</v>
      </c>
      <c r="AN1612" s="197" t="s">
        <v>133</v>
      </c>
      <c r="AO1612" s="198"/>
      <c r="AQ1612" s="141">
        <f ca="1">IF($X1605="None",0,1)</f>
        <v>0</v>
      </c>
      <c r="AR1612" s="197" t="s">
        <v>134</v>
      </c>
      <c r="AS1612" s="198"/>
      <c r="BD1612" s="157"/>
    </row>
    <row r="1613" spans="2:56" ht="15" thickBot="1">
      <c r="B1613" s="156"/>
      <c r="C1613" s="136" t="s">
        <v>452</v>
      </c>
      <c r="D1613" s="136" t="s">
        <v>384</v>
      </c>
      <c r="E1613" s="138" t="s">
        <v>385</v>
      </c>
      <c r="G1613" s="136" t="s">
        <v>452</v>
      </c>
      <c r="H1613" s="136" t="s">
        <v>384</v>
      </c>
      <c r="I1613" s="138" t="s">
        <v>385</v>
      </c>
      <c r="K1613" s="193" t="s">
        <v>452</v>
      </c>
      <c r="L1613" s="193" t="s">
        <v>384</v>
      </c>
      <c r="M1613" s="194" t="s">
        <v>385</v>
      </c>
      <c r="O1613" s="136" t="s">
        <v>452</v>
      </c>
      <c r="P1613" s="136" t="s">
        <v>384</v>
      </c>
      <c r="Q1613" s="138" t="s">
        <v>385</v>
      </c>
      <c r="S1613" s="136" t="s">
        <v>452</v>
      </c>
      <c r="T1613" s="136" t="s">
        <v>384</v>
      </c>
      <c r="U1613" s="138" t="s">
        <v>385</v>
      </c>
      <c r="W1613" s="136" t="s">
        <v>452</v>
      </c>
      <c r="X1613" s="136" t="s">
        <v>384</v>
      </c>
      <c r="Y1613" s="138" t="s">
        <v>385</v>
      </c>
      <c r="AA1613" s="136" t="s">
        <v>452</v>
      </c>
      <c r="AB1613" s="136" t="s">
        <v>384</v>
      </c>
      <c r="AC1613" s="138" t="s">
        <v>385</v>
      </c>
      <c r="AE1613" s="136" t="s">
        <v>452</v>
      </c>
      <c r="AF1613" s="136" t="s">
        <v>384</v>
      </c>
      <c r="AG1613" s="138" t="s">
        <v>385</v>
      </c>
      <c r="AI1613" s="193" t="s">
        <v>452</v>
      </c>
      <c r="AJ1613" s="193" t="s">
        <v>384</v>
      </c>
      <c r="AK1613" s="194" t="s">
        <v>385</v>
      </c>
      <c r="AM1613" s="193" t="s">
        <v>452</v>
      </c>
      <c r="AN1613" s="193" t="s">
        <v>384</v>
      </c>
      <c r="AO1613" s="194" t="s">
        <v>385</v>
      </c>
      <c r="AQ1613" s="193" t="s">
        <v>452</v>
      </c>
      <c r="AR1613" s="193" t="s">
        <v>384</v>
      </c>
      <c r="AS1613" s="194" t="s">
        <v>385</v>
      </c>
      <c r="BD1613" s="157"/>
    </row>
    <row r="1614" spans="2:56">
      <c r="B1614" s="156"/>
      <c r="C1614" s="128" t="s">
        <v>396</v>
      </c>
      <c r="D1614" s="158">
        <f ca="1">IF(C1612&gt;=1,L1605,8888)</f>
        <v>8888</v>
      </c>
      <c r="E1614" s="160">
        <f ca="1">IF(C1612&gt;=1,1/2*($C$13-P1605-2*P1607)+1/2*P1605,8888)</f>
        <v>8888</v>
      </c>
      <c r="G1614" s="128" t="s">
        <v>396</v>
      </c>
      <c r="H1614" s="158">
        <f ca="1">IF(G1612&gt;=1,L1605,8888)</f>
        <v>8888</v>
      </c>
      <c r="I1614" s="160">
        <f ca="1">IF(G1612&gt;=1,E1625-P1609,8888)</f>
        <v>8888</v>
      </c>
      <c r="K1614" s="128" t="s">
        <v>396</v>
      </c>
      <c r="L1614" s="158">
        <f ca="1">IF(K1612&gt;=1,L1605,8888)</f>
        <v>8888</v>
      </c>
      <c r="M1614" s="160">
        <f ca="1">IF(K1612&gt;=1,IF(FUSELAGE_n_aisles=1,E1625-P1609,I1637-P1609),8888)</f>
        <v>8888</v>
      </c>
      <c r="O1614" s="128" t="s">
        <v>396</v>
      </c>
      <c r="P1614" s="158">
        <f ca="1">IF(O1612,$L1605,8888)</f>
        <v>8888</v>
      </c>
      <c r="Q1614" s="209">
        <f ca="1">IF(O1612,FUSELAGE_y_position_of_left_seat_YC-(FUSELAGE_nseats_right_YC-1)*(SEAT_w_cushion_YC+SEAT_w_armrest_YC)/2+T1610/2,8888)</f>
        <v>8888</v>
      </c>
      <c r="S1614" s="128" t="s">
        <v>396</v>
      </c>
      <c r="T1614" s="158">
        <f ca="1">IF(S1612,$L1605,8888)</f>
        <v>8888</v>
      </c>
      <c r="U1614" s="160">
        <f ca="1">IF(S1612,T1608/2,8888)</f>
        <v>8888</v>
      </c>
      <c r="W1614" s="128" t="s">
        <v>396</v>
      </c>
      <c r="X1614" s="158">
        <f ca="1">IF(W1612,$L1605,8888)</f>
        <v>8888</v>
      </c>
      <c r="Y1614" s="160">
        <f ca="1">IF(W1612,-FUSELAGE_y_position_of_left_seat_YC+(FUSELAGE_nseats_left_YC-1)*(SEAT_w_cushion_YC+SEAT_w_armrest_YC)/2-T1606/2,8888)</f>
        <v>8888</v>
      </c>
      <c r="AA1614" s="128" t="s">
        <v>396</v>
      </c>
      <c r="AB1614" s="158">
        <f ca="1">IF($AA1612,D1614,P1614)</f>
        <v>8888</v>
      </c>
      <c r="AC1614" s="174">
        <f ca="1">IF($AA1612,E1614,Q1614)</f>
        <v>8888</v>
      </c>
      <c r="AE1614" s="128" t="s">
        <v>396</v>
      </c>
      <c r="AF1614" s="158">
        <f ca="1">IF($AE1612,H1614,T1614)</f>
        <v>8888</v>
      </c>
      <c r="AG1614" s="174">
        <f ca="1">IF($AE1612,I1614,U1614)</f>
        <v>8888</v>
      </c>
      <c r="AI1614" s="128" t="s">
        <v>396</v>
      </c>
      <c r="AJ1614" s="158">
        <f ca="1">IF($AI1612,L1614,X1614)</f>
        <v>8888</v>
      </c>
      <c r="AK1614" s="174">
        <f ca="1">IF($AI1612,M1614,Y1614)</f>
        <v>8888</v>
      </c>
      <c r="AM1614" s="128" t="s">
        <v>396</v>
      </c>
      <c r="AN1614" s="158">
        <f ca="1">AN1583</f>
        <v>-18.624000000000006</v>
      </c>
      <c r="AO1614" s="174">
        <f ca="1">IF(AN1614&gt;-Fuselage!$D$366,(FUSELAGE_a_ellipse)*SQRT(1-((AN1614+Fuselage!$D$366)/(Fuselage!$K$364-FUSELAGE_t_fuselage))^2),IF(AN1614&gt;$L$2505+Fuselage!$K$370,FUSELAGE_a_ellipse,(FUSELAGE_a_ellipse+FUSELAGE_t_fuselage-FUSELAGE_d_fo/4)/Fuselage!$K$368*(AN1614-$L$2505-Fuselage!$K$370)+FUSELAGE_a_ellipse))</f>
        <v>1.4960570012328709</v>
      </c>
      <c r="AQ1614" s="128" t="s">
        <v>396</v>
      </c>
      <c r="AR1614" s="158">
        <f t="shared" ref="AR1614:AR1619" ca="1" si="144">AN1614</f>
        <v>-18.624000000000006</v>
      </c>
      <c r="AS1614" s="174">
        <f t="shared" ref="AS1614:AS1619" ca="1" si="145">-AO1614</f>
        <v>-1.4960570012328709</v>
      </c>
      <c r="BD1614" s="157"/>
    </row>
    <row r="1615" spans="2:56">
      <c r="B1615" s="156"/>
      <c r="C1615" s="128" t="s">
        <v>213</v>
      </c>
      <c r="D1615" s="128">
        <f ca="1">IF(X1607,D1614+P1606/4,D1614+P1606)</f>
        <v>8888</v>
      </c>
      <c r="E1615" s="139">
        <f ca="1">E1614</f>
        <v>8888</v>
      </c>
      <c r="G1615" s="128" t="s">
        <v>213</v>
      </c>
      <c r="H1615" s="128">
        <f ca="1">H1614+P1606</f>
        <v>8888</v>
      </c>
      <c r="I1615" s="139">
        <f ca="1">I1614</f>
        <v>8888</v>
      </c>
      <c r="K1615" s="128" t="s">
        <v>213</v>
      </c>
      <c r="L1615" s="128">
        <f ca="1">IF(X1607,IF(K1612=1,L1614+P1606/4,L1614+P1606),L1614+P1606)</f>
        <v>8888</v>
      </c>
      <c r="M1615" s="139">
        <f ca="1">M1614</f>
        <v>8888</v>
      </c>
      <c r="O1615" s="128" t="s">
        <v>213</v>
      </c>
      <c r="P1615" s="128">
        <f ca="1">P1614+$T1609</f>
        <v>8888</v>
      </c>
      <c r="Q1615" s="139">
        <f ca="1">Q1614</f>
        <v>8888</v>
      </c>
      <c r="S1615" s="128" t="s">
        <v>213</v>
      </c>
      <c r="T1615" s="128">
        <f ca="1">T1614+$T1607</f>
        <v>8888</v>
      </c>
      <c r="U1615" s="139">
        <f ca="1">U1614</f>
        <v>8888</v>
      </c>
      <c r="W1615" s="128" t="s">
        <v>213</v>
      </c>
      <c r="X1615" s="128">
        <f ca="1">X1614+$T1605</f>
        <v>8888</v>
      </c>
      <c r="Y1615" s="139">
        <f ca="1">Y1614</f>
        <v>8888</v>
      </c>
      <c r="AA1615" s="143" t="s">
        <v>213</v>
      </c>
      <c r="AB1615" s="128">
        <f ca="1">IF($AA1612,D1615,P1615)</f>
        <v>8888</v>
      </c>
      <c r="AC1615" s="129">
        <f ca="1">IF($AA1612,E1615,Q1615)</f>
        <v>8888</v>
      </c>
      <c r="AE1615" s="128" t="s">
        <v>213</v>
      </c>
      <c r="AF1615" s="128">
        <f ca="1">IF($AE1612,H1615,T1615)</f>
        <v>8888</v>
      </c>
      <c r="AG1615" s="129">
        <f ca="1">IF($AE1612,I1615,U1615)</f>
        <v>8888</v>
      </c>
      <c r="AI1615" s="128" t="s">
        <v>213</v>
      </c>
      <c r="AJ1615" s="128">
        <f ca="1">IF($AI1612,L1615,X1615)</f>
        <v>8888</v>
      </c>
      <c r="AK1615" s="129">
        <f ca="1">IF($AI1612,M1615,Y1615)</f>
        <v>8888</v>
      </c>
      <c r="AM1615" s="128" t="s">
        <v>213</v>
      </c>
      <c r="AN1615" s="128">
        <f ca="1">AN1614-AO1605/2</f>
        <v>-18.624000000000006</v>
      </c>
      <c r="AO1615" s="129">
        <f ca="1">IF(AN1615&gt;-Fuselage!$D$366,(FUSELAGE_a_ellipse)*SQRT(1-((AN1615+Fuselage!$D$366)/(Fuselage!$K$364-FUSELAGE_t_fuselage))^2),IF(AN1615&gt;$L$2505+Fuselage!$K$370,FUSELAGE_a_ellipse,(FUSELAGE_a_ellipse+FUSELAGE_t_fuselage-FUSELAGE_d_fo/4)/Fuselage!$K$368*(AN1615-$L$2505-Fuselage!$K$370)+FUSELAGE_a_ellipse))</f>
        <v>1.4960570012328709</v>
      </c>
      <c r="AQ1615" s="128" t="s">
        <v>213</v>
      </c>
      <c r="AR1615" s="128">
        <f t="shared" ca="1" si="144"/>
        <v>-18.624000000000006</v>
      </c>
      <c r="AS1615" s="129">
        <f t="shared" ca="1" si="145"/>
        <v>-1.4960570012328709</v>
      </c>
      <c r="BD1615" s="157"/>
    </row>
    <row r="1616" spans="2:56">
      <c r="B1616" s="156"/>
      <c r="C1616" s="128" t="s">
        <v>286</v>
      </c>
      <c r="D1616" s="128">
        <f ca="1">D1615</f>
        <v>8888</v>
      </c>
      <c r="E1616" s="139">
        <f ca="1">E1615-P1605</f>
        <v>8888</v>
      </c>
      <c r="G1616" s="128" t="s">
        <v>286</v>
      </c>
      <c r="H1616" s="128">
        <f ca="1">H1615</f>
        <v>8888</v>
      </c>
      <c r="I1616" s="139">
        <f ca="1">I1615-P1605</f>
        <v>8888</v>
      </c>
      <c r="K1616" s="128" t="s">
        <v>286</v>
      </c>
      <c r="L1616" s="128">
        <f ca="1">L1615</f>
        <v>8888</v>
      </c>
      <c r="M1616" s="139">
        <f ca="1">M1615-P1605</f>
        <v>8888</v>
      </c>
      <c r="O1616" s="128" t="s">
        <v>286</v>
      </c>
      <c r="P1616" s="128">
        <f ca="1">P1615</f>
        <v>8888</v>
      </c>
      <c r="Q1616" s="139">
        <f ca="1">Q1615-$T1610</f>
        <v>8888</v>
      </c>
      <c r="S1616" s="128" t="s">
        <v>286</v>
      </c>
      <c r="T1616" s="128">
        <f ca="1">T1615</f>
        <v>8888</v>
      </c>
      <c r="U1616" s="139">
        <f ca="1">U1615-$T1608</f>
        <v>8888</v>
      </c>
      <c r="W1616" s="128" t="s">
        <v>286</v>
      </c>
      <c r="X1616" s="128">
        <f ca="1">X1615</f>
        <v>8888</v>
      </c>
      <c r="Y1616" s="139">
        <f ca="1">Y1615+$T1606</f>
        <v>8888</v>
      </c>
      <c r="AA1616" s="143" t="s">
        <v>286</v>
      </c>
      <c r="AB1616" s="128">
        <f ca="1">IF($AA1612,D1616,P1616)</f>
        <v>8888</v>
      </c>
      <c r="AC1616" s="129">
        <f ca="1">IF($AA1612,E1616,Q1616)</f>
        <v>8888</v>
      </c>
      <c r="AE1616" s="128" t="s">
        <v>286</v>
      </c>
      <c r="AF1616" s="128">
        <f ca="1">IF($AE1612,H1616,T1616)</f>
        <v>8888</v>
      </c>
      <c r="AG1616" s="129">
        <f ca="1">IF($AE1612,I1616,U1616)</f>
        <v>8888</v>
      </c>
      <c r="AI1616" s="128" t="s">
        <v>286</v>
      </c>
      <c r="AJ1616" s="128">
        <f ca="1">IF($AI1612,L1616,X1616)</f>
        <v>8888</v>
      </c>
      <c r="AK1616" s="129">
        <f ca="1">IF($AI1612,M1616,Y1616)</f>
        <v>8888</v>
      </c>
      <c r="AM1616" s="128" t="s">
        <v>286</v>
      </c>
      <c r="AN1616" s="128">
        <f ca="1">AN1615</f>
        <v>-18.624000000000006</v>
      </c>
      <c r="AO1616" s="129">
        <f ca="1">IF(AN1616&gt;-Fuselage!$D$366,IF(AM1612,(FUSELAGE_a_ellipse+FUSELAGE_t_fuselage)*SQRT(1-((AN1616+Fuselage!$D$366)/Fuselage!$K$364)^2),(FUSELAGE_a_ellipse)*SQRT(1-((AN1616+Fuselage!$D$366)/Fuselage!$K$364)^2)),IF(AN1616&gt;$L$2505+Fuselage!$K$370,(IF(AM1612,FUSELAGE_a_ellipse+FUSELAGE_t_fuselage,FUSELAGE_a_ellipse)),IF(AM1612,(FUSELAGE_a_ellipse+FUSELAGE_t_fuselage-FUSELAGE_d_fo/4)/Fuselage!$K$368*(AN1616-$L$2505-Fuselage!$K$370)+FUSELAGE_a_ellipse+FUSELAGE_t_fuselage,(FUSELAGE_a_ellipse+FUSELAGE_t_fuselage-FUSELAGE_d_fo/4)/Fuselage!$K$368*(AN1616-$L$2505-Fuselage!$K$370)+FUSELAGE_a_ellipse)))</f>
        <v>1.4960570012328709</v>
      </c>
      <c r="AQ1616" s="128" t="s">
        <v>286</v>
      </c>
      <c r="AR1616" s="128">
        <f t="shared" ca="1" si="144"/>
        <v>-18.624000000000006</v>
      </c>
      <c r="AS1616" s="129">
        <f t="shared" ca="1" si="145"/>
        <v>-1.4960570012328709</v>
      </c>
      <c r="BD1616" s="157"/>
    </row>
    <row r="1617" spans="2:56">
      <c r="B1617" s="156"/>
      <c r="C1617" s="188" t="s">
        <v>522</v>
      </c>
      <c r="D1617" s="188">
        <f ca="1">D1614</f>
        <v>8888</v>
      </c>
      <c r="E1617" s="189">
        <f ca="1">E1616</f>
        <v>8888</v>
      </c>
      <c r="F1617" s="157"/>
      <c r="G1617" s="2" t="s">
        <v>522</v>
      </c>
      <c r="H1617" s="128">
        <f ca="1">H1614</f>
        <v>8888</v>
      </c>
      <c r="I1617" s="139">
        <f ca="1">I1616</f>
        <v>8888</v>
      </c>
      <c r="K1617" s="128" t="s">
        <v>522</v>
      </c>
      <c r="L1617" s="128">
        <f ca="1">L1614</f>
        <v>8888</v>
      </c>
      <c r="M1617" s="139">
        <f ca="1">M1616</f>
        <v>8888</v>
      </c>
      <c r="O1617" s="188" t="s">
        <v>522</v>
      </c>
      <c r="P1617" s="188">
        <f ca="1">P1614</f>
        <v>8888</v>
      </c>
      <c r="Q1617" s="189">
        <f ca="1">Q1616</f>
        <v>8888</v>
      </c>
      <c r="S1617" s="188" t="s">
        <v>522</v>
      </c>
      <c r="T1617" s="188">
        <f ca="1">T1614</f>
        <v>8888</v>
      </c>
      <c r="U1617" s="189">
        <f ca="1">U1616</f>
        <v>8888</v>
      </c>
      <c r="W1617" s="188" t="s">
        <v>522</v>
      </c>
      <c r="X1617" s="188">
        <f ca="1">X1614</f>
        <v>8888</v>
      </c>
      <c r="Y1617" s="189">
        <f ca="1">Y1616</f>
        <v>8888</v>
      </c>
      <c r="AA1617" s="195" t="s">
        <v>522</v>
      </c>
      <c r="AB1617" s="128">
        <f ca="1">IF($AA1612,D1617,P1617)</f>
        <v>8888</v>
      </c>
      <c r="AC1617" s="129">
        <f ca="1">IF($AA1612,E1617,Q1617)</f>
        <v>8888</v>
      </c>
      <c r="AD1617" s="157"/>
      <c r="AE1617" s="2" t="s">
        <v>522</v>
      </c>
      <c r="AF1617" s="188">
        <f ca="1">IF($AE1612,H1617,T1617)</f>
        <v>8888</v>
      </c>
      <c r="AG1617" s="196">
        <f ca="1">IF($AE1612,I1617,U1617)</f>
        <v>8888</v>
      </c>
      <c r="AI1617" s="128" t="s">
        <v>522</v>
      </c>
      <c r="AJ1617" s="188">
        <f ca="1">IF($AI1612,L1617,X1617)</f>
        <v>8888</v>
      </c>
      <c r="AK1617" s="196">
        <f ca="1">IF($AI1612,M1617,Y1617)</f>
        <v>8888</v>
      </c>
      <c r="AM1617" s="128" t="s">
        <v>522</v>
      </c>
      <c r="AN1617" s="128">
        <f ca="1">AN1616-X1606</f>
        <v>-18.624000000000006</v>
      </c>
      <c r="AO1617" s="129">
        <f ca="1">IF(AN1617&gt;-Fuselage!$D$366,IF(AM1612,(FUSELAGE_a_ellipse+FUSELAGE_t_fuselage)*SQRT(1-((AN1617+Fuselage!$D$366)/Fuselage!$K$364)^2),(FUSELAGE_a_ellipse)*SQRT(1-((AN1617+Fuselage!$D$366)/Fuselage!$K$364)^2)),IF(AN1617&gt;$L$2505+Fuselage!$K$370,(IF(AM1612,FUSELAGE_a_ellipse+FUSELAGE_t_fuselage,FUSELAGE_a_ellipse)),IF(AM1612,(FUSELAGE_a_ellipse+FUSELAGE_t_fuselage-FUSELAGE_d_fo/4)/Fuselage!$K$368*(AN1617-$L$2505-Fuselage!$K$370)+FUSELAGE_a_ellipse+FUSELAGE_t_fuselage,(FUSELAGE_a_ellipse+FUSELAGE_t_fuselage-FUSELAGE_d_fo/4)/Fuselage!$K$368*(AN1617-$L$2505-Fuselage!$K$370)+FUSELAGE_a_ellipse)))</f>
        <v>1.4960570012328709</v>
      </c>
      <c r="AQ1617" s="128" t="s">
        <v>522</v>
      </c>
      <c r="AR1617" s="128">
        <f t="shared" ca="1" si="144"/>
        <v>-18.624000000000006</v>
      </c>
      <c r="AS1617" s="129">
        <f t="shared" ca="1" si="145"/>
        <v>-1.4960570012328709</v>
      </c>
      <c r="BD1617" s="157"/>
    </row>
    <row r="1618" spans="2:56" ht="15" thickBot="1">
      <c r="B1618" s="156"/>
      <c r="C1618" s="128" t="s">
        <v>49</v>
      </c>
      <c r="D1618" s="128">
        <f ca="1">IF(C1612&gt;=2,D1614,D1617)</f>
        <v>8888</v>
      </c>
      <c r="E1618" s="139">
        <f ca="1">IF(C1612&gt;=2,E1617-P1607,E1617)</f>
        <v>8888</v>
      </c>
      <c r="F1618" s="157"/>
      <c r="G1618" s="192" t="s">
        <v>49</v>
      </c>
      <c r="H1618" s="190">
        <f ca="1">IF(G1612&gt;=2,H1614,H1617)</f>
        <v>8888</v>
      </c>
      <c r="I1618" s="191">
        <f ca="1">IF(G1612&gt;=2,I1617-P1607,I1617)</f>
        <v>8888</v>
      </c>
      <c r="K1618" s="190" t="s">
        <v>49</v>
      </c>
      <c r="L1618" s="190">
        <f ca="1">IF(K1612&gt;=2,L1614,L1617)</f>
        <v>8888</v>
      </c>
      <c r="M1618" s="191">
        <f ca="1">IF(K1612&gt;=2,M1617-P1607,M1617)</f>
        <v>8888</v>
      </c>
      <c r="O1618" s="130" t="s">
        <v>396</v>
      </c>
      <c r="P1618" s="130">
        <f ca="1">P1614</f>
        <v>8888</v>
      </c>
      <c r="Q1618" s="140">
        <f ca="1">Q1614</f>
        <v>8888</v>
      </c>
      <c r="S1618" s="130" t="s">
        <v>396</v>
      </c>
      <c r="T1618" s="130">
        <f ca="1">T1614</f>
        <v>8888</v>
      </c>
      <c r="U1618" s="140">
        <f ca="1">U1614</f>
        <v>8888</v>
      </c>
      <c r="W1618" s="130" t="s">
        <v>396</v>
      </c>
      <c r="X1618" s="130">
        <f ca="1">X1614</f>
        <v>8888</v>
      </c>
      <c r="Y1618" s="140">
        <f ca="1">Y1614</f>
        <v>8888</v>
      </c>
      <c r="AA1618" s="143" t="s">
        <v>49</v>
      </c>
      <c r="AB1618" s="128">
        <f ca="1">IF($AA1612,D1618,P1618)</f>
        <v>8888</v>
      </c>
      <c r="AC1618" s="129">
        <f ca="1">IF($AA1612,E1618,Q1618)</f>
        <v>8888</v>
      </c>
      <c r="AD1618" s="157"/>
      <c r="AE1618" s="192" t="s">
        <v>49</v>
      </c>
      <c r="AF1618" s="128">
        <f ca="1">IF($AE1612,H1618,T1618)</f>
        <v>8888</v>
      </c>
      <c r="AG1618" s="129">
        <f ca="1">IF($AE1612,I1618,U1618)</f>
        <v>8888</v>
      </c>
      <c r="AI1618" s="190" t="s">
        <v>49</v>
      </c>
      <c r="AJ1618" s="128">
        <f ca="1">IF($AI1612,L1618,X1618)</f>
        <v>8888</v>
      </c>
      <c r="AK1618" s="129">
        <f ca="1">IF($AI1612,M1618,Y1618)</f>
        <v>8888</v>
      </c>
      <c r="AM1618" s="128" t="s">
        <v>49</v>
      </c>
      <c r="AN1618" s="128">
        <f ca="1">AN1617</f>
        <v>-18.624000000000006</v>
      </c>
      <c r="AO1618" s="129">
        <f ca="1">IF(AN1618&gt;-Fuselage!$D$366,(FUSELAGE_a_ellipse)*SQRT(1-((AN1618+Fuselage!$D$366)/(Fuselage!$K$364-FUSELAGE_t_fuselage))^2),IF(AN1618&gt;$L$2505+Fuselage!$K$370,FUSELAGE_a_ellipse,(FUSELAGE_a_ellipse+FUSELAGE_t_fuselage-FUSELAGE_d_fo/4)/Fuselage!$K$368*(AN1618-$L$2505-Fuselage!$K$370)+FUSELAGE_a_ellipse))</f>
        <v>1.4960570012328709</v>
      </c>
      <c r="AQ1618" s="128" t="s">
        <v>49</v>
      </c>
      <c r="AR1618" s="128">
        <f t="shared" ca="1" si="144"/>
        <v>-18.624000000000006</v>
      </c>
      <c r="AS1618" s="129">
        <f t="shared" ca="1" si="145"/>
        <v>-1.4960570012328709</v>
      </c>
      <c r="BD1618" s="157"/>
    </row>
    <row r="1619" spans="2:56">
      <c r="B1619" s="156"/>
      <c r="C1619" s="128" t="s">
        <v>453</v>
      </c>
      <c r="D1619" s="128">
        <f ca="1">IF(C1612&gt;=2,D1614+P1606,D1617)</f>
        <v>8888</v>
      </c>
      <c r="E1619" s="139">
        <f ca="1">E1618</f>
        <v>8888</v>
      </c>
      <c r="F1619" s="157"/>
      <c r="G1619" s="2" t="s">
        <v>453</v>
      </c>
      <c r="H1619" s="128">
        <f ca="1">IF(G1612&gt;=2,H1615,H1617)</f>
        <v>8888</v>
      </c>
      <c r="I1619" s="139">
        <f ca="1">IF(G1612&gt;=2,I1618,I1617)</f>
        <v>8888</v>
      </c>
      <c r="K1619" s="128" t="s">
        <v>453</v>
      </c>
      <c r="L1619" s="128">
        <f ca="1">IF(K1612&gt;=2,IF(X1607,IF(K1612=2,L1614+P1606/4,L1614+P1606),L1614+P1606),L1617)</f>
        <v>8888</v>
      </c>
      <c r="M1619" s="139">
        <f ca="1">IF(K1612&gt;=2,M1618,M1617)</f>
        <v>8888</v>
      </c>
      <c r="AA1619" s="143" t="s">
        <v>453</v>
      </c>
      <c r="AB1619" s="128">
        <f ca="1">IF($AA1612,D1619,AB1618)</f>
        <v>8888</v>
      </c>
      <c r="AC1619" s="129">
        <f ca="1">IF($AA1612,E1619,AC1618)</f>
        <v>8888</v>
      </c>
      <c r="AD1619" s="157"/>
      <c r="AE1619" s="2" t="s">
        <v>453</v>
      </c>
      <c r="AF1619" s="128">
        <f ca="1">IF($AE1612,H1619,AF1618)</f>
        <v>8888</v>
      </c>
      <c r="AG1619" s="129">
        <f ca="1">IF($AE1612,I1619,AG1618)</f>
        <v>8888</v>
      </c>
      <c r="AI1619" s="128" t="s">
        <v>453</v>
      </c>
      <c r="AJ1619" s="128">
        <f ca="1">IF($AI1612,L1619,AJ1618)</f>
        <v>8888</v>
      </c>
      <c r="AK1619" s="129">
        <f ca="1">IF($AI1612,M1619,AK1618)</f>
        <v>8888</v>
      </c>
      <c r="AM1619" s="128" t="s">
        <v>453</v>
      </c>
      <c r="AN1619" s="128">
        <f ca="1">L1605</f>
        <v>-18.624000000000006</v>
      </c>
      <c r="AO1619" s="129">
        <f ca="1">IF(AN1619&gt;-Fuselage!$D$366,(FUSELAGE_a_ellipse)*SQRT(1-((AN1619+Fuselage!$D$366)/(Fuselage!$K$364-FUSELAGE_t_fuselage))^2),IF(AN1619&gt;$L$2505+Fuselage!$K$370,FUSELAGE_a_ellipse,(FUSELAGE_a_ellipse+FUSELAGE_t_fuselage-FUSELAGE_d_fo/4)/Fuselage!$K$368*(AN1619-$L$2505-Fuselage!$K$370)+FUSELAGE_a_ellipse))</f>
        <v>1.4960570012328709</v>
      </c>
      <c r="AQ1619" s="128" t="s">
        <v>453</v>
      </c>
      <c r="AR1619" s="128">
        <f t="shared" ca="1" si="144"/>
        <v>-18.624000000000006</v>
      </c>
      <c r="AS1619" s="129">
        <f t="shared" ca="1" si="145"/>
        <v>-1.4960570012328709</v>
      </c>
      <c r="BD1619" s="157"/>
    </row>
    <row r="1620" spans="2:56">
      <c r="B1620" s="156"/>
      <c r="C1620" s="128" t="s">
        <v>394</v>
      </c>
      <c r="D1620" s="128">
        <f ca="1">IF(C1612&gt;=2,D1619,D1617)</f>
        <v>8888</v>
      </c>
      <c r="E1620" s="139">
        <f ca="1">IF(C1612&gt;=2,E1618-P1605,E1617)</f>
        <v>8888</v>
      </c>
      <c r="F1620" s="157"/>
      <c r="G1620" s="2" t="s">
        <v>394</v>
      </c>
      <c r="H1620" s="128">
        <f ca="1">IF(G1612&gt;=2,H1615,H1617)</f>
        <v>8888</v>
      </c>
      <c r="I1620" s="139">
        <f ca="1">IF(G1612&gt;=2,I1619-P1605,I1617)</f>
        <v>8888</v>
      </c>
      <c r="K1620" s="128" t="s">
        <v>394</v>
      </c>
      <c r="L1620" s="128">
        <f ca="1">L1619</f>
        <v>8888</v>
      </c>
      <c r="M1620" s="139">
        <f ca="1">IF(K1612&gt;=2,M1619-P1605,M1617)</f>
        <v>8888</v>
      </c>
      <c r="AA1620" s="143" t="s">
        <v>394</v>
      </c>
      <c r="AB1620" s="128">
        <f ca="1">IF($AA1612,D1620,AB1618)</f>
        <v>8888</v>
      </c>
      <c r="AC1620" s="129">
        <f ca="1">IF($AA1612,E1620,AC1618)</f>
        <v>8888</v>
      </c>
      <c r="AD1620" s="157"/>
      <c r="AE1620" s="2" t="s">
        <v>394</v>
      </c>
      <c r="AF1620" s="128">
        <f ca="1">IF($AE1612,H1620,AF1618)</f>
        <v>8888</v>
      </c>
      <c r="AG1620" s="129">
        <f ca="1">IF($AE1612,I1620,AG1618)</f>
        <v>8888</v>
      </c>
      <c r="AI1620" s="128" t="s">
        <v>394</v>
      </c>
      <c r="AJ1620" s="128">
        <f ca="1">IF($AI1612,L1620,AJ1618)</f>
        <v>8888</v>
      </c>
      <c r="AK1620" s="129">
        <f ca="1">IF($AI1612,M1620,AK1618)</f>
        <v>8888</v>
      </c>
      <c r="BD1620" s="157"/>
    </row>
    <row r="1621" spans="2:56">
      <c r="B1621" s="156"/>
      <c r="C1621" s="188" t="s">
        <v>454</v>
      </c>
      <c r="D1621" s="188">
        <f ca="1">IF(C1612&gt;=2,D1614,D1617)</f>
        <v>8888</v>
      </c>
      <c r="E1621" s="189">
        <f ca="1">E1620</f>
        <v>8888</v>
      </c>
      <c r="F1621" s="157"/>
      <c r="G1621" s="115" t="s">
        <v>454</v>
      </c>
      <c r="H1621" s="188">
        <f ca="1">IF(G1612&gt;=2,H1614,H1617)</f>
        <v>8888</v>
      </c>
      <c r="I1621" s="189">
        <f ca="1">IF(G1612&gt;=2,I1620,I1617)</f>
        <v>8888</v>
      </c>
      <c r="K1621" s="188" t="s">
        <v>454</v>
      </c>
      <c r="L1621" s="188">
        <f ca="1">IF(K1612&gt;=2,L1614,L1617)</f>
        <v>8888</v>
      </c>
      <c r="M1621" s="189">
        <f ca="1">IF(K1612&gt;=2,M1620,M1617)</f>
        <v>8888</v>
      </c>
      <c r="AA1621" s="195" t="s">
        <v>454</v>
      </c>
      <c r="AB1621" s="128">
        <f ca="1">IF($AA1612,D1621,AB1618)</f>
        <v>8888</v>
      </c>
      <c r="AC1621" s="129">
        <f ca="1">IF($AA1612,E1621,AC1618)</f>
        <v>8888</v>
      </c>
      <c r="AD1621" s="157"/>
      <c r="AE1621" s="115" t="s">
        <v>454</v>
      </c>
      <c r="AF1621" s="188">
        <f ca="1">IF($AE1612,H1621,AF1618)</f>
        <v>8888</v>
      </c>
      <c r="AG1621" s="196">
        <f ca="1">IF($AE1612,I1621,AG1618)</f>
        <v>8888</v>
      </c>
      <c r="AI1621" s="188" t="s">
        <v>454</v>
      </c>
      <c r="AJ1621" s="188">
        <f ca="1">IF($AI1612,L1621,AJ1618)</f>
        <v>8888</v>
      </c>
      <c r="AK1621" s="196">
        <f ca="1">IF($AI1612,M1621,AK1618)</f>
        <v>8888</v>
      </c>
      <c r="BD1621" s="157"/>
    </row>
    <row r="1622" spans="2:56">
      <c r="B1622" s="156"/>
      <c r="C1622" s="128" t="s">
        <v>507</v>
      </c>
      <c r="D1622" s="128">
        <f ca="1">IF(C1612&gt;=3,D1614,D1621)</f>
        <v>8888</v>
      </c>
      <c r="E1622" s="139">
        <f ca="1">IF(C1612&gt;=3,E1621-P1607,E1621)</f>
        <v>8888</v>
      </c>
      <c r="F1622" s="157"/>
      <c r="G1622" s="2" t="s">
        <v>507</v>
      </c>
      <c r="H1622" s="128">
        <f ca="1">IF(G1612&gt;=3,H1614,H1621)</f>
        <v>8888</v>
      </c>
      <c r="I1622" s="139">
        <f ca="1">IF(G1612&gt;=3,I1621-P1607,I1621)</f>
        <v>8888</v>
      </c>
      <c r="K1622" s="128" t="s">
        <v>507</v>
      </c>
      <c r="L1622" s="128">
        <f ca="1">IF(K1612&gt;=3,L1614,L1621)</f>
        <v>8888</v>
      </c>
      <c r="M1622" s="139">
        <f ca="1">IF(K1612&gt;=3,M1621-P1607,M1621)</f>
        <v>8888</v>
      </c>
      <c r="AA1622" s="143" t="s">
        <v>507</v>
      </c>
      <c r="AB1622" s="128">
        <f ca="1">IF($AA1612,D1622,AB1618)</f>
        <v>8888</v>
      </c>
      <c r="AC1622" s="129">
        <f ca="1">IF($AA1612,E1622,AC1618)</f>
        <v>8888</v>
      </c>
      <c r="AD1622" s="157"/>
      <c r="AE1622" s="2" t="s">
        <v>507</v>
      </c>
      <c r="AF1622" s="128">
        <f ca="1">IF($AE1612,H1622,AF1618)</f>
        <v>8888</v>
      </c>
      <c r="AG1622" s="129">
        <f ca="1">IF($AE1612,I1622,AG1618)</f>
        <v>8888</v>
      </c>
      <c r="AI1622" s="128" t="s">
        <v>507</v>
      </c>
      <c r="AJ1622" s="128">
        <f ca="1">IF($AI1612,L1622,AJ1618)</f>
        <v>8888</v>
      </c>
      <c r="AK1622" s="129">
        <f ca="1">IF($AI1612,M1622,AK1618)</f>
        <v>8888</v>
      </c>
      <c r="BD1622" s="157"/>
    </row>
    <row r="1623" spans="2:56">
      <c r="B1623" s="156"/>
      <c r="C1623" s="128" t="s">
        <v>455</v>
      </c>
      <c r="D1623" s="128">
        <f ca="1">IF(C1612&gt;=3,D1619,D1621)</f>
        <v>8888</v>
      </c>
      <c r="E1623" s="139">
        <f ca="1">E1622</f>
        <v>8888</v>
      </c>
      <c r="F1623" s="157"/>
      <c r="G1623" s="2" t="s">
        <v>455</v>
      </c>
      <c r="H1623" s="128">
        <f ca="1">IF(G1612&gt;=3,H1615,H1621)</f>
        <v>8888</v>
      </c>
      <c r="I1623" s="139">
        <f ca="1">IF(G1612&gt;=3,I1622,I1621)</f>
        <v>8888</v>
      </c>
      <c r="K1623" s="128" t="s">
        <v>455</v>
      </c>
      <c r="L1623" s="128">
        <f ca="1">IF(K1612&gt;=3,IF(X1607,IF(K1612=3,L1614+P1606/4,L1614+P1606),L1614+P1606),L1617)</f>
        <v>8888</v>
      </c>
      <c r="M1623" s="139">
        <f ca="1">IF(K1612&gt;=3,M1622,M1621)</f>
        <v>8888</v>
      </c>
      <c r="AA1623" s="143" t="s">
        <v>455</v>
      </c>
      <c r="AB1623" s="128">
        <f ca="1">IF($AA1612,D1623,AB1618)</f>
        <v>8888</v>
      </c>
      <c r="AC1623" s="129">
        <f ca="1">IF($AA1612,E1623,AC1618)</f>
        <v>8888</v>
      </c>
      <c r="AD1623" s="157"/>
      <c r="AE1623" s="2" t="s">
        <v>455</v>
      </c>
      <c r="AF1623" s="128">
        <f ca="1">IF($AE1612,H1623,AF1618)</f>
        <v>8888</v>
      </c>
      <c r="AG1623" s="129">
        <f ca="1">IF($AE1612,I1623,AG1618)</f>
        <v>8888</v>
      </c>
      <c r="AI1623" s="128" t="s">
        <v>455</v>
      </c>
      <c r="AJ1623" s="128">
        <f ca="1">IF($AI1612,L1623,AJ1618)</f>
        <v>8888</v>
      </c>
      <c r="AK1623" s="129">
        <f ca="1">IF($AI1612,M1623,AK1618)</f>
        <v>8888</v>
      </c>
      <c r="AL1623" s="156"/>
      <c r="BD1623" s="157"/>
    </row>
    <row r="1624" spans="2:56">
      <c r="B1624" s="156"/>
      <c r="C1624" s="128" t="s">
        <v>311</v>
      </c>
      <c r="D1624" s="128">
        <f ca="1">IF(C1612&gt;=3,D1619,D1621)</f>
        <v>8888</v>
      </c>
      <c r="E1624" s="139">
        <f ca="1">IF(C1612&gt;=3,E1623-P1605,E1621)</f>
        <v>8888</v>
      </c>
      <c r="F1624" s="157"/>
      <c r="G1624" s="2" t="s">
        <v>311</v>
      </c>
      <c r="H1624" s="128">
        <f ca="1">IF(G1612&gt;=3,H1615,H1621)</f>
        <v>8888</v>
      </c>
      <c r="I1624" s="139">
        <f ca="1">IF(G1612&gt;=3,I1623-P1605,I1621)</f>
        <v>8888</v>
      </c>
      <c r="K1624" s="128" t="s">
        <v>311</v>
      </c>
      <c r="L1624" s="128">
        <f ca="1">L1623</f>
        <v>8888</v>
      </c>
      <c r="M1624" s="139">
        <f ca="1">IF(K1612&gt;=3,M1623-P1605,M1621)</f>
        <v>8888</v>
      </c>
      <c r="AA1624" s="143" t="s">
        <v>311</v>
      </c>
      <c r="AB1624" s="128">
        <f ca="1">IF($AA1612,D1624,AB1618)</f>
        <v>8888</v>
      </c>
      <c r="AC1624" s="129">
        <f ca="1">IF($AA1612,E1624,AC1618)</f>
        <v>8888</v>
      </c>
      <c r="AD1624" s="157"/>
      <c r="AE1624" s="2" t="s">
        <v>311</v>
      </c>
      <c r="AF1624" s="128">
        <f ca="1">IF($AE1612,H1624,AF1618)</f>
        <v>8888</v>
      </c>
      <c r="AG1624" s="129">
        <f ca="1">IF($AE1612,I1624,AG1618)</f>
        <v>8888</v>
      </c>
      <c r="AI1624" s="128" t="s">
        <v>311</v>
      </c>
      <c r="AJ1624" s="128">
        <f ca="1">IF($AI1612,L1624,AJ1618)</f>
        <v>8888</v>
      </c>
      <c r="AK1624" s="129">
        <f ca="1">IF($AI1612,M1624,AK1618)</f>
        <v>8888</v>
      </c>
      <c r="AL1624" s="156"/>
      <c r="BD1624" s="157"/>
    </row>
    <row r="1625" spans="2:56">
      <c r="B1625" s="156"/>
      <c r="C1625" s="188" t="s">
        <v>35</v>
      </c>
      <c r="D1625" s="188">
        <f ca="1">IF(C1612&gt;=3,D1614,D1621)</f>
        <v>8888</v>
      </c>
      <c r="E1625" s="189">
        <f ca="1">E1624</f>
        <v>8888</v>
      </c>
      <c r="F1625" s="157"/>
      <c r="G1625" s="2" t="s">
        <v>35</v>
      </c>
      <c r="H1625" s="188">
        <f ca="1">IF(G1612&gt;=3,H1614,H1621)</f>
        <v>8888</v>
      </c>
      <c r="I1625" s="189">
        <f ca="1">IF(G1612&gt;=3,I1624,I1621)</f>
        <v>8888</v>
      </c>
      <c r="K1625" s="188" t="s">
        <v>35</v>
      </c>
      <c r="L1625" s="188">
        <f ca="1">IF(K1612&gt;=3,L1614,L1621)</f>
        <v>8888</v>
      </c>
      <c r="M1625" s="189">
        <f ca="1">IF(K1612&gt;=3,M1624,M1621)</f>
        <v>8888</v>
      </c>
      <c r="AA1625" s="143" t="s">
        <v>35</v>
      </c>
      <c r="AB1625" s="128">
        <f ca="1">IF($AA1612,D1625,AB1618)</f>
        <v>8888</v>
      </c>
      <c r="AC1625" s="129">
        <f ca="1">IF($AA1612,E1625,AC1618)</f>
        <v>8888</v>
      </c>
      <c r="AD1625" s="157"/>
      <c r="AE1625" s="2" t="s">
        <v>35</v>
      </c>
      <c r="AF1625" s="188">
        <f ca="1">IF($AE1612,H1625,AF1618)</f>
        <v>8888</v>
      </c>
      <c r="AG1625" s="196">
        <f ca="1">IF($AE1612,I1625,AG1618)</f>
        <v>8888</v>
      </c>
      <c r="AI1625" s="128" t="s">
        <v>35</v>
      </c>
      <c r="AJ1625" s="128">
        <f ca="1">IF($AI1612,L1625,AJ1618)</f>
        <v>8888</v>
      </c>
      <c r="AK1625" s="129">
        <f ca="1">IF($AI1612,M1625,AK1618)</f>
        <v>8888</v>
      </c>
      <c r="AL1625" s="156"/>
      <c r="BD1625" s="157"/>
    </row>
    <row r="1626" spans="2:56" ht="15" thickBot="1">
      <c r="B1626" s="156"/>
      <c r="C1626" s="130" t="s">
        <v>396</v>
      </c>
      <c r="D1626" s="130">
        <f ca="1">D1614</f>
        <v>8888</v>
      </c>
      <c r="E1626" s="140">
        <f ca="1">E1614</f>
        <v>8888</v>
      </c>
      <c r="F1626" s="157"/>
      <c r="G1626" s="192" t="s">
        <v>312</v>
      </c>
      <c r="H1626" s="128">
        <f ca="1">IF(G1612&gt;=4,H1614,H1625)</f>
        <v>8888</v>
      </c>
      <c r="I1626" s="139">
        <f ca="1">IF(G1612&gt;=4,I1625-P1607,I1625)</f>
        <v>8888</v>
      </c>
      <c r="K1626" s="130" t="s">
        <v>396</v>
      </c>
      <c r="L1626" s="130">
        <f ca="1">L1614</f>
        <v>8888</v>
      </c>
      <c r="M1626" s="140">
        <f ca="1">M1614</f>
        <v>8888</v>
      </c>
      <c r="AA1626" s="144" t="s">
        <v>396</v>
      </c>
      <c r="AB1626" s="130">
        <f ca="1">IF($AA1612,D1626,AB1618)</f>
        <v>8888</v>
      </c>
      <c r="AC1626" s="132">
        <f ca="1">IF($AA1612,E1626,AC1618)</f>
        <v>8888</v>
      </c>
      <c r="AD1626" s="157"/>
      <c r="AE1626" s="192" t="s">
        <v>312</v>
      </c>
      <c r="AF1626" s="128">
        <f ca="1">IF($AE1612,H1626,AF1618)</f>
        <v>8888</v>
      </c>
      <c r="AG1626" s="129">
        <f ca="1">IF($AE1612,I1626,AG1618)</f>
        <v>8888</v>
      </c>
      <c r="AI1626" s="130" t="s">
        <v>396</v>
      </c>
      <c r="AJ1626" s="130">
        <f ca="1">IF($AI1612,L1626,AJ1618)</f>
        <v>8888</v>
      </c>
      <c r="AK1626" s="132">
        <f ca="1">IF($AI1612,M1626,AK1618)</f>
        <v>8888</v>
      </c>
      <c r="BD1626" s="157"/>
    </row>
    <row r="1627" spans="2:56">
      <c r="B1627" s="156"/>
      <c r="F1627" s="157"/>
      <c r="G1627" s="2" t="s">
        <v>313</v>
      </c>
      <c r="H1627" s="128">
        <f ca="1">IF(G1612&gt;=4,H1615,H1625)</f>
        <v>8888</v>
      </c>
      <c r="I1627" s="139">
        <f ca="1">IF(G1612&gt;=4,I1626,I1625)</f>
        <v>8888</v>
      </c>
      <c r="AD1627" s="157"/>
      <c r="AE1627" s="2" t="s">
        <v>313</v>
      </c>
      <c r="AF1627" s="128">
        <f ca="1">IF($AE1612,H1627,AF1618)</f>
        <v>8888</v>
      </c>
      <c r="AG1627" s="129">
        <f ca="1">IF($AE1612,I1627,AG1618)</f>
        <v>8888</v>
      </c>
      <c r="BD1627" s="157"/>
    </row>
    <row r="1628" spans="2:56">
      <c r="B1628" s="156"/>
      <c r="F1628" s="157"/>
      <c r="G1628" s="2" t="s">
        <v>7</v>
      </c>
      <c r="H1628" s="128">
        <f ca="1">IF(G1612&gt;=4,H1615,H1625)</f>
        <v>8888</v>
      </c>
      <c r="I1628" s="139">
        <f ca="1">IF(G1612&gt;=4,I1627-P1605,I1625)</f>
        <v>8888</v>
      </c>
      <c r="AD1628" s="157"/>
      <c r="AE1628" s="2" t="s">
        <v>7</v>
      </c>
      <c r="AF1628" s="128">
        <f ca="1">IF($AE1612,H1628,AF1618)</f>
        <v>8888</v>
      </c>
      <c r="AG1628" s="129">
        <f ca="1">IF($AE1612,I1628,AG1618)</f>
        <v>8888</v>
      </c>
      <c r="BD1628" s="157"/>
    </row>
    <row r="1629" spans="2:56">
      <c r="B1629" s="156"/>
      <c r="F1629" s="157"/>
      <c r="G1629" s="115" t="s">
        <v>8</v>
      </c>
      <c r="H1629" s="188">
        <f ca="1">IF(G1612&gt;=4,H1614,H1625)</f>
        <v>8888</v>
      </c>
      <c r="I1629" s="189">
        <f ca="1">IF(G1612&gt;=4,I1628,I1625)</f>
        <v>8888</v>
      </c>
      <c r="AD1629" s="157"/>
      <c r="AE1629" s="115" t="s">
        <v>8</v>
      </c>
      <c r="AF1629" s="188">
        <f ca="1">IF($AE1612,H1629,AF1618)</f>
        <v>8888</v>
      </c>
      <c r="AG1629" s="196">
        <f ca="1">IF($AE1612,I1629,AG1618)</f>
        <v>8888</v>
      </c>
      <c r="BD1629" s="157"/>
    </row>
    <row r="1630" spans="2:56">
      <c r="B1630" s="156"/>
      <c r="F1630" s="157"/>
      <c r="G1630" s="2" t="s">
        <v>9</v>
      </c>
      <c r="H1630" s="128">
        <f ca="1">IF(G1612&gt;=5,H1614,H1629)</f>
        <v>8888</v>
      </c>
      <c r="I1630" s="139">
        <f ca="1">IF(G1612&gt;=5,I1629-P1607,I1629)</f>
        <v>8888</v>
      </c>
      <c r="AD1630" s="157"/>
      <c r="AE1630" s="2" t="s">
        <v>9</v>
      </c>
      <c r="AF1630" s="128">
        <f ca="1">IF($AE1612,H1630,AF1618)</f>
        <v>8888</v>
      </c>
      <c r="AG1630" s="129">
        <f ca="1">IF($AE1612,I1630,AG1618)</f>
        <v>8888</v>
      </c>
      <c r="BD1630" s="157"/>
    </row>
    <row r="1631" spans="2:56">
      <c r="B1631" s="156"/>
      <c r="F1631" s="157"/>
      <c r="G1631" s="2" t="s">
        <v>196</v>
      </c>
      <c r="H1631" s="128">
        <f ca="1">IF(G1612&gt;=5,H1615,H1629)</f>
        <v>8888</v>
      </c>
      <c r="I1631" s="139">
        <f ca="1">IF(G1612&gt;=5,I1630,I1629)</f>
        <v>8888</v>
      </c>
      <c r="AD1631" s="157"/>
      <c r="AE1631" s="2" t="s">
        <v>196</v>
      </c>
      <c r="AF1631" s="128">
        <f ca="1">IF($AE1612,H1631,AF1618)</f>
        <v>8888</v>
      </c>
      <c r="AG1631" s="129">
        <f ca="1">IF($AE1612,I1631,AG1618)</f>
        <v>8888</v>
      </c>
      <c r="BD1631" s="157"/>
    </row>
    <row r="1632" spans="2:56">
      <c r="B1632" s="156"/>
      <c r="F1632" s="157"/>
      <c r="G1632" s="2" t="s">
        <v>10</v>
      </c>
      <c r="H1632" s="128">
        <f ca="1">IF(G1612&gt;=5,H1615,H1629)</f>
        <v>8888</v>
      </c>
      <c r="I1632" s="139">
        <f ca="1">IF(G1612&gt;=5,I1631-P1605,I1629)</f>
        <v>8888</v>
      </c>
      <c r="AD1632" s="157"/>
      <c r="AE1632" s="2" t="s">
        <v>10</v>
      </c>
      <c r="AF1632" s="128">
        <f ca="1">IF($AE1612,H1632,AF1618)</f>
        <v>8888</v>
      </c>
      <c r="AG1632" s="129">
        <f ca="1">IF($AE1612,I1632,AG1618)</f>
        <v>8888</v>
      </c>
      <c r="BD1632" s="157"/>
    </row>
    <row r="1633" spans="2:56">
      <c r="B1633" s="156"/>
      <c r="F1633" s="157"/>
      <c r="G1633" s="2" t="s">
        <v>161</v>
      </c>
      <c r="H1633" s="188">
        <f ca="1">IF(G1612&gt;=5,H1614,H1629)</f>
        <v>8888</v>
      </c>
      <c r="I1633" s="189">
        <f ca="1">IF(G1612&gt;=5,I1632,I1629)</f>
        <v>8888</v>
      </c>
      <c r="AD1633" s="157"/>
      <c r="AE1633" s="2" t="s">
        <v>161</v>
      </c>
      <c r="AF1633" s="188">
        <f ca="1">IF($AE1612,H1633,AF1618)</f>
        <v>8888</v>
      </c>
      <c r="AG1633" s="196">
        <f ca="1">IF($AE1612,I1633,AG1618)</f>
        <v>8888</v>
      </c>
      <c r="BD1633" s="157"/>
    </row>
    <row r="1634" spans="2:56">
      <c r="B1634" s="156"/>
      <c r="F1634" s="157"/>
      <c r="G1634" s="192" t="s">
        <v>11</v>
      </c>
      <c r="H1634" s="128">
        <f ca="1">IF(G1612&gt;=6,H1614,H1633)</f>
        <v>8888</v>
      </c>
      <c r="I1634" s="139">
        <f ca="1">IF(G1612&gt;=6,I1633-P1607,I1633)</f>
        <v>8888</v>
      </c>
      <c r="AD1634" s="157"/>
      <c r="AE1634" s="192" t="s">
        <v>11</v>
      </c>
      <c r="AF1634" s="128">
        <f ca="1">IF($AE1612,H1634,AF1618)</f>
        <v>8888</v>
      </c>
      <c r="AG1634" s="129">
        <f ca="1">IF($AE1612,I1634,AG1618)</f>
        <v>8888</v>
      </c>
      <c r="BD1634" s="157"/>
    </row>
    <row r="1635" spans="2:56">
      <c r="B1635" s="156"/>
      <c r="F1635" s="157"/>
      <c r="G1635" s="2" t="s">
        <v>12</v>
      </c>
      <c r="H1635" s="128">
        <f ca="1">IF(G1612&gt;=6,H1615,H1633)</f>
        <v>8888</v>
      </c>
      <c r="I1635" s="139">
        <f ca="1">IF(G1612&gt;=6,I1634,I1633)</f>
        <v>8888</v>
      </c>
      <c r="AD1635" s="157"/>
      <c r="AE1635" s="2" t="s">
        <v>12</v>
      </c>
      <c r="AF1635" s="128">
        <f ca="1">IF($AE1612,H1635,AF1618)</f>
        <v>8888</v>
      </c>
      <c r="AG1635" s="129">
        <f ca="1">IF($AE1612,I1635,AG1618)</f>
        <v>8888</v>
      </c>
      <c r="BD1635" s="157"/>
    </row>
    <row r="1636" spans="2:56">
      <c r="B1636" s="156"/>
      <c r="F1636" s="157"/>
      <c r="G1636" s="2" t="s">
        <v>13</v>
      </c>
      <c r="H1636" s="128">
        <f ca="1">IF(G1612&gt;=6,H1615,H1633)</f>
        <v>8888</v>
      </c>
      <c r="I1636" s="139">
        <f ca="1">IF(G1612&gt;=6,I1635-P1605,I1633)</f>
        <v>8888</v>
      </c>
      <c r="AD1636" s="157"/>
      <c r="AE1636" s="2" t="s">
        <v>13</v>
      </c>
      <c r="AF1636" s="128">
        <f ca="1">IF($AE1612,H1636,AF1618)</f>
        <v>8888</v>
      </c>
      <c r="AG1636" s="129">
        <f ca="1">IF($AE1612,I1636,AG1618)</f>
        <v>8888</v>
      </c>
      <c r="BD1636" s="157"/>
    </row>
    <row r="1637" spans="2:56">
      <c r="B1637" s="156"/>
      <c r="F1637" s="157"/>
      <c r="G1637" s="115" t="s">
        <v>14</v>
      </c>
      <c r="H1637" s="188">
        <f ca="1">IF(G1612&gt;=6,H1614,H1633)</f>
        <v>8888</v>
      </c>
      <c r="I1637" s="189">
        <f ca="1">IF(G1612&gt;=6,I1636,I1633)</f>
        <v>8888</v>
      </c>
      <c r="AD1637" s="157"/>
      <c r="AE1637" s="115" t="s">
        <v>14</v>
      </c>
      <c r="AF1637" s="188">
        <f ca="1">IF($AE1612,H1637,AF1618)</f>
        <v>8888</v>
      </c>
      <c r="AG1637" s="196">
        <f ca="1">IF($AE1612,I1637,AG1618)</f>
        <v>8888</v>
      </c>
      <c r="BD1637" s="157"/>
    </row>
    <row r="1638" spans="2:56" ht="15" thickBot="1">
      <c r="B1638" s="156"/>
      <c r="G1638" s="130" t="s">
        <v>396</v>
      </c>
      <c r="H1638" s="130">
        <f ca="1">H1614</f>
        <v>8888</v>
      </c>
      <c r="I1638" s="140">
        <f ca="1">I1614</f>
        <v>8888</v>
      </c>
      <c r="AE1638" s="130" t="s">
        <v>396</v>
      </c>
      <c r="AF1638" s="130">
        <f ca="1">IF($AE1612,H1638,AF1618)</f>
        <v>8888</v>
      </c>
      <c r="AG1638" s="132">
        <f ca="1">IF($AE1612,I1638,AG1618)</f>
        <v>8888</v>
      </c>
      <c r="BD1638" s="157"/>
    </row>
    <row r="1639" spans="2:56">
      <c r="B1639" s="156"/>
      <c r="BD1639" s="157"/>
    </row>
    <row r="1640" spans="2:56">
      <c r="B1640" s="156"/>
      <c r="BD1640" s="157"/>
    </row>
    <row r="1641" spans="2:56">
      <c r="B1641" s="156"/>
      <c r="C1641" s="200" t="s">
        <v>336</v>
      </c>
      <c r="D1641">
        <f>D1605+1</f>
        <v>41</v>
      </c>
      <c r="G1641" s="200" t="s">
        <v>638</v>
      </c>
      <c r="H1641">
        <f ca="1">LOOKUP(D1644,$C$191:$C$196,$D$191:$D$196)</f>
        <v>0</v>
      </c>
      <c r="K1641" s="200" t="s">
        <v>644</v>
      </c>
      <c r="L1641">
        <f ca="1">L1605-H1646</f>
        <v>-18.624000000000006</v>
      </c>
      <c r="O1641" s="200" t="s">
        <v>404</v>
      </c>
      <c r="P1641">
        <f ca="1">IF(D1643=1,SEAT_w_cushion_FC,IF(D1643=2,SEAT_w_cushion_BC,IF(D1643=3,SEAT_w_cushion_YC,0)))</f>
        <v>0</v>
      </c>
      <c r="S1641" s="200" t="s">
        <v>647</v>
      </c>
      <c r="T1641">
        <f ca="1">LOOKUP(D1644,$C$191:$C$196,$E$191:$E$196)</f>
        <v>0</v>
      </c>
      <c r="W1641" t="s">
        <v>130</v>
      </c>
      <c r="X1641" t="str">
        <f ca="1">OFFSET(Fuselage!$B$275,D1641,5)</f>
        <v>None</v>
      </c>
      <c r="AN1641" s="200" t="s">
        <v>135</v>
      </c>
      <c r="AO1641">
        <f ca="1">MAX(0,H1646-MAX(T1641,T1643,T1645,P1642)-X1642)</f>
        <v>0</v>
      </c>
      <c r="BD1641" s="157"/>
    </row>
    <row r="1642" spans="2:56">
      <c r="B1642" s="156"/>
      <c r="C1642" s="200" t="s">
        <v>200</v>
      </c>
      <c r="D1642" t="str">
        <f ca="1">OFFSET(Fuselage!$B$275,D1641,0)</f>
        <v/>
      </c>
      <c r="G1642" s="200" t="s">
        <v>639</v>
      </c>
      <c r="H1642">
        <f ca="1">LOOKUP(D1645,$C$191:$C$196,$D$191:$D$196)</f>
        <v>0</v>
      </c>
      <c r="O1642" s="200" t="s">
        <v>535</v>
      </c>
      <c r="P1642">
        <f ca="1">IF(D1643=1,SEAT_length_FC,IF(D1643=2,SEAT_length_BC,IF(D1643=3,SEAT_length_YC,0)))</f>
        <v>0</v>
      </c>
      <c r="S1642" s="200" t="s">
        <v>648</v>
      </c>
      <c r="T1642">
        <f ca="1">LOOKUP(D1644,$C$191:$C$196,$F$191:$F$196)</f>
        <v>0</v>
      </c>
      <c r="W1642" t="s">
        <v>131</v>
      </c>
      <c r="X1642">
        <f ca="1">LOOKUP(X1641,$I$191:$I$198,$J$191:$J$198)</f>
        <v>0</v>
      </c>
      <c r="BD1642" s="157"/>
    </row>
    <row r="1643" spans="2:56">
      <c r="B1643" s="156"/>
      <c r="C1643" s="200" t="s">
        <v>337</v>
      </c>
      <c r="D1643" t="str">
        <f ca="1">OFFSET(Fuselage!$B$275,D1641,4)</f>
        <v/>
      </c>
      <c r="G1643" s="200" t="s">
        <v>309</v>
      </c>
      <c r="H1643">
        <f ca="1">LOOKUP(D1646,$C$191:$C$196,$D$191:$D$196)</f>
        <v>0</v>
      </c>
      <c r="K1643" s="200" t="s">
        <v>645</v>
      </c>
      <c r="L1643">
        <f ca="1">IF(D1643=1,FUSELAGE_nseats_left_FC,IF(D1643=2,FUSELAGE_nseats_left_BC,IF(D1643=3,FUSELAGE_nseats_left_YC,0)))</f>
        <v>0</v>
      </c>
      <c r="O1643" s="200" t="s">
        <v>405</v>
      </c>
      <c r="P1643">
        <f ca="1">IF(D1643=1,SEAT_w_armrest_FC,IF(D1643=2,SEAT_w_armrest_BC,IF(D1643=3,SEAT_w_armrest_YC,0)))</f>
        <v>0</v>
      </c>
      <c r="S1643" s="200" t="s">
        <v>652</v>
      </c>
      <c r="T1643">
        <f ca="1">LOOKUP(D1645,$C$191:$C$196,$E$191:$E$196)</f>
        <v>0</v>
      </c>
      <c r="W1643" s="200" t="s">
        <v>393</v>
      </c>
      <c r="X1643" t="b">
        <f ca="1">IF(OFFSET(Fuselage!$B$275,D1641,6)="YES",TRUE(),FALSE())</f>
        <v>0</v>
      </c>
      <c r="BD1643" s="157"/>
    </row>
    <row r="1644" spans="2:56">
      <c r="B1644" s="156"/>
      <c r="C1644" s="200" t="s">
        <v>640</v>
      </c>
      <c r="D1644" t="str">
        <f ca="1">OFFSET(Fuselage!$B$275,D1641,1)</f>
        <v>None</v>
      </c>
      <c r="G1644" s="200" t="s">
        <v>132</v>
      </c>
      <c r="H1644">
        <f ca="1">IF(D1643=1,SEAT_pitch_FC,IF(D1643=2,SEAT_pitch_BC,IF(D1643=3,SEAT_pitch_YC,0)))</f>
        <v>0</v>
      </c>
      <c r="K1644" s="200" t="s">
        <v>646</v>
      </c>
      <c r="L1644">
        <f ca="1">IF(D1643=1,FUSELAGE_nseats_middle_FC,IF(D1643=2,FUSELAGE_nseats_middle_BC,IF(D1643=3,FUSELAGE_nseats_middle_YC,0)))</f>
        <v>0</v>
      </c>
      <c r="S1644" s="200" t="s">
        <v>653</v>
      </c>
      <c r="T1644">
        <f ca="1">LOOKUP(D1645,$C$191:$C$196,$F$191:$F$196)</f>
        <v>0</v>
      </c>
      <c r="BD1644" s="157"/>
    </row>
    <row r="1645" spans="2:56">
      <c r="B1645" s="156"/>
      <c r="C1645" s="200" t="s">
        <v>642</v>
      </c>
      <c r="D1645" t="str">
        <f ca="1">OFFSET(Fuselage!$B$275,D1641,2)</f>
        <v>None</v>
      </c>
      <c r="G1645" s="200" t="s">
        <v>129</v>
      </c>
      <c r="H1645">
        <f ca="1">IF(OR(X1641="Type A",X1641="Type B"),MAX(H1641:H1644)+42*0.0254,IF(X1641="Type C",MAX(H1641:H1644)+X1642,IF(X1641&lt;&gt;"None",24*0.0254,0)))</f>
        <v>0</v>
      </c>
      <c r="K1645" s="200" t="s">
        <v>655</v>
      </c>
      <c r="L1645">
        <f ca="1">IF(D1643=1,FUSELAGE_nseats_right_FC,IF(D1643=2,FUSELAGE_nseats_right_BC,IF(D1643=3,FUSELAGE_nseats_right_YC,0)))</f>
        <v>0</v>
      </c>
      <c r="O1645" s="200" t="s">
        <v>407</v>
      </c>
      <c r="P1645">
        <f ca="1">($C$13-(L1643+L1644+L1645)*(P1641+P1643)+(FUSELAGE_n_aisles-1)*P1643)/FUSELAGE_n_aisles</f>
        <v>2.76</v>
      </c>
      <c r="S1645" s="200" t="s">
        <v>651</v>
      </c>
      <c r="T1645">
        <f ca="1">LOOKUP(D1646,$C$191:$C$196,$E$191:$E$196)</f>
        <v>0</v>
      </c>
      <c r="BD1645" s="157"/>
    </row>
    <row r="1646" spans="2:56">
      <c r="B1646" s="156"/>
      <c r="C1646" s="200" t="s">
        <v>641</v>
      </c>
      <c r="D1646" t="str">
        <f ca="1">OFFSET(Fuselage!$B$275,D1641,3)</f>
        <v>None</v>
      </c>
      <c r="G1646" s="200" t="s">
        <v>643</v>
      </c>
      <c r="H1646">
        <f ca="1">MAX(H1641:H1645)</f>
        <v>0</v>
      </c>
      <c r="S1646" s="200" t="s">
        <v>654</v>
      </c>
      <c r="T1646">
        <f ca="1">LOOKUP(D1646,$C$191:$C$196,$F$191:$F$196)</f>
        <v>0</v>
      </c>
      <c r="BD1646" s="157"/>
    </row>
    <row r="1647" spans="2:56" ht="15" thickBot="1">
      <c r="B1647" s="156"/>
      <c r="BD1647" s="157"/>
    </row>
    <row r="1648" spans="2:56" ht="15" thickBot="1">
      <c r="B1648" s="156"/>
      <c r="C1648" s="141">
        <f ca="1">L1645</f>
        <v>0</v>
      </c>
      <c r="D1648" s="197" t="str">
        <f ca="1">IF($D1643=1,"FC",IF($D1643=2,"BC",IF($D1643=3,"YC","Nothing")))</f>
        <v>Nothing</v>
      </c>
      <c r="E1648" s="198"/>
      <c r="G1648" s="141">
        <f ca="1">L1644</f>
        <v>0</v>
      </c>
      <c r="H1648" s="197" t="str">
        <f ca="1">IF($D1643=1,"FC",IF($D1643=2,"BC",IF($D1643=3,"YC","Nothing")))</f>
        <v>Nothing</v>
      </c>
      <c r="I1648" s="198"/>
      <c r="K1648" s="141">
        <f ca="1" xml:space="preserve"> L1643</f>
        <v>0</v>
      </c>
      <c r="L1648" s="197" t="str">
        <f ca="1">IF($D1643=1,"FC",IF($D1643=2,"BC",IF($D1643=3,"YC","Nothing")))</f>
        <v>Nothing</v>
      </c>
      <c r="M1648" s="198"/>
      <c r="O1648" s="141">
        <f ca="1">IF($D1646&lt;&gt;"None",1,0)</f>
        <v>0</v>
      </c>
      <c r="P1648" s="326" t="s">
        <v>380</v>
      </c>
      <c r="Q1648" s="327"/>
      <c r="S1648" s="141">
        <f ca="1">IF($D1645&lt;&gt;"None",1,0)</f>
        <v>0</v>
      </c>
      <c r="T1648" s="326" t="s">
        <v>381</v>
      </c>
      <c r="U1648" s="327"/>
      <c r="W1648" s="141">
        <f ca="1">IF($D1644&lt;&gt;"None",1,0)</f>
        <v>0</v>
      </c>
      <c r="X1648" s="326" t="s">
        <v>382</v>
      </c>
      <c r="Y1648" s="327"/>
      <c r="AA1648" s="141">
        <f ca="1">IF($D1646="None",1,0)</f>
        <v>1</v>
      </c>
      <c r="AB1648" s="326" t="str">
        <f ca="1">IF(AA1648,D1648,$D1646)</f>
        <v>Nothing</v>
      </c>
      <c r="AC1648" s="327"/>
      <c r="AE1648" s="141">
        <f ca="1">IF($D1645="None",1,0)</f>
        <v>1</v>
      </c>
      <c r="AF1648" s="326" t="str">
        <f ca="1">IF(AE1648,H1648,$D1645)</f>
        <v>Nothing</v>
      </c>
      <c r="AG1648" s="327"/>
      <c r="AI1648" s="141">
        <f ca="1">IF($D1644="None",1,0)</f>
        <v>1</v>
      </c>
      <c r="AJ1648" s="326" t="str">
        <f ca="1">IF(AI1648,L1648,$D1644)</f>
        <v>Nothing</v>
      </c>
      <c r="AK1648" s="327"/>
      <c r="AM1648" s="141">
        <f ca="1">IF($X1641="None",0,1)</f>
        <v>0</v>
      </c>
      <c r="AN1648" s="197" t="s">
        <v>133</v>
      </c>
      <c r="AO1648" s="198"/>
      <c r="AQ1648" s="141">
        <f ca="1">IF($X1641="None",0,1)</f>
        <v>0</v>
      </c>
      <c r="AR1648" s="197" t="s">
        <v>134</v>
      </c>
      <c r="AS1648" s="198"/>
      <c r="BD1648" s="157"/>
    </row>
    <row r="1649" spans="2:56" ht="15" thickBot="1">
      <c r="B1649" s="156"/>
      <c r="C1649" s="136" t="s">
        <v>452</v>
      </c>
      <c r="D1649" s="136" t="s">
        <v>384</v>
      </c>
      <c r="E1649" s="138" t="s">
        <v>385</v>
      </c>
      <c r="G1649" s="136" t="s">
        <v>452</v>
      </c>
      <c r="H1649" s="136" t="s">
        <v>384</v>
      </c>
      <c r="I1649" s="138" t="s">
        <v>385</v>
      </c>
      <c r="K1649" s="193" t="s">
        <v>452</v>
      </c>
      <c r="L1649" s="193" t="s">
        <v>384</v>
      </c>
      <c r="M1649" s="194" t="s">
        <v>385</v>
      </c>
      <c r="O1649" s="136" t="s">
        <v>452</v>
      </c>
      <c r="P1649" s="136" t="s">
        <v>384</v>
      </c>
      <c r="Q1649" s="138" t="s">
        <v>385</v>
      </c>
      <c r="S1649" s="136" t="s">
        <v>452</v>
      </c>
      <c r="T1649" s="136" t="s">
        <v>384</v>
      </c>
      <c r="U1649" s="138" t="s">
        <v>385</v>
      </c>
      <c r="W1649" s="136" t="s">
        <v>452</v>
      </c>
      <c r="X1649" s="136" t="s">
        <v>384</v>
      </c>
      <c r="Y1649" s="138" t="s">
        <v>385</v>
      </c>
      <c r="AA1649" s="136" t="s">
        <v>452</v>
      </c>
      <c r="AB1649" s="136" t="s">
        <v>384</v>
      </c>
      <c r="AC1649" s="138" t="s">
        <v>385</v>
      </c>
      <c r="AE1649" s="136" t="s">
        <v>452</v>
      </c>
      <c r="AF1649" s="136" t="s">
        <v>384</v>
      </c>
      <c r="AG1649" s="138" t="s">
        <v>385</v>
      </c>
      <c r="AI1649" s="193" t="s">
        <v>452</v>
      </c>
      <c r="AJ1649" s="193" t="s">
        <v>384</v>
      </c>
      <c r="AK1649" s="194" t="s">
        <v>385</v>
      </c>
      <c r="AM1649" s="193" t="s">
        <v>452</v>
      </c>
      <c r="AN1649" s="193" t="s">
        <v>384</v>
      </c>
      <c r="AO1649" s="194" t="s">
        <v>385</v>
      </c>
      <c r="AQ1649" s="193" t="s">
        <v>452</v>
      </c>
      <c r="AR1649" s="193" t="s">
        <v>384</v>
      </c>
      <c r="AS1649" s="194" t="s">
        <v>385</v>
      </c>
      <c r="BD1649" s="157"/>
    </row>
    <row r="1650" spans="2:56">
      <c r="B1650" s="156"/>
      <c r="C1650" s="128" t="s">
        <v>396</v>
      </c>
      <c r="D1650" s="158">
        <f ca="1">IF(C1648&gt;=1,L1641,8888)</f>
        <v>8888</v>
      </c>
      <c r="E1650" s="160">
        <f ca="1">IF(C1648&gt;=1,1/2*($C$13-P1641-2*P1643)+1/2*P1641,8888)</f>
        <v>8888</v>
      </c>
      <c r="G1650" s="128" t="s">
        <v>396</v>
      </c>
      <c r="H1650" s="158">
        <f ca="1">IF(G1648&gt;=1,L1641,8888)</f>
        <v>8888</v>
      </c>
      <c r="I1650" s="160">
        <f ca="1">IF(G1648&gt;=1,E1661-P1645,8888)</f>
        <v>8888</v>
      </c>
      <c r="K1650" s="128" t="s">
        <v>396</v>
      </c>
      <c r="L1650" s="158">
        <f ca="1">IF(K1648&gt;=1,L1641,8888)</f>
        <v>8888</v>
      </c>
      <c r="M1650" s="160">
        <f ca="1">IF(K1648&gt;=1,IF(FUSELAGE_n_aisles=1,E1661-P1645,I1673-P1645),8888)</f>
        <v>8888</v>
      </c>
      <c r="O1650" s="128" t="s">
        <v>396</v>
      </c>
      <c r="P1650" s="158">
        <f ca="1">IF(O1648,$L1641,8888)</f>
        <v>8888</v>
      </c>
      <c r="Q1650" s="209">
        <f ca="1">IF(O1648,FUSELAGE_y_position_of_left_seat_YC-(FUSELAGE_nseats_right_YC-1)*(SEAT_w_cushion_YC+SEAT_w_armrest_YC)/2+T1646/2,8888)</f>
        <v>8888</v>
      </c>
      <c r="S1650" s="128" t="s">
        <v>396</v>
      </c>
      <c r="T1650" s="158">
        <f ca="1">IF(S1648,$L1641,8888)</f>
        <v>8888</v>
      </c>
      <c r="U1650" s="160">
        <f ca="1">IF(S1648,T1644/2,8888)</f>
        <v>8888</v>
      </c>
      <c r="W1650" s="128" t="s">
        <v>396</v>
      </c>
      <c r="X1650" s="158">
        <f ca="1">IF(W1648,$L1641,8888)</f>
        <v>8888</v>
      </c>
      <c r="Y1650" s="160">
        <f ca="1">IF(W1648,-FUSELAGE_y_position_of_left_seat_YC+(FUSELAGE_nseats_left_YC-1)*(SEAT_w_cushion_YC+SEAT_w_armrest_YC)/2-T1642/2,8888)</f>
        <v>8888</v>
      </c>
      <c r="AA1650" s="128" t="s">
        <v>396</v>
      </c>
      <c r="AB1650" s="158">
        <f ca="1">IF($AA1648,D1650,P1650)</f>
        <v>8888</v>
      </c>
      <c r="AC1650" s="174">
        <f ca="1">IF($AA1648,E1650,Q1650)</f>
        <v>8888</v>
      </c>
      <c r="AE1650" s="128" t="s">
        <v>396</v>
      </c>
      <c r="AF1650" s="158">
        <f ca="1">IF($AE1648,H1650,T1650)</f>
        <v>8888</v>
      </c>
      <c r="AG1650" s="174">
        <f ca="1">IF($AE1648,I1650,U1650)</f>
        <v>8888</v>
      </c>
      <c r="AI1650" s="128" t="s">
        <v>396</v>
      </c>
      <c r="AJ1650" s="158">
        <f ca="1">IF($AI1648,L1650,X1650)</f>
        <v>8888</v>
      </c>
      <c r="AK1650" s="174">
        <f ca="1">IF($AI1648,M1650,Y1650)</f>
        <v>8888</v>
      </c>
      <c r="AM1650" s="128" t="s">
        <v>396</v>
      </c>
      <c r="AN1650" s="158">
        <f ca="1">AN1619</f>
        <v>-18.624000000000006</v>
      </c>
      <c r="AO1650" s="174">
        <f ca="1">IF(AN1650&gt;-Fuselage!$D$366,(FUSELAGE_a_ellipse)*SQRT(1-((AN1650+Fuselage!$D$366)/(Fuselage!$K$364-FUSELAGE_t_fuselage))^2),IF(AN1650&gt;$L$2505+Fuselage!$K$370,FUSELAGE_a_ellipse,(FUSELAGE_a_ellipse+FUSELAGE_t_fuselage-FUSELAGE_d_fo/4)/Fuselage!$K$368*(AN1650-$L$2505-Fuselage!$K$370)+FUSELAGE_a_ellipse))</f>
        <v>1.4960570012328709</v>
      </c>
      <c r="AQ1650" s="128" t="s">
        <v>396</v>
      </c>
      <c r="AR1650" s="158">
        <f t="shared" ref="AR1650:AR1655" ca="1" si="146">AN1650</f>
        <v>-18.624000000000006</v>
      </c>
      <c r="AS1650" s="174">
        <f t="shared" ref="AS1650:AS1655" ca="1" si="147">-AO1650</f>
        <v>-1.4960570012328709</v>
      </c>
      <c r="BD1650" s="157"/>
    </row>
    <row r="1651" spans="2:56">
      <c r="B1651" s="156"/>
      <c r="C1651" s="128" t="s">
        <v>213</v>
      </c>
      <c r="D1651" s="128">
        <f ca="1">IF(X1643,D1650+P1642/4,D1650+P1642)</f>
        <v>8888</v>
      </c>
      <c r="E1651" s="139">
        <f ca="1">E1650</f>
        <v>8888</v>
      </c>
      <c r="G1651" s="128" t="s">
        <v>213</v>
      </c>
      <c r="H1651" s="128">
        <f ca="1">H1650+P1642</f>
        <v>8888</v>
      </c>
      <c r="I1651" s="139">
        <f ca="1">I1650</f>
        <v>8888</v>
      </c>
      <c r="K1651" s="128" t="s">
        <v>213</v>
      </c>
      <c r="L1651" s="128">
        <f ca="1">IF(X1643,IF(K1648=1,L1650+P1642/4,L1650+P1642),L1650+P1642)</f>
        <v>8888</v>
      </c>
      <c r="M1651" s="139">
        <f ca="1">M1650</f>
        <v>8888</v>
      </c>
      <c r="O1651" s="128" t="s">
        <v>213</v>
      </c>
      <c r="P1651" s="128">
        <f ca="1">P1650+$T1645</f>
        <v>8888</v>
      </c>
      <c r="Q1651" s="139">
        <f ca="1">Q1650</f>
        <v>8888</v>
      </c>
      <c r="S1651" s="128" t="s">
        <v>213</v>
      </c>
      <c r="T1651" s="128">
        <f ca="1">T1650+$T1643</f>
        <v>8888</v>
      </c>
      <c r="U1651" s="139">
        <f ca="1">U1650</f>
        <v>8888</v>
      </c>
      <c r="W1651" s="128" t="s">
        <v>213</v>
      </c>
      <c r="X1651" s="128">
        <f ca="1">X1650+$T1641</f>
        <v>8888</v>
      </c>
      <c r="Y1651" s="139">
        <f ca="1">Y1650</f>
        <v>8888</v>
      </c>
      <c r="AA1651" s="143" t="s">
        <v>213</v>
      </c>
      <c r="AB1651" s="128">
        <f ca="1">IF($AA1648,D1651,P1651)</f>
        <v>8888</v>
      </c>
      <c r="AC1651" s="129">
        <f ca="1">IF($AA1648,E1651,Q1651)</f>
        <v>8888</v>
      </c>
      <c r="AE1651" s="128" t="s">
        <v>213</v>
      </c>
      <c r="AF1651" s="128">
        <f ca="1">IF($AE1648,H1651,T1651)</f>
        <v>8888</v>
      </c>
      <c r="AG1651" s="129">
        <f ca="1">IF($AE1648,I1651,U1651)</f>
        <v>8888</v>
      </c>
      <c r="AI1651" s="128" t="s">
        <v>213</v>
      </c>
      <c r="AJ1651" s="128">
        <f ca="1">IF($AI1648,L1651,X1651)</f>
        <v>8888</v>
      </c>
      <c r="AK1651" s="129">
        <f ca="1">IF($AI1648,M1651,Y1651)</f>
        <v>8888</v>
      </c>
      <c r="AM1651" s="128" t="s">
        <v>213</v>
      </c>
      <c r="AN1651" s="128">
        <f ca="1">AN1650-AO1641/2</f>
        <v>-18.624000000000006</v>
      </c>
      <c r="AO1651" s="129">
        <f ca="1">IF(AN1651&gt;-Fuselage!$D$366,(FUSELAGE_a_ellipse)*SQRT(1-((AN1651+Fuselage!$D$366)/(Fuselage!$K$364-FUSELAGE_t_fuselage))^2),IF(AN1651&gt;$L$2505+Fuselage!$K$370,FUSELAGE_a_ellipse,(FUSELAGE_a_ellipse+FUSELAGE_t_fuselage-FUSELAGE_d_fo/4)/Fuselage!$K$368*(AN1651-$L$2505-Fuselage!$K$370)+FUSELAGE_a_ellipse))</f>
        <v>1.4960570012328709</v>
      </c>
      <c r="AQ1651" s="128" t="s">
        <v>213</v>
      </c>
      <c r="AR1651" s="128">
        <f t="shared" ca="1" si="146"/>
        <v>-18.624000000000006</v>
      </c>
      <c r="AS1651" s="129">
        <f t="shared" ca="1" si="147"/>
        <v>-1.4960570012328709</v>
      </c>
      <c r="BD1651" s="157"/>
    </row>
    <row r="1652" spans="2:56">
      <c r="B1652" s="156"/>
      <c r="C1652" s="128" t="s">
        <v>286</v>
      </c>
      <c r="D1652" s="128">
        <f ca="1">D1651</f>
        <v>8888</v>
      </c>
      <c r="E1652" s="139">
        <f ca="1">E1651-P1641</f>
        <v>8888</v>
      </c>
      <c r="G1652" s="128" t="s">
        <v>286</v>
      </c>
      <c r="H1652" s="128">
        <f ca="1">H1651</f>
        <v>8888</v>
      </c>
      <c r="I1652" s="139">
        <f ca="1">I1651-P1641</f>
        <v>8888</v>
      </c>
      <c r="K1652" s="128" t="s">
        <v>286</v>
      </c>
      <c r="L1652" s="128">
        <f ca="1">L1651</f>
        <v>8888</v>
      </c>
      <c r="M1652" s="139">
        <f ca="1">M1651-P1641</f>
        <v>8888</v>
      </c>
      <c r="O1652" s="128" t="s">
        <v>286</v>
      </c>
      <c r="P1652" s="128">
        <f ca="1">P1651</f>
        <v>8888</v>
      </c>
      <c r="Q1652" s="139">
        <f ca="1">Q1651-$T1646</f>
        <v>8888</v>
      </c>
      <c r="S1652" s="128" t="s">
        <v>286</v>
      </c>
      <c r="T1652" s="128">
        <f ca="1">T1651</f>
        <v>8888</v>
      </c>
      <c r="U1652" s="139">
        <f ca="1">U1651-$T1644</f>
        <v>8888</v>
      </c>
      <c r="W1652" s="128" t="s">
        <v>286</v>
      </c>
      <c r="X1652" s="128">
        <f ca="1">X1651</f>
        <v>8888</v>
      </c>
      <c r="Y1652" s="139">
        <f ca="1">Y1651+$T1642</f>
        <v>8888</v>
      </c>
      <c r="AA1652" s="143" t="s">
        <v>286</v>
      </c>
      <c r="AB1652" s="128">
        <f ca="1">IF($AA1648,D1652,P1652)</f>
        <v>8888</v>
      </c>
      <c r="AC1652" s="129">
        <f ca="1">IF($AA1648,E1652,Q1652)</f>
        <v>8888</v>
      </c>
      <c r="AE1652" s="128" t="s">
        <v>286</v>
      </c>
      <c r="AF1652" s="128">
        <f ca="1">IF($AE1648,H1652,T1652)</f>
        <v>8888</v>
      </c>
      <c r="AG1652" s="129">
        <f ca="1">IF($AE1648,I1652,U1652)</f>
        <v>8888</v>
      </c>
      <c r="AI1652" s="128" t="s">
        <v>286</v>
      </c>
      <c r="AJ1652" s="128">
        <f ca="1">IF($AI1648,L1652,X1652)</f>
        <v>8888</v>
      </c>
      <c r="AK1652" s="129">
        <f ca="1">IF($AI1648,M1652,Y1652)</f>
        <v>8888</v>
      </c>
      <c r="AM1652" s="128" t="s">
        <v>286</v>
      </c>
      <c r="AN1652" s="128">
        <f ca="1">AN1651</f>
        <v>-18.624000000000006</v>
      </c>
      <c r="AO1652" s="129">
        <f ca="1">IF(AN1652&gt;-Fuselage!$D$366,IF(AM1648,(FUSELAGE_a_ellipse+FUSELAGE_t_fuselage)*SQRT(1-((AN1652+Fuselage!$D$366)/Fuselage!$K$364)^2),(FUSELAGE_a_ellipse)*SQRT(1-((AN1652+Fuselage!$D$366)/Fuselage!$K$364)^2)),IF(AN1652&gt;$L$2505+Fuselage!$K$370,(IF(AM1648,FUSELAGE_a_ellipse+FUSELAGE_t_fuselage,FUSELAGE_a_ellipse)),IF(AM1648,(FUSELAGE_a_ellipse+FUSELAGE_t_fuselage-FUSELAGE_d_fo/4)/Fuselage!$K$368*(AN1652-$L$2505-Fuselage!$K$370)+FUSELAGE_a_ellipse+FUSELAGE_t_fuselage,(FUSELAGE_a_ellipse+FUSELAGE_t_fuselage-FUSELAGE_d_fo/4)/Fuselage!$K$368*(AN1652-$L$2505-Fuselage!$K$370)+FUSELAGE_a_ellipse)))</f>
        <v>1.4960570012328709</v>
      </c>
      <c r="AQ1652" s="128" t="s">
        <v>286</v>
      </c>
      <c r="AR1652" s="128">
        <f t="shared" ca="1" si="146"/>
        <v>-18.624000000000006</v>
      </c>
      <c r="AS1652" s="129">
        <f t="shared" ca="1" si="147"/>
        <v>-1.4960570012328709</v>
      </c>
      <c r="BD1652" s="157"/>
    </row>
    <row r="1653" spans="2:56">
      <c r="B1653" s="156"/>
      <c r="C1653" s="188" t="s">
        <v>522</v>
      </c>
      <c r="D1653" s="188">
        <f ca="1">D1650</f>
        <v>8888</v>
      </c>
      <c r="E1653" s="189">
        <f ca="1">E1652</f>
        <v>8888</v>
      </c>
      <c r="F1653" s="157"/>
      <c r="G1653" s="2" t="s">
        <v>522</v>
      </c>
      <c r="H1653" s="128">
        <f ca="1">H1650</f>
        <v>8888</v>
      </c>
      <c r="I1653" s="139">
        <f ca="1">I1652</f>
        <v>8888</v>
      </c>
      <c r="K1653" s="128" t="s">
        <v>522</v>
      </c>
      <c r="L1653" s="128">
        <f ca="1">L1650</f>
        <v>8888</v>
      </c>
      <c r="M1653" s="139">
        <f ca="1">M1652</f>
        <v>8888</v>
      </c>
      <c r="O1653" s="188" t="s">
        <v>522</v>
      </c>
      <c r="P1653" s="188">
        <f ca="1">P1650</f>
        <v>8888</v>
      </c>
      <c r="Q1653" s="189">
        <f ca="1">Q1652</f>
        <v>8888</v>
      </c>
      <c r="S1653" s="188" t="s">
        <v>522</v>
      </c>
      <c r="T1653" s="188">
        <f ca="1">T1650</f>
        <v>8888</v>
      </c>
      <c r="U1653" s="189">
        <f ca="1">U1652</f>
        <v>8888</v>
      </c>
      <c r="W1653" s="188" t="s">
        <v>522</v>
      </c>
      <c r="X1653" s="188">
        <f ca="1">X1650</f>
        <v>8888</v>
      </c>
      <c r="Y1653" s="189">
        <f ca="1">Y1652</f>
        <v>8888</v>
      </c>
      <c r="AA1653" s="195" t="s">
        <v>522</v>
      </c>
      <c r="AB1653" s="128">
        <f ca="1">IF($AA1648,D1653,P1653)</f>
        <v>8888</v>
      </c>
      <c r="AC1653" s="129">
        <f ca="1">IF($AA1648,E1653,Q1653)</f>
        <v>8888</v>
      </c>
      <c r="AD1653" s="157"/>
      <c r="AE1653" s="2" t="s">
        <v>522</v>
      </c>
      <c r="AF1653" s="188">
        <f ca="1">IF($AE1648,H1653,T1653)</f>
        <v>8888</v>
      </c>
      <c r="AG1653" s="196">
        <f ca="1">IF($AE1648,I1653,U1653)</f>
        <v>8888</v>
      </c>
      <c r="AI1653" s="128" t="s">
        <v>522</v>
      </c>
      <c r="AJ1653" s="188">
        <f ca="1">IF($AI1648,L1653,X1653)</f>
        <v>8888</v>
      </c>
      <c r="AK1653" s="196">
        <f ca="1">IF($AI1648,M1653,Y1653)</f>
        <v>8888</v>
      </c>
      <c r="AM1653" s="128" t="s">
        <v>522</v>
      </c>
      <c r="AN1653" s="128">
        <f ca="1">AN1652-X1642</f>
        <v>-18.624000000000006</v>
      </c>
      <c r="AO1653" s="129">
        <f ca="1">IF(AN1653&gt;-Fuselage!$D$366,IF(AM1648,(FUSELAGE_a_ellipse+FUSELAGE_t_fuselage)*SQRT(1-((AN1653+Fuselage!$D$366)/Fuselage!$K$364)^2),(FUSELAGE_a_ellipse)*SQRT(1-((AN1653+Fuselage!$D$366)/Fuselage!$K$364)^2)),IF(AN1653&gt;$L$2505+Fuselage!$K$370,(IF(AM1648,FUSELAGE_a_ellipse+FUSELAGE_t_fuselage,FUSELAGE_a_ellipse)),IF(AM1648,(FUSELAGE_a_ellipse+FUSELAGE_t_fuselage-FUSELAGE_d_fo/4)/Fuselage!$K$368*(AN1653-$L$2505-Fuselage!$K$370)+FUSELAGE_a_ellipse+FUSELAGE_t_fuselage,(FUSELAGE_a_ellipse+FUSELAGE_t_fuselage-FUSELAGE_d_fo/4)/Fuselage!$K$368*(AN1653-$L$2505-Fuselage!$K$370)+FUSELAGE_a_ellipse)))</f>
        <v>1.4960570012328709</v>
      </c>
      <c r="AQ1653" s="128" t="s">
        <v>522</v>
      </c>
      <c r="AR1653" s="128">
        <f t="shared" ca="1" si="146"/>
        <v>-18.624000000000006</v>
      </c>
      <c r="AS1653" s="129">
        <f t="shared" ca="1" si="147"/>
        <v>-1.4960570012328709</v>
      </c>
      <c r="BD1653" s="157"/>
    </row>
    <row r="1654" spans="2:56" ht="15" thickBot="1">
      <c r="B1654" s="156"/>
      <c r="C1654" s="128" t="s">
        <v>49</v>
      </c>
      <c r="D1654" s="128">
        <f ca="1">IF(C1648&gt;=2,D1650,D1653)</f>
        <v>8888</v>
      </c>
      <c r="E1654" s="139">
        <f ca="1">IF(C1648&gt;=2,E1653-P1643,E1653)</f>
        <v>8888</v>
      </c>
      <c r="F1654" s="157"/>
      <c r="G1654" s="192" t="s">
        <v>49</v>
      </c>
      <c r="H1654" s="190">
        <f ca="1">IF(G1648&gt;=2,H1650,H1653)</f>
        <v>8888</v>
      </c>
      <c r="I1654" s="191">
        <f ca="1">IF(G1648&gt;=2,I1653-P1643,I1653)</f>
        <v>8888</v>
      </c>
      <c r="K1654" s="190" t="s">
        <v>49</v>
      </c>
      <c r="L1654" s="190">
        <f ca="1">IF(K1648&gt;=2,L1650,L1653)</f>
        <v>8888</v>
      </c>
      <c r="M1654" s="191">
        <f ca="1">IF(K1648&gt;=2,M1653-P1643,M1653)</f>
        <v>8888</v>
      </c>
      <c r="O1654" s="130" t="s">
        <v>396</v>
      </c>
      <c r="P1654" s="130">
        <f ca="1">P1650</f>
        <v>8888</v>
      </c>
      <c r="Q1654" s="140">
        <f ca="1">Q1650</f>
        <v>8888</v>
      </c>
      <c r="S1654" s="130" t="s">
        <v>396</v>
      </c>
      <c r="T1654" s="130">
        <f ca="1">T1650</f>
        <v>8888</v>
      </c>
      <c r="U1654" s="140">
        <f ca="1">U1650</f>
        <v>8888</v>
      </c>
      <c r="W1654" s="130" t="s">
        <v>396</v>
      </c>
      <c r="X1654" s="130">
        <f ca="1">X1650</f>
        <v>8888</v>
      </c>
      <c r="Y1654" s="140">
        <f ca="1">Y1650</f>
        <v>8888</v>
      </c>
      <c r="AA1654" s="143" t="s">
        <v>49</v>
      </c>
      <c r="AB1654" s="128">
        <f ca="1">IF($AA1648,D1654,P1654)</f>
        <v>8888</v>
      </c>
      <c r="AC1654" s="129">
        <f ca="1">IF($AA1648,E1654,Q1654)</f>
        <v>8888</v>
      </c>
      <c r="AD1654" s="157"/>
      <c r="AE1654" s="192" t="s">
        <v>49</v>
      </c>
      <c r="AF1654" s="128">
        <f ca="1">IF($AE1648,H1654,T1654)</f>
        <v>8888</v>
      </c>
      <c r="AG1654" s="129">
        <f ca="1">IF($AE1648,I1654,U1654)</f>
        <v>8888</v>
      </c>
      <c r="AI1654" s="190" t="s">
        <v>49</v>
      </c>
      <c r="AJ1654" s="128">
        <f ca="1">IF($AI1648,L1654,X1654)</f>
        <v>8888</v>
      </c>
      <c r="AK1654" s="129">
        <f ca="1">IF($AI1648,M1654,Y1654)</f>
        <v>8888</v>
      </c>
      <c r="AM1654" s="128" t="s">
        <v>49</v>
      </c>
      <c r="AN1654" s="128">
        <f ca="1">AN1653</f>
        <v>-18.624000000000006</v>
      </c>
      <c r="AO1654" s="129">
        <f ca="1">IF(AN1654&gt;-Fuselage!$D$366,(FUSELAGE_a_ellipse)*SQRT(1-((AN1654+Fuselage!$D$366)/(Fuselage!$K$364-FUSELAGE_t_fuselage))^2),IF(AN1654&gt;$L$2505+Fuselage!$K$370,FUSELAGE_a_ellipse,(FUSELAGE_a_ellipse+FUSELAGE_t_fuselage-FUSELAGE_d_fo/4)/Fuselage!$K$368*(AN1654-$L$2505-Fuselage!$K$370)+FUSELAGE_a_ellipse))</f>
        <v>1.4960570012328709</v>
      </c>
      <c r="AQ1654" s="128" t="s">
        <v>49</v>
      </c>
      <c r="AR1654" s="128">
        <f t="shared" ca="1" si="146"/>
        <v>-18.624000000000006</v>
      </c>
      <c r="AS1654" s="129">
        <f t="shared" ca="1" si="147"/>
        <v>-1.4960570012328709</v>
      </c>
      <c r="BD1654" s="157"/>
    </row>
    <row r="1655" spans="2:56">
      <c r="B1655" s="156"/>
      <c r="C1655" s="128" t="s">
        <v>453</v>
      </c>
      <c r="D1655" s="128">
        <f ca="1">IF(C1648&gt;=2,D1650+P1642,D1653)</f>
        <v>8888</v>
      </c>
      <c r="E1655" s="139">
        <f ca="1">E1654</f>
        <v>8888</v>
      </c>
      <c r="F1655" s="157"/>
      <c r="G1655" s="2" t="s">
        <v>453</v>
      </c>
      <c r="H1655" s="128">
        <f ca="1">IF(G1648&gt;=2,H1651,H1653)</f>
        <v>8888</v>
      </c>
      <c r="I1655" s="139">
        <f ca="1">IF(G1648&gt;=2,I1654,I1653)</f>
        <v>8888</v>
      </c>
      <c r="K1655" s="128" t="s">
        <v>453</v>
      </c>
      <c r="L1655" s="128">
        <f ca="1">IF(K1648&gt;=2,IF(X1643,IF(K1648=2,L1650+P1642/4,L1650+P1642),L1650+P1642),L1653)</f>
        <v>8888</v>
      </c>
      <c r="M1655" s="139">
        <f ca="1">IF(K1648&gt;=2,M1654,M1653)</f>
        <v>8888</v>
      </c>
      <c r="AA1655" s="143" t="s">
        <v>453</v>
      </c>
      <c r="AB1655" s="128">
        <f ca="1">IF($AA1648,D1655,AB1654)</f>
        <v>8888</v>
      </c>
      <c r="AC1655" s="129">
        <f ca="1">IF($AA1648,E1655,AC1654)</f>
        <v>8888</v>
      </c>
      <c r="AD1655" s="157"/>
      <c r="AE1655" s="2" t="s">
        <v>453</v>
      </c>
      <c r="AF1655" s="128">
        <f ca="1">IF($AE1648,H1655,AF1654)</f>
        <v>8888</v>
      </c>
      <c r="AG1655" s="129">
        <f ca="1">IF($AE1648,I1655,AG1654)</f>
        <v>8888</v>
      </c>
      <c r="AI1655" s="128" t="s">
        <v>453</v>
      </c>
      <c r="AJ1655" s="128">
        <f ca="1">IF($AI1648,L1655,AJ1654)</f>
        <v>8888</v>
      </c>
      <c r="AK1655" s="129">
        <f ca="1">IF($AI1648,M1655,AK1654)</f>
        <v>8888</v>
      </c>
      <c r="AM1655" s="128" t="s">
        <v>453</v>
      </c>
      <c r="AN1655" s="128">
        <f ca="1">L1641</f>
        <v>-18.624000000000006</v>
      </c>
      <c r="AO1655" s="129">
        <f ca="1">IF(AN1655&gt;-Fuselage!$D$366,(FUSELAGE_a_ellipse)*SQRT(1-((AN1655+Fuselage!$D$366)/(Fuselage!$K$364-FUSELAGE_t_fuselage))^2),IF(AN1655&gt;$L$2505+Fuselage!$K$370,FUSELAGE_a_ellipse,(FUSELAGE_a_ellipse+FUSELAGE_t_fuselage-FUSELAGE_d_fo/4)/Fuselage!$K$368*(AN1655-$L$2505-Fuselage!$K$370)+FUSELAGE_a_ellipse))</f>
        <v>1.4960570012328709</v>
      </c>
      <c r="AQ1655" s="128" t="s">
        <v>453</v>
      </c>
      <c r="AR1655" s="128">
        <f t="shared" ca="1" si="146"/>
        <v>-18.624000000000006</v>
      </c>
      <c r="AS1655" s="129">
        <f t="shared" ca="1" si="147"/>
        <v>-1.4960570012328709</v>
      </c>
      <c r="BD1655" s="157"/>
    </row>
    <row r="1656" spans="2:56">
      <c r="B1656" s="156"/>
      <c r="C1656" s="128" t="s">
        <v>394</v>
      </c>
      <c r="D1656" s="128">
        <f ca="1">IF(C1648&gt;=2,D1655,D1653)</f>
        <v>8888</v>
      </c>
      <c r="E1656" s="139">
        <f ca="1">IF(C1648&gt;=2,E1654-P1641,E1653)</f>
        <v>8888</v>
      </c>
      <c r="F1656" s="157"/>
      <c r="G1656" s="2" t="s">
        <v>394</v>
      </c>
      <c r="H1656" s="128">
        <f ca="1">IF(G1648&gt;=2,H1651,H1653)</f>
        <v>8888</v>
      </c>
      <c r="I1656" s="139">
        <f ca="1">IF(G1648&gt;=2,I1655-P1641,I1653)</f>
        <v>8888</v>
      </c>
      <c r="K1656" s="128" t="s">
        <v>394</v>
      </c>
      <c r="L1656" s="128">
        <f ca="1">L1655</f>
        <v>8888</v>
      </c>
      <c r="M1656" s="139">
        <f ca="1">IF(K1648&gt;=2,M1655-P1641,M1653)</f>
        <v>8888</v>
      </c>
      <c r="AA1656" s="143" t="s">
        <v>394</v>
      </c>
      <c r="AB1656" s="128">
        <f ca="1">IF($AA1648,D1656,AB1654)</f>
        <v>8888</v>
      </c>
      <c r="AC1656" s="129">
        <f ca="1">IF($AA1648,E1656,AC1654)</f>
        <v>8888</v>
      </c>
      <c r="AD1656" s="157"/>
      <c r="AE1656" s="2" t="s">
        <v>394</v>
      </c>
      <c r="AF1656" s="128">
        <f ca="1">IF($AE1648,H1656,AF1654)</f>
        <v>8888</v>
      </c>
      <c r="AG1656" s="129">
        <f ca="1">IF($AE1648,I1656,AG1654)</f>
        <v>8888</v>
      </c>
      <c r="AI1656" s="128" t="s">
        <v>394</v>
      </c>
      <c r="AJ1656" s="128">
        <f ca="1">IF($AI1648,L1656,AJ1654)</f>
        <v>8888</v>
      </c>
      <c r="AK1656" s="129">
        <f ca="1">IF($AI1648,M1656,AK1654)</f>
        <v>8888</v>
      </c>
      <c r="BD1656" s="157"/>
    </row>
    <row r="1657" spans="2:56">
      <c r="B1657" s="156"/>
      <c r="C1657" s="188" t="s">
        <v>454</v>
      </c>
      <c r="D1657" s="188">
        <f ca="1">IF(C1648&gt;=2,D1650,D1653)</f>
        <v>8888</v>
      </c>
      <c r="E1657" s="189">
        <f ca="1">E1656</f>
        <v>8888</v>
      </c>
      <c r="F1657" s="157"/>
      <c r="G1657" s="115" t="s">
        <v>454</v>
      </c>
      <c r="H1657" s="188">
        <f ca="1">IF(G1648&gt;=2,H1650,H1653)</f>
        <v>8888</v>
      </c>
      <c r="I1657" s="189">
        <f ca="1">IF(G1648&gt;=2,I1656,I1653)</f>
        <v>8888</v>
      </c>
      <c r="K1657" s="188" t="s">
        <v>454</v>
      </c>
      <c r="L1657" s="188">
        <f ca="1">IF(K1648&gt;=2,L1650,L1653)</f>
        <v>8888</v>
      </c>
      <c r="M1657" s="189">
        <f ca="1">IF(K1648&gt;=2,M1656,M1653)</f>
        <v>8888</v>
      </c>
      <c r="AA1657" s="195" t="s">
        <v>454</v>
      </c>
      <c r="AB1657" s="128">
        <f ca="1">IF($AA1648,D1657,AB1654)</f>
        <v>8888</v>
      </c>
      <c r="AC1657" s="129">
        <f ca="1">IF($AA1648,E1657,AC1654)</f>
        <v>8888</v>
      </c>
      <c r="AD1657" s="157"/>
      <c r="AE1657" s="115" t="s">
        <v>454</v>
      </c>
      <c r="AF1657" s="188">
        <f ca="1">IF($AE1648,H1657,AF1654)</f>
        <v>8888</v>
      </c>
      <c r="AG1657" s="196">
        <f ca="1">IF($AE1648,I1657,AG1654)</f>
        <v>8888</v>
      </c>
      <c r="AI1657" s="188" t="s">
        <v>454</v>
      </c>
      <c r="AJ1657" s="188">
        <f ca="1">IF($AI1648,L1657,AJ1654)</f>
        <v>8888</v>
      </c>
      <c r="AK1657" s="196">
        <f ca="1">IF($AI1648,M1657,AK1654)</f>
        <v>8888</v>
      </c>
      <c r="BD1657" s="157"/>
    </row>
    <row r="1658" spans="2:56">
      <c r="B1658" s="156"/>
      <c r="C1658" s="128" t="s">
        <v>507</v>
      </c>
      <c r="D1658" s="128">
        <f ca="1">IF(C1648&gt;=3,D1650,D1657)</f>
        <v>8888</v>
      </c>
      <c r="E1658" s="139">
        <f ca="1">IF(C1648&gt;=3,E1657-P1643,E1657)</f>
        <v>8888</v>
      </c>
      <c r="F1658" s="157"/>
      <c r="G1658" s="2" t="s">
        <v>507</v>
      </c>
      <c r="H1658" s="128">
        <f ca="1">IF(G1648&gt;=3,H1650,H1657)</f>
        <v>8888</v>
      </c>
      <c r="I1658" s="139">
        <f ca="1">IF(G1648&gt;=3,I1657-P1643,I1657)</f>
        <v>8888</v>
      </c>
      <c r="K1658" s="128" t="s">
        <v>507</v>
      </c>
      <c r="L1658" s="128">
        <f ca="1">IF(K1648&gt;=3,L1650,L1657)</f>
        <v>8888</v>
      </c>
      <c r="M1658" s="139">
        <f ca="1">IF(K1648&gt;=3,M1657-P1643,M1657)</f>
        <v>8888</v>
      </c>
      <c r="AA1658" s="143" t="s">
        <v>507</v>
      </c>
      <c r="AB1658" s="128">
        <f ca="1">IF($AA1648,D1658,AB1654)</f>
        <v>8888</v>
      </c>
      <c r="AC1658" s="129">
        <f ca="1">IF($AA1648,E1658,AC1654)</f>
        <v>8888</v>
      </c>
      <c r="AD1658" s="157"/>
      <c r="AE1658" s="2" t="s">
        <v>507</v>
      </c>
      <c r="AF1658" s="128">
        <f ca="1">IF($AE1648,H1658,AF1654)</f>
        <v>8888</v>
      </c>
      <c r="AG1658" s="129">
        <f ca="1">IF($AE1648,I1658,AG1654)</f>
        <v>8888</v>
      </c>
      <c r="AI1658" s="128" t="s">
        <v>507</v>
      </c>
      <c r="AJ1658" s="128">
        <f ca="1">IF($AI1648,L1658,AJ1654)</f>
        <v>8888</v>
      </c>
      <c r="AK1658" s="129">
        <f ca="1">IF($AI1648,M1658,AK1654)</f>
        <v>8888</v>
      </c>
      <c r="BD1658" s="157"/>
    </row>
    <row r="1659" spans="2:56">
      <c r="B1659" s="156"/>
      <c r="C1659" s="128" t="s">
        <v>455</v>
      </c>
      <c r="D1659" s="128">
        <f ca="1">IF(C1648&gt;=3,D1655,D1657)</f>
        <v>8888</v>
      </c>
      <c r="E1659" s="139">
        <f ca="1">E1658</f>
        <v>8888</v>
      </c>
      <c r="F1659" s="157"/>
      <c r="G1659" s="2" t="s">
        <v>455</v>
      </c>
      <c r="H1659" s="128">
        <f ca="1">IF(G1648&gt;=3,H1651,H1657)</f>
        <v>8888</v>
      </c>
      <c r="I1659" s="139">
        <f ca="1">IF(G1648&gt;=3,I1658,I1657)</f>
        <v>8888</v>
      </c>
      <c r="K1659" s="128" t="s">
        <v>455</v>
      </c>
      <c r="L1659" s="128">
        <f ca="1">IF(K1648&gt;=3,IF(X1643,IF(K1648=3,L1650+P1642/4,L1650+P1642),L1650+P1642),L1653)</f>
        <v>8888</v>
      </c>
      <c r="M1659" s="139">
        <f ca="1">IF(K1648&gt;=3,M1658,M1657)</f>
        <v>8888</v>
      </c>
      <c r="AA1659" s="143" t="s">
        <v>455</v>
      </c>
      <c r="AB1659" s="128">
        <f ca="1">IF($AA1648,D1659,AB1654)</f>
        <v>8888</v>
      </c>
      <c r="AC1659" s="129">
        <f ca="1">IF($AA1648,E1659,AC1654)</f>
        <v>8888</v>
      </c>
      <c r="AD1659" s="157"/>
      <c r="AE1659" s="2" t="s">
        <v>455</v>
      </c>
      <c r="AF1659" s="128">
        <f ca="1">IF($AE1648,H1659,AF1654)</f>
        <v>8888</v>
      </c>
      <c r="AG1659" s="129">
        <f ca="1">IF($AE1648,I1659,AG1654)</f>
        <v>8888</v>
      </c>
      <c r="AI1659" s="128" t="s">
        <v>455</v>
      </c>
      <c r="AJ1659" s="128">
        <f ca="1">IF($AI1648,L1659,AJ1654)</f>
        <v>8888</v>
      </c>
      <c r="AK1659" s="129">
        <f ca="1">IF($AI1648,M1659,AK1654)</f>
        <v>8888</v>
      </c>
      <c r="AL1659" s="156"/>
      <c r="BD1659" s="157"/>
    </row>
    <row r="1660" spans="2:56">
      <c r="B1660" s="156"/>
      <c r="C1660" s="128" t="s">
        <v>311</v>
      </c>
      <c r="D1660" s="128">
        <f ca="1">IF(C1648&gt;=3,D1655,D1657)</f>
        <v>8888</v>
      </c>
      <c r="E1660" s="139">
        <f ca="1">IF(C1648&gt;=3,E1659-P1641,E1657)</f>
        <v>8888</v>
      </c>
      <c r="F1660" s="157"/>
      <c r="G1660" s="2" t="s">
        <v>311</v>
      </c>
      <c r="H1660" s="128">
        <f ca="1">IF(G1648&gt;=3,H1651,H1657)</f>
        <v>8888</v>
      </c>
      <c r="I1660" s="139">
        <f ca="1">IF(G1648&gt;=3,I1659-P1641,I1657)</f>
        <v>8888</v>
      </c>
      <c r="K1660" s="128" t="s">
        <v>311</v>
      </c>
      <c r="L1660" s="128">
        <f ca="1">L1659</f>
        <v>8888</v>
      </c>
      <c r="M1660" s="139">
        <f ca="1">IF(K1648&gt;=3,M1659-P1641,M1657)</f>
        <v>8888</v>
      </c>
      <c r="AA1660" s="143" t="s">
        <v>311</v>
      </c>
      <c r="AB1660" s="128">
        <f ca="1">IF($AA1648,D1660,AB1654)</f>
        <v>8888</v>
      </c>
      <c r="AC1660" s="129">
        <f ca="1">IF($AA1648,E1660,AC1654)</f>
        <v>8888</v>
      </c>
      <c r="AD1660" s="157"/>
      <c r="AE1660" s="2" t="s">
        <v>311</v>
      </c>
      <c r="AF1660" s="128">
        <f ca="1">IF($AE1648,H1660,AF1654)</f>
        <v>8888</v>
      </c>
      <c r="AG1660" s="129">
        <f ca="1">IF($AE1648,I1660,AG1654)</f>
        <v>8888</v>
      </c>
      <c r="AI1660" s="128" t="s">
        <v>311</v>
      </c>
      <c r="AJ1660" s="128">
        <f ca="1">IF($AI1648,L1660,AJ1654)</f>
        <v>8888</v>
      </c>
      <c r="AK1660" s="129">
        <f ca="1">IF($AI1648,M1660,AK1654)</f>
        <v>8888</v>
      </c>
      <c r="AL1660" s="156"/>
      <c r="BD1660" s="157"/>
    </row>
    <row r="1661" spans="2:56">
      <c r="B1661" s="156"/>
      <c r="C1661" s="188" t="s">
        <v>35</v>
      </c>
      <c r="D1661" s="188">
        <f ca="1">IF(C1648&gt;=3,D1650,D1657)</f>
        <v>8888</v>
      </c>
      <c r="E1661" s="189">
        <f ca="1">E1660</f>
        <v>8888</v>
      </c>
      <c r="F1661" s="157"/>
      <c r="G1661" s="2" t="s">
        <v>35</v>
      </c>
      <c r="H1661" s="188">
        <f ca="1">IF(G1648&gt;=3,H1650,H1657)</f>
        <v>8888</v>
      </c>
      <c r="I1661" s="189">
        <f ca="1">IF(G1648&gt;=3,I1660,I1657)</f>
        <v>8888</v>
      </c>
      <c r="K1661" s="188" t="s">
        <v>35</v>
      </c>
      <c r="L1661" s="188">
        <f ca="1">IF(K1648&gt;=3,L1650,L1657)</f>
        <v>8888</v>
      </c>
      <c r="M1661" s="189">
        <f ca="1">IF(K1648&gt;=3,M1660,M1657)</f>
        <v>8888</v>
      </c>
      <c r="AA1661" s="143" t="s">
        <v>35</v>
      </c>
      <c r="AB1661" s="128">
        <f ca="1">IF($AA1648,D1661,AB1654)</f>
        <v>8888</v>
      </c>
      <c r="AC1661" s="129">
        <f ca="1">IF($AA1648,E1661,AC1654)</f>
        <v>8888</v>
      </c>
      <c r="AD1661" s="157"/>
      <c r="AE1661" s="2" t="s">
        <v>35</v>
      </c>
      <c r="AF1661" s="188">
        <f ca="1">IF($AE1648,H1661,AF1654)</f>
        <v>8888</v>
      </c>
      <c r="AG1661" s="196">
        <f ca="1">IF($AE1648,I1661,AG1654)</f>
        <v>8888</v>
      </c>
      <c r="AI1661" s="128" t="s">
        <v>35</v>
      </c>
      <c r="AJ1661" s="128">
        <f ca="1">IF($AI1648,L1661,AJ1654)</f>
        <v>8888</v>
      </c>
      <c r="AK1661" s="129">
        <f ca="1">IF($AI1648,M1661,AK1654)</f>
        <v>8888</v>
      </c>
      <c r="AL1661" s="156"/>
      <c r="BD1661" s="157"/>
    </row>
    <row r="1662" spans="2:56" ht="15" thickBot="1">
      <c r="B1662" s="156"/>
      <c r="C1662" s="130" t="s">
        <v>396</v>
      </c>
      <c r="D1662" s="130">
        <f ca="1">D1650</f>
        <v>8888</v>
      </c>
      <c r="E1662" s="140">
        <f ca="1">E1650</f>
        <v>8888</v>
      </c>
      <c r="F1662" s="157"/>
      <c r="G1662" s="192" t="s">
        <v>312</v>
      </c>
      <c r="H1662" s="128">
        <f ca="1">IF(G1648&gt;=4,H1650,H1661)</f>
        <v>8888</v>
      </c>
      <c r="I1662" s="139">
        <f ca="1">IF(G1648&gt;=4,I1661-P1643,I1661)</f>
        <v>8888</v>
      </c>
      <c r="K1662" s="130" t="s">
        <v>396</v>
      </c>
      <c r="L1662" s="130">
        <f ca="1">L1650</f>
        <v>8888</v>
      </c>
      <c r="M1662" s="140">
        <f ca="1">M1650</f>
        <v>8888</v>
      </c>
      <c r="AA1662" s="144" t="s">
        <v>396</v>
      </c>
      <c r="AB1662" s="130">
        <f ca="1">IF($AA1648,D1662,AB1654)</f>
        <v>8888</v>
      </c>
      <c r="AC1662" s="132">
        <f ca="1">IF($AA1648,E1662,AC1654)</f>
        <v>8888</v>
      </c>
      <c r="AD1662" s="157"/>
      <c r="AE1662" s="192" t="s">
        <v>312</v>
      </c>
      <c r="AF1662" s="128">
        <f ca="1">IF($AE1648,H1662,AF1654)</f>
        <v>8888</v>
      </c>
      <c r="AG1662" s="129">
        <f ca="1">IF($AE1648,I1662,AG1654)</f>
        <v>8888</v>
      </c>
      <c r="AI1662" s="130" t="s">
        <v>396</v>
      </c>
      <c r="AJ1662" s="130">
        <f ca="1">IF($AI1648,L1662,AJ1654)</f>
        <v>8888</v>
      </c>
      <c r="AK1662" s="132">
        <f ca="1">IF($AI1648,M1662,AK1654)</f>
        <v>8888</v>
      </c>
      <c r="BD1662" s="157"/>
    </row>
    <row r="1663" spans="2:56">
      <c r="B1663" s="156"/>
      <c r="F1663" s="157"/>
      <c r="G1663" s="2" t="s">
        <v>313</v>
      </c>
      <c r="H1663" s="128">
        <f ca="1">IF(G1648&gt;=4,H1651,H1661)</f>
        <v>8888</v>
      </c>
      <c r="I1663" s="139">
        <f ca="1">IF(G1648&gt;=4,I1662,I1661)</f>
        <v>8888</v>
      </c>
      <c r="AD1663" s="157"/>
      <c r="AE1663" s="2" t="s">
        <v>313</v>
      </c>
      <c r="AF1663" s="128">
        <f ca="1">IF($AE1648,H1663,AF1654)</f>
        <v>8888</v>
      </c>
      <c r="AG1663" s="129">
        <f ca="1">IF($AE1648,I1663,AG1654)</f>
        <v>8888</v>
      </c>
      <c r="BD1663" s="157"/>
    </row>
    <row r="1664" spans="2:56">
      <c r="B1664" s="156"/>
      <c r="F1664" s="157"/>
      <c r="G1664" s="2" t="s">
        <v>7</v>
      </c>
      <c r="H1664" s="128">
        <f ca="1">IF(G1648&gt;=4,H1651,H1661)</f>
        <v>8888</v>
      </c>
      <c r="I1664" s="139">
        <f ca="1">IF(G1648&gt;=4,I1663-P1641,I1661)</f>
        <v>8888</v>
      </c>
      <c r="AD1664" s="157"/>
      <c r="AE1664" s="2" t="s">
        <v>7</v>
      </c>
      <c r="AF1664" s="128">
        <f ca="1">IF($AE1648,H1664,AF1654)</f>
        <v>8888</v>
      </c>
      <c r="AG1664" s="129">
        <f ca="1">IF($AE1648,I1664,AG1654)</f>
        <v>8888</v>
      </c>
      <c r="BD1664" s="157"/>
    </row>
    <row r="1665" spans="2:56">
      <c r="B1665" s="156"/>
      <c r="F1665" s="157"/>
      <c r="G1665" s="115" t="s">
        <v>8</v>
      </c>
      <c r="H1665" s="188">
        <f ca="1">IF(G1648&gt;=4,H1650,H1661)</f>
        <v>8888</v>
      </c>
      <c r="I1665" s="189">
        <f ca="1">IF(G1648&gt;=4,I1664,I1661)</f>
        <v>8888</v>
      </c>
      <c r="AD1665" s="157"/>
      <c r="AE1665" s="115" t="s">
        <v>8</v>
      </c>
      <c r="AF1665" s="188">
        <f ca="1">IF($AE1648,H1665,AF1654)</f>
        <v>8888</v>
      </c>
      <c r="AG1665" s="196">
        <f ca="1">IF($AE1648,I1665,AG1654)</f>
        <v>8888</v>
      </c>
      <c r="BD1665" s="157"/>
    </row>
    <row r="1666" spans="2:56">
      <c r="B1666" s="156"/>
      <c r="F1666" s="157"/>
      <c r="G1666" s="2" t="s">
        <v>9</v>
      </c>
      <c r="H1666" s="128">
        <f ca="1">IF(G1648&gt;=5,H1650,H1665)</f>
        <v>8888</v>
      </c>
      <c r="I1666" s="139">
        <f ca="1">IF(G1648&gt;=5,I1665-P1643,I1665)</f>
        <v>8888</v>
      </c>
      <c r="AD1666" s="157"/>
      <c r="AE1666" s="2" t="s">
        <v>9</v>
      </c>
      <c r="AF1666" s="128">
        <f ca="1">IF($AE1648,H1666,AF1654)</f>
        <v>8888</v>
      </c>
      <c r="AG1666" s="129">
        <f ca="1">IF($AE1648,I1666,AG1654)</f>
        <v>8888</v>
      </c>
      <c r="BD1666" s="157"/>
    </row>
    <row r="1667" spans="2:56">
      <c r="B1667" s="156"/>
      <c r="F1667" s="157"/>
      <c r="G1667" s="2" t="s">
        <v>196</v>
      </c>
      <c r="H1667" s="128">
        <f ca="1">IF(G1648&gt;=5,H1651,H1665)</f>
        <v>8888</v>
      </c>
      <c r="I1667" s="139">
        <f ca="1">IF(G1648&gt;=5,I1666,I1665)</f>
        <v>8888</v>
      </c>
      <c r="AD1667" s="157"/>
      <c r="AE1667" s="2" t="s">
        <v>196</v>
      </c>
      <c r="AF1667" s="128">
        <f ca="1">IF($AE1648,H1667,AF1654)</f>
        <v>8888</v>
      </c>
      <c r="AG1667" s="129">
        <f ca="1">IF($AE1648,I1667,AG1654)</f>
        <v>8888</v>
      </c>
      <c r="BD1667" s="157"/>
    </row>
    <row r="1668" spans="2:56">
      <c r="B1668" s="156"/>
      <c r="F1668" s="157"/>
      <c r="G1668" s="2" t="s">
        <v>10</v>
      </c>
      <c r="H1668" s="128">
        <f ca="1">IF(G1648&gt;=5,H1651,H1665)</f>
        <v>8888</v>
      </c>
      <c r="I1668" s="139">
        <f ca="1">IF(G1648&gt;=5,I1667-P1641,I1665)</f>
        <v>8888</v>
      </c>
      <c r="AD1668" s="157"/>
      <c r="AE1668" s="2" t="s">
        <v>10</v>
      </c>
      <c r="AF1668" s="128">
        <f ca="1">IF($AE1648,H1668,AF1654)</f>
        <v>8888</v>
      </c>
      <c r="AG1668" s="129">
        <f ca="1">IF($AE1648,I1668,AG1654)</f>
        <v>8888</v>
      </c>
      <c r="BD1668" s="157"/>
    </row>
    <row r="1669" spans="2:56">
      <c r="B1669" s="156"/>
      <c r="F1669" s="157"/>
      <c r="G1669" s="2" t="s">
        <v>161</v>
      </c>
      <c r="H1669" s="188">
        <f ca="1">IF(G1648&gt;=5,H1650,H1665)</f>
        <v>8888</v>
      </c>
      <c r="I1669" s="189">
        <f ca="1">IF(G1648&gt;=5,I1668,I1665)</f>
        <v>8888</v>
      </c>
      <c r="AD1669" s="157"/>
      <c r="AE1669" s="2" t="s">
        <v>161</v>
      </c>
      <c r="AF1669" s="188">
        <f ca="1">IF($AE1648,H1669,AF1654)</f>
        <v>8888</v>
      </c>
      <c r="AG1669" s="196">
        <f ca="1">IF($AE1648,I1669,AG1654)</f>
        <v>8888</v>
      </c>
      <c r="BD1669" s="157"/>
    </row>
    <row r="1670" spans="2:56">
      <c r="B1670" s="156"/>
      <c r="F1670" s="157"/>
      <c r="G1670" s="192" t="s">
        <v>11</v>
      </c>
      <c r="H1670" s="128">
        <f ca="1">IF(G1648&gt;=6,H1650,H1669)</f>
        <v>8888</v>
      </c>
      <c r="I1670" s="139">
        <f ca="1">IF(G1648&gt;=6,I1669-P1643,I1669)</f>
        <v>8888</v>
      </c>
      <c r="AD1670" s="157"/>
      <c r="AE1670" s="192" t="s">
        <v>11</v>
      </c>
      <c r="AF1670" s="128">
        <f ca="1">IF($AE1648,H1670,AF1654)</f>
        <v>8888</v>
      </c>
      <c r="AG1670" s="129">
        <f ca="1">IF($AE1648,I1670,AG1654)</f>
        <v>8888</v>
      </c>
      <c r="BD1670" s="157"/>
    </row>
    <row r="1671" spans="2:56">
      <c r="B1671" s="156"/>
      <c r="F1671" s="157"/>
      <c r="G1671" s="2" t="s">
        <v>12</v>
      </c>
      <c r="H1671" s="128">
        <f ca="1">IF(G1648&gt;=6,H1651,H1669)</f>
        <v>8888</v>
      </c>
      <c r="I1671" s="139">
        <f ca="1">IF(G1648&gt;=6,I1670,I1669)</f>
        <v>8888</v>
      </c>
      <c r="AD1671" s="157"/>
      <c r="AE1671" s="2" t="s">
        <v>12</v>
      </c>
      <c r="AF1671" s="128">
        <f ca="1">IF($AE1648,H1671,AF1654)</f>
        <v>8888</v>
      </c>
      <c r="AG1671" s="129">
        <f ca="1">IF($AE1648,I1671,AG1654)</f>
        <v>8888</v>
      </c>
      <c r="BD1671" s="157"/>
    </row>
    <row r="1672" spans="2:56">
      <c r="B1672" s="156"/>
      <c r="F1672" s="157"/>
      <c r="G1672" s="2" t="s">
        <v>13</v>
      </c>
      <c r="H1672" s="128">
        <f ca="1">IF(G1648&gt;=6,H1651,H1669)</f>
        <v>8888</v>
      </c>
      <c r="I1672" s="139">
        <f ca="1">IF(G1648&gt;=6,I1671-P1641,I1669)</f>
        <v>8888</v>
      </c>
      <c r="AD1672" s="157"/>
      <c r="AE1672" s="2" t="s">
        <v>13</v>
      </c>
      <c r="AF1672" s="128">
        <f ca="1">IF($AE1648,H1672,AF1654)</f>
        <v>8888</v>
      </c>
      <c r="AG1672" s="129">
        <f ca="1">IF($AE1648,I1672,AG1654)</f>
        <v>8888</v>
      </c>
      <c r="BD1672" s="157"/>
    </row>
    <row r="1673" spans="2:56">
      <c r="B1673" s="156"/>
      <c r="F1673" s="157"/>
      <c r="G1673" s="115" t="s">
        <v>14</v>
      </c>
      <c r="H1673" s="188">
        <f ca="1">IF(G1648&gt;=6,H1650,H1669)</f>
        <v>8888</v>
      </c>
      <c r="I1673" s="189">
        <f ca="1">IF(G1648&gt;=6,I1672,I1669)</f>
        <v>8888</v>
      </c>
      <c r="AD1673" s="157"/>
      <c r="AE1673" s="115" t="s">
        <v>14</v>
      </c>
      <c r="AF1673" s="188">
        <f ca="1">IF($AE1648,H1673,AF1654)</f>
        <v>8888</v>
      </c>
      <c r="AG1673" s="196">
        <f ca="1">IF($AE1648,I1673,AG1654)</f>
        <v>8888</v>
      </c>
      <c r="BD1673" s="157"/>
    </row>
    <row r="1674" spans="2:56" ht="15" thickBot="1">
      <c r="B1674" s="156"/>
      <c r="G1674" s="130" t="s">
        <v>396</v>
      </c>
      <c r="H1674" s="130">
        <f ca="1">H1650</f>
        <v>8888</v>
      </c>
      <c r="I1674" s="140">
        <f ca="1">I1650</f>
        <v>8888</v>
      </c>
      <c r="AE1674" s="130" t="s">
        <v>396</v>
      </c>
      <c r="AF1674" s="130">
        <f ca="1">IF($AE1648,H1674,AF1654)</f>
        <v>8888</v>
      </c>
      <c r="AG1674" s="132">
        <f ca="1">IF($AE1648,I1674,AG1654)</f>
        <v>8888</v>
      </c>
      <c r="BD1674" s="157"/>
    </row>
    <row r="1675" spans="2:56">
      <c r="B1675" s="156"/>
      <c r="BD1675" s="157"/>
    </row>
    <row r="1676" spans="2:56">
      <c r="B1676" s="156"/>
      <c r="BD1676" s="157"/>
    </row>
    <row r="1677" spans="2:56">
      <c r="B1677" s="156"/>
      <c r="C1677" s="200" t="s">
        <v>336</v>
      </c>
      <c r="D1677">
        <f>D1641+1</f>
        <v>42</v>
      </c>
      <c r="G1677" s="200" t="s">
        <v>638</v>
      </c>
      <c r="H1677">
        <f ca="1">LOOKUP(D1680,$C$191:$C$196,$D$191:$D$196)</f>
        <v>0</v>
      </c>
      <c r="K1677" s="200" t="s">
        <v>644</v>
      </c>
      <c r="L1677">
        <f ca="1">L1641-H1682</f>
        <v>-18.624000000000006</v>
      </c>
      <c r="O1677" s="200" t="s">
        <v>404</v>
      </c>
      <c r="P1677">
        <f ca="1">IF(D1679=1,SEAT_w_cushion_FC,IF(D1679=2,SEAT_w_cushion_BC,IF(D1679=3,SEAT_w_cushion_YC,0)))</f>
        <v>0</v>
      </c>
      <c r="S1677" s="200" t="s">
        <v>647</v>
      </c>
      <c r="T1677">
        <f ca="1">LOOKUP(D1680,$C$191:$C$196,$E$191:$E$196)</f>
        <v>0</v>
      </c>
      <c r="W1677" t="s">
        <v>130</v>
      </c>
      <c r="X1677" t="str">
        <f ca="1">OFFSET(Fuselage!$B$275,D1677,5)</f>
        <v>None</v>
      </c>
      <c r="AN1677" s="200" t="s">
        <v>135</v>
      </c>
      <c r="AO1677">
        <f ca="1">MAX(0,H1682-MAX(T1677,T1679,T1681,P1678)-X1678)</f>
        <v>0</v>
      </c>
      <c r="BD1677" s="157"/>
    </row>
    <row r="1678" spans="2:56">
      <c r="B1678" s="156"/>
      <c r="C1678" s="200" t="s">
        <v>200</v>
      </c>
      <c r="D1678" t="str">
        <f ca="1">OFFSET(Fuselage!$B$275,D1677,0)</f>
        <v/>
      </c>
      <c r="G1678" s="200" t="s">
        <v>639</v>
      </c>
      <c r="H1678">
        <f ca="1">LOOKUP(D1681,$C$191:$C$196,$D$191:$D$196)</f>
        <v>0</v>
      </c>
      <c r="O1678" s="200" t="s">
        <v>535</v>
      </c>
      <c r="P1678">
        <f ca="1">IF(D1679=1,SEAT_length_FC,IF(D1679=2,SEAT_length_BC,IF(D1679=3,SEAT_length_YC,0)))</f>
        <v>0</v>
      </c>
      <c r="S1678" s="200" t="s">
        <v>648</v>
      </c>
      <c r="T1678">
        <f ca="1">LOOKUP(D1680,$C$191:$C$196,$F$191:$F$196)</f>
        <v>0</v>
      </c>
      <c r="W1678" t="s">
        <v>131</v>
      </c>
      <c r="X1678">
        <f ca="1">LOOKUP(X1677,$I$191:$I$198,$J$191:$J$198)</f>
        <v>0</v>
      </c>
      <c r="BD1678" s="157"/>
    </row>
    <row r="1679" spans="2:56">
      <c r="B1679" s="156"/>
      <c r="C1679" s="200" t="s">
        <v>337</v>
      </c>
      <c r="D1679" t="str">
        <f ca="1">OFFSET(Fuselage!$B$275,D1677,4)</f>
        <v/>
      </c>
      <c r="G1679" s="200" t="s">
        <v>309</v>
      </c>
      <c r="H1679">
        <f ca="1">LOOKUP(D1682,$C$191:$C$196,$D$191:$D$196)</f>
        <v>0</v>
      </c>
      <c r="K1679" s="200" t="s">
        <v>645</v>
      </c>
      <c r="L1679">
        <f ca="1">IF(D1679=1,FUSELAGE_nseats_left_FC,IF(D1679=2,FUSELAGE_nseats_left_BC,IF(D1679=3,FUSELAGE_nseats_left_YC,0)))</f>
        <v>0</v>
      </c>
      <c r="O1679" s="200" t="s">
        <v>405</v>
      </c>
      <c r="P1679">
        <f ca="1">IF(D1679=1,SEAT_w_armrest_FC,IF(D1679=2,SEAT_w_armrest_BC,IF(D1679=3,SEAT_w_armrest_YC,0)))</f>
        <v>0</v>
      </c>
      <c r="S1679" s="200" t="s">
        <v>652</v>
      </c>
      <c r="T1679">
        <f ca="1">LOOKUP(D1681,$C$191:$C$196,$E$191:$E$196)</f>
        <v>0</v>
      </c>
      <c r="W1679" s="200" t="s">
        <v>393</v>
      </c>
      <c r="X1679" t="b">
        <f ca="1">IF(OFFSET(Fuselage!$B$275,D1677,6)="YES",TRUE(),FALSE())</f>
        <v>0</v>
      </c>
      <c r="BD1679" s="157"/>
    </row>
    <row r="1680" spans="2:56">
      <c r="B1680" s="156"/>
      <c r="C1680" s="200" t="s">
        <v>640</v>
      </c>
      <c r="D1680" t="str">
        <f ca="1">OFFSET(Fuselage!$B$275,D1677,1)</f>
        <v>None</v>
      </c>
      <c r="G1680" s="200" t="s">
        <v>132</v>
      </c>
      <c r="H1680">
        <f ca="1">IF(D1679=1,SEAT_pitch_FC,IF(D1679=2,SEAT_pitch_BC,IF(D1679=3,SEAT_pitch_YC,0)))</f>
        <v>0</v>
      </c>
      <c r="K1680" s="200" t="s">
        <v>646</v>
      </c>
      <c r="L1680">
        <f ca="1">IF(D1679=1,FUSELAGE_nseats_middle_FC,IF(D1679=2,FUSELAGE_nseats_middle_BC,IF(D1679=3,FUSELAGE_nseats_middle_YC,0)))</f>
        <v>0</v>
      </c>
      <c r="S1680" s="200" t="s">
        <v>653</v>
      </c>
      <c r="T1680">
        <f ca="1">LOOKUP(D1681,$C$191:$C$196,$F$191:$F$196)</f>
        <v>0</v>
      </c>
      <c r="BD1680" s="157"/>
    </row>
    <row r="1681" spans="2:56">
      <c r="B1681" s="156"/>
      <c r="C1681" s="200" t="s">
        <v>642</v>
      </c>
      <c r="D1681" t="str">
        <f ca="1">OFFSET(Fuselage!$B$275,D1677,2)</f>
        <v>None</v>
      </c>
      <c r="G1681" s="200" t="s">
        <v>129</v>
      </c>
      <c r="H1681">
        <f ca="1">IF(OR(X1677="Type A",X1677="Type B"),MAX(H1677:H1680)+42*0.0254,IF(X1677="Type C",MAX(H1677:H1680)+X1678,IF(X1677&lt;&gt;"None",24*0.0254,0)))</f>
        <v>0</v>
      </c>
      <c r="K1681" s="200" t="s">
        <v>655</v>
      </c>
      <c r="L1681">
        <f ca="1">IF(D1679=1,FUSELAGE_nseats_right_FC,IF(D1679=2,FUSELAGE_nseats_right_BC,IF(D1679=3,FUSELAGE_nseats_right_YC,0)))</f>
        <v>0</v>
      </c>
      <c r="O1681" s="200" t="s">
        <v>407</v>
      </c>
      <c r="P1681">
        <f ca="1">($C$13-(L1679+L1680+L1681)*(P1677+P1679)+(FUSELAGE_n_aisles-1)*P1679)/FUSELAGE_n_aisles</f>
        <v>2.76</v>
      </c>
      <c r="S1681" s="200" t="s">
        <v>651</v>
      </c>
      <c r="T1681">
        <f ca="1">LOOKUP(D1682,$C$191:$C$196,$E$191:$E$196)</f>
        <v>0</v>
      </c>
      <c r="BD1681" s="157"/>
    </row>
    <row r="1682" spans="2:56">
      <c r="B1682" s="156"/>
      <c r="C1682" s="200" t="s">
        <v>641</v>
      </c>
      <c r="D1682" t="str">
        <f ca="1">OFFSET(Fuselage!$B$275,D1677,3)</f>
        <v>None</v>
      </c>
      <c r="G1682" s="200" t="s">
        <v>643</v>
      </c>
      <c r="H1682">
        <f ca="1">MAX(H1677:H1681)</f>
        <v>0</v>
      </c>
      <c r="S1682" s="200" t="s">
        <v>654</v>
      </c>
      <c r="T1682">
        <f ca="1">LOOKUP(D1682,$C$191:$C$196,$F$191:$F$196)</f>
        <v>0</v>
      </c>
      <c r="BD1682" s="157"/>
    </row>
    <row r="1683" spans="2:56" ht="15" thickBot="1">
      <c r="B1683" s="156"/>
      <c r="BD1683" s="157"/>
    </row>
    <row r="1684" spans="2:56" ht="15" thickBot="1">
      <c r="B1684" s="156"/>
      <c r="C1684" s="141">
        <f ca="1">L1681</f>
        <v>0</v>
      </c>
      <c r="D1684" s="197" t="str">
        <f ca="1">IF($D1679=1,"FC",IF($D1679=2,"BC",IF($D1679=3,"YC","Nothing")))</f>
        <v>Nothing</v>
      </c>
      <c r="E1684" s="198"/>
      <c r="G1684" s="141">
        <f ca="1">L1680</f>
        <v>0</v>
      </c>
      <c r="H1684" s="197" t="str">
        <f ca="1">IF($D1679=1,"FC",IF($D1679=2,"BC",IF($D1679=3,"YC","Nothing")))</f>
        <v>Nothing</v>
      </c>
      <c r="I1684" s="198"/>
      <c r="K1684" s="141">
        <f ca="1" xml:space="preserve"> L1679</f>
        <v>0</v>
      </c>
      <c r="L1684" s="197" t="str">
        <f ca="1">IF($D1679=1,"FC",IF($D1679=2,"BC",IF($D1679=3,"YC","Nothing")))</f>
        <v>Nothing</v>
      </c>
      <c r="M1684" s="198"/>
      <c r="O1684" s="141">
        <f ca="1">IF($D1682&lt;&gt;"None",1,0)</f>
        <v>0</v>
      </c>
      <c r="P1684" s="326" t="s">
        <v>380</v>
      </c>
      <c r="Q1684" s="327"/>
      <c r="S1684" s="141">
        <f ca="1">IF($D1681&lt;&gt;"None",1,0)</f>
        <v>0</v>
      </c>
      <c r="T1684" s="326" t="s">
        <v>381</v>
      </c>
      <c r="U1684" s="327"/>
      <c r="W1684" s="141">
        <f ca="1">IF($D1680&lt;&gt;"None",1,0)</f>
        <v>0</v>
      </c>
      <c r="X1684" s="326" t="s">
        <v>382</v>
      </c>
      <c r="Y1684" s="327"/>
      <c r="AA1684" s="141">
        <f ca="1">IF($D1682="None",1,0)</f>
        <v>1</v>
      </c>
      <c r="AB1684" s="326" t="str">
        <f ca="1">IF(AA1684,D1684,$D1682)</f>
        <v>Nothing</v>
      </c>
      <c r="AC1684" s="327"/>
      <c r="AE1684" s="141">
        <f ca="1">IF($D1681="None",1,0)</f>
        <v>1</v>
      </c>
      <c r="AF1684" s="326" t="str">
        <f ca="1">IF(AE1684,H1684,$D1681)</f>
        <v>Nothing</v>
      </c>
      <c r="AG1684" s="327"/>
      <c r="AI1684" s="141">
        <f ca="1">IF($D1680="None",1,0)</f>
        <v>1</v>
      </c>
      <c r="AJ1684" s="326" t="str">
        <f ca="1">IF(AI1684,L1684,$D1680)</f>
        <v>Nothing</v>
      </c>
      <c r="AK1684" s="327"/>
      <c r="AM1684" s="141">
        <f ca="1">IF($X1677="None",0,1)</f>
        <v>0</v>
      </c>
      <c r="AN1684" s="197" t="s">
        <v>133</v>
      </c>
      <c r="AO1684" s="198"/>
      <c r="AQ1684" s="141">
        <f ca="1">IF($X1677="None",0,1)</f>
        <v>0</v>
      </c>
      <c r="AR1684" s="197" t="s">
        <v>134</v>
      </c>
      <c r="AS1684" s="198"/>
      <c r="BD1684" s="157"/>
    </row>
    <row r="1685" spans="2:56" ht="15" thickBot="1">
      <c r="B1685" s="156"/>
      <c r="C1685" s="136" t="s">
        <v>452</v>
      </c>
      <c r="D1685" s="136" t="s">
        <v>384</v>
      </c>
      <c r="E1685" s="138" t="s">
        <v>385</v>
      </c>
      <c r="G1685" s="136" t="s">
        <v>452</v>
      </c>
      <c r="H1685" s="136" t="s">
        <v>384</v>
      </c>
      <c r="I1685" s="138" t="s">
        <v>385</v>
      </c>
      <c r="K1685" s="193" t="s">
        <v>452</v>
      </c>
      <c r="L1685" s="193" t="s">
        <v>384</v>
      </c>
      <c r="M1685" s="194" t="s">
        <v>385</v>
      </c>
      <c r="O1685" s="136" t="s">
        <v>452</v>
      </c>
      <c r="P1685" s="136" t="s">
        <v>384</v>
      </c>
      <c r="Q1685" s="138" t="s">
        <v>385</v>
      </c>
      <c r="S1685" s="136" t="s">
        <v>452</v>
      </c>
      <c r="T1685" s="136" t="s">
        <v>384</v>
      </c>
      <c r="U1685" s="138" t="s">
        <v>385</v>
      </c>
      <c r="W1685" s="136" t="s">
        <v>452</v>
      </c>
      <c r="X1685" s="136" t="s">
        <v>384</v>
      </c>
      <c r="Y1685" s="138" t="s">
        <v>385</v>
      </c>
      <c r="AA1685" s="136" t="s">
        <v>452</v>
      </c>
      <c r="AB1685" s="136" t="s">
        <v>384</v>
      </c>
      <c r="AC1685" s="138" t="s">
        <v>385</v>
      </c>
      <c r="AE1685" s="136" t="s">
        <v>452</v>
      </c>
      <c r="AF1685" s="136" t="s">
        <v>384</v>
      </c>
      <c r="AG1685" s="138" t="s">
        <v>385</v>
      </c>
      <c r="AI1685" s="193" t="s">
        <v>452</v>
      </c>
      <c r="AJ1685" s="193" t="s">
        <v>384</v>
      </c>
      <c r="AK1685" s="194" t="s">
        <v>385</v>
      </c>
      <c r="AM1685" s="193" t="s">
        <v>452</v>
      </c>
      <c r="AN1685" s="193" t="s">
        <v>384</v>
      </c>
      <c r="AO1685" s="194" t="s">
        <v>385</v>
      </c>
      <c r="AQ1685" s="193" t="s">
        <v>452</v>
      </c>
      <c r="AR1685" s="193" t="s">
        <v>384</v>
      </c>
      <c r="AS1685" s="194" t="s">
        <v>385</v>
      </c>
      <c r="BD1685" s="157"/>
    </row>
    <row r="1686" spans="2:56">
      <c r="B1686" s="156"/>
      <c r="C1686" s="128" t="s">
        <v>396</v>
      </c>
      <c r="D1686" s="158">
        <f ca="1">IF(C1684&gt;=1,L1677,8888)</f>
        <v>8888</v>
      </c>
      <c r="E1686" s="160">
        <f ca="1">IF(C1684&gt;=1,1/2*($C$13-P1677-2*P1679)+1/2*P1677,8888)</f>
        <v>8888</v>
      </c>
      <c r="G1686" s="128" t="s">
        <v>396</v>
      </c>
      <c r="H1686" s="158">
        <f ca="1">IF(G1684&gt;=1,L1677,8888)</f>
        <v>8888</v>
      </c>
      <c r="I1686" s="160">
        <f ca="1">IF(G1684&gt;=1,E1697-P1681,8888)</f>
        <v>8888</v>
      </c>
      <c r="K1686" s="128" t="s">
        <v>396</v>
      </c>
      <c r="L1686" s="158">
        <f ca="1">IF(K1684&gt;=1,L1677,8888)</f>
        <v>8888</v>
      </c>
      <c r="M1686" s="160">
        <f ca="1">IF(K1684&gt;=1,IF(FUSELAGE_n_aisles=1,E1697-P1681,I1709-P1681),8888)</f>
        <v>8888</v>
      </c>
      <c r="O1686" s="128" t="s">
        <v>396</v>
      </c>
      <c r="P1686" s="158">
        <f ca="1">IF(O1684,$L1677,8888)</f>
        <v>8888</v>
      </c>
      <c r="Q1686" s="209">
        <f ca="1">IF(O1684,FUSELAGE_y_position_of_left_seat_YC-(FUSELAGE_nseats_right_YC-1)*(SEAT_w_cushion_YC+SEAT_w_armrest_YC)/2+T1682/2,8888)</f>
        <v>8888</v>
      </c>
      <c r="S1686" s="128" t="s">
        <v>396</v>
      </c>
      <c r="T1686" s="158">
        <f ca="1">IF(S1684,$L1677,8888)</f>
        <v>8888</v>
      </c>
      <c r="U1686" s="160">
        <f ca="1">IF(S1684,T1680/2,8888)</f>
        <v>8888</v>
      </c>
      <c r="W1686" s="128" t="s">
        <v>396</v>
      </c>
      <c r="X1686" s="158">
        <f ca="1">IF(W1684,$L1677,8888)</f>
        <v>8888</v>
      </c>
      <c r="Y1686" s="160">
        <f ca="1">IF(W1684,-FUSELAGE_y_position_of_left_seat_YC+(FUSELAGE_nseats_left_YC-1)*(SEAT_w_cushion_YC+SEAT_w_armrest_YC)/2-T1678/2,8888)</f>
        <v>8888</v>
      </c>
      <c r="AA1686" s="128" t="s">
        <v>396</v>
      </c>
      <c r="AB1686" s="158">
        <f ca="1">IF($AA1684,D1686,P1686)</f>
        <v>8888</v>
      </c>
      <c r="AC1686" s="174">
        <f ca="1">IF($AA1684,E1686,Q1686)</f>
        <v>8888</v>
      </c>
      <c r="AE1686" s="128" t="s">
        <v>396</v>
      </c>
      <c r="AF1686" s="158">
        <f ca="1">IF($AE1684,H1686,T1686)</f>
        <v>8888</v>
      </c>
      <c r="AG1686" s="174">
        <f ca="1">IF($AE1684,I1686,U1686)</f>
        <v>8888</v>
      </c>
      <c r="AI1686" s="128" t="s">
        <v>396</v>
      </c>
      <c r="AJ1686" s="158">
        <f ca="1">IF($AI1684,L1686,X1686)</f>
        <v>8888</v>
      </c>
      <c r="AK1686" s="174">
        <f ca="1">IF($AI1684,M1686,Y1686)</f>
        <v>8888</v>
      </c>
      <c r="AM1686" s="128" t="s">
        <v>396</v>
      </c>
      <c r="AN1686" s="158">
        <f ca="1">AN1655</f>
        <v>-18.624000000000006</v>
      </c>
      <c r="AO1686" s="174">
        <f ca="1">IF(AN1686&gt;-Fuselage!$D$366,(FUSELAGE_a_ellipse)*SQRT(1-((AN1686+Fuselage!$D$366)/(Fuselage!$K$364-FUSELAGE_t_fuselage))^2),IF(AN1686&gt;$L$2505+Fuselage!$K$370,FUSELAGE_a_ellipse,(FUSELAGE_a_ellipse+FUSELAGE_t_fuselage-FUSELAGE_d_fo/4)/Fuselage!$K$368*(AN1686-$L$2505-Fuselage!$K$370)+FUSELAGE_a_ellipse))</f>
        <v>1.4960570012328709</v>
      </c>
      <c r="AQ1686" s="128" t="s">
        <v>396</v>
      </c>
      <c r="AR1686" s="158">
        <f t="shared" ref="AR1686:AR1691" ca="1" si="148">AN1686</f>
        <v>-18.624000000000006</v>
      </c>
      <c r="AS1686" s="174">
        <f t="shared" ref="AS1686:AS1691" ca="1" si="149">-AO1686</f>
        <v>-1.4960570012328709</v>
      </c>
      <c r="BD1686" s="157"/>
    </row>
    <row r="1687" spans="2:56">
      <c r="B1687" s="156"/>
      <c r="C1687" s="128" t="s">
        <v>213</v>
      </c>
      <c r="D1687" s="128">
        <f ca="1">IF(X1679,D1686+P1678/4,D1686+P1678)</f>
        <v>8888</v>
      </c>
      <c r="E1687" s="139">
        <f ca="1">E1686</f>
        <v>8888</v>
      </c>
      <c r="G1687" s="128" t="s">
        <v>213</v>
      </c>
      <c r="H1687" s="128">
        <f ca="1">H1686+P1678</f>
        <v>8888</v>
      </c>
      <c r="I1687" s="139">
        <f ca="1">I1686</f>
        <v>8888</v>
      </c>
      <c r="K1687" s="128" t="s">
        <v>213</v>
      </c>
      <c r="L1687" s="128">
        <f ca="1">IF(X1679,IF(K1684=1,L1686+P1678/4,L1686+P1678),L1686+P1678)</f>
        <v>8888</v>
      </c>
      <c r="M1687" s="139">
        <f ca="1">M1686</f>
        <v>8888</v>
      </c>
      <c r="O1687" s="128" t="s">
        <v>213</v>
      </c>
      <c r="P1687" s="128">
        <f ca="1">P1686+$T1681</f>
        <v>8888</v>
      </c>
      <c r="Q1687" s="139">
        <f ca="1">Q1686</f>
        <v>8888</v>
      </c>
      <c r="S1687" s="128" t="s">
        <v>213</v>
      </c>
      <c r="T1687" s="128">
        <f ca="1">T1686+$T1679</f>
        <v>8888</v>
      </c>
      <c r="U1687" s="139">
        <f ca="1">U1686</f>
        <v>8888</v>
      </c>
      <c r="W1687" s="128" t="s">
        <v>213</v>
      </c>
      <c r="X1687" s="128">
        <f ca="1">X1686+$T1677</f>
        <v>8888</v>
      </c>
      <c r="Y1687" s="139">
        <f ca="1">Y1686</f>
        <v>8888</v>
      </c>
      <c r="AA1687" s="143" t="s">
        <v>213</v>
      </c>
      <c r="AB1687" s="128">
        <f ca="1">IF($AA1684,D1687,P1687)</f>
        <v>8888</v>
      </c>
      <c r="AC1687" s="129">
        <f ca="1">IF($AA1684,E1687,Q1687)</f>
        <v>8888</v>
      </c>
      <c r="AE1687" s="128" t="s">
        <v>213</v>
      </c>
      <c r="AF1687" s="128">
        <f ca="1">IF($AE1684,H1687,T1687)</f>
        <v>8888</v>
      </c>
      <c r="AG1687" s="129">
        <f ca="1">IF($AE1684,I1687,U1687)</f>
        <v>8888</v>
      </c>
      <c r="AI1687" s="128" t="s">
        <v>213</v>
      </c>
      <c r="AJ1687" s="128">
        <f ca="1">IF($AI1684,L1687,X1687)</f>
        <v>8888</v>
      </c>
      <c r="AK1687" s="129">
        <f ca="1">IF($AI1684,M1687,Y1687)</f>
        <v>8888</v>
      </c>
      <c r="AM1687" s="128" t="s">
        <v>213</v>
      </c>
      <c r="AN1687" s="128">
        <f ca="1">AN1686-AO1677/2</f>
        <v>-18.624000000000006</v>
      </c>
      <c r="AO1687" s="129">
        <f ca="1">IF(AN1687&gt;-Fuselage!$D$366,(FUSELAGE_a_ellipse)*SQRT(1-((AN1687+Fuselage!$D$366)/(Fuselage!$K$364-FUSELAGE_t_fuselage))^2),IF(AN1687&gt;$L$2505+Fuselage!$K$370,FUSELAGE_a_ellipse,(FUSELAGE_a_ellipse+FUSELAGE_t_fuselage-FUSELAGE_d_fo/4)/Fuselage!$K$368*(AN1687-$L$2505-Fuselage!$K$370)+FUSELAGE_a_ellipse))</f>
        <v>1.4960570012328709</v>
      </c>
      <c r="AQ1687" s="128" t="s">
        <v>213</v>
      </c>
      <c r="AR1687" s="128">
        <f t="shared" ca="1" si="148"/>
        <v>-18.624000000000006</v>
      </c>
      <c r="AS1687" s="129">
        <f t="shared" ca="1" si="149"/>
        <v>-1.4960570012328709</v>
      </c>
      <c r="BD1687" s="157"/>
    </row>
    <row r="1688" spans="2:56">
      <c r="B1688" s="156"/>
      <c r="C1688" s="128" t="s">
        <v>286</v>
      </c>
      <c r="D1688" s="128">
        <f ca="1">D1687</f>
        <v>8888</v>
      </c>
      <c r="E1688" s="139">
        <f ca="1">E1687-P1677</f>
        <v>8888</v>
      </c>
      <c r="G1688" s="128" t="s">
        <v>286</v>
      </c>
      <c r="H1688" s="128">
        <f ca="1">H1687</f>
        <v>8888</v>
      </c>
      <c r="I1688" s="139">
        <f ca="1">I1687-P1677</f>
        <v>8888</v>
      </c>
      <c r="K1688" s="128" t="s">
        <v>286</v>
      </c>
      <c r="L1688" s="128">
        <f ca="1">L1687</f>
        <v>8888</v>
      </c>
      <c r="M1688" s="139">
        <f ca="1">M1687-P1677</f>
        <v>8888</v>
      </c>
      <c r="O1688" s="128" t="s">
        <v>286</v>
      </c>
      <c r="P1688" s="128">
        <f ca="1">P1687</f>
        <v>8888</v>
      </c>
      <c r="Q1688" s="139">
        <f ca="1">Q1687-$T1682</f>
        <v>8888</v>
      </c>
      <c r="S1688" s="128" t="s">
        <v>286</v>
      </c>
      <c r="T1688" s="128">
        <f ca="1">T1687</f>
        <v>8888</v>
      </c>
      <c r="U1688" s="139">
        <f ca="1">U1687-$T1680</f>
        <v>8888</v>
      </c>
      <c r="W1688" s="128" t="s">
        <v>286</v>
      </c>
      <c r="X1688" s="128">
        <f ca="1">X1687</f>
        <v>8888</v>
      </c>
      <c r="Y1688" s="139">
        <f ca="1">Y1687+$T1678</f>
        <v>8888</v>
      </c>
      <c r="AA1688" s="143" t="s">
        <v>286</v>
      </c>
      <c r="AB1688" s="128">
        <f ca="1">IF($AA1684,D1688,P1688)</f>
        <v>8888</v>
      </c>
      <c r="AC1688" s="129">
        <f ca="1">IF($AA1684,E1688,Q1688)</f>
        <v>8888</v>
      </c>
      <c r="AE1688" s="128" t="s">
        <v>286</v>
      </c>
      <c r="AF1688" s="128">
        <f ca="1">IF($AE1684,H1688,T1688)</f>
        <v>8888</v>
      </c>
      <c r="AG1688" s="129">
        <f ca="1">IF($AE1684,I1688,U1688)</f>
        <v>8888</v>
      </c>
      <c r="AI1688" s="128" t="s">
        <v>286</v>
      </c>
      <c r="AJ1688" s="128">
        <f ca="1">IF($AI1684,L1688,X1688)</f>
        <v>8888</v>
      </c>
      <c r="AK1688" s="129">
        <f ca="1">IF($AI1684,M1688,Y1688)</f>
        <v>8888</v>
      </c>
      <c r="AM1688" s="128" t="s">
        <v>286</v>
      </c>
      <c r="AN1688" s="128">
        <f ca="1">AN1687</f>
        <v>-18.624000000000006</v>
      </c>
      <c r="AO1688" s="129">
        <f ca="1">IF(AN1688&gt;-Fuselage!$D$366,IF(AM1684,(FUSELAGE_a_ellipse+FUSELAGE_t_fuselage)*SQRT(1-((AN1688+Fuselage!$D$366)/Fuselage!$K$364)^2),(FUSELAGE_a_ellipse)*SQRT(1-((AN1688+Fuselage!$D$366)/Fuselage!$K$364)^2)),IF(AN1688&gt;$L$2505+Fuselage!$K$370,(IF(AM1684,FUSELAGE_a_ellipse+FUSELAGE_t_fuselage,FUSELAGE_a_ellipse)),IF(AM1684,(FUSELAGE_a_ellipse+FUSELAGE_t_fuselage-FUSELAGE_d_fo/4)/Fuselage!$K$368*(AN1688-$L$2505-Fuselage!$K$370)+FUSELAGE_a_ellipse+FUSELAGE_t_fuselage,(FUSELAGE_a_ellipse+FUSELAGE_t_fuselage-FUSELAGE_d_fo/4)/Fuselage!$K$368*(AN1688-$L$2505-Fuselage!$K$370)+FUSELAGE_a_ellipse)))</f>
        <v>1.4960570012328709</v>
      </c>
      <c r="AQ1688" s="128" t="s">
        <v>286</v>
      </c>
      <c r="AR1688" s="128">
        <f t="shared" ca="1" si="148"/>
        <v>-18.624000000000006</v>
      </c>
      <c r="AS1688" s="129">
        <f t="shared" ca="1" si="149"/>
        <v>-1.4960570012328709</v>
      </c>
      <c r="BD1688" s="157"/>
    </row>
    <row r="1689" spans="2:56">
      <c r="B1689" s="156"/>
      <c r="C1689" s="188" t="s">
        <v>522</v>
      </c>
      <c r="D1689" s="188">
        <f ca="1">D1686</f>
        <v>8888</v>
      </c>
      <c r="E1689" s="189">
        <f ca="1">E1688</f>
        <v>8888</v>
      </c>
      <c r="F1689" s="157"/>
      <c r="G1689" s="2" t="s">
        <v>522</v>
      </c>
      <c r="H1689" s="128">
        <f ca="1">H1686</f>
        <v>8888</v>
      </c>
      <c r="I1689" s="139">
        <f ca="1">I1688</f>
        <v>8888</v>
      </c>
      <c r="K1689" s="128" t="s">
        <v>522</v>
      </c>
      <c r="L1689" s="128">
        <f ca="1">L1686</f>
        <v>8888</v>
      </c>
      <c r="M1689" s="139">
        <f ca="1">M1688</f>
        <v>8888</v>
      </c>
      <c r="O1689" s="188" t="s">
        <v>522</v>
      </c>
      <c r="P1689" s="188">
        <f ca="1">P1686</f>
        <v>8888</v>
      </c>
      <c r="Q1689" s="189">
        <f ca="1">Q1688</f>
        <v>8888</v>
      </c>
      <c r="S1689" s="188" t="s">
        <v>522</v>
      </c>
      <c r="T1689" s="188">
        <f ca="1">T1686</f>
        <v>8888</v>
      </c>
      <c r="U1689" s="189">
        <f ca="1">U1688</f>
        <v>8888</v>
      </c>
      <c r="W1689" s="188" t="s">
        <v>522</v>
      </c>
      <c r="X1689" s="188">
        <f ca="1">X1686</f>
        <v>8888</v>
      </c>
      <c r="Y1689" s="189">
        <f ca="1">Y1688</f>
        <v>8888</v>
      </c>
      <c r="AA1689" s="195" t="s">
        <v>522</v>
      </c>
      <c r="AB1689" s="128">
        <f ca="1">IF($AA1684,D1689,P1689)</f>
        <v>8888</v>
      </c>
      <c r="AC1689" s="129">
        <f ca="1">IF($AA1684,E1689,Q1689)</f>
        <v>8888</v>
      </c>
      <c r="AD1689" s="157"/>
      <c r="AE1689" s="2" t="s">
        <v>522</v>
      </c>
      <c r="AF1689" s="188">
        <f ca="1">IF($AE1684,H1689,T1689)</f>
        <v>8888</v>
      </c>
      <c r="AG1689" s="196">
        <f ca="1">IF($AE1684,I1689,U1689)</f>
        <v>8888</v>
      </c>
      <c r="AI1689" s="128" t="s">
        <v>522</v>
      </c>
      <c r="AJ1689" s="188">
        <f ca="1">IF($AI1684,L1689,X1689)</f>
        <v>8888</v>
      </c>
      <c r="AK1689" s="196">
        <f ca="1">IF($AI1684,M1689,Y1689)</f>
        <v>8888</v>
      </c>
      <c r="AM1689" s="128" t="s">
        <v>522</v>
      </c>
      <c r="AN1689" s="128">
        <f ca="1">AN1688-X1678</f>
        <v>-18.624000000000006</v>
      </c>
      <c r="AO1689" s="129">
        <f ca="1">IF(AN1689&gt;-Fuselage!$D$366,IF(AM1684,(FUSELAGE_a_ellipse+FUSELAGE_t_fuselage)*SQRT(1-((AN1689+Fuselage!$D$366)/Fuselage!$K$364)^2),(FUSELAGE_a_ellipse)*SQRT(1-((AN1689+Fuselage!$D$366)/Fuselage!$K$364)^2)),IF(AN1689&gt;$L$2505+Fuselage!$K$370,(IF(AM1684,FUSELAGE_a_ellipse+FUSELAGE_t_fuselage,FUSELAGE_a_ellipse)),IF(AM1684,(FUSELAGE_a_ellipse+FUSELAGE_t_fuselage-FUSELAGE_d_fo/4)/Fuselage!$K$368*(AN1689-$L$2505-Fuselage!$K$370)+FUSELAGE_a_ellipse+FUSELAGE_t_fuselage,(FUSELAGE_a_ellipse+FUSELAGE_t_fuselage-FUSELAGE_d_fo/4)/Fuselage!$K$368*(AN1689-$L$2505-Fuselage!$K$370)+FUSELAGE_a_ellipse)))</f>
        <v>1.4960570012328709</v>
      </c>
      <c r="AQ1689" s="128" t="s">
        <v>522</v>
      </c>
      <c r="AR1689" s="128">
        <f t="shared" ca="1" si="148"/>
        <v>-18.624000000000006</v>
      </c>
      <c r="AS1689" s="129">
        <f t="shared" ca="1" si="149"/>
        <v>-1.4960570012328709</v>
      </c>
      <c r="BD1689" s="157"/>
    </row>
    <row r="1690" spans="2:56" ht="15" thickBot="1">
      <c r="B1690" s="156"/>
      <c r="C1690" s="128" t="s">
        <v>49</v>
      </c>
      <c r="D1690" s="128">
        <f ca="1">IF(C1684&gt;=2,D1686,D1689)</f>
        <v>8888</v>
      </c>
      <c r="E1690" s="139">
        <f ca="1">IF(C1684&gt;=2,E1689-P1679,E1689)</f>
        <v>8888</v>
      </c>
      <c r="F1690" s="157"/>
      <c r="G1690" s="192" t="s">
        <v>49</v>
      </c>
      <c r="H1690" s="190">
        <f ca="1">IF(G1684&gt;=2,H1686,H1689)</f>
        <v>8888</v>
      </c>
      <c r="I1690" s="191">
        <f ca="1">IF(G1684&gt;=2,I1689-P1679,I1689)</f>
        <v>8888</v>
      </c>
      <c r="K1690" s="190" t="s">
        <v>49</v>
      </c>
      <c r="L1690" s="190">
        <f ca="1">IF(K1684&gt;=2,L1686,L1689)</f>
        <v>8888</v>
      </c>
      <c r="M1690" s="191">
        <f ca="1">IF(K1684&gt;=2,M1689-P1679,M1689)</f>
        <v>8888</v>
      </c>
      <c r="O1690" s="130" t="s">
        <v>396</v>
      </c>
      <c r="P1690" s="130">
        <f ca="1">P1686</f>
        <v>8888</v>
      </c>
      <c r="Q1690" s="140">
        <f ca="1">Q1686</f>
        <v>8888</v>
      </c>
      <c r="S1690" s="130" t="s">
        <v>396</v>
      </c>
      <c r="T1690" s="130">
        <f ca="1">T1686</f>
        <v>8888</v>
      </c>
      <c r="U1690" s="140">
        <f ca="1">U1686</f>
        <v>8888</v>
      </c>
      <c r="W1690" s="130" t="s">
        <v>396</v>
      </c>
      <c r="X1690" s="130">
        <f ca="1">X1686</f>
        <v>8888</v>
      </c>
      <c r="Y1690" s="140">
        <f ca="1">Y1686</f>
        <v>8888</v>
      </c>
      <c r="AA1690" s="143" t="s">
        <v>49</v>
      </c>
      <c r="AB1690" s="128">
        <f ca="1">IF($AA1684,D1690,P1690)</f>
        <v>8888</v>
      </c>
      <c r="AC1690" s="129">
        <f ca="1">IF($AA1684,E1690,Q1690)</f>
        <v>8888</v>
      </c>
      <c r="AD1690" s="157"/>
      <c r="AE1690" s="192" t="s">
        <v>49</v>
      </c>
      <c r="AF1690" s="128">
        <f ca="1">IF($AE1684,H1690,T1690)</f>
        <v>8888</v>
      </c>
      <c r="AG1690" s="129">
        <f ca="1">IF($AE1684,I1690,U1690)</f>
        <v>8888</v>
      </c>
      <c r="AI1690" s="190" t="s">
        <v>49</v>
      </c>
      <c r="AJ1690" s="128">
        <f ca="1">IF($AI1684,L1690,X1690)</f>
        <v>8888</v>
      </c>
      <c r="AK1690" s="129">
        <f ca="1">IF($AI1684,M1690,Y1690)</f>
        <v>8888</v>
      </c>
      <c r="AM1690" s="128" t="s">
        <v>49</v>
      </c>
      <c r="AN1690" s="128">
        <f ca="1">AN1689</f>
        <v>-18.624000000000006</v>
      </c>
      <c r="AO1690" s="129">
        <f ca="1">IF(AN1690&gt;-Fuselage!$D$366,(FUSELAGE_a_ellipse)*SQRT(1-((AN1690+Fuselage!$D$366)/(Fuselage!$K$364-FUSELAGE_t_fuselage))^2),IF(AN1690&gt;$L$2505+Fuselage!$K$370,FUSELAGE_a_ellipse,(FUSELAGE_a_ellipse+FUSELAGE_t_fuselage-FUSELAGE_d_fo/4)/Fuselage!$K$368*(AN1690-$L$2505-Fuselage!$K$370)+FUSELAGE_a_ellipse))</f>
        <v>1.4960570012328709</v>
      </c>
      <c r="AQ1690" s="128" t="s">
        <v>49</v>
      </c>
      <c r="AR1690" s="128">
        <f t="shared" ca="1" si="148"/>
        <v>-18.624000000000006</v>
      </c>
      <c r="AS1690" s="129">
        <f t="shared" ca="1" si="149"/>
        <v>-1.4960570012328709</v>
      </c>
      <c r="BD1690" s="157"/>
    </row>
    <row r="1691" spans="2:56">
      <c r="B1691" s="156"/>
      <c r="C1691" s="128" t="s">
        <v>453</v>
      </c>
      <c r="D1691" s="128">
        <f ca="1">IF(C1684&gt;=2,D1686+P1678,D1689)</f>
        <v>8888</v>
      </c>
      <c r="E1691" s="139">
        <f ca="1">E1690</f>
        <v>8888</v>
      </c>
      <c r="F1691" s="157"/>
      <c r="G1691" s="2" t="s">
        <v>453</v>
      </c>
      <c r="H1691" s="128">
        <f ca="1">IF(G1684&gt;=2,H1687,H1689)</f>
        <v>8888</v>
      </c>
      <c r="I1691" s="139">
        <f ca="1">IF(G1684&gt;=2,I1690,I1689)</f>
        <v>8888</v>
      </c>
      <c r="K1691" s="128" t="s">
        <v>453</v>
      </c>
      <c r="L1691" s="128">
        <f ca="1">IF(K1684&gt;=2,IF(X1679,IF(K1684=2,L1686+P1678/4,L1686+P1678),L1686+P1678),L1689)</f>
        <v>8888</v>
      </c>
      <c r="M1691" s="139">
        <f ca="1">IF(K1684&gt;=2,M1690,M1689)</f>
        <v>8888</v>
      </c>
      <c r="AA1691" s="143" t="s">
        <v>453</v>
      </c>
      <c r="AB1691" s="128">
        <f ca="1">IF($AA1684,D1691,AB1690)</f>
        <v>8888</v>
      </c>
      <c r="AC1691" s="129">
        <f ca="1">IF($AA1684,E1691,AC1690)</f>
        <v>8888</v>
      </c>
      <c r="AD1691" s="157"/>
      <c r="AE1691" s="2" t="s">
        <v>453</v>
      </c>
      <c r="AF1691" s="128">
        <f ca="1">IF($AE1684,H1691,AF1690)</f>
        <v>8888</v>
      </c>
      <c r="AG1691" s="129">
        <f ca="1">IF($AE1684,I1691,AG1690)</f>
        <v>8888</v>
      </c>
      <c r="AI1691" s="128" t="s">
        <v>453</v>
      </c>
      <c r="AJ1691" s="128">
        <f ca="1">IF($AI1684,L1691,AJ1690)</f>
        <v>8888</v>
      </c>
      <c r="AK1691" s="129">
        <f ca="1">IF($AI1684,M1691,AK1690)</f>
        <v>8888</v>
      </c>
      <c r="AM1691" s="128" t="s">
        <v>453</v>
      </c>
      <c r="AN1691" s="128">
        <f ca="1">L1677</f>
        <v>-18.624000000000006</v>
      </c>
      <c r="AO1691" s="129">
        <f ca="1">IF(AN1691&gt;-Fuselage!$D$366,(FUSELAGE_a_ellipse)*SQRT(1-((AN1691+Fuselage!$D$366)/(Fuselage!$K$364-FUSELAGE_t_fuselage))^2),IF(AN1691&gt;$L$2505+Fuselage!$K$370,FUSELAGE_a_ellipse,(FUSELAGE_a_ellipse+FUSELAGE_t_fuselage-FUSELAGE_d_fo/4)/Fuselage!$K$368*(AN1691-$L$2505-Fuselage!$K$370)+FUSELAGE_a_ellipse))</f>
        <v>1.4960570012328709</v>
      </c>
      <c r="AQ1691" s="128" t="s">
        <v>453</v>
      </c>
      <c r="AR1691" s="128">
        <f t="shared" ca="1" si="148"/>
        <v>-18.624000000000006</v>
      </c>
      <c r="AS1691" s="129">
        <f t="shared" ca="1" si="149"/>
        <v>-1.4960570012328709</v>
      </c>
      <c r="BD1691" s="157"/>
    </row>
    <row r="1692" spans="2:56">
      <c r="B1692" s="156"/>
      <c r="C1692" s="128" t="s">
        <v>394</v>
      </c>
      <c r="D1692" s="128">
        <f ca="1">IF(C1684&gt;=2,D1691,D1689)</f>
        <v>8888</v>
      </c>
      <c r="E1692" s="139">
        <f ca="1">IF(C1684&gt;=2,E1690-P1677,E1689)</f>
        <v>8888</v>
      </c>
      <c r="F1692" s="157"/>
      <c r="G1692" s="2" t="s">
        <v>394</v>
      </c>
      <c r="H1692" s="128">
        <f ca="1">IF(G1684&gt;=2,H1687,H1689)</f>
        <v>8888</v>
      </c>
      <c r="I1692" s="139">
        <f ca="1">IF(G1684&gt;=2,I1691-P1677,I1689)</f>
        <v>8888</v>
      </c>
      <c r="K1692" s="128" t="s">
        <v>394</v>
      </c>
      <c r="L1692" s="128">
        <f ca="1">L1691</f>
        <v>8888</v>
      </c>
      <c r="M1692" s="139">
        <f ca="1">IF(K1684&gt;=2,M1691-P1677,M1689)</f>
        <v>8888</v>
      </c>
      <c r="AA1692" s="143" t="s">
        <v>394</v>
      </c>
      <c r="AB1692" s="128">
        <f ca="1">IF($AA1684,D1692,AB1690)</f>
        <v>8888</v>
      </c>
      <c r="AC1692" s="129">
        <f ca="1">IF($AA1684,E1692,AC1690)</f>
        <v>8888</v>
      </c>
      <c r="AD1692" s="157"/>
      <c r="AE1692" s="2" t="s">
        <v>394</v>
      </c>
      <c r="AF1692" s="128">
        <f ca="1">IF($AE1684,H1692,AF1690)</f>
        <v>8888</v>
      </c>
      <c r="AG1692" s="129">
        <f ca="1">IF($AE1684,I1692,AG1690)</f>
        <v>8888</v>
      </c>
      <c r="AI1692" s="128" t="s">
        <v>394</v>
      </c>
      <c r="AJ1692" s="128">
        <f ca="1">IF($AI1684,L1692,AJ1690)</f>
        <v>8888</v>
      </c>
      <c r="AK1692" s="129">
        <f ca="1">IF($AI1684,M1692,AK1690)</f>
        <v>8888</v>
      </c>
      <c r="BD1692" s="157"/>
    </row>
    <row r="1693" spans="2:56">
      <c r="B1693" s="156"/>
      <c r="C1693" s="188" t="s">
        <v>454</v>
      </c>
      <c r="D1693" s="188">
        <f ca="1">IF(C1684&gt;=2,D1686,D1689)</f>
        <v>8888</v>
      </c>
      <c r="E1693" s="189">
        <f ca="1">E1692</f>
        <v>8888</v>
      </c>
      <c r="F1693" s="157"/>
      <c r="G1693" s="115" t="s">
        <v>454</v>
      </c>
      <c r="H1693" s="188">
        <f ca="1">IF(G1684&gt;=2,H1686,H1689)</f>
        <v>8888</v>
      </c>
      <c r="I1693" s="189">
        <f ca="1">IF(G1684&gt;=2,I1692,I1689)</f>
        <v>8888</v>
      </c>
      <c r="K1693" s="188" t="s">
        <v>454</v>
      </c>
      <c r="L1693" s="188">
        <f ca="1">IF(K1684&gt;=2,L1686,L1689)</f>
        <v>8888</v>
      </c>
      <c r="M1693" s="189">
        <f ca="1">IF(K1684&gt;=2,M1692,M1689)</f>
        <v>8888</v>
      </c>
      <c r="AA1693" s="195" t="s">
        <v>454</v>
      </c>
      <c r="AB1693" s="128">
        <f ca="1">IF($AA1684,D1693,AB1690)</f>
        <v>8888</v>
      </c>
      <c r="AC1693" s="129">
        <f ca="1">IF($AA1684,E1693,AC1690)</f>
        <v>8888</v>
      </c>
      <c r="AD1693" s="157"/>
      <c r="AE1693" s="115" t="s">
        <v>454</v>
      </c>
      <c r="AF1693" s="188">
        <f ca="1">IF($AE1684,H1693,AF1690)</f>
        <v>8888</v>
      </c>
      <c r="AG1693" s="196">
        <f ca="1">IF($AE1684,I1693,AG1690)</f>
        <v>8888</v>
      </c>
      <c r="AI1693" s="188" t="s">
        <v>454</v>
      </c>
      <c r="AJ1693" s="188">
        <f ca="1">IF($AI1684,L1693,AJ1690)</f>
        <v>8888</v>
      </c>
      <c r="AK1693" s="196">
        <f ca="1">IF($AI1684,M1693,AK1690)</f>
        <v>8888</v>
      </c>
      <c r="BD1693" s="157"/>
    </row>
    <row r="1694" spans="2:56">
      <c r="B1694" s="156"/>
      <c r="C1694" s="128" t="s">
        <v>507</v>
      </c>
      <c r="D1694" s="128">
        <f ca="1">IF(C1684&gt;=3,D1686,D1693)</f>
        <v>8888</v>
      </c>
      <c r="E1694" s="139">
        <f ca="1">IF(C1684&gt;=3,E1693-P1679,E1693)</f>
        <v>8888</v>
      </c>
      <c r="F1694" s="157"/>
      <c r="G1694" s="2" t="s">
        <v>507</v>
      </c>
      <c r="H1694" s="128">
        <f ca="1">IF(G1684&gt;=3,H1686,H1693)</f>
        <v>8888</v>
      </c>
      <c r="I1694" s="139">
        <f ca="1">IF(G1684&gt;=3,I1693-P1679,I1693)</f>
        <v>8888</v>
      </c>
      <c r="K1694" s="128" t="s">
        <v>507</v>
      </c>
      <c r="L1694" s="128">
        <f ca="1">IF(K1684&gt;=3,L1686,L1693)</f>
        <v>8888</v>
      </c>
      <c r="M1694" s="139">
        <f ca="1">IF(K1684&gt;=3,M1693-P1679,M1693)</f>
        <v>8888</v>
      </c>
      <c r="AA1694" s="143" t="s">
        <v>507</v>
      </c>
      <c r="AB1694" s="128">
        <f ca="1">IF($AA1684,D1694,AB1690)</f>
        <v>8888</v>
      </c>
      <c r="AC1694" s="129">
        <f ca="1">IF($AA1684,E1694,AC1690)</f>
        <v>8888</v>
      </c>
      <c r="AD1694" s="157"/>
      <c r="AE1694" s="2" t="s">
        <v>507</v>
      </c>
      <c r="AF1694" s="128">
        <f ca="1">IF($AE1684,H1694,AF1690)</f>
        <v>8888</v>
      </c>
      <c r="AG1694" s="129">
        <f ca="1">IF($AE1684,I1694,AG1690)</f>
        <v>8888</v>
      </c>
      <c r="AI1694" s="128" t="s">
        <v>507</v>
      </c>
      <c r="AJ1694" s="128">
        <f ca="1">IF($AI1684,L1694,AJ1690)</f>
        <v>8888</v>
      </c>
      <c r="AK1694" s="129">
        <f ca="1">IF($AI1684,M1694,AK1690)</f>
        <v>8888</v>
      </c>
      <c r="BD1694" s="157"/>
    </row>
    <row r="1695" spans="2:56">
      <c r="B1695" s="156"/>
      <c r="C1695" s="128" t="s">
        <v>455</v>
      </c>
      <c r="D1695" s="128">
        <f ca="1">IF(C1684&gt;=3,D1691,D1693)</f>
        <v>8888</v>
      </c>
      <c r="E1695" s="139">
        <f ca="1">E1694</f>
        <v>8888</v>
      </c>
      <c r="F1695" s="157"/>
      <c r="G1695" s="2" t="s">
        <v>455</v>
      </c>
      <c r="H1695" s="128">
        <f ca="1">IF(G1684&gt;=3,H1687,H1693)</f>
        <v>8888</v>
      </c>
      <c r="I1695" s="139">
        <f ca="1">IF(G1684&gt;=3,I1694,I1693)</f>
        <v>8888</v>
      </c>
      <c r="K1695" s="128" t="s">
        <v>455</v>
      </c>
      <c r="L1695" s="128">
        <f ca="1">IF(K1684&gt;=3,IF(X1679,IF(K1684=3,L1686+P1678/4,L1686+P1678),L1686+P1678),L1689)</f>
        <v>8888</v>
      </c>
      <c r="M1695" s="139">
        <f ca="1">IF(K1684&gt;=3,M1694,M1693)</f>
        <v>8888</v>
      </c>
      <c r="AA1695" s="143" t="s">
        <v>455</v>
      </c>
      <c r="AB1695" s="128">
        <f ca="1">IF($AA1684,D1695,AB1690)</f>
        <v>8888</v>
      </c>
      <c r="AC1695" s="129">
        <f ca="1">IF($AA1684,E1695,AC1690)</f>
        <v>8888</v>
      </c>
      <c r="AD1695" s="157"/>
      <c r="AE1695" s="2" t="s">
        <v>455</v>
      </c>
      <c r="AF1695" s="128">
        <f ca="1">IF($AE1684,H1695,AF1690)</f>
        <v>8888</v>
      </c>
      <c r="AG1695" s="129">
        <f ca="1">IF($AE1684,I1695,AG1690)</f>
        <v>8888</v>
      </c>
      <c r="AI1695" s="128" t="s">
        <v>455</v>
      </c>
      <c r="AJ1695" s="128">
        <f ca="1">IF($AI1684,L1695,AJ1690)</f>
        <v>8888</v>
      </c>
      <c r="AK1695" s="129">
        <f ca="1">IF($AI1684,M1695,AK1690)</f>
        <v>8888</v>
      </c>
      <c r="AL1695" s="156"/>
      <c r="BD1695" s="157"/>
    </row>
    <row r="1696" spans="2:56">
      <c r="B1696" s="156"/>
      <c r="C1696" s="128" t="s">
        <v>311</v>
      </c>
      <c r="D1696" s="128">
        <f ca="1">IF(C1684&gt;=3,D1691,D1693)</f>
        <v>8888</v>
      </c>
      <c r="E1696" s="139">
        <f ca="1">IF(C1684&gt;=3,E1695-P1677,E1693)</f>
        <v>8888</v>
      </c>
      <c r="F1696" s="157"/>
      <c r="G1696" s="2" t="s">
        <v>311</v>
      </c>
      <c r="H1696" s="128">
        <f ca="1">IF(G1684&gt;=3,H1687,H1693)</f>
        <v>8888</v>
      </c>
      <c r="I1696" s="139">
        <f ca="1">IF(G1684&gt;=3,I1695-P1677,I1693)</f>
        <v>8888</v>
      </c>
      <c r="K1696" s="128" t="s">
        <v>311</v>
      </c>
      <c r="L1696" s="128">
        <f ca="1">L1695</f>
        <v>8888</v>
      </c>
      <c r="M1696" s="139">
        <f ca="1">IF(K1684&gt;=3,M1695-P1677,M1693)</f>
        <v>8888</v>
      </c>
      <c r="AA1696" s="143" t="s">
        <v>311</v>
      </c>
      <c r="AB1696" s="128">
        <f ca="1">IF($AA1684,D1696,AB1690)</f>
        <v>8888</v>
      </c>
      <c r="AC1696" s="129">
        <f ca="1">IF($AA1684,E1696,AC1690)</f>
        <v>8888</v>
      </c>
      <c r="AD1696" s="157"/>
      <c r="AE1696" s="2" t="s">
        <v>311</v>
      </c>
      <c r="AF1696" s="128">
        <f ca="1">IF($AE1684,H1696,AF1690)</f>
        <v>8888</v>
      </c>
      <c r="AG1696" s="129">
        <f ca="1">IF($AE1684,I1696,AG1690)</f>
        <v>8888</v>
      </c>
      <c r="AI1696" s="128" t="s">
        <v>311</v>
      </c>
      <c r="AJ1696" s="128">
        <f ca="1">IF($AI1684,L1696,AJ1690)</f>
        <v>8888</v>
      </c>
      <c r="AK1696" s="129">
        <f ca="1">IF($AI1684,M1696,AK1690)</f>
        <v>8888</v>
      </c>
      <c r="AL1696" s="156"/>
      <c r="BD1696" s="157"/>
    </row>
    <row r="1697" spans="2:56">
      <c r="B1697" s="156"/>
      <c r="C1697" s="188" t="s">
        <v>35</v>
      </c>
      <c r="D1697" s="188">
        <f ca="1">IF(C1684&gt;=3,D1686,D1693)</f>
        <v>8888</v>
      </c>
      <c r="E1697" s="189">
        <f ca="1">E1696</f>
        <v>8888</v>
      </c>
      <c r="F1697" s="157"/>
      <c r="G1697" s="2" t="s">
        <v>35</v>
      </c>
      <c r="H1697" s="188">
        <f ca="1">IF(G1684&gt;=3,H1686,H1693)</f>
        <v>8888</v>
      </c>
      <c r="I1697" s="189">
        <f ca="1">IF(G1684&gt;=3,I1696,I1693)</f>
        <v>8888</v>
      </c>
      <c r="K1697" s="188" t="s">
        <v>35</v>
      </c>
      <c r="L1697" s="188">
        <f ca="1">IF(K1684&gt;=3,L1686,L1693)</f>
        <v>8888</v>
      </c>
      <c r="M1697" s="189">
        <f ca="1">IF(K1684&gt;=3,M1696,M1693)</f>
        <v>8888</v>
      </c>
      <c r="AA1697" s="143" t="s">
        <v>35</v>
      </c>
      <c r="AB1697" s="128">
        <f ca="1">IF($AA1684,D1697,AB1690)</f>
        <v>8888</v>
      </c>
      <c r="AC1697" s="129">
        <f ca="1">IF($AA1684,E1697,AC1690)</f>
        <v>8888</v>
      </c>
      <c r="AD1697" s="157"/>
      <c r="AE1697" s="2" t="s">
        <v>35</v>
      </c>
      <c r="AF1697" s="188">
        <f ca="1">IF($AE1684,H1697,AF1690)</f>
        <v>8888</v>
      </c>
      <c r="AG1697" s="196">
        <f ca="1">IF($AE1684,I1697,AG1690)</f>
        <v>8888</v>
      </c>
      <c r="AI1697" s="128" t="s">
        <v>35</v>
      </c>
      <c r="AJ1697" s="128">
        <f ca="1">IF($AI1684,L1697,AJ1690)</f>
        <v>8888</v>
      </c>
      <c r="AK1697" s="129">
        <f ca="1">IF($AI1684,M1697,AK1690)</f>
        <v>8888</v>
      </c>
      <c r="AL1697" s="156"/>
      <c r="BD1697" s="157"/>
    </row>
    <row r="1698" spans="2:56" ht="15" thickBot="1">
      <c r="B1698" s="156"/>
      <c r="C1698" s="130" t="s">
        <v>396</v>
      </c>
      <c r="D1698" s="130">
        <f ca="1">D1686</f>
        <v>8888</v>
      </c>
      <c r="E1698" s="140">
        <f ca="1">E1686</f>
        <v>8888</v>
      </c>
      <c r="F1698" s="157"/>
      <c r="G1698" s="192" t="s">
        <v>312</v>
      </c>
      <c r="H1698" s="128">
        <f ca="1">IF(G1684&gt;=4,H1686,H1697)</f>
        <v>8888</v>
      </c>
      <c r="I1698" s="139">
        <f ca="1">IF(G1684&gt;=4,I1697-P1679,I1697)</f>
        <v>8888</v>
      </c>
      <c r="K1698" s="130" t="s">
        <v>396</v>
      </c>
      <c r="L1698" s="130">
        <f ca="1">L1686</f>
        <v>8888</v>
      </c>
      <c r="M1698" s="140">
        <f ca="1">M1686</f>
        <v>8888</v>
      </c>
      <c r="AA1698" s="144" t="s">
        <v>396</v>
      </c>
      <c r="AB1698" s="130">
        <f ca="1">IF($AA1684,D1698,AB1690)</f>
        <v>8888</v>
      </c>
      <c r="AC1698" s="132">
        <f ca="1">IF($AA1684,E1698,AC1690)</f>
        <v>8888</v>
      </c>
      <c r="AD1698" s="157"/>
      <c r="AE1698" s="192" t="s">
        <v>312</v>
      </c>
      <c r="AF1698" s="128">
        <f ca="1">IF($AE1684,H1698,AF1690)</f>
        <v>8888</v>
      </c>
      <c r="AG1698" s="129">
        <f ca="1">IF($AE1684,I1698,AG1690)</f>
        <v>8888</v>
      </c>
      <c r="AI1698" s="130" t="s">
        <v>396</v>
      </c>
      <c r="AJ1698" s="130">
        <f ca="1">IF($AI1684,L1698,AJ1690)</f>
        <v>8888</v>
      </c>
      <c r="AK1698" s="132">
        <f ca="1">IF($AI1684,M1698,AK1690)</f>
        <v>8888</v>
      </c>
      <c r="BD1698" s="157"/>
    </row>
    <row r="1699" spans="2:56">
      <c r="B1699" s="156"/>
      <c r="F1699" s="157"/>
      <c r="G1699" s="2" t="s">
        <v>313</v>
      </c>
      <c r="H1699" s="128">
        <f ca="1">IF(G1684&gt;=4,H1687,H1697)</f>
        <v>8888</v>
      </c>
      <c r="I1699" s="139">
        <f ca="1">IF(G1684&gt;=4,I1698,I1697)</f>
        <v>8888</v>
      </c>
      <c r="AD1699" s="157"/>
      <c r="AE1699" s="2" t="s">
        <v>313</v>
      </c>
      <c r="AF1699" s="128">
        <f ca="1">IF($AE1684,H1699,AF1690)</f>
        <v>8888</v>
      </c>
      <c r="AG1699" s="129">
        <f ca="1">IF($AE1684,I1699,AG1690)</f>
        <v>8888</v>
      </c>
      <c r="BD1699" s="157"/>
    </row>
    <row r="1700" spans="2:56">
      <c r="B1700" s="156"/>
      <c r="F1700" s="157"/>
      <c r="G1700" s="2" t="s">
        <v>7</v>
      </c>
      <c r="H1700" s="128">
        <f ca="1">IF(G1684&gt;=4,H1687,H1697)</f>
        <v>8888</v>
      </c>
      <c r="I1700" s="139">
        <f ca="1">IF(G1684&gt;=4,I1699-P1677,I1697)</f>
        <v>8888</v>
      </c>
      <c r="AD1700" s="157"/>
      <c r="AE1700" s="2" t="s">
        <v>7</v>
      </c>
      <c r="AF1700" s="128">
        <f ca="1">IF($AE1684,H1700,AF1690)</f>
        <v>8888</v>
      </c>
      <c r="AG1700" s="129">
        <f ca="1">IF($AE1684,I1700,AG1690)</f>
        <v>8888</v>
      </c>
      <c r="BD1700" s="157"/>
    </row>
    <row r="1701" spans="2:56">
      <c r="B1701" s="156"/>
      <c r="F1701" s="157"/>
      <c r="G1701" s="115" t="s">
        <v>8</v>
      </c>
      <c r="H1701" s="188">
        <f ca="1">IF(G1684&gt;=4,H1686,H1697)</f>
        <v>8888</v>
      </c>
      <c r="I1701" s="189">
        <f ca="1">IF(G1684&gt;=4,I1700,I1697)</f>
        <v>8888</v>
      </c>
      <c r="AD1701" s="157"/>
      <c r="AE1701" s="115" t="s">
        <v>8</v>
      </c>
      <c r="AF1701" s="188">
        <f ca="1">IF($AE1684,H1701,AF1690)</f>
        <v>8888</v>
      </c>
      <c r="AG1701" s="196">
        <f ca="1">IF($AE1684,I1701,AG1690)</f>
        <v>8888</v>
      </c>
      <c r="BD1701" s="157"/>
    </row>
    <row r="1702" spans="2:56">
      <c r="B1702" s="156"/>
      <c r="F1702" s="157"/>
      <c r="G1702" s="2" t="s">
        <v>9</v>
      </c>
      <c r="H1702" s="128">
        <f ca="1">IF(G1684&gt;=5,H1686,H1701)</f>
        <v>8888</v>
      </c>
      <c r="I1702" s="139">
        <f ca="1">IF(G1684&gt;=5,I1701-P1679,I1701)</f>
        <v>8888</v>
      </c>
      <c r="AD1702" s="157"/>
      <c r="AE1702" s="2" t="s">
        <v>9</v>
      </c>
      <c r="AF1702" s="128">
        <f ca="1">IF($AE1684,H1702,AF1690)</f>
        <v>8888</v>
      </c>
      <c r="AG1702" s="129">
        <f ca="1">IF($AE1684,I1702,AG1690)</f>
        <v>8888</v>
      </c>
      <c r="BD1702" s="157"/>
    </row>
    <row r="1703" spans="2:56">
      <c r="B1703" s="156"/>
      <c r="F1703" s="157"/>
      <c r="G1703" s="2" t="s">
        <v>196</v>
      </c>
      <c r="H1703" s="128">
        <f ca="1">IF(G1684&gt;=5,H1687,H1701)</f>
        <v>8888</v>
      </c>
      <c r="I1703" s="139">
        <f ca="1">IF(G1684&gt;=5,I1702,I1701)</f>
        <v>8888</v>
      </c>
      <c r="AD1703" s="157"/>
      <c r="AE1703" s="2" t="s">
        <v>196</v>
      </c>
      <c r="AF1703" s="128">
        <f ca="1">IF($AE1684,H1703,AF1690)</f>
        <v>8888</v>
      </c>
      <c r="AG1703" s="129">
        <f ca="1">IF($AE1684,I1703,AG1690)</f>
        <v>8888</v>
      </c>
      <c r="BD1703" s="157"/>
    </row>
    <row r="1704" spans="2:56">
      <c r="B1704" s="156"/>
      <c r="F1704" s="157"/>
      <c r="G1704" s="2" t="s">
        <v>10</v>
      </c>
      <c r="H1704" s="128">
        <f ca="1">IF(G1684&gt;=5,H1687,H1701)</f>
        <v>8888</v>
      </c>
      <c r="I1704" s="139">
        <f ca="1">IF(G1684&gt;=5,I1703-P1677,I1701)</f>
        <v>8888</v>
      </c>
      <c r="AD1704" s="157"/>
      <c r="AE1704" s="2" t="s">
        <v>10</v>
      </c>
      <c r="AF1704" s="128">
        <f ca="1">IF($AE1684,H1704,AF1690)</f>
        <v>8888</v>
      </c>
      <c r="AG1704" s="129">
        <f ca="1">IF($AE1684,I1704,AG1690)</f>
        <v>8888</v>
      </c>
      <c r="BD1704" s="157"/>
    </row>
    <row r="1705" spans="2:56">
      <c r="B1705" s="156"/>
      <c r="F1705" s="157"/>
      <c r="G1705" s="2" t="s">
        <v>161</v>
      </c>
      <c r="H1705" s="188">
        <f ca="1">IF(G1684&gt;=5,H1686,H1701)</f>
        <v>8888</v>
      </c>
      <c r="I1705" s="189">
        <f ca="1">IF(G1684&gt;=5,I1704,I1701)</f>
        <v>8888</v>
      </c>
      <c r="AD1705" s="157"/>
      <c r="AE1705" s="2" t="s">
        <v>161</v>
      </c>
      <c r="AF1705" s="188">
        <f ca="1">IF($AE1684,H1705,AF1690)</f>
        <v>8888</v>
      </c>
      <c r="AG1705" s="196">
        <f ca="1">IF($AE1684,I1705,AG1690)</f>
        <v>8888</v>
      </c>
      <c r="BD1705" s="157"/>
    </row>
    <row r="1706" spans="2:56">
      <c r="B1706" s="156"/>
      <c r="F1706" s="157"/>
      <c r="G1706" s="192" t="s">
        <v>11</v>
      </c>
      <c r="H1706" s="128">
        <f ca="1">IF(G1684&gt;=6,H1686,H1705)</f>
        <v>8888</v>
      </c>
      <c r="I1706" s="139">
        <f ca="1">IF(G1684&gt;=6,I1705-P1679,I1705)</f>
        <v>8888</v>
      </c>
      <c r="AD1706" s="157"/>
      <c r="AE1706" s="192" t="s">
        <v>11</v>
      </c>
      <c r="AF1706" s="128">
        <f ca="1">IF($AE1684,H1706,AF1690)</f>
        <v>8888</v>
      </c>
      <c r="AG1706" s="129">
        <f ca="1">IF($AE1684,I1706,AG1690)</f>
        <v>8888</v>
      </c>
      <c r="BD1706" s="157"/>
    </row>
    <row r="1707" spans="2:56">
      <c r="B1707" s="156"/>
      <c r="F1707" s="157"/>
      <c r="G1707" s="2" t="s">
        <v>12</v>
      </c>
      <c r="H1707" s="128">
        <f ca="1">IF(G1684&gt;=6,H1687,H1705)</f>
        <v>8888</v>
      </c>
      <c r="I1707" s="139">
        <f ca="1">IF(G1684&gt;=6,I1706,I1705)</f>
        <v>8888</v>
      </c>
      <c r="AD1707" s="157"/>
      <c r="AE1707" s="2" t="s">
        <v>12</v>
      </c>
      <c r="AF1707" s="128">
        <f ca="1">IF($AE1684,H1707,AF1690)</f>
        <v>8888</v>
      </c>
      <c r="AG1707" s="129">
        <f ca="1">IF($AE1684,I1707,AG1690)</f>
        <v>8888</v>
      </c>
      <c r="BD1707" s="157"/>
    </row>
    <row r="1708" spans="2:56">
      <c r="B1708" s="156"/>
      <c r="F1708" s="157"/>
      <c r="G1708" s="2" t="s">
        <v>13</v>
      </c>
      <c r="H1708" s="128">
        <f ca="1">IF(G1684&gt;=6,H1687,H1705)</f>
        <v>8888</v>
      </c>
      <c r="I1708" s="139">
        <f ca="1">IF(G1684&gt;=6,I1707-P1677,I1705)</f>
        <v>8888</v>
      </c>
      <c r="AD1708" s="157"/>
      <c r="AE1708" s="2" t="s">
        <v>13</v>
      </c>
      <c r="AF1708" s="128">
        <f ca="1">IF($AE1684,H1708,AF1690)</f>
        <v>8888</v>
      </c>
      <c r="AG1708" s="129">
        <f ca="1">IF($AE1684,I1708,AG1690)</f>
        <v>8888</v>
      </c>
      <c r="BD1708" s="157"/>
    </row>
    <row r="1709" spans="2:56">
      <c r="B1709" s="156"/>
      <c r="F1709" s="157"/>
      <c r="G1709" s="115" t="s">
        <v>14</v>
      </c>
      <c r="H1709" s="188">
        <f ca="1">IF(G1684&gt;=6,H1686,H1705)</f>
        <v>8888</v>
      </c>
      <c r="I1709" s="189">
        <f ca="1">IF(G1684&gt;=6,I1708,I1705)</f>
        <v>8888</v>
      </c>
      <c r="AD1709" s="157"/>
      <c r="AE1709" s="115" t="s">
        <v>14</v>
      </c>
      <c r="AF1709" s="188">
        <f ca="1">IF($AE1684,H1709,AF1690)</f>
        <v>8888</v>
      </c>
      <c r="AG1709" s="196">
        <f ca="1">IF($AE1684,I1709,AG1690)</f>
        <v>8888</v>
      </c>
      <c r="BD1709" s="157"/>
    </row>
    <row r="1710" spans="2:56" ht="15" thickBot="1">
      <c r="B1710" s="156"/>
      <c r="G1710" s="130" t="s">
        <v>396</v>
      </c>
      <c r="H1710" s="130">
        <f ca="1">H1686</f>
        <v>8888</v>
      </c>
      <c r="I1710" s="140">
        <f ca="1">I1686</f>
        <v>8888</v>
      </c>
      <c r="AE1710" s="130" t="s">
        <v>396</v>
      </c>
      <c r="AF1710" s="130">
        <f ca="1">IF($AE1684,H1710,AF1690)</f>
        <v>8888</v>
      </c>
      <c r="AG1710" s="132">
        <f ca="1">IF($AE1684,I1710,AG1690)</f>
        <v>8888</v>
      </c>
      <c r="BD1710" s="157"/>
    </row>
    <row r="1711" spans="2:56">
      <c r="B1711" s="156"/>
      <c r="BD1711" s="157"/>
    </row>
    <row r="1712" spans="2:56">
      <c r="B1712" s="156"/>
      <c r="BD1712" s="157"/>
    </row>
    <row r="1713" spans="2:56">
      <c r="B1713" s="156"/>
      <c r="C1713" s="200" t="s">
        <v>336</v>
      </c>
      <c r="D1713">
        <f>D1677+1</f>
        <v>43</v>
      </c>
      <c r="G1713" s="200" t="s">
        <v>638</v>
      </c>
      <c r="H1713">
        <f ca="1">LOOKUP(D1716,$C$191:$C$196,$D$191:$D$196)</f>
        <v>0</v>
      </c>
      <c r="K1713" s="200" t="s">
        <v>644</v>
      </c>
      <c r="L1713">
        <f ca="1">L1677-H1718</f>
        <v>-18.624000000000006</v>
      </c>
      <c r="O1713" s="200" t="s">
        <v>404</v>
      </c>
      <c r="P1713">
        <f ca="1">IF(D1715=1,SEAT_w_cushion_FC,IF(D1715=2,SEAT_w_cushion_BC,IF(D1715=3,SEAT_w_cushion_YC,0)))</f>
        <v>0</v>
      </c>
      <c r="S1713" s="200" t="s">
        <v>647</v>
      </c>
      <c r="T1713">
        <f ca="1">LOOKUP(D1716,$C$191:$C$196,$E$191:$E$196)</f>
        <v>0</v>
      </c>
      <c r="W1713" t="s">
        <v>130</v>
      </c>
      <c r="X1713" t="str">
        <f ca="1">OFFSET(Fuselage!$B$275,D1713,5)</f>
        <v>None</v>
      </c>
      <c r="AN1713" s="200" t="s">
        <v>135</v>
      </c>
      <c r="AO1713">
        <f ca="1">MAX(0,H1718-MAX(T1713,T1715,T1717,P1714)-X1714)</f>
        <v>0</v>
      </c>
      <c r="BD1713" s="157"/>
    </row>
    <row r="1714" spans="2:56">
      <c r="B1714" s="156"/>
      <c r="C1714" s="200" t="s">
        <v>200</v>
      </c>
      <c r="D1714" t="str">
        <f ca="1">OFFSET(Fuselage!$B$275,D1713,0)</f>
        <v/>
      </c>
      <c r="G1714" s="200" t="s">
        <v>639</v>
      </c>
      <c r="H1714">
        <f ca="1">LOOKUP(D1717,$C$191:$C$196,$D$191:$D$196)</f>
        <v>0</v>
      </c>
      <c r="O1714" s="200" t="s">
        <v>535</v>
      </c>
      <c r="P1714">
        <f ca="1">IF(D1715=1,SEAT_length_FC,IF(D1715=2,SEAT_length_BC,IF(D1715=3,SEAT_length_YC,0)))</f>
        <v>0</v>
      </c>
      <c r="S1714" s="200" t="s">
        <v>648</v>
      </c>
      <c r="T1714">
        <f ca="1">LOOKUP(D1716,$C$191:$C$196,$F$191:$F$196)</f>
        <v>0</v>
      </c>
      <c r="W1714" t="s">
        <v>131</v>
      </c>
      <c r="X1714">
        <f ca="1">LOOKUP(X1713,$I$191:$I$198,$J$191:$J$198)</f>
        <v>0</v>
      </c>
      <c r="BD1714" s="157"/>
    </row>
    <row r="1715" spans="2:56">
      <c r="B1715" s="156"/>
      <c r="C1715" s="200" t="s">
        <v>337</v>
      </c>
      <c r="D1715" t="str">
        <f ca="1">OFFSET(Fuselage!$B$275,D1713,4)</f>
        <v/>
      </c>
      <c r="G1715" s="200" t="s">
        <v>309</v>
      </c>
      <c r="H1715">
        <f ca="1">LOOKUP(D1718,$C$191:$C$196,$D$191:$D$196)</f>
        <v>0</v>
      </c>
      <c r="K1715" s="200" t="s">
        <v>645</v>
      </c>
      <c r="L1715">
        <f ca="1">IF(D1715=1,FUSELAGE_nseats_left_FC,IF(D1715=2,FUSELAGE_nseats_left_BC,IF(D1715=3,FUSELAGE_nseats_left_YC,0)))</f>
        <v>0</v>
      </c>
      <c r="O1715" s="200" t="s">
        <v>405</v>
      </c>
      <c r="P1715">
        <f ca="1">IF(D1715=1,SEAT_w_armrest_FC,IF(D1715=2,SEAT_w_armrest_BC,IF(D1715=3,SEAT_w_armrest_YC,0)))</f>
        <v>0</v>
      </c>
      <c r="S1715" s="200" t="s">
        <v>652</v>
      </c>
      <c r="T1715">
        <f ca="1">LOOKUP(D1717,$C$191:$C$196,$E$191:$E$196)</f>
        <v>0</v>
      </c>
      <c r="W1715" s="200" t="s">
        <v>393</v>
      </c>
      <c r="X1715" t="b">
        <f ca="1">IF(OFFSET(Fuselage!$B$275,D1713,6)="YES",TRUE(),FALSE())</f>
        <v>0</v>
      </c>
      <c r="BD1715" s="157"/>
    </row>
    <row r="1716" spans="2:56">
      <c r="B1716" s="156"/>
      <c r="C1716" s="200" t="s">
        <v>640</v>
      </c>
      <c r="D1716" t="str">
        <f ca="1">OFFSET(Fuselage!$B$275,D1713,1)</f>
        <v>None</v>
      </c>
      <c r="G1716" s="200" t="s">
        <v>132</v>
      </c>
      <c r="H1716">
        <f ca="1">IF(D1715=1,SEAT_pitch_FC,IF(D1715=2,SEAT_pitch_BC,IF(D1715=3,SEAT_pitch_YC,0)))</f>
        <v>0</v>
      </c>
      <c r="K1716" s="200" t="s">
        <v>646</v>
      </c>
      <c r="L1716">
        <f ca="1">IF(D1715=1,FUSELAGE_nseats_middle_FC,IF(D1715=2,FUSELAGE_nseats_middle_BC,IF(D1715=3,FUSELAGE_nseats_middle_YC,0)))</f>
        <v>0</v>
      </c>
      <c r="S1716" s="200" t="s">
        <v>653</v>
      </c>
      <c r="T1716">
        <f ca="1">LOOKUP(D1717,$C$191:$C$196,$F$191:$F$196)</f>
        <v>0</v>
      </c>
      <c r="BD1716" s="157"/>
    </row>
    <row r="1717" spans="2:56">
      <c r="B1717" s="156"/>
      <c r="C1717" s="200" t="s">
        <v>642</v>
      </c>
      <c r="D1717" t="str">
        <f ca="1">OFFSET(Fuselage!$B$275,D1713,2)</f>
        <v>None</v>
      </c>
      <c r="G1717" s="200" t="s">
        <v>129</v>
      </c>
      <c r="H1717">
        <f ca="1">IF(OR(X1713="Type A",X1713="Type B"),MAX(H1713:H1716)+42*0.0254,IF(X1713="Type C",MAX(H1713:H1716)+X1714,IF(X1713&lt;&gt;"None",24*0.0254,0)))</f>
        <v>0</v>
      </c>
      <c r="K1717" s="200" t="s">
        <v>655</v>
      </c>
      <c r="L1717">
        <f ca="1">IF(D1715=1,FUSELAGE_nseats_right_FC,IF(D1715=2,FUSELAGE_nseats_right_BC,IF(D1715=3,FUSELAGE_nseats_right_YC,0)))</f>
        <v>0</v>
      </c>
      <c r="O1717" s="200" t="s">
        <v>407</v>
      </c>
      <c r="P1717">
        <f ca="1">($C$13-(L1715+L1716+L1717)*(P1713+P1715)+(FUSELAGE_n_aisles-1)*P1715)/FUSELAGE_n_aisles</f>
        <v>2.76</v>
      </c>
      <c r="S1717" s="200" t="s">
        <v>651</v>
      </c>
      <c r="T1717">
        <f ca="1">LOOKUP(D1718,$C$191:$C$196,$E$191:$E$196)</f>
        <v>0</v>
      </c>
      <c r="BD1717" s="157"/>
    </row>
    <row r="1718" spans="2:56">
      <c r="B1718" s="156"/>
      <c r="C1718" s="200" t="s">
        <v>641</v>
      </c>
      <c r="D1718" t="str">
        <f ca="1">OFFSET(Fuselage!$B$275,D1713,3)</f>
        <v>None</v>
      </c>
      <c r="G1718" s="200" t="s">
        <v>643</v>
      </c>
      <c r="H1718">
        <f ca="1">MAX(H1713:H1717)</f>
        <v>0</v>
      </c>
      <c r="S1718" s="200" t="s">
        <v>654</v>
      </c>
      <c r="T1718">
        <f ca="1">LOOKUP(D1718,$C$191:$C$196,$F$191:$F$196)</f>
        <v>0</v>
      </c>
      <c r="BD1718" s="157"/>
    </row>
    <row r="1719" spans="2:56" ht="15" thickBot="1">
      <c r="B1719" s="156"/>
      <c r="BD1719" s="157"/>
    </row>
    <row r="1720" spans="2:56" ht="15" thickBot="1">
      <c r="B1720" s="156"/>
      <c r="C1720" s="141">
        <f ca="1">L1717</f>
        <v>0</v>
      </c>
      <c r="D1720" s="197" t="str">
        <f ca="1">IF($D1715=1,"FC",IF($D1715=2,"BC",IF($D1715=3,"YC","Nothing")))</f>
        <v>Nothing</v>
      </c>
      <c r="E1720" s="198"/>
      <c r="G1720" s="141">
        <f ca="1">L1716</f>
        <v>0</v>
      </c>
      <c r="H1720" s="197" t="str">
        <f ca="1">IF($D1715=1,"FC",IF($D1715=2,"BC",IF($D1715=3,"YC","Nothing")))</f>
        <v>Nothing</v>
      </c>
      <c r="I1720" s="198"/>
      <c r="K1720" s="141">
        <f ca="1" xml:space="preserve"> L1715</f>
        <v>0</v>
      </c>
      <c r="L1720" s="197" t="str">
        <f ca="1">IF($D1715=1,"FC",IF($D1715=2,"BC",IF($D1715=3,"YC","Nothing")))</f>
        <v>Nothing</v>
      </c>
      <c r="M1720" s="198"/>
      <c r="O1720" s="141">
        <f ca="1">IF($D1718&lt;&gt;"None",1,0)</f>
        <v>0</v>
      </c>
      <c r="P1720" s="326" t="s">
        <v>380</v>
      </c>
      <c r="Q1720" s="327"/>
      <c r="S1720" s="141">
        <f ca="1">IF($D1717&lt;&gt;"None",1,0)</f>
        <v>0</v>
      </c>
      <c r="T1720" s="326" t="s">
        <v>381</v>
      </c>
      <c r="U1720" s="327"/>
      <c r="W1720" s="141">
        <f ca="1">IF($D1716&lt;&gt;"None",1,0)</f>
        <v>0</v>
      </c>
      <c r="X1720" s="326" t="s">
        <v>382</v>
      </c>
      <c r="Y1720" s="327"/>
      <c r="AA1720" s="141">
        <f ca="1">IF($D1718="None",1,0)</f>
        <v>1</v>
      </c>
      <c r="AB1720" s="326" t="str">
        <f ca="1">IF(AA1720,D1720,$D1718)</f>
        <v>Nothing</v>
      </c>
      <c r="AC1720" s="327"/>
      <c r="AE1720" s="141">
        <f ca="1">IF($D1717="None",1,0)</f>
        <v>1</v>
      </c>
      <c r="AF1720" s="326" t="str">
        <f ca="1">IF(AE1720,H1720,$D1717)</f>
        <v>Nothing</v>
      </c>
      <c r="AG1720" s="327"/>
      <c r="AI1720" s="141">
        <f ca="1">IF($D1716="None",1,0)</f>
        <v>1</v>
      </c>
      <c r="AJ1720" s="326" t="str">
        <f ca="1">IF(AI1720,L1720,$D1716)</f>
        <v>Nothing</v>
      </c>
      <c r="AK1720" s="327"/>
      <c r="AM1720" s="141">
        <f ca="1">IF($X1713="None",0,1)</f>
        <v>0</v>
      </c>
      <c r="AN1720" s="197" t="s">
        <v>133</v>
      </c>
      <c r="AO1720" s="198"/>
      <c r="AQ1720" s="141">
        <f ca="1">IF($X1713="None",0,1)</f>
        <v>0</v>
      </c>
      <c r="AR1720" s="197" t="s">
        <v>134</v>
      </c>
      <c r="AS1720" s="198"/>
      <c r="BD1720" s="157"/>
    </row>
    <row r="1721" spans="2:56" ht="15" thickBot="1">
      <c r="B1721" s="156"/>
      <c r="C1721" s="136" t="s">
        <v>452</v>
      </c>
      <c r="D1721" s="136" t="s">
        <v>384</v>
      </c>
      <c r="E1721" s="138" t="s">
        <v>385</v>
      </c>
      <c r="G1721" s="136" t="s">
        <v>452</v>
      </c>
      <c r="H1721" s="136" t="s">
        <v>384</v>
      </c>
      <c r="I1721" s="138" t="s">
        <v>385</v>
      </c>
      <c r="K1721" s="193" t="s">
        <v>452</v>
      </c>
      <c r="L1721" s="193" t="s">
        <v>384</v>
      </c>
      <c r="M1721" s="194" t="s">
        <v>385</v>
      </c>
      <c r="O1721" s="136" t="s">
        <v>452</v>
      </c>
      <c r="P1721" s="136" t="s">
        <v>384</v>
      </c>
      <c r="Q1721" s="138" t="s">
        <v>385</v>
      </c>
      <c r="S1721" s="136" t="s">
        <v>452</v>
      </c>
      <c r="T1721" s="136" t="s">
        <v>384</v>
      </c>
      <c r="U1721" s="138" t="s">
        <v>385</v>
      </c>
      <c r="W1721" s="136" t="s">
        <v>452</v>
      </c>
      <c r="X1721" s="136" t="s">
        <v>384</v>
      </c>
      <c r="Y1721" s="138" t="s">
        <v>385</v>
      </c>
      <c r="AA1721" s="136" t="s">
        <v>452</v>
      </c>
      <c r="AB1721" s="136" t="s">
        <v>384</v>
      </c>
      <c r="AC1721" s="138" t="s">
        <v>385</v>
      </c>
      <c r="AE1721" s="136" t="s">
        <v>452</v>
      </c>
      <c r="AF1721" s="136" t="s">
        <v>384</v>
      </c>
      <c r="AG1721" s="138" t="s">
        <v>385</v>
      </c>
      <c r="AI1721" s="193" t="s">
        <v>452</v>
      </c>
      <c r="AJ1721" s="193" t="s">
        <v>384</v>
      </c>
      <c r="AK1721" s="194" t="s">
        <v>385</v>
      </c>
      <c r="AM1721" s="193" t="s">
        <v>452</v>
      </c>
      <c r="AN1721" s="193" t="s">
        <v>384</v>
      </c>
      <c r="AO1721" s="194" t="s">
        <v>385</v>
      </c>
      <c r="AQ1721" s="193" t="s">
        <v>452</v>
      </c>
      <c r="AR1721" s="193" t="s">
        <v>384</v>
      </c>
      <c r="AS1721" s="194" t="s">
        <v>385</v>
      </c>
      <c r="BD1721" s="157"/>
    </row>
    <row r="1722" spans="2:56">
      <c r="B1722" s="156"/>
      <c r="C1722" s="128" t="s">
        <v>396</v>
      </c>
      <c r="D1722" s="158">
        <f ca="1">IF(C1720&gt;=1,L1713,8888)</f>
        <v>8888</v>
      </c>
      <c r="E1722" s="160">
        <f ca="1">IF(C1720&gt;=1,1/2*($C$13-P1713-2*P1715)+1/2*P1713,8888)</f>
        <v>8888</v>
      </c>
      <c r="G1722" s="128" t="s">
        <v>396</v>
      </c>
      <c r="H1722" s="158">
        <f ca="1">IF(G1720&gt;=1,L1713,8888)</f>
        <v>8888</v>
      </c>
      <c r="I1722" s="160">
        <f ca="1">IF(G1720&gt;=1,E1733-P1717,8888)</f>
        <v>8888</v>
      </c>
      <c r="K1722" s="128" t="s">
        <v>396</v>
      </c>
      <c r="L1722" s="158">
        <f ca="1">IF(K1720&gt;=1,L1713,8888)</f>
        <v>8888</v>
      </c>
      <c r="M1722" s="160">
        <f ca="1">IF(K1720&gt;=1,IF(FUSELAGE_n_aisles=1,E1733-P1717,I1745-P1717),8888)</f>
        <v>8888</v>
      </c>
      <c r="O1722" s="128" t="s">
        <v>396</v>
      </c>
      <c r="P1722" s="158">
        <f ca="1">IF(O1720,$L1713,8888)</f>
        <v>8888</v>
      </c>
      <c r="Q1722" s="209">
        <f ca="1">IF(O1720,FUSELAGE_y_position_of_left_seat_YC-(FUSELAGE_nseats_right_YC-1)*(SEAT_w_cushion_YC+SEAT_w_armrest_YC)/2+T1718/2,8888)</f>
        <v>8888</v>
      </c>
      <c r="S1722" s="128" t="s">
        <v>396</v>
      </c>
      <c r="T1722" s="158">
        <f ca="1">IF(S1720,$L1713,8888)</f>
        <v>8888</v>
      </c>
      <c r="U1722" s="160">
        <f ca="1">IF(S1720,T1716/2,8888)</f>
        <v>8888</v>
      </c>
      <c r="W1722" s="128" t="s">
        <v>396</v>
      </c>
      <c r="X1722" s="158">
        <f ca="1">IF(W1720,$L1713,8888)</f>
        <v>8888</v>
      </c>
      <c r="Y1722" s="160">
        <f ca="1">IF(W1720,-FUSELAGE_y_position_of_left_seat_YC+(FUSELAGE_nseats_left_YC-1)*(SEAT_w_cushion_YC+SEAT_w_armrest_YC)/2-T1714/2,8888)</f>
        <v>8888</v>
      </c>
      <c r="AA1722" s="128" t="s">
        <v>396</v>
      </c>
      <c r="AB1722" s="158">
        <f ca="1">IF($AA1720,D1722,P1722)</f>
        <v>8888</v>
      </c>
      <c r="AC1722" s="174">
        <f ca="1">IF($AA1720,E1722,Q1722)</f>
        <v>8888</v>
      </c>
      <c r="AE1722" s="128" t="s">
        <v>396</v>
      </c>
      <c r="AF1722" s="158">
        <f ca="1">IF($AE1720,H1722,T1722)</f>
        <v>8888</v>
      </c>
      <c r="AG1722" s="174">
        <f ca="1">IF($AE1720,I1722,U1722)</f>
        <v>8888</v>
      </c>
      <c r="AI1722" s="128" t="s">
        <v>396</v>
      </c>
      <c r="AJ1722" s="158">
        <f ca="1">IF($AI1720,L1722,X1722)</f>
        <v>8888</v>
      </c>
      <c r="AK1722" s="174">
        <f ca="1">IF($AI1720,M1722,Y1722)</f>
        <v>8888</v>
      </c>
      <c r="AM1722" s="128" t="s">
        <v>396</v>
      </c>
      <c r="AN1722" s="158">
        <f ca="1">AN1691</f>
        <v>-18.624000000000006</v>
      </c>
      <c r="AO1722" s="174">
        <f ca="1">IF(AN1722&gt;-Fuselage!$D$366,(FUSELAGE_a_ellipse)*SQRT(1-((AN1722+Fuselage!$D$366)/(Fuselage!$K$364-FUSELAGE_t_fuselage))^2),IF(AN1722&gt;$L$2505+Fuselage!$K$370,FUSELAGE_a_ellipse,(FUSELAGE_a_ellipse+FUSELAGE_t_fuselage-FUSELAGE_d_fo/4)/Fuselage!$K$368*(AN1722-$L$2505-Fuselage!$K$370)+FUSELAGE_a_ellipse))</f>
        <v>1.4960570012328709</v>
      </c>
      <c r="AQ1722" s="128" t="s">
        <v>396</v>
      </c>
      <c r="AR1722" s="158">
        <f t="shared" ref="AR1722:AR1727" ca="1" si="150">AN1722</f>
        <v>-18.624000000000006</v>
      </c>
      <c r="AS1722" s="174">
        <f t="shared" ref="AS1722:AS1727" ca="1" si="151">-AO1722</f>
        <v>-1.4960570012328709</v>
      </c>
      <c r="BD1722" s="157"/>
    </row>
    <row r="1723" spans="2:56">
      <c r="B1723" s="156"/>
      <c r="C1723" s="128" t="s">
        <v>213</v>
      </c>
      <c r="D1723" s="128">
        <f ca="1">IF(X1715,D1722+P1714/4,D1722+P1714)</f>
        <v>8888</v>
      </c>
      <c r="E1723" s="139">
        <f ca="1">E1722</f>
        <v>8888</v>
      </c>
      <c r="G1723" s="128" t="s">
        <v>213</v>
      </c>
      <c r="H1723" s="128">
        <f ca="1">H1722+P1714</f>
        <v>8888</v>
      </c>
      <c r="I1723" s="139">
        <f ca="1">I1722</f>
        <v>8888</v>
      </c>
      <c r="K1723" s="128" t="s">
        <v>213</v>
      </c>
      <c r="L1723" s="128">
        <f ca="1">IF(X1715,IF(K1720=1,L1722+P1714/4,L1722+P1714),L1722+P1714)</f>
        <v>8888</v>
      </c>
      <c r="M1723" s="139">
        <f ca="1">M1722</f>
        <v>8888</v>
      </c>
      <c r="O1723" s="128" t="s">
        <v>213</v>
      </c>
      <c r="P1723" s="128">
        <f ca="1">P1722+$T1717</f>
        <v>8888</v>
      </c>
      <c r="Q1723" s="139">
        <f ca="1">Q1722</f>
        <v>8888</v>
      </c>
      <c r="S1723" s="128" t="s">
        <v>213</v>
      </c>
      <c r="T1723" s="128">
        <f ca="1">T1722+$T1715</f>
        <v>8888</v>
      </c>
      <c r="U1723" s="139">
        <f ca="1">U1722</f>
        <v>8888</v>
      </c>
      <c r="W1723" s="128" t="s">
        <v>213</v>
      </c>
      <c r="X1723" s="128">
        <f ca="1">X1722+$T1713</f>
        <v>8888</v>
      </c>
      <c r="Y1723" s="139">
        <f ca="1">Y1722</f>
        <v>8888</v>
      </c>
      <c r="AA1723" s="143" t="s">
        <v>213</v>
      </c>
      <c r="AB1723" s="128">
        <f ca="1">IF($AA1720,D1723,P1723)</f>
        <v>8888</v>
      </c>
      <c r="AC1723" s="129">
        <f ca="1">IF($AA1720,E1723,Q1723)</f>
        <v>8888</v>
      </c>
      <c r="AE1723" s="128" t="s">
        <v>213</v>
      </c>
      <c r="AF1723" s="128">
        <f ca="1">IF($AE1720,H1723,T1723)</f>
        <v>8888</v>
      </c>
      <c r="AG1723" s="129">
        <f ca="1">IF($AE1720,I1723,U1723)</f>
        <v>8888</v>
      </c>
      <c r="AI1723" s="128" t="s">
        <v>213</v>
      </c>
      <c r="AJ1723" s="128">
        <f ca="1">IF($AI1720,L1723,X1723)</f>
        <v>8888</v>
      </c>
      <c r="AK1723" s="129">
        <f ca="1">IF($AI1720,M1723,Y1723)</f>
        <v>8888</v>
      </c>
      <c r="AM1723" s="128" t="s">
        <v>213</v>
      </c>
      <c r="AN1723" s="128">
        <f ca="1">AN1722-AO1713/2</f>
        <v>-18.624000000000006</v>
      </c>
      <c r="AO1723" s="129">
        <f ca="1">IF(AN1723&gt;-Fuselage!$D$366,(FUSELAGE_a_ellipse)*SQRT(1-((AN1723+Fuselage!$D$366)/(Fuselage!$K$364-FUSELAGE_t_fuselage))^2),IF(AN1723&gt;$L$2505+Fuselage!$K$370,FUSELAGE_a_ellipse,(FUSELAGE_a_ellipse+FUSELAGE_t_fuselage-FUSELAGE_d_fo/4)/Fuselage!$K$368*(AN1723-$L$2505-Fuselage!$K$370)+FUSELAGE_a_ellipse))</f>
        <v>1.4960570012328709</v>
      </c>
      <c r="AQ1723" s="128" t="s">
        <v>213</v>
      </c>
      <c r="AR1723" s="128">
        <f t="shared" ca="1" si="150"/>
        <v>-18.624000000000006</v>
      </c>
      <c r="AS1723" s="129">
        <f t="shared" ca="1" si="151"/>
        <v>-1.4960570012328709</v>
      </c>
      <c r="BD1723" s="157"/>
    </row>
    <row r="1724" spans="2:56">
      <c r="B1724" s="156"/>
      <c r="C1724" s="128" t="s">
        <v>286</v>
      </c>
      <c r="D1724" s="128">
        <f ca="1">D1723</f>
        <v>8888</v>
      </c>
      <c r="E1724" s="139">
        <f ca="1">E1723-P1713</f>
        <v>8888</v>
      </c>
      <c r="G1724" s="128" t="s">
        <v>286</v>
      </c>
      <c r="H1724" s="128">
        <f ca="1">H1723</f>
        <v>8888</v>
      </c>
      <c r="I1724" s="139">
        <f ca="1">I1723-P1713</f>
        <v>8888</v>
      </c>
      <c r="K1724" s="128" t="s">
        <v>286</v>
      </c>
      <c r="L1724" s="128">
        <f ca="1">L1723</f>
        <v>8888</v>
      </c>
      <c r="M1724" s="139">
        <f ca="1">M1723-P1713</f>
        <v>8888</v>
      </c>
      <c r="O1724" s="128" t="s">
        <v>286</v>
      </c>
      <c r="P1724" s="128">
        <f ca="1">P1723</f>
        <v>8888</v>
      </c>
      <c r="Q1724" s="139">
        <f ca="1">Q1723-$T1718</f>
        <v>8888</v>
      </c>
      <c r="S1724" s="128" t="s">
        <v>286</v>
      </c>
      <c r="T1724" s="128">
        <f ca="1">T1723</f>
        <v>8888</v>
      </c>
      <c r="U1724" s="139">
        <f ca="1">U1723-$T1716</f>
        <v>8888</v>
      </c>
      <c r="W1724" s="128" t="s">
        <v>286</v>
      </c>
      <c r="X1724" s="128">
        <f ca="1">X1723</f>
        <v>8888</v>
      </c>
      <c r="Y1724" s="139">
        <f ca="1">Y1723+$T1714</f>
        <v>8888</v>
      </c>
      <c r="AA1724" s="143" t="s">
        <v>286</v>
      </c>
      <c r="AB1724" s="128">
        <f ca="1">IF($AA1720,D1724,P1724)</f>
        <v>8888</v>
      </c>
      <c r="AC1724" s="129">
        <f ca="1">IF($AA1720,E1724,Q1724)</f>
        <v>8888</v>
      </c>
      <c r="AE1724" s="128" t="s">
        <v>286</v>
      </c>
      <c r="AF1724" s="128">
        <f ca="1">IF($AE1720,H1724,T1724)</f>
        <v>8888</v>
      </c>
      <c r="AG1724" s="129">
        <f ca="1">IF($AE1720,I1724,U1724)</f>
        <v>8888</v>
      </c>
      <c r="AI1724" s="128" t="s">
        <v>286</v>
      </c>
      <c r="AJ1724" s="128">
        <f ca="1">IF($AI1720,L1724,X1724)</f>
        <v>8888</v>
      </c>
      <c r="AK1724" s="129">
        <f ca="1">IF($AI1720,M1724,Y1724)</f>
        <v>8888</v>
      </c>
      <c r="AM1724" s="128" t="s">
        <v>286</v>
      </c>
      <c r="AN1724" s="128">
        <f ca="1">AN1723</f>
        <v>-18.624000000000006</v>
      </c>
      <c r="AO1724" s="129">
        <f ca="1">IF(AN1724&gt;-Fuselage!$D$366,IF(AM1720,(FUSELAGE_a_ellipse+FUSELAGE_t_fuselage)*SQRT(1-((AN1724+Fuselage!$D$366)/Fuselage!$K$364)^2),(FUSELAGE_a_ellipse)*SQRT(1-((AN1724+Fuselage!$D$366)/Fuselage!$K$364)^2)),IF(AN1724&gt;$L$2505+Fuselage!$K$370,(IF(AM1720,FUSELAGE_a_ellipse+FUSELAGE_t_fuselage,FUSELAGE_a_ellipse)),IF(AM1720,(FUSELAGE_a_ellipse+FUSELAGE_t_fuselage-FUSELAGE_d_fo/4)/Fuselage!$K$368*(AN1724-$L$2505-Fuselage!$K$370)+FUSELAGE_a_ellipse+FUSELAGE_t_fuselage,(FUSELAGE_a_ellipse+FUSELAGE_t_fuselage-FUSELAGE_d_fo/4)/Fuselage!$K$368*(AN1724-$L$2505-Fuselage!$K$370)+FUSELAGE_a_ellipse)))</f>
        <v>1.4960570012328709</v>
      </c>
      <c r="AQ1724" s="128" t="s">
        <v>286</v>
      </c>
      <c r="AR1724" s="128">
        <f t="shared" ca="1" si="150"/>
        <v>-18.624000000000006</v>
      </c>
      <c r="AS1724" s="129">
        <f t="shared" ca="1" si="151"/>
        <v>-1.4960570012328709</v>
      </c>
      <c r="BD1724" s="157"/>
    </row>
    <row r="1725" spans="2:56">
      <c r="B1725" s="156"/>
      <c r="C1725" s="188" t="s">
        <v>522</v>
      </c>
      <c r="D1725" s="188">
        <f ca="1">D1722</f>
        <v>8888</v>
      </c>
      <c r="E1725" s="189">
        <f ca="1">E1724</f>
        <v>8888</v>
      </c>
      <c r="F1725" s="157"/>
      <c r="G1725" s="2" t="s">
        <v>522</v>
      </c>
      <c r="H1725" s="128">
        <f ca="1">H1722</f>
        <v>8888</v>
      </c>
      <c r="I1725" s="139">
        <f ca="1">I1724</f>
        <v>8888</v>
      </c>
      <c r="K1725" s="128" t="s">
        <v>522</v>
      </c>
      <c r="L1725" s="128">
        <f ca="1">L1722</f>
        <v>8888</v>
      </c>
      <c r="M1725" s="139">
        <f ca="1">M1724</f>
        <v>8888</v>
      </c>
      <c r="O1725" s="188" t="s">
        <v>522</v>
      </c>
      <c r="P1725" s="188">
        <f ca="1">P1722</f>
        <v>8888</v>
      </c>
      <c r="Q1725" s="189">
        <f ca="1">Q1724</f>
        <v>8888</v>
      </c>
      <c r="S1725" s="188" t="s">
        <v>522</v>
      </c>
      <c r="T1725" s="188">
        <f ca="1">T1722</f>
        <v>8888</v>
      </c>
      <c r="U1725" s="189">
        <f ca="1">U1724</f>
        <v>8888</v>
      </c>
      <c r="W1725" s="188" t="s">
        <v>522</v>
      </c>
      <c r="X1725" s="188">
        <f ca="1">X1722</f>
        <v>8888</v>
      </c>
      <c r="Y1725" s="189">
        <f ca="1">Y1724</f>
        <v>8888</v>
      </c>
      <c r="AA1725" s="195" t="s">
        <v>522</v>
      </c>
      <c r="AB1725" s="128">
        <f ca="1">IF($AA1720,D1725,P1725)</f>
        <v>8888</v>
      </c>
      <c r="AC1725" s="129">
        <f ca="1">IF($AA1720,E1725,Q1725)</f>
        <v>8888</v>
      </c>
      <c r="AD1725" s="157"/>
      <c r="AE1725" s="2" t="s">
        <v>522</v>
      </c>
      <c r="AF1725" s="188">
        <f ca="1">IF($AE1720,H1725,T1725)</f>
        <v>8888</v>
      </c>
      <c r="AG1725" s="196">
        <f ca="1">IF($AE1720,I1725,U1725)</f>
        <v>8888</v>
      </c>
      <c r="AI1725" s="128" t="s">
        <v>522</v>
      </c>
      <c r="AJ1725" s="188">
        <f ca="1">IF($AI1720,L1725,X1725)</f>
        <v>8888</v>
      </c>
      <c r="AK1725" s="196">
        <f ca="1">IF($AI1720,M1725,Y1725)</f>
        <v>8888</v>
      </c>
      <c r="AM1725" s="128" t="s">
        <v>522</v>
      </c>
      <c r="AN1725" s="128">
        <f ca="1">AN1724-X1714</f>
        <v>-18.624000000000006</v>
      </c>
      <c r="AO1725" s="129">
        <f ca="1">IF(AN1725&gt;-Fuselage!$D$366,IF(AM1720,(FUSELAGE_a_ellipse+FUSELAGE_t_fuselage)*SQRT(1-((AN1725+Fuselage!$D$366)/Fuselage!$K$364)^2),(FUSELAGE_a_ellipse)*SQRT(1-((AN1725+Fuselage!$D$366)/Fuselage!$K$364)^2)),IF(AN1725&gt;$L$2505+Fuselage!$K$370,(IF(AM1720,FUSELAGE_a_ellipse+FUSELAGE_t_fuselage,FUSELAGE_a_ellipse)),IF(AM1720,(FUSELAGE_a_ellipse+FUSELAGE_t_fuselage-FUSELAGE_d_fo/4)/Fuselage!$K$368*(AN1725-$L$2505-Fuselage!$K$370)+FUSELAGE_a_ellipse+FUSELAGE_t_fuselage,(FUSELAGE_a_ellipse+FUSELAGE_t_fuselage-FUSELAGE_d_fo/4)/Fuselage!$K$368*(AN1725-$L$2505-Fuselage!$K$370)+FUSELAGE_a_ellipse)))</f>
        <v>1.4960570012328709</v>
      </c>
      <c r="AQ1725" s="128" t="s">
        <v>522</v>
      </c>
      <c r="AR1725" s="128">
        <f t="shared" ca="1" si="150"/>
        <v>-18.624000000000006</v>
      </c>
      <c r="AS1725" s="129">
        <f t="shared" ca="1" si="151"/>
        <v>-1.4960570012328709</v>
      </c>
      <c r="BD1725" s="157"/>
    </row>
    <row r="1726" spans="2:56" ht="15" thickBot="1">
      <c r="B1726" s="156"/>
      <c r="C1726" s="128" t="s">
        <v>49</v>
      </c>
      <c r="D1726" s="128">
        <f ca="1">IF(C1720&gt;=2,D1722,D1725)</f>
        <v>8888</v>
      </c>
      <c r="E1726" s="139">
        <f ca="1">IF(C1720&gt;=2,E1725-P1715,E1725)</f>
        <v>8888</v>
      </c>
      <c r="F1726" s="157"/>
      <c r="G1726" s="192" t="s">
        <v>49</v>
      </c>
      <c r="H1726" s="190">
        <f ca="1">IF(G1720&gt;=2,H1722,H1725)</f>
        <v>8888</v>
      </c>
      <c r="I1726" s="191">
        <f ca="1">IF(G1720&gt;=2,I1725-P1715,I1725)</f>
        <v>8888</v>
      </c>
      <c r="K1726" s="190" t="s">
        <v>49</v>
      </c>
      <c r="L1726" s="190">
        <f ca="1">IF(K1720&gt;=2,L1722,L1725)</f>
        <v>8888</v>
      </c>
      <c r="M1726" s="191">
        <f ca="1">IF(K1720&gt;=2,M1725-P1715,M1725)</f>
        <v>8888</v>
      </c>
      <c r="O1726" s="130" t="s">
        <v>396</v>
      </c>
      <c r="P1726" s="130">
        <f ca="1">P1722</f>
        <v>8888</v>
      </c>
      <c r="Q1726" s="140">
        <f ca="1">Q1722</f>
        <v>8888</v>
      </c>
      <c r="S1726" s="130" t="s">
        <v>396</v>
      </c>
      <c r="T1726" s="130">
        <f ca="1">T1722</f>
        <v>8888</v>
      </c>
      <c r="U1726" s="140">
        <f ca="1">U1722</f>
        <v>8888</v>
      </c>
      <c r="W1726" s="130" t="s">
        <v>396</v>
      </c>
      <c r="X1726" s="130">
        <f ca="1">X1722</f>
        <v>8888</v>
      </c>
      <c r="Y1726" s="140">
        <f ca="1">Y1722</f>
        <v>8888</v>
      </c>
      <c r="AA1726" s="143" t="s">
        <v>49</v>
      </c>
      <c r="AB1726" s="128">
        <f ca="1">IF($AA1720,D1726,P1726)</f>
        <v>8888</v>
      </c>
      <c r="AC1726" s="129">
        <f ca="1">IF($AA1720,E1726,Q1726)</f>
        <v>8888</v>
      </c>
      <c r="AD1726" s="157"/>
      <c r="AE1726" s="192" t="s">
        <v>49</v>
      </c>
      <c r="AF1726" s="128">
        <f ca="1">IF($AE1720,H1726,T1726)</f>
        <v>8888</v>
      </c>
      <c r="AG1726" s="129">
        <f ca="1">IF($AE1720,I1726,U1726)</f>
        <v>8888</v>
      </c>
      <c r="AI1726" s="190" t="s">
        <v>49</v>
      </c>
      <c r="AJ1726" s="128">
        <f ca="1">IF($AI1720,L1726,X1726)</f>
        <v>8888</v>
      </c>
      <c r="AK1726" s="129">
        <f ca="1">IF($AI1720,M1726,Y1726)</f>
        <v>8888</v>
      </c>
      <c r="AM1726" s="128" t="s">
        <v>49</v>
      </c>
      <c r="AN1726" s="128">
        <f ca="1">AN1725</f>
        <v>-18.624000000000006</v>
      </c>
      <c r="AO1726" s="129">
        <f ca="1">IF(AN1726&gt;-Fuselage!$D$366,(FUSELAGE_a_ellipse)*SQRT(1-((AN1726+Fuselage!$D$366)/(Fuselage!$K$364-FUSELAGE_t_fuselage))^2),IF(AN1726&gt;$L$2505+Fuselage!$K$370,FUSELAGE_a_ellipse,(FUSELAGE_a_ellipse+FUSELAGE_t_fuselage-FUSELAGE_d_fo/4)/Fuselage!$K$368*(AN1726-$L$2505-Fuselage!$K$370)+FUSELAGE_a_ellipse))</f>
        <v>1.4960570012328709</v>
      </c>
      <c r="AQ1726" s="128" t="s">
        <v>49</v>
      </c>
      <c r="AR1726" s="128">
        <f t="shared" ca="1" si="150"/>
        <v>-18.624000000000006</v>
      </c>
      <c r="AS1726" s="129">
        <f t="shared" ca="1" si="151"/>
        <v>-1.4960570012328709</v>
      </c>
      <c r="BD1726" s="157"/>
    </row>
    <row r="1727" spans="2:56">
      <c r="B1727" s="156"/>
      <c r="C1727" s="128" t="s">
        <v>453</v>
      </c>
      <c r="D1727" s="128">
        <f ca="1">IF(C1720&gt;=2,D1722+P1714,D1725)</f>
        <v>8888</v>
      </c>
      <c r="E1727" s="139">
        <f ca="1">E1726</f>
        <v>8888</v>
      </c>
      <c r="F1727" s="157"/>
      <c r="G1727" s="2" t="s">
        <v>453</v>
      </c>
      <c r="H1727" s="128">
        <f ca="1">IF(G1720&gt;=2,H1723,H1725)</f>
        <v>8888</v>
      </c>
      <c r="I1727" s="139">
        <f ca="1">IF(G1720&gt;=2,I1726,I1725)</f>
        <v>8888</v>
      </c>
      <c r="K1727" s="128" t="s">
        <v>453</v>
      </c>
      <c r="L1727" s="128">
        <f ca="1">IF(K1720&gt;=2,IF(X1715,IF(K1720=2,L1722+P1714/4,L1722+P1714),L1722+P1714),L1725)</f>
        <v>8888</v>
      </c>
      <c r="M1727" s="139">
        <f ca="1">IF(K1720&gt;=2,M1726,M1725)</f>
        <v>8888</v>
      </c>
      <c r="AA1727" s="143" t="s">
        <v>453</v>
      </c>
      <c r="AB1727" s="128">
        <f ca="1">IF($AA1720,D1727,AB1726)</f>
        <v>8888</v>
      </c>
      <c r="AC1727" s="129">
        <f ca="1">IF($AA1720,E1727,AC1726)</f>
        <v>8888</v>
      </c>
      <c r="AD1727" s="157"/>
      <c r="AE1727" s="2" t="s">
        <v>453</v>
      </c>
      <c r="AF1727" s="128">
        <f ca="1">IF($AE1720,H1727,AF1726)</f>
        <v>8888</v>
      </c>
      <c r="AG1727" s="129">
        <f ca="1">IF($AE1720,I1727,AG1726)</f>
        <v>8888</v>
      </c>
      <c r="AI1727" s="128" t="s">
        <v>453</v>
      </c>
      <c r="AJ1727" s="128">
        <f ca="1">IF($AI1720,L1727,AJ1726)</f>
        <v>8888</v>
      </c>
      <c r="AK1727" s="129">
        <f ca="1">IF($AI1720,M1727,AK1726)</f>
        <v>8888</v>
      </c>
      <c r="AM1727" s="128" t="s">
        <v>453</v>
      </c>
      <c r="AN1727" s="128">
        <f ca="1">L1713</f>
        <v>-18.624000000000006</v>
      </c>
      <c r="AO1727" s="129">
        <f ca="1">IF(AN1727&gt;-Fuselage!$D$366,(FUSELAGE_a_ellipse)*SQRT(1-((AN1727+Fuselage!$D$366)/(Fuselage!$K$364-FUSELAGE_t_fuselage))^2),IF(AN1727&gt;$L$2505+Fuselage!$K$370,FUSELAGE_a_ellipse,(FUSELAGE_a_ellipse+FUSELAGE_t_fuselage-FUSELAGE_d_fo/4)/Fuselage!$K$368*(AN1727-$L$2505-Fuselage!$K$370)+FUSELAGE_a_ellipse))</f>
        <v>1.4960570012328709</v>
      </c>
      <c r="AQ1727" s="128" t="s">
        <v>453</v>
      </c>
      <c r="AR1727" s="128">
        <f t="shared" ca="1" si="150"/>
        <v>-18.624000000000006</v>
      </c>
      <c r="AS1727" s="129">
        <f t="shared" ca="1" si="151"/>
        <v>-1.4960570012328709</v>
      </c>
      <c r="BD1727" s="157"/>
    </row>
    <row r="1728" spans="2:56">
      <c r="B1728" s="156"/>
      <c r="C1728" s="128" t="s">
        <v>394</v>
      </c>
      <c r="D1728" s="128">
        <f ca="1">IF(C1720&gt;=2,D1727,D1725)</f>
        <v>8888</v>
      </c>
      <c r="E1728" s="139">
        <f ca="1">IF(C1720&gt;=2,E1726-P1713,E1725)</f>
        <v>8888</v>
      </c>
      <c r="F1728" s="157"/>
      <c r="G1728" s="2" t="s">
        <v>394</v>
      </c>
      <c r="H1728" s="128">
        <f ca="1">IF(G1720&gt;=2,H1723,H1725)</f>
        <v>8888</v>
      </c>
      <c r="I1728" s="139">
        <f ca="1">IF(G1720&gt;=2,I1727-P1713,I1725)</f>
        <v>8888</v>
      </c>
      <c r="K1728" s="128" t="s">
        <v>394</v>
      </c>
      <c r="L1728" s="128">
        <f ca="1">L1727</f>
        <v>8888</v>
      </c>
      <c r="M1728" s="139">
        <f ca="1">IF(K1720&gt;=2,M1727-P1713,M1725)</f>
        <v>8888</v>
      </c>
      <c r="AA1728" s="143" t="s">
        <v>394</v>
      </c>
      <c r="AB1728" s="128">
        <f ca="1">IF($AA1720,D1728,AB1726)</f>
        <v>8888</v>
      </c>
      <c r="AC1728" s="129">
        <f ca="1">IF($AA1720,E1728,AC1726)</f>
        <v>8888</v>
      </c>
      <c r="AD1728" s="157"/>
      <c r="AE1728" s="2" t="s">
        <v>394</v>
      </c>
      <c r="AF1728" s="128">
        <f ca="1">IF($AE1720,H1728,AF1726)</f>
        <v>8888</v>
      </c>
      <c r="AG1728" s="129">
        <f ca="1">IF($AE1720,I1728,AG1726)</f>
        <v>8888</v>
      </c>
      <c r="AI1728" s="128" t="s">
        <v>394</v>
      </c>
      <c r="AJ1728" s="128">
        <f ca="1">IF($AI1720,L1728,AJ1726)</f>
        <v>8888</v>
      </c>
      <c r="AK1728" s="129">
        <f ca="1">IF($AI1720,M1728,AK1726)</f>
        <v>8888</v>
      </c>
      <c r="BD1728" s="157"/>
    </row>
    <row r="1729" spans="2:56">
      <c r="B1729" s="156"/>
      <c r="C1729" s="188" t="s">
        <v>454</v>
      </c>
      <c r="D1729" s="188">
        <f ca="1">IF(C1720&gt;=2,D1722,D1725)</f>
        <v>8888</v>
      </c>
      <c r="E1729" s="189">
        <f ca="1">E1728</f>
        <v>8888</v>
      </c>
      <c r="F1729" s="157"/>
      <c r="G1729" s="115" t="s">
        <v>454</v>
      </c>
      <c r="H1729" s="188">
        <f ca="1">IF(G1720&gt;=2,H1722,H1725)</f>
        <v>8888</v>
      </c>
      <c r="I1729" s="189">
        <f ca="1">IF(G1720&gt;=2,I1728,I1725)</f>
        <v>8888</v>
      </c>
      <c r="K1729" s="188" t="s">
        <v>454</v>
      </c>
      <c r="L1729" s="188">
        <f ca="1">IF(K1720&gt;=2,L1722,L1725)</f>
        <v>8888</v>
      </c>
      <c r="M1729" s="189">
        <f ca="1">IF(K1720&gt;=2,M1728,M1725)</f>
        <v>8888</v>
      </c>
      <c r="AA1729" s="195" t="s">
        <v>454</v>
      </c>
      <c r="AB1729" s="128">
        <f ca="1">IF($AA1720,D1729,AB1726)</f>
        <v>8888</v>
      </c>
      <c r="AC1729" s="129">
        <f ca="1">IF($AA1720,E1729,AC1726)</f>
        <v>8888</v>
      </c>
      <c r="AD1729" s="157"/>
      <c r="AE1729" s="115" t="s">
        <v>454</v>
      </c>
      <c r="AF1729" s="188">
        <f ca="1">IF($AE1720,H1729,AF1726)</f>
        <v>8888</v>
      </c>
      <c r="AG1729" s="196">
        <f ca="1">IF($AE1720,I1729,AG1726)</f>
        <v>8888</v>
      </c>
      <c r="AI1729" s="188" t="s">
        <v>454</v>
      </c>
      <c r="AJ1729" s="188">
        <f ca="1">IF($AI1720,L1729,AJ1726)</f>
        <v>8888</v>
      </c>
      <c r="AK1729" s="196">
        <f ca="1">IF($AI1720,M1729,AK1726)</f>
        <v>8888</v>
      </c>
      <c r="BD1729" s="157"/>
    </row>
    <row r="1730" spans="2:56">
      <c r="B1730" s="156"/>
      <c r="C1730" s="128" t="s">
        <v>507</v>
      </c>
      <c r="D1730" s="128">
        <f ca="1">IF(C1720&gt;=3,D1722,D1729)</f>
        <v>8888</v>
      </c>
      <c r="E1730" s="139">
        <f ca="1">IF(C1720&gt;=3,E1729-P1715,E1729)</f>
        <v>8888</v>
      </c>
      <c r="F1730" s="157"/>
      <c r="G1730" s="2" t="s">
        <v>507</v>
      </c>
      <c r="H1730" s="128">
        <f ca="1">IF(G1720&gt;=3,H1722,H1729)</f>
        <v>8888</v>
      </c>
      <c r="I1730" s="139">
        <f ca="1">IF(G1720&gt;=3,I1729-P1715,I1729)</f>
        <v>8888</v>
      </c>
      <c r="K1730" s="128" t="s">
        <v>507</v>
      </c>
      <c r="L1730" s="128">
        <f ca="1">IF(K1720&gt;=3,L1722,L1729)</f>
        <v>8888</v>
      </c>
      <c r="M1730" s="139">
        <f ca="1">IF(K1720&gt;=3,M1729-P1715,M1729)</f>
        <v>8888</v>
      </c>
      <c r="AA1730" s="143" t="s">
        <v>507</v>
      </c>
      <c r="AB1730" s="128">
        <f ca="1">IF($AA1720,D1730,AB1726)</f>
        <v>8888</v>
      </c>
      <c r="AC1730" s="129">
        <f ca="1">IF($AA1720,E1730,AC1726)</f>
        <v>8888</v>
      </c>
      <c r="AD1730" s="157"/>
      <c r="AE1730" s="2" t="s">
        <v>507</v>
      </c>
      <c r="AF1730" s="128">
        <f ca="1">IF($AE1720,H1730,AF1726)</f>
        <v>8888</v>
      </c>
      <c r="AG1730" s="129">
        <f ca="1">IF($AE1720,I1730,AG1726)</f>
        <v>8888</v>
      </c>
      <c r="AI1730" s="128" t="s">
        <v>507</v>
      </c>
      <c r="AJ1730" s="128">
        <f ca="1">IF($AI1720,L1730,AJ1726)</f>
        <v>8888</v>
      </c>
      <c r="AK1730" s="129">
        <f ca="1">IF($AI1720,M1730,AK1726)</f>
        <v>8888</v>
      </c>
      <c r="BD1730" s="157"/>
    </row>
    <row r="1731" spans="2:56">
      <c r="B1731" s="156"/>
      <c r="C1731" s="128" t="s">
        <v>455</v>
      </c>
      <c r="D1731" s="128">
        <f ca="1">IF(C1720&gt;=3,D1727,D1729)</f>
        <v>8888</v>
      </c>
      <c r="E1731" s="139">
        <f ca="1">E1730</f>
        <v>8888</v>
      </c>
      <c r="F1731" s="157"/>
      <c r="G1731" s="2" t="s">
        <v>455</v>
      </c>
      <c r="H1731" s="128">
        <f ca="1">IF(G1720&gt;=3,H1723,H1729)</f>
        <v>8888</v>
      </c>
      <c r="I1731" s="139">
        <f ca="1">IF(G1720&gt;=3,I1730,I1729)</f>
        <v>8888</v>
      </c>
      <c r="K1731" s="128" t="s">
        <v>455</v>
      </c>
      <c r="L1731" s="128">
        <f ca="1">IF(K1720&gt;=3,IF(X1715,IF(K1720=3,L1722+P1714/4,L1722+P1714),L1722+P1714),L1725)</f>
        <v>8888</v>
      </c>
      <c r="M1731" s="139">
        <f ca="1">IF(K1720&gt;=3,M1730,M1729)</f>
        <v>8888</v>
      </c>
      <c r="AA1731" s="143" t="s">
        <v>455</v>
      </c>
      <c r="AB1731" s="128">
        <f ca="1">IF($AA1720,D1731,AB1726)</f>
        <v>8888</v>
      </c>
      <c r="AC1731" s="129">
        <f ca="1">IF($AA1720,E1731,AC1726)</f>
        <v>8888</v>
      </c>
      <c r="AD1731" s="157"/>
      <c r="AE1731" s="2" t="s">
        <v>455</v>
      </c>
      <c r="AF1731" s="128">
        <f ca="1">IF($AE1720,H1731,AF1726)</f>
        <v>8888</v>
      </c>
      <c r="AG1731" s="129">
        <f ca="1">IF($AE1720,I1731,AG1726)</f>
        <v>8888</v>
      </c>
      <c r="AI1731" s="128" t="s">
        <v>455</v>
      </c>
      <c r="AJ1731" s="128">
        <f ca="1">IF($AI1720,L1731,AJ1726)</f>
        <v>8888</v>
      </c>
      <c r="AK1731" s="129">
        <f ca="1">IF($AI1720,M1731,AK1726)</f>
        <v>8888</v>
      </c>
      <c r="AL1731" s="156"/>
      <c r="BD1731" s="157"/>
    </row>
    <row r="1732" spans="2:56">
      <c r="B1732" s="156"/>
      <c r="C1732" s="128" t="s">
        <v>311</v>
      </c>
      <c r="D1732" s="128">
        <f ca="1">IF(C1720&gt;=3,D1727,D1729)</f>
        <v>8888</v>
      </c>
      <c r="E1732" s="139">
        <f ca="1">IF(C1720&gt;=3,E1731-P1713,E1729)</f>
        <v>8888</v>
      </c>
      <c r="F1732" s="157"/>
      <c r="G1732" s="2" t="s">
        <v>311</v>
      </c>
      <c r="H1732" s="128">
        <f ca="1">IF(G1720&gt;=3,H1723,H1729)</f>
        <v>8888</v>
      </c>
      <c r="I1732" s="139">
        <f ca="1">IF(G1720&gt;=3,I1731-P1713,I1729)</f>
        <v>8888</v>
      </c>
      <c r="K1732" s="128" t="s">
        <v>311</v>
      </c>
      <c r="L1732" s="128">
        <f ca="1">L1731</f>
        <v>8888</v>
      </c>
      <c r="M1732" s="139">
        <f ca="1">IF(K1720&gt;=3,M1731-P1713,M1729)</f>
        <v>8888</v>
      </c>
      <c r="AA1732" s="143" t="s">
        <v>311</v>
      </c>
      <c r="AB1732" s="128">
        <f ca="1">IF($AA1720,D1732,AB1726)</f>
        <v>8888</v>
      </c>
      <c r="AC1732" s="129">
        <f ca="1">IF($AA1720,E1732,AC1726)</f>
        <v>8888</v>
      </c>
      <c r="AD1732" s="157"/>
      <c r="AE1732" s="2" t="s">
        <v>311</v>
      </c>
      <c r="AF1732" s="128">
        <f ca="1">IF($AE1720,H1732,AF1726)</f>
        <v>8888</v>
      </c>
      <c r="AG1732" s="129">
        <f ca="1">IF($AE1720,I1732,AG1726)</f>
        <v>8888</v>
      </c>
      <c r="AI1732" s="128" t="s">
        <v>311</v>
      </c>
      <c r="AJ1732" s="128">
        <f ca="1">IF($AI1720,L1732,AJ1726)</f>
        <v>8888</v>
      </c>
      <c r="AK1732" s="129">
        <f ca="1">IF($AI1720,M1732,AK1726)</f>
        <v>8888</v>
      </c>
      <c r="AL1732" s="156"/>
      <c r="BD1732" s="157"/>
    </row>
    <row r="1733" spans="2:56">
      <c r="B1733" s="156"/>
      <c r="C1733" s="188" t="s">
        <v>35</v>
      </c>
      <c r="D1733" s="188">
        <f ca="1">IF(C1720&gt;=3,D1722,D1729)</f>
        <v>8888</v>
      </c>
      <c r="E1733" s="189">
        <f ca="1">E1732</f>
        <v>8888</v>
      </c>
      <c r="F1733" s="157"/>
      <c r="G1733" s="2" t="s">
        <v>35</v>
      </c>
      <c r="H1733" s="188">
        <f ca="1">IF(G1720&gt;=3,H1722,H1729)</f>
        <v>8888</v>
      </c>
      <c r="I1733" s="189">
        <f ca="1">IF(G1720&gt;=3,I1732,I1729)</f>
        <v>8888</v>
      </c>
      <c r="K1733" s="188" t="s">
        <v>35</v>
      </c>
      <c r="L1733" s="188">
        <f ca="1">IF(K1720&gt;=3,L1722,L1729)</f>
        <v>8888</v>
      </c>
      <c r="M1733" s="189">
        <f ca="1">IF(K1720&gt;=3,M1732,M1729)</f>
        <v>8888</v>
      </c>
      <c r="AA1733" s="143" t="s">
        <v>35</v>
      </c>
      <c r="AB1733" s="128">
        <f ca="1">IF($AA1720,D1733,AB1726)</f>
        <v>8888</v>
      </c>
      <c r="AC1733" s="129">
        <f ca="1">IF($AA1720,E1733,AC1726)</f>
        <v>8888</v>
      </c>
      <c r="AD1733" s="157"/>
      <c r="AE1733" s="2" t="s">
        <v>35</v>
      </c>
      <c r="AF1733" s="188">
        <f ca="1">IF($AE1720,H1733,AF1726)</f>
        <v>8888</v>
      </c>
      <c r="AG1733" s="196">
        <f ca="1">IF($AE1720,I1733,AG1726)</f>
        <v>8888</v>
      </c>
      <c r="AI1733" s="128" t="s">
        <v>35</v>
      </c>
      <c r="AJ1733" s="128">
        <f ca="1">IF($AI1720,L1733,AJ1726)</f>
        <v>8888</v>
      </c>
      <c r="AK1733" s="129">
        <f ca="1">IF($AI1720,M1733,AK1726)</f>
        <v>8888</v>
      </c>
      <c r="AL1733" s="156"/>
      <c r="BD1733" s="157"/>
    </row>
    <row r="1734" spans="2:56" ht="15" thickBot="1">
      <c r="B1734" s="156"/>
      <c r="C1734" s="130" t="s">
        <v>396</v>
      </c>
      <c r="D1734" s="130">
        <f ca="1">D1722</f>
        <v>8888</v>
      </c>
      <c r="E1734" s="140">
        <f ca="1">E1722</f>
        <v>8888</v>
      </c>
      <c r="F1734" s="157"/>
      <c r="G1734" s="192" t="s">
        <v>312</v>
      </c>
      <c r="H1734" s="128">
        <f ca="1">IF(G1720&gt;=4,H1722,H1733)</f>
        <v>8888</v>
      </c>
      <c r="I1734" s="139">
        <f ca="1">IF(G1720&gt;=4,I1733-P1715,I1733)</f>
        <v>8888</v>
      </c>
      <c r="K1734" s="130" t="s">
        <v>396</v>
      </c>
      <c r="L1734" s="130">
        <f ca="1">L1722</f>
        <v>8888</v>
      </c>
      <c r="M1734" s="140">
        <f ca="1">M1722</f>
        <v>8888</v>
      </c>
      <c r="AA1734" s="144" t="s">
        <v>396</v>
      </c>
      <c r="AB1734" s="130">
        <f ca="1">IF($AA1720,D1734,AB1726)</f>
        <v>8888</v>
      </c>
      <c r="AC1734" s="132">
        <f ca="1">IF($AA1720,E1734,AC1726)</f>
        <v>8888</v>
      </c>
      <c r="AD1734" s="157"/>
      <c r="AE1734" s="192" t="s">
        <v>312</v>
      </c>
      <c r="AF1734" s="128">
        <f ca="1">IF($AE1720,H1734,AF1726)</f>
        <v>8888</v>
      </c>
      <c r="AG1734" s="129">
        <f ca="1">IF($AE1720,I1734,AG1726)</f>
        <v>8888</v>
      </c>
      <c r="AI1734" s="130" t="s">
        <v>396</v>
      </c>
      <c r="AJ1734" s="130">
        <f ca="1">IF($AI1720,L1734,AJ1726)</f>
        <v>8888</v>
      </c>
      <c r="AK1734" s="132">
        <f ca="1">IF($AI1720,M1734,AK1726)</f>
        <v>8888</v>
      </c>
      <c r="BD1734" s="157"/>
    </row>
    <row r="1735" spans="2:56">
      <c r="B1735" s="156"/>
      <c r="F1735" s="157"/>
      <c r="G1735" s="2" t="s">
        <v>313</v>
      </c>
      <c r="H1735" s="128">
        <f ca="1">IF(G1720&gt;=4,H1723,H1733)</f>
        <v>8888</v>
      </c>
      <c r="I1735" s="139">
        <f ca="1">IF(G1720&gt;=4,I1734,I1733)</f>
        <v>8888</v>
      </c>
      <c r="AD1735" s="157"/>
      <c r="AE1735" s="2" t="s">
        <v>313</v>
      </c>
      <c r="AF1735" s="128">
        <f ca="1">IF($AE1720,H1735,AF1726)</f>
        <v>8888</v>
      </c>
      <c r="AG1735" s="129">
        <f ca="1">IF($AE1720,I1735,AG1726)</f>
        <v>8888</v>
      </c>
      <c r="BD1735" s="157"/>
    </row>
    <row r="1736" spans="2:56">
      <c r="B1736" s="156"/>
      <c r="F1736" s="157"/>
      <c r="G1736" s="2" t="s">
        <v>7</v>
      </c>
      <c r="H1736" s="128">
        <f ca="1">IF(G1720&gt;=4,H1723,H1733)</f>
        <v>8888</v>
      </c>
      <c r="I1736" s="139">
        <f ca="1">IF(G1720&gt;=4,I1735-P1713,I1733)</f>
        <v>8888</v>
      </c>
      <c r="AD1736" s="157"/>
      <c r="AE1736" s="2" t="s">
        <v>7</v>
      </c>
      <c r="AF1736" s="128">
        <f ca="1">IF($AE1720,H1736,AF1726)</f>
        <v>8888</v>
      </c>
      <c r="AG1736" s="129">
        <f ca="1">IF($AE1720,I1736,AG1726)</f>
        <v>8888</v>
      </c>
      <c r="BD1736" s="157"/>
    </row>
    <row r="1737" spans="2:56">
      <c r="B1737" s="156"/>
      <c r="F1737" s="157"/>
      <c r="G1737" s="115" t="s">
        <v>8</v>
      </c>
      <c r="H1737" s="188">
        <f ca="1">IF(G1720&gt;=4,H1722,H1733)</f>
        <v>8888</v>
      </c>
      <c r="I1737" s="189">
        <f ca="1">IF(G1720&gt;=4,I1736,I1733)</f>
        <v>8888</v>
      </c>
      <c r="AD1737" s="157"/>
      <c r="AE1737" s="115" t="s">
        <v>8</v>
      </c>
      <c r="AF1737" s="188">
        <f ca="1">IF($AE1720,H1737,AF1726)</f>
        <v>8888</v>
      </c>
      <c r="AG1737" s="196">
        <f ca="1">IF($AE1720,I1737,AG1726)</f>
        <v>8888</v>
      </c>
      <c r="BD1737" s="157"/>
    </row>
    <row r="1738" spans="2:56">
      <c r="B1738" s="156"/>
      <c r="F1738" s="157"/>
      <c r="G1738" s="2" t="s">
        <v>9</v>
      </c>
      <c r="H1738" s="128">
        <f ca="1">IF(G1720&gt;=5,H1722,H1737)</f>
        <v>8888</v>
      </c>
      <c r="I1738" s="139">
        <f ca="1">IF(G1720&gt;=5,I1737-P1715,I1737)</f>
        <v>8888</v>
      </c>
      <c r="AD1738" s="157"/>
      <c r="AE1738" s="2" t="s">
        <v>9</v>
      </c>
      <c r="AF1738" s="128">
        <f ca="1">IF($AE1720,H1738,AF1726)</f>
        <v>8888</v>
      </c>
      <c r="AG1738" s="129">
        <f ca="1">IF($AE1720,I1738,AG1726)</f>
        <v>8888</v>
      </c>
      <c r="BD1738" s="157"/>
    </row>
    <row r="1739" spans="2:56">
      <c r="B1739" s="156"/>
      <c r="F1739" s="157"/>
      <c r="G1739" s="2" t="s">
        <v>196</v>
      </c>
      <c r="H1739" s="128">
        <f ca="1">IF(G1720&gt;=5,H1723,H1737)</f>
        <v>8888</v>
      </c>
      <c r="I1739" s="139">
        <f ca="1">IF(G1720&gt;=5,I1738,I1737)</f>
        <v>8888</v>
      </c>
      <c r="AD1739" s="157"/>
      <c r="AE1739" s="2" t="s">
        <v>196</v>
      </c>
      <c r="AF1739" s="128">
        <f ca="1">IF($AE1720,H1739,AF1726)</f>
        <v>8888</v>
      </c>
      <c r="AG1739" s="129">
        <f ca="1">IF($AE1720,I1739,AG1726)</f>
        <v>8888</v>
      </c>
      <c r="BD1739" s="157"/>
    </row>
    <row r="1740" spans="2:56">
      <c r="B1740" s="156"/>
      <c r="F1740" s="157"/>
      <c r="G1740" s="2" t="s">
        <v>10</v>
      </c>
      <c r="H1740" s="128">
        <f ca="1">IF(G1720&gt;=5,H1723,H1737)</f>
        <v>8888</v>
      </c>
      <c r="I1740" s="139">
        <f ca="1">IF(G1720&gt;=5,I1739-P1713,I1737)</f>
        <v>8888</v>
      </c>
      <c r="AD1740" s="157"/>
      <c r="AE1740" s="2" t="s">
        <v>10</v>
      </c>
      <c r="AF1740" s="128">
        <f ca="1">IF($AE1720,H1740,AF1726)</f>
        <v>8888</v>
      </c>
      <c r="AG1740" s="129">
        <f ca="1">IF($AE1720,I1740,AG1726)</f>
        <v>8888</v>
      </c>
      <c r="BD1740" s="157"/>
    </row>
    <row r="1741" spans="2:56">
      <c r="B1741" s="156"/>
      <c r="F1741" s="157"/>
      <c r="G1741" s="2" t="s">
        <v>161</v>
      </c>
      <c r="H1741" s="188">
        <f ca="1">IF(G1720&gt;=5,H1722,H1737)</f>
        <v>8888</v>
      </c>
      <c r="I1741" s="189">
        <f ca="1">IF(G1720&gt;=5,I1740,I1737)</f>
        <v>8888</v>
      </c>
      <c r="AD1741" s="157"/>
      <c r="AE1741" s="2" t="s">
        <v>161</v>
      </c>
      <c r="AF1741" s="188">
        <f ca="1">IF($AE1720,H1741,AF1726)</f>
        <v>8888</v>
      </c>
      <c r="AG1741" s="196">
        <f ca="1">IF($AE1720,I1741,AG1726)</f>
        <v>8888</v>
      </c>
      <c r="BD1741" s="157"/>
    </row>
    <row r="1742" spans="2:56">
      <c r="B1742" s="156"/>
      <c r="F1742" s="157"/>
      <c r="G1742" s="192" t="s">
        <v>11</v>
      </c>
      <c r="H1742" s="128">
        <f ca="1">IF(G1720&gt;=6,H1722,H1741)</f>
        <v>8888</v>
      </c>
      <c r="I1742" s="139">
        <f ca="1">IF(G1720&gt;=6,I1741-P1715,I1741)</f>
        <v>8888</v>
      </c>
      <c r="AD1742" s="157"/>
      <c r="AE1742" s="192" t="s">
        <v>11</v>
      </c>
      <c r="AF1742" s="128">
        <f ca="1">IF($AE1720,H1742,AF1726)</f>
        <v>8888</v>
      </c>
      <c r="AG1742" s="129">
        <f ca="1">IF($AE1720,I1742,AG1726)</f>
        <v>8888</v>
      </c>
      <c r="BD1742" s="157"/>
    </row>
    <row r="1743" spans="2:56">
      <c r="B1743" s="156"/>
      <c r="F1743" s="157"/>
      <c r="G1743" s="2" t="s">
        <v>12</v>
      </c>
      <c r="H1743" s="128">
        <f ca="1">IF(G1720&gt;=6,H1723,H1741)</f>
        <v>8888</v>
      </c>
      <c r="I1743" s="139">
        <f ca="1">IF(G1720&gt;=6,I1742,I1741)</f>
        <v>8888</v>
      </c>
      <c r="AD1743" s="157"/>
      <c r="AE1743" s="2" t="s">
        <v>12</v>
      </c>
      <c r="AF1743" s="128">
        <f ca="1">IF($AE1720,H1743,AF1726)</f>
        <v>8888</v>
      </c>
      <c r="AG1743" s="129">
        <f ca="1">IF($AE1720,I1743,AG1726)</f>
        <v>8888</v>
      </c>
      <c r="BD1743" s="157"/>
    </row>
    <row r="1744" spans="2:56">
      <c r="B1744" s="156"/>
      <c r="F1744" s="157"/>
      <c r="G1744" s="2" t="s">
        <v>13</v>
      </c>
      <c r="H1744" s="128">
        <f ca="1">IF(G1720&gt;=6,H1723,H1741)</f>
        <v>8888</v>
      </c>
      <c r="I1744" s="139">
        <f ca="1">IF(G1720&gt;=6,I1743-P1713,I1741)</f>
        <v>8888</v>
      </c>
      <c r="AD1744" s="157"/>
      <c r="AE1744" s="2" t="s">
        <v>13</v>
      </c>
      <c r="AF1744" s="128">
        <f ca="1">IF($AE1720,H1744,AF1726)</f>
        <v>8888</v>
      </c>
      <c r="AG1744" s="129">
        <f ca="1">IF($AE1720,I1744,AG1726)</f>
        <v>8888</v>
      </c>
      <c r="BD1744" s="157"/>
    </row>
    <row r="1745" spans="2:56">
      <c r="B1745" s="156"/>
      <c r="F1745" s="157"/>
      <c r="G1745" s="115" t="s">
        <v>14</v>
      </c>
      <c r="H1745" s="188">
        <f ca="1">IF(G1720&gt;=6,H1722,H1741)</f>
        <v>8888</v>
      </c>
      <c r="I1745" s="189">
        <f ca="1">IF(G1720&gt;=6,I1744,I1741)</f>
        <v>8888</v>
      </c>
      <c r="AD1745" s="157"/>
      <c r="AE1745" s="115" t="s">
        <v>14</v>
      </c>
      <c r="AF1745" s="188">
        <f ca="1">IF($AE1720,H1745,AF1726)</f>
        <v>8888</v>
      </c>
      <c r="AG1745" s="196">
        <f ca="1">IF($AE1720,I1745,AG1726)</f>
        <v>8888</v>
      </c>
      <c r="BD1745" s="157"/>
    </row>
    <row r="1746" spans="2:56" ht="15" thickBot="1">
      <c r="B1746" s="156"/>
      <c r="G1746" s="130" t="s">
        <v>396</v>
      </c>
      <c r="H1746" s="130">
        <f ca="1">H1722</f>
        <v>8888</v>
      </c>
      <c r="I1746" s="140">
        <f ca="1">I1722</f>
        <v>8888</v>
      </c>
      <c r="AE1746" s="130" t="s">
        <v>396</v>
      </c>
      <c r="AF1746" s="130">
        <f ca="1">IF($AE1720,H1746,AF1726)</f>
        <v>8888</v>
      </c>
      <c r="AG1746" s="132">
        <f ca="1">IF($AE1720,I1746,AG1726)</f>
        <v>8888</v>
      </c>
      <c r="BD1746" s="157"/>
    </row>
    <row r="1747" spans="2:56">
      <c r="B1747" s="156"/>
      <c r="BD1747" s="157"/>
    </row>
    <row r="1748" spans="2:56">
      <c r="B1748" s="156"/>
      <c r="BD1748" s="157"/>
    </row>
    <row r="1749" spans="2:56">
      <c r="B1749" s="156"/>
      <c r="C1749" s="200" t="s">
        <v>336</v>
      </c>
      <c r="D1749">
        <f>D1713+1</f>
        <v>44</v>
      </c>
      <c r="G1749" s="200" t="s">
        <v>638</v>
      </c>
      <c r="H1749">
        <f ca="1">LOOKUP(D1752,$C$191:$C$196,$D$191:$D$196)</f>
        <v>0</v>
      </c>
      <c r="K1749" s="200" t="s">
        <v>644</v>
      </c>
      <c r="L1749">
        <f ca="1">L1713-H1754</f>
        <v>-18.624000000000006</v>
      </c>
      <c r="O1749" s="200" t="s">
        <v>404</v>
      </c>
      <c r="P1749">
        <f ca="1">IF(D1751=1,SEAT_w_cushion_FC,IF(D1751=2,SEAT_w_cushion_BC,IF(D1751=3,SEAT_w_cushion_YC,0)))</f>
        <v>0</v>
      </c>
      <c r="S1749" s="200" t="s">
        <v>647</v>
      </c>
      <c r="T1749">
        <f ca="1">LOOKUP(D1752,$C$191:$C$196,$E$191:$E$196)</f>
        <v>0</v>
      </c>
      <c r="W1749" t="s">
        <v>130</v>
      </c>
      <c r="X1749" t="str">
        <f ca="1">OFFSET(Fuselage!$B$275,D1749,5)</f>
        <v>None</v>
      </c>
      <c r="AN1749" s="200" t="s">
        <v>135</v>
      </c>
      <c r="AO1749">
        <f ca="1">MAX(0,H1754-MAX(T1749,T1751,T1753,P1750)-X1750)</f>
        <v>0</v>
      </c>
      <c r="BD1749" s="157"/>
    </row>
    <row r="1750" spans="2:56">
      <c r="B1750" s="156"/>
      <c r="C1750" s="200" t="s">
        <v>200</v>
      </c>
      <c r="D1750" t="str">
        <f ca="1">OFFSET(Fuselage!$B$275,D1749,0)</f>
        <v/>
      </c>
      <c r="G1750" s="200" t="s">
        <v>639</v>
      </c>
      <c r="H1750">
        <f ca="1">LOOKUP(D1753,$C$191:$C$196,$D$191:$D$196)</f>
        <v>0</v>
      </c>
      <c r="O1750" s="200" t="s">
        <v>535</v>
      </c>
      <c r="P1750">
        <f ca="1">IF(D1751=1,SEAT_length_FC,IF(D1751=2,SEAT_length_BC,IF(D1751=3,SEAT_length_YC,0)))</f>
        <v>0</v>
      </c>
      <c r="S1750" s="200" t="s">
        <v>648</v>
      </c>
      <c r="T1750">
        <f ca="1">LOOKUP(D1752,$C$191:$C$196,$F$191:$F$196)</f>
        <v>0</v>
      </c>
      <c r="W1750" t="s">
        <v>131</v>
      </c>
      <c r="X1750">
        <f ca="1">LOOKUP(X1749,$I$191:$I$198,$J$191:$J$198)</f>
        <v>0</v>
      </c>
      <c r="BD1750" s="157"/>
    </row>
    <row r="1751" spans="2:56">
      <c r="B1751" s="156"/>
      <c r="C1751" s="200" t="s">
        <v>337</v>
      </c>
      <c r="D1751" t="str">
        <f ca="1">OFFSET(Fuselage!$B$275,D1749,4)</f>
        <v/>
      </c>
      <c r="G1751" s="200" t="s">
        <v>309</v>
      </c>
      <c r="H1751">
        <f ca="1">LOOKUP(D1754,$C$191:$C$196,$D$191:$D$196)</f>
        <v>0</v>
      </c>
      <c r="K1751" s="200" t="s">
        <v>645</v>
      </c>
      <c r="L1751">
        <f ca="1">IF(D1751=1,FUSELAGE_nseats_left_FC,IF(D1751=2,FUSELAGE_nseats_left_BC,IF(D1751=3,FUSELAGE_nseats_left_YC,0)))</f>
        <v>0</v>
      </c>
      <c r="O1751" s="200" t="s">
        <v>405</v>
      </c>
      <c r="P1751">
        <f ca="1">IF(D1751=1,SEAT_w_armrest_FC,IF(D1751=2,SEAT_w_armrest_BC,IF(D1751=3,SEAT_w_armrest_YC,0)))</f>
        <v>0</v>
      </c>
      <c r="S1751" s="200" t="s">
        <v>652</v>
      </c>
      <c r="T1751">
        <f ca="1">LOOKUP(D1753,$C$191:$C$196,$E$191:$E$196)</f>
        <v>0</v>
      </c>
      <c r="W1751" s="200" t="s">
        <v>393</v>
      </c>
      <c r="X1751" t="b">
        <f ca="1">IF(OFFSET(Fuselage!$B$275,D1749,6)="YES",TRUE(),FALSE())</f>
        <v>0</v>
      </c>
      <c r="BD1751" s="157"/>
    </row>
    <row r="1752" spans="2:56">
      <c r="B1752" s="156"/>
      <c r="C1752" s="200" t="s">
        <v>640</v>
      </c>
      <c r="D1752" t="str">
        <f ca="1">OFFSET(Fuselage!$B$275,D1749,1)</f>
        <v>None</v>
      </c>
      <c r="G1752" s="200" t="s">
        <v>132</v>
      </c>
      <c r="H1752">
        <f ca="1">IF(D1751=1,SEAT_pitch_FC,IF(D1751=2,SEAT_pitch_BC,IF(D1751=3,SEAT_pitch_YC,0)))</f>
        <v>0</v>
      </c>
      <c r="K1752" s="200" t="s">
        <v>646</v>
      </c>
      <c r="L1752">
        <f ca="1">IF(D1751=1,FUSELAGE_nseats_middle_FC,IF(D1751=2,FUSELAGE_nseats_middle_BC,IF(D1751=3,FUSELAGE_nseats_middle_YC,0)))</f>
        <v>0</v>
      </c>
      <c r="S1752" s="200" t="s">
        <v>653</v>
      </c>
      <c r="T1752">
        <f ca="1">LOOKUP(D1753,$C$191:$C$196,$F$191:$F$196)</f>
        <v>0</v>
      </c>
      <c r="BD1752" s="157"/>
    </row>
    <row r="1753" spans="2:56">
      <c r="B1753" s="156"/>
      <c r="C1753" s="200" t="s">
        <v>642</v>
      </c>
      <c r="D1753" t="str">
        <f ca="1">OFFSET(Fuselage!$B$275,D1749,2)</f>
        <v>None</v>
      </c>
      <c r="G1753" s="200" t="s">
        <v>129</v>
      </c>
      <c r="H1753">
        <f ca="1">IF(OR(X1749="Type A",X1749="Type B"),MAX(H1749:H1752)+42*0.0254,IF(X1749="Type C",MAX(H1749:H1752)+X1750,IF(X1749&lt;&gt;"None",24*0.0254,0)))</f>
        <v>0</v>
      </c>
      <c r="K1753" s="200" t="s">
        <v>655</v>
      </c>
      <c r="L1753">
        <f ca="1">IF(D1751=1,FUSELAGE_nseats_right_FC,IF(D1751=2,FUSELAGE_nseats_right_BC,IF(D1751=3,FUSELAGE_nseats_right_YC,0)))</f>
        <v>0</v>
      </c>
      <c r="O1753" s="200" t="s">
        <v>407</v>
      </c>
      <c r="P1753">
        <f ca="1">($C$13-(L1751+L1752+L1753)*(P1749+P1751)+(FUSELAGE_n_aisles-1)*P1751)/FUSELAGE_n_aisles</f>
        <v>2.76</v>
      </c>
      <c r="S1753" s="200" t="s">
        <v>651</v>
      </c>
      <c r="T1753">
        <f ca="1">LOOKUP(D1754,$C$191:$C$196,$E$191:$E$196)</f>
        <v>0</v>
      </c>
      <c r="BD1753" s="157"/>
    </row>
    <row r="1754" spans="2:56">
      <c r="B1754" s="156"/>
      <c r="C1754" s="200" t="s">
        <v>641</v>
      </c>
      <c r="D1754" t="str">
        <f ca="1">OFFSET(Fuselage!$B$275,D1749,3)</f>
        <v>None</v>
      </c>
      <c r="G1754" s="200" t="s">
        <v>643</v>
      </c>
      <c r="H1754">
        <f ca="1">MAX(H1749:H1753)</f>
        <v>0</v>
      </c>
      <c r="S1754" s="200" t="s">
        <v>654</v>
      </c>
      <c r="T1754">
        <f ca="1">LOOKUP(D1754,$C$191:$C$196,$F$191:$F$196)</f>
        <v>0</v>
      </c>
      <c r="BD1754" s="157"/>
    </row>
    <row r="1755" spans="2:56" ht="15" thickBot="1">
      <c r="B1755" s="156"/>
      <c r="BD1755" s="157"/>
    </row>
    <row r="1756" spans="2:56" ht="15" thickBot="1">
      <c r="B1756" s="156"/>
      <c r="C1756" s="141">
        <f ca="1">L1753</f>
        <v>0</v>
      </c>
      <c r="D1756" s="197" t="str">
        <f ca="1">IF($D1751=1,"FC",IF($D1751=2,"BC",IF($D1751=3,"YC","Nothing")))</f>
        <v>Nothing</v>
      </c>
      <c r="E1756" s="198"/>
      <c r="G1756" s="141">
        <f ca="1">L1752</f>
        <v>0</v>
      </c>
      <c r="H1756" s="197" t="str">
        <f ca="1">IF($D1751=1,"FC",IF($D1751=2,"BC",IF($D1751=3,"YC","Nothing")))</f>
        <v>Nothing</v>
      </c>
      <c r="I1756" s="198"/>
      <c r="K1756" s="141">
        <f ca="1" xml:space="preserve"> L1751</f>
        <v>0</v>
      </c>
      <c r="L1756" s="197" t="str">
        <f ca="1">IF($D1751=1,"FC",IF($D1751=2,"BC",IF($D1751=3,"YC","Nothing")))</f>
        <v>Nothing</v>
      </c>
      <c r="M1756" s="198"/>
      <c r="O1756" s="141">
        <f ca="1">IF($D1754&lt;&gt;"None",1,0)</f>
        <v>0</v>
      </c>
      <c r="P1756" s="326" t="s">
        <v>380</v>
      </c>
      <c r="Q1756" s="327"/>
      <c r="S1756" s="141">
        <f ca="1">IF($D1753&lt;&gt;"None",1,0)</f>
        <v>0</v>
      </c>
      <c r="T1756" s="326" t="s">
        <v>381</v>
      </c>
      <c r="U1756" s="327"/>
      <c r="W1756" s="141">
        <f ca="1">IF($D1752&lt;&gt;"None",1,0)</f>
        <v>0</v>
      </c>
      <c r="X1756" s="326" t="s">
        <v>382</v>
      </c>
      <c r="Y1756" s="327"/>
      <c r="AA1756" s="141">
        <f ca="1">IF($D1754="None",1,0)</f>
        <v>1</v>
      </c>
      <c r="AB1756" s="326" t="str">
        <f ca="1">IF(AA1756,D1756,$D1754)</f>
        <v>Nothing</v>
      </c>
      <c r="AC1756" s="327"/>
      <c r="AE1756" s="141">
        <f ca="1">IF($D1753="None",1,0)</f>
        <v>1</v>
      </c>
      <c r="AF1756" s="326" t="str">
        <f ca="1">IF(AE1756,H1756,$D1753)</f>
        <v>Nothing</v>
      </c>
      <c r="AG1756" s="327"/>
      <c r="AI1756" s="141">
        <f ca="1">IF($D1752="None",1,0)</f>
        <v>1</v>
      </c>
      <c r="AJ1756" s="326" t="str">
        <f ca="1">IF(AI1756,L1756,$D1752)</f>
        <v>Nothing</v>
      </c>
      <c r="AK1756" s="327"/>
      <c r="AM1756" s="141">
        <f ca="1">IF($X1749="None",0,1)</f>
        <v>0</v>
      </c>
      <c r="AN1756" s="197" t="s">
        <v>133</v>
      </c>
      <c r="AO1756" s="198"/>
      <c r="AQ1756" s="141">
        <f ca="1">IF($X1749="None",0,1)</f>
        <v>0</v>
      </c>
      <c r="AR1756" s="197" t="s">
        <v>134</v>
      </c>
      <c r="AS1756" s="198"/>
      <c r="BD1756" s="157"/>
    </row>
    <row r="1757" spans="2:56" ht="15" thickBot="1">
      <c r="B1757" s="156"/>
      <c r="C1757" s="136" t="s">
        <v>452</v>
      </c>
      <c r="D1757" s="136" t="s">
        <v>384</v>
      </c>
      <c r="E1757" s="138" t="s">
        <v>385</v>
      </c>
      <c r="G1757" s="136" t="s">
        <v>452</v>
      </c>
      <c r="H1757" s="136" t="s">
        <v>384</v>
      </c>
      <c r="I1757" s="138" t="s">
        <v>385</v>
      </c>
      <c r="K1757" s="193" t="s">
        <v>452</v>
      </c>
      <c r="L1757" s="193" t="s">
        <v>384</v>
      </c>
      <c r="M1757" s="194" t="s">
        <v>385</v>
      </c>
      <c r="O1757" s="136" t="s">
        <v>452</v>
      </c>
      <c r="P1757" s="136" t="s">
        <v>384</v>
      </c>
      <c r="Q1757" s="138" t="s">
        <v>385</v>
      </c>
      <c r="S1757" s="136" t="s">
        <v>452</v>
      </c>
      <c r="T1757" s="136" t="s">
        <v>384</v>
      </c>
      <c r="U1757" s="138" t="s">
        <v>385</v>
      </c>
      <c r="W1757" s="136" t="s">
        <v>452</v>
      </c>
      <c r="X1757" s="136" t="s">
        <v>384</v>
      </c>
      <c r="Y1757" s="138" t="s">
        <v>385</v>
      </c>
      <c r="AA1757" s="136" t="s">
        <v>452</v>
      </c>
      <c r="AB1757" s="136" t="s">
        <v>384</v>
      </c>
      <c r="AC1757" s="138" t="s">
        <v>385</v>
      </c>
      <c r="AE1757" s="136" t="s">
        <v>452</v>
      </c>
      <c r="AF1757" s="136" t="s">
        <v>384</v>
      </c>
      <c r="AG1757" s="138" t="s">
        <v>385</v>
      </c>
      <c r="AI1757" s="193" t="s">
        <v>452</v>
      </c>
      <c r="AJ1757" s="193" t="s">
        <v>384</v>
      </c>
      <c r="AK1757" s="194" t="s">
        <v>385</v>
      </c>
      <c r="AM1757" s="193" t="s">
        <v>452</v>
      </c>
      <c r="AN1757" s="193" t="s">
        <v>384</v>
      </c>
      <c r="AO1757" s="194" t="s">
        <v>385</v>
      </c>
      <c r="AQ1757" s="193" t="s">
        <v>452</v>
      </c>
      <c r="AR1757" s="193" t="s">
        <v>384</v>
      </c>
      <c r="AS1757" s="194" t="s">
        <v>385</v>
      </c>
      <c r="BD1757" s="157"/>
    </row>
    <row r="1758" spans="2:56">
      <c r="B1758" s="156"/>
      <c r="C1758" s="128" t="s">
        <v>396</v>
      </c>
      <c r="D1758" s="158">
        <f ca="1">IF(C1756&gt;=1,L1749,8888)</f>
        <v>8888</v>
      </c>
      <c r="E1758" s="160">
        <f ca="1">IF(C1756&gt;=1,1/2*($C$13-P1749-2*P1751)+1/2*P1749,8888)</f>
        <v>8888</v>
      </c>
      <c r="G1758" s="128" t="s">
        <v>396</v>
      </c>
      <c r="H1758" s="158">
        <f ca="1">IF(G1756&gt;=1,L1749,8888)</f>
        <v>8888</v>
      </c>
      <c r="I1758" s="160">
        <f ca="1">IF(G1756&gt;=1,E1769-P1753,8888)</f>
        <v>8888</v>
      </c>
      <c r="K1758" s="128" t="s">
        <v>396</v>
      </c>
      <c r="L1758" s="158">
        <f ca="1">IF(K1756&gt;=1,L1749,8888)</f>
        <v>8888</v>
      </c>
      <c r="M1758" s="160">
        <f ca="1">IF(K1756&gt;=1,IF(FUSELAGE_n_aisles=1,E1769-P1753,I1781-P1753),8888)</f>
        <v>8888</v>
      </c>
      <c r="O1758" s="128" t="s">
        <v>396</v>
      </c>
      <c r="P1758" s="158">
        <f ca="1">IF(O1756,$L1749,8888)</f>
        <v>8888</v>
      </c>
      <c r="Q1758" s="209">
        <f ca="1">IF(O1756,FUSELAGE_y_position_of_left_seat_YC-(FUSELAGE_nseats_right_YC-1)*(SEAT_w_cushion_YC+SEAT_w_armrest_YC)/2+T1754/2,8888)</f>
        <v>8888</v>
      </c>
      <c r="S1758" s="128" t="s">
        <v>396</v>
      </c>
      <c r="T1758" s="158">
        <f ca="1">IF(S1756,$L1749,8888)</f>
        <v>8888</v>
      </c>
      <c r="U1758" s="160">
        <f ca="1">IF(S1756,T1752/2,8888)</f>
        <v>8888</v>
      </c>
      <c r="W1758" s="128" t="s">
        <v>396</v>
      </c>
      <c r="X1758" s="158">
        <f ca="1">IF(W1756,$L1749,8888)</f>
        <v>8888</v>
      </c>
      <c r="Y1758" s="160">
        <f ca="1">IF(W1756,-FUSELAGE_y_position_of_left_seat_YC+(FUSELAGE_nseats_left_YC-1)*(SEAT_w_cushion_YC+SEAT_w_armrest_YC)/2-T1750/2,8888)</f>
        <v>8888</v>
      </c>
      <c r="AA1758" s="128" t="s">
        <v>396</v>
      </c>
      <c r="AB1758" s="158">
        <f ca="1">IF($AA1756,D1758,P1758)</f>
        <v>8888</v>
      </c>
      <c r="AC1758" s="174">
        <f ca="1">IF($AA1756,E1758,Q1758)</f>
        <v>8888</v>
      </c>
      <c r="AE1758" s="128" t="s">
        <v>396</v>
      </c>
      <c r="AF1758" s="158">
        <f ca="1">IF($AE1756,H1758,T1758)</f>
        <v>8888</v>
      </c>
      <c r="AG1758" s="174">
        <f ca="1">IF($AE1756,I1758,U1758)</f>
        <v>8888</v>
      </c>
      <c r="AI1758" s="128" t="s">
        <v>396</v>
      </c>
      <c r="AJ1758" s="158">
        <f ca="1">IF($AI1756,L1758,X1758)</f>
        <v>8888</v>
      </c>
      <c r="AK1758" s="174">
        <f ca="1">IF($AI1756,M1758,Y1758)</f>
        <v>8888</v>
      </c>
      <c r="AM1758" s="128" t="s">
        <v>396</v>
      </c>
      <c r="AN1758" s="158">
        <f ca="1">AN1727</f>
        <v>-18.624000000000006</v>
      </c>
      <c r="AO1758" s="174">
        <f ca="1">IF(AN1758&gt;-Fuselage!$D$366,(FUSELAGE_a_ellipse)*SQRT(1-((AN1758+Fuselage!$D$366)/(Fuselage!$K$364-FUSELAGE_t_fuselage))^2),IF(AN1758&gt;$L$2505+Fuselage!$K$370,FUSELAGE_a_ellipse,(FUSELAGE_a_ellipse+FUSELAGE_t_fuselage-FUSELAGE_d_fo/4)/Fuselage!$K$368*(AN1758-$L$2505-Fuselage!$K$370)+FUSELAGE_a_ellipse))</f>
        <v>1.4960570012328709</v>
      </c>
      <c r="AQ1758" s="128" t="s">
        <v>396</v>
      </c>
      <c r="AR1758" s="158">
        <f t="shared" ref="AR1758:AR1763" ca="1" si="152">AN1758</f>
        <v>-18.624000000000006</v>
      </c>
      <c r="AS1758" s="174">
        <f t="shared" ref="AS1758:AS1763" ca="1" si="153">-AO1758</f>
        <v>-1.4960570012328709</v>
      </c>
      <c r="BD1758" s="157"/>
    </row>
    <row r="1759" spans="2:56">
      <c r="B1759" s="156"/>
      <c r="C1759" s="128" t="s">
        <v>213</v>
      </c>
      <c r="D1759" s="128">
        <f ca="1">IF(X1751,D1758+P1750/4,D1758+P1750)</f>
        <v>8888</v>
      </c>
      <c r="E1759" s="139">
        <f ca="1">E1758</f>
        <v>8888</v>
      </c>
      <c r="G1759" s="128" t="s">
        <v>213</v>
      </c>
      <c r="H1759" s="128">
        <f ca="1">H1758+P1750</f>
        <v>8888</v>
      </c>
      <c r="I1759" s="139">
        <f ca="1">I1758</f>
        <v>8888</v>
      </c>
      <c r="K1759" s="128" t="s">
        <v>213</v>
      </c>
      <c r="L1759" s="128">
        <f ca="1">IF(X1751,IF(K1756=1,L1758+P1750/4,L1758+P1750),L1758+P1750)</f>
        <v>8888</v>
      </c>
      <c r="M1759" s="139">
        <f ca="1">M1758</f>
        <v>8888</v>
      </c>
      <c r="O1759" s="128" t="s">
        <v>213</v>
      </c>
      <c r="P1759" s="128">
        <f ca="1">P1758+$T1753</f>
        <v>8888</v>
      </c>
      <c r="Q1759" s="139">
        <f ca="1">Q1758</f>
        <v>8888</v>
      </c>
      <c r="S1759" s="128" t="s">
        <v>213</v>
      </c>
      <c r="T1759" s="128">
        <f ca="1">T1758+$T1751</f>
        <v>8888</v>
      </c>
      <c r="U1759" s="139">
        <f ca="1">U1758</f>
        <v>8888</v>
      </c>
      <c r="W1759" s="128" t="s">
        <v>213</v>
      </c>
      <c r="X1759" s="128">
        <f ca="1">X1758+$T1749</f>
        <v>8888</v>
      </c>
      <c r="Y1759" s="139">
        <f ca="1">Y1758</f>
        <v>8888</v>
      </c>
      <c r="AA1759" s="143" t="s">
        <v>213</v>
      </c>
      <c r="AB1759" s="128">
        <f ca="1">IF($AA1756,D1759,P1759)</f>
        <v>8888</v>
      </c>
      <c r="AC1759" s="129">
        <f ca="1">IF($AA1756,E1759,Q1759)</f>
        <v>8888</v>
      </c>
      <c r="AE1759" s="128" t="s">
        <v>213</v>
      </c>
      <c r="AF1759" s="128">
        <f ca="1">IF($AE1756,H1759,T1759)</f>
        <v>8888</v>
      </c>
      <c r="AG1759" s="129">
        <f ca="1">IF($AE1756,I1759,U1759)</f>
        <v>8888</v>
      </c>
      <c r="AI1759" s="128" t="s">
        <v>213</v>
      </c>
      <c r="AJ1759" s="128">
        <f ca="1">IF($AI1756,L1759,X1759)</f>
        <v>8888</v>
      </c>
      <c r="AK1759" s="129">
        <f ca="1">IF($AI1756,M1759,Y1759)</f>
        <v>8888</v>
      </c>
      <c r="AM1759" s="128" t="s">
        <v>213</v>
      </c>
      <c r="AN1759" s="128">
        <f ca="1">AN1758-AO1749/2</f>
        <v>-18.624000000000006</v>
      </c>
      <c r="AO1759" s="129">
        <f ca="1">IF(AN1759&gt;-Fuselage!$D$366,(FUSELAGE_a_ellipse)*SQRT(1-((AN1759+Fuselage!$D$366)/(Fuselage!$K$364-FUSELAGE_t_fuselage))^2),IF(AN1759&gt;$L$2505+Fuselage!$K$370,FUSELAGE_a_ellipse,(FUSELAGE_a_ellipse+FUSELAGE_t_fuselage-FUSELAGE_d_fo/4)/Fuselage!$K$368*(AN1759-$L$2505-Fuselage!$K$370)+FUSELAGE_a_ellipse))</f>
        <v>1.4960570012328709</v>
      </c>
      <c r="AQ1759" s="128" t="s">
        <v>213</v>
      </c>
      <c r="AR1759" s="128">
        <f t="shared" ca="1" si="152"/>
        <v>-18.624000000000006</v>
      </c>
      <c r="AS1759" s="129">
        <f t="shared" ca="1" si="153"/>
        <v>-1.4960570012328709</v>
      </c>
      <c r="BD1759" s="157"/>
    </row>
    <row r="1760" spans="2:56">
      <c r="B1760" s="156"/>
      <c r="C1760" s="128" t="s">
        <v>286</v>
      </c>
      <c r="D1760" s="128">
        <f ca="1">D1759</f>
        <v>8888</v>
      </c>
      <c r="E1760" s="139">
        <f ca="1">E1759-P1749</f>
        <v>8888</v>
      </c>
      <c r="G1760" s="128" t="s">
        <v>286</v>
      </c>
      <c r="H1760" s="128">
        <f ca="1">H1759</f>
        <v>8888</v>
      </c>
      <c r="I1760" s="139">
        <f ca="1">I1759-P1749</f>
        <v>8888</v>
      </c>
      <c r="K1760" s="128" t="s">
        <v>286</v>
      </c>
      <c r="L1760" s="128">
        <f ca="1">L1759</f>
        <v>8888</v>
      </c>
      <c r="M1760" s="139">
        <f ca="1">M1759-P1749</f>
        <v>8888</v>
      </c>
      <c r="O1760" s="128" t="s">
        <v>286</v>
      </c>
      <c r="P1760" s="128">
        <f ca="1">P1759</f>
        <v>8888</v>
      </c>
      <c r="Q1760" s="139">
        <f ca="1">Q1759-$T1754</f>
        <v>8888</v>
      </c>
      <c r="S1760" s="128" t="s">
        <v>286</v>
      </c>
      <c r="T1760" s="128">
        <f ca="1">T1759</f>
        <v>8888</v>
      </c>
      <c r="U1760" s="139">
        <f ca="1">U1759-$T1752</f>
        <v>8888</v>
      </c>
      <c r="W1760" s="128" t="s">
        <v>286</v>
      </c>
      <c r="X1760" s="128">
        <f ca="1">X1759</f>
        <v>8888</v>
      </c>
      <c r="Y1760" s="139">
        <f ca="1">Y1759+$T1750</f>
        <v>8888</v>
      </c>
      <c r="AA1760" s="143" t="s">
        <v>286</v>
      </c>
      <c r="AB1760" s="128">
        <f ca="1">IF($AA1756,D1760,P1760)</f>
        <v>8888</v>
      </c>
      <c r="AC1760" s="129">
        <f ca="1">IF($AA1756,E1760,Q1760)</f>
        <v>8888</v>
      </c>
      <c r="AE1760" s="128" t="s">
        <v>286</v>
      </c>
      <c r="AF1760" s="128">
        <f ca="1">IF($AE1756,H1760,T1760)</f>
        <v>8888</v>
      </c>
      <c r="AG1760" s="129">
        <f ca="1">IF($AE1756,I1760,U1760)</f>
        <v>8888</v>
      </c>
      <c r="AI1760" s="128" t="s">
        <v>286</v>
      </c>
      <c r="AJ1760" s="128">
        <f ca="1">IF($AI1756,L1760,X1760)</f>
        <v>8888</v>
      </c>
      <c r="AK1760" s="129">
        <f ca="1">IF($AI1756,M1760,Y1760)</f>
        <v>8888</v>
      </c>
      <c r="AM1760" s="128" t="s">
        <v>286</v>
      </c>
      <c r="AN1760" s="128">
        <f ca="1">AN1759</f>
        <v>-18.624000000000006</v>
      </c>
      <c r="AO1760" s="129">
        <f ca="1">IF(AN1760&gt;-Fuselage!$D$366,IF(AM1756,(FUSELAGE_a_ellipse+FUSELAGE_t_fuselage)*SQRT(1-((AN1760+Fuselage!$D$366)/Fuselage!$K$364)^2),(FUSELAGE_a_ellipse)*SQRT(1-((AN1760+Fuselage!$D$366)/Fuselage!$K$364)^2)),IF(AN1760&gt;$L$2505+Fuselage!$K$370,(IF(AM1756,FUSELAGE_a_ellipse+FUSELAGE_t_fuselage,FUSELAGE_a_ellipse)),IF(AM1756,(FUSELAGE_a_ellipse+FUSELAGE_t_fuselage-FUSELAGE_d_fo/4)/Fuselage!$K$368*(AN1760-$L$2505-Fuselage!$K$370)+FUSELAGE_a_ellipse+FUSELAGE_t_fuselage,(FUSELAGE_a_ellipse+FUSELAGE_t_fuselage-FUSELAGE_d_fo/4)/Fuselage!$K$368*(AN1760-$L$2505-Fuselage!$K$370)+FUSELAGE_a_ellipse)))</f>
        <v>1.4960570012328709</v>
      </c>
      <c r="AQ1760" s="128" t="s">
        <v>286</v>
      </c>
      <c r="AR1760" s="128">
        <f t="shared" ca="1" si="152"/>
        <v>-18.624000000000006</v>
      </c>
      <c r="AS1760" s="129">
        <f t="shared" ca="1" si="153"/>
        <v>-1.4960570012328709</v>
      </c>
      <c r="BD1760" s="157"/>
    </row>
    <row r="1761" spans="2:56">
      <c r="B1761" s="156"/>
      <c r="C1761" s="188" t="s">
        <v>522</v>
      </c>
      <c r="D1761" s="188">
        <f ca="1">D1758</f>
        <v>8888</v>
      </c>
      <c r="E1761" s="189">
        <f ca="1">E1760</f>
        <v>8888</v>
      </c>
      <c r="F1761" s="157"/>
      <c r="G1761" s="2" t="s">
        <v>522</v>
      </c>
      <c r="H1761" s="128">
        <f ca="1">H1758</f>
        <v>8888</v>
      </c>
      <c r="I1761" s="139">
        <f ca="1">I1760</f>
        <v>8888</v>
      </c>
      <c r="K1761" s="128" t="s">
        <v>522</v>
      </c>
      <c r="L1761" s="128">
        <f ca="1">L1758</f>
        <v>8888</v>
      </c>
      <c r="M1761" s="139">
        <f ca="1">M1760</f>
        <v>8888</v>
      </c>
      <c r="O1761" s="188" t="s">
        <v>522</v>
      </c>
      <c r="P1761" s="188">
        <f ca="1">P1758</f>
        <v>8888</v>
      </c>
      <c r="Q1761" s="189">
        <f ca="1">Q1760</f>
        <v>8888</v>
      </c>
      <c r="S1761" s="188" t="s">
        <v>522</v>
      </c>
      <c r="T1761" s="188">
        <f ca="1">T1758</f>
        <v>8888</v>
      </c>
      <c r="U1761" s="189">
        <f ca="1">U1760</f>
        <v>8888</v>
      </c>
      <c r="W1761" s="188" t="s">
        <v>522</v>
      </c>
      <c r="X1761" s="188">
        <f ca="1">X1758</f>
        <v>8888</v>
      </c>
      <c r="Y1761" s="189">
        <f ca="1">Y1760</f>
        <v>8888</v>
      </c>
      <c r="AA1761" s="195" t="s">
        <v>522</v>
      </c>
      <c r="AB1761" s="128">
        <f ca="1">IF($AA1756,D1761,P1761)</f>
        <v>8888</v>
      </c>
      <c r="AC1761" s="129">
        <f ca="1">IF($AA1756,E1761,Q1761)</f>
        <v>8888</v>
      </c>
      <c r="AD1761" s="157"/>
      <c r="AE1761" s="2" t="s">
        <v>522</v>
      </c>
      <c r="AF1761" s="188">
        <f ca="1">IF($AE1756,H1761,T1761)</f>
        <v>8888</v>
      </c>
      <c r="AG1761" s="196">
        <f ca="1">IF($AE1756,I1761,U1761)</f>
        <v>8888</v>
      </c>
      <c r="AI1761" s="128" t="s">
        <v>522</v>
      </c>
      <c r="AJ1761" s="188">
        <f ca="1">IF($AI1756,L1761,X1761)</f>
        <v>8888</v>
      </c>
      <c r="AK1761" s="196">
        <f ca="1">IF($AI1756,M1761,Y1761)</f>
        <v>8888</v>
      </c>
      <c r="AM1761" s="128" t="s">
        <v>522</v>
      </c>
      <c r="AN1761" s="128">
        <f ca="1">AN1760-X1750</f>
        <v>-18.624000000000006</v>
      </c>
      <c r="AO1761" s="129">
        <f ca="1">IF(AN1761&gt;-Fuselage!$D$366,IF(AM1756,(FUSELAGE_a_ellipse+FUSELAGE_t_fuselage)*SQRT(1-((AN1761+Fuselage!$D$366)/Fuselage!$K$364)^2),(FUSELAGE_a_ellipse)*SQRT(1-((AN1761+Fuselage!$D$366)/Fuselage!$K$364)^2)),IF(AN1761&gt;$L$2505+Fuselage!$K$370,(IF(AM1756,FUSELAGE_a_ellipse+FUSELAGE_t_fuselage,FUSELAGE_a_ellipse)),IF(AM1756,(FUSELAGE_a_ellipse+FUSELAGE_t_fuselage-FUSELAGE_d_fo/4)/Fuselage!$K$368*(AN1761-$L$2505-Fuselage!$K$370)+FUSELAGE_a_ellipse+FUSELAGE_t_fuselage,(FUSELAGE_a_ellipse+FUSELAGE_t_fuselage-FUSELAGE_d_fo/4)/Fuselage!$K$368*(AN1761-$L$2505-Fuselage!$K$370)+FUSELAGE_a_ellipse)))</f>
        <v>1.4960570012328709</v>
      </c>
      <c r="AQ1761" s="128" t="s">
        <v>522</v>
      </c>
      <c r="AR1761" s="128">
        <f t="shared" ca="1" si="152"/>
        <v>-18.624000000000006</v>
      </c>
      <c r="AS1761" s="129">
        <f t="shared" ca="1" si="153"/>
        <v>-1.4960570012328709</v>
      </c>
      <c r="BD1761" s="157"/>
    </row>
    <row r="1762" spans="2:56" ht="15" thickBot="1">
      <c r="B1762" s="156"/>
      <c r="C1762" s="128" t="s">
        <v>49</v>
      </c>
      <c r="D1762" s="128">
        <f ca="1">IF(C1756&gt;=2,D1758,D1761)</f>
        <v>8888</v>
      </c>
      <c r="E1762" s="139">
        <f ca="1">IF(C1756&gt;=2,E1761-P1751,E1761)</f>
        <v>8888</v>
      </c>
      <c r="F1762" s="157"/>
      <c r="G1762" s="192" t="s">
        <v>49</v>
      </c>
      <c r="H1762" s="190">
        <f ca="1">IF(G1756&gt;=2,H1758,H1761)</f>
        <v>8888</v>
      </c>
      <c r="I1762" s="191">
        <f ca="1">IF(G1756&gt;=2,I1761-P1751,I1761)</f>
        <v>8888</v>
      </c>
      <c r="K1762" s="190" t="s">
        <v>49</v>
      </c>
      <c r="L1762" s="190">
        <f ca="1">IF(K1756&gt;=2,L1758,L1761)</f>
        <v>8888</v>
      </c>
      <c r="M1762" s="191">
        <f ca="1">IF(K1756&gt;=2,M1761-P1751,M1761)</f>
        <v>8888</v>
      </c>
      <c r="O1762" s="130" t="s">
        <v>396</v>
      </c>
      <c r="P1762" s="130">
        <f ca="1">P1758</f>
        <v>8888</v>
      </c>
      <c r="Q1762" s="140">
        <f ca="1">Q1758</f>
        <v>8888</v>
      </c>
      <c r="S1762" s="130" t="s">
        <v>396</v>
      </c>
      <c r="T1762" s="130">
        <f ca="1">T1758</f>
        <v>8888</v>
      </c>
      <c r="U1762" s="140">
        <f ca="1">U1758</f>
        <v>8888</v>
      </c>
      <c r="W1762" s="130" t="s">
        <v>396</v>
      </c>
      <c r="X1762" s="130">
        <f ca="1">X1758</f>
        <v>8888</v>
      </c>
      <c r="Y1762" s="140">
        <f ca="1">Y1758</f>
        <v>8888</v>
      </c>
      <c r="AA1762" s="143" t="s">
        <v>49</v>
      </c>
      <c r="AB1762" s="128">
        <f ca="1">IF($AA1756,D1762,P1762)</f>
        <v>8888</v>
      </c>
      <c r="AC1762" s="129">
        <f ca="1">IF($AA1756,E1762,Q1762)</f>
        <v>8888</v>
      </c>
      <c r="AD1762" s="157"/>
      <c r="AE1762" s="192" t="s">
        <v>49</v>
      </c>
      <c r="AF1762" s="128">
        <f ca="1">IF($AE1756,H1762,T1762)</f>
        <v>8888</v>
      </c>
      <c r="AG1762" s="129">
        <f ca="1">IF($AE1756,I1762,U1762)</f>
        <v>8888</v>
      </c>
      <c r="AI1762" s="190" t="s">
        <v>49</v>
      </c>
      <c r="AJ1762" s="128">
        <f ca="1">IF($AI1756,L1762,X1762)</f>
        <v>8888</v>
      </c>
      <c r="AK1762" s="129">
        <f ca="1">IF($AI1756,M1762,Y1762)</f>
        <v>8888</v>
      </c>
      <c r="AM1762" s="128" t="s">
        <v>49</v>
      </c>
      <c r="AN1762" s="128">
        <f ca="1">AN1761</f>
        <v>-18.624000000000006</v>
      </c>
      <c r="AO1762" s="129">
        <f ca="1">IF(AN1762&gt;-Fuselage!$D$366,(FUSELAGE_a_ellipse)*SQRT(1-((AN1762+Fuselage!$D$366)/(Fuselage!$K$364-FUSELAGE_t_fuselage))^2),IF(AN1762&gt;$L$2505+Fuselage!$K$370,FUSELAGE_a_ellipse,(FUSELAGE_a_ellipse+FUSELAGE_t_fuselage-FUSELAGE_d_fo/4)/Fuselage!$K$368*(AN1762-$L$2505-Fuselage!$K$370)+FUSELAGE_a_ellipse))</f>
        <v>1.4960570012328709</v>
      </c>
      <c r="AQ1762" s="128" t="s">
        <v>49</v>
      </c>
      <c r="AR1762" s="128">
        <f t="shared" ca="1" si="152"/>
        <v>-18.624000000000006</v>
      </c>
      <c r="AS1762" s="129">
        <f t="shared" ca="1" si="153"/>
        <v>-1.4960570012328709</v>
      </c>
      <c r="BD1762" s="157"/>
    </row>
    <row r="1763" spans="2:56">
      <c r="B1763" s="156"/>
      <c r="C1763" s="128" t="s">
        <v>453</v>
      </c>
      <c r="D1763" s="128">
        <f ca="1">IF(C1756&gt;=2,D1758+P1750,D1761)</f>
        <v>8888</v>
      </c>
      <c r="E1763" s="139">
        <f ca="1">E1762</f>
        <v>8888</v>
      </c>
      <c r="F1763" s="157"/>
      <c r="G1763" s="2" t="s">
        <v>453</v>
      </c>
      <c r="H1763" s="128">
        <f ca="1">IF(G1756&gt;=2,H1759,H1761)</f>
        <v>8888</v>
      </c>
      <c r="I1763" s="139">
        <f ca="1">IF(G1756&gt;=2,I1762,I1761)</f>
        <v>8888</v>
      </c>
      <c r="K1763" s="128" t="s">
        <v>453</v>
      </c>
      <c r="L1763" s="128">
        <f ca="1">IF(K1756&gt;=2,IF(X1751,IF(K1756=2,L1758+P1750/4,L1758+P1750),L1758+P1750),L1761)</f>
        <v>8888</v>
      </c>
      <c r="M1763" s="139">
        <f ca="1">IF(K1756&gt;=2,M1762,M1761)</f>
        <v>8888</v>
      </c>
      <c r="AA1763" s="143" t="s">
        <v>453</v>
      </c>
      <c r="AB1763" s="128">
        <f ca="1">IF($AA1756,D1763,AB1762)</f>
        <v>8888</v>
      </c>
      <c r="AC1763" s="129">
        <f ca="1">IF($AA1756,E1763,AC1762)</f>
        <v>8888</v>
      </c>
      <c r="AD1763" s="157"/>
      <c r="AE1763" s="2" t="s">
        <v>453</v>
      </c>
      <c r="AF1763" s="128">
        <f ca="1">IF($AE1756,H1763,AF1762)</f>
        <v>8888</v>
      </c>
      <c r="AG1763" s="129">
        <f ca="1">IF($AE1756,I1763,AG1762)</f>
        <v>8888</v>
      </c>
      <c r="AI1763" s="128" t="s">
        <v>453</v>
      </c>
      <c r="AJ1763" s="128">
        <f ca="1">IF($AI1756,L1763,AJ1762)</f>
        <v>8888</v>
      </c>
      <c r="AK1763" s="129">
        <f ca="1">IF($AI1756,M1763,AK1762)</f>
        <v>8888</v>
      </c>
      <c r="AM1763" s="128" t="s">
        <v>453</v>
      </c>
      <c r="AN1763" s="128">
        <f ca="1">L1749</f>
        <v>-18.624000000000006</v>
      </c>
      <c r="AO1763" s="129">
        <f ca="1">IF(AN1763&gt;-Fuselage!$D$366,(FUSELAGE_a_ellipse)*SQRT(1-((AN1763+Fuselage!$D$366)/(Fuselage!$K$364-FUSELAGE_t_fuselage))^2),IF(AN1763&gt;$L$2505+Fuselage!$K$370,FUSELAGE_a_ellipse,(FUSELAGE_a_ellipse+FUSELAGE_t_fuselage-FUSELAGE_d_fo/4)/Fuselage!$K$368*(AN1763-$L$2505-Fuselage!$K$370)+FUSELAGE_a_ellipse))</f>
        <v>1.4960570012328709</v>
      </c>
      <c r="AQ1763" s="128" t="s">
        <v>453</v>
      </c>
      <c r="AR1763" s="128">
        <f t="shared" ca="1" si="152"/>
        <v>-18.624000000000006</v>
      </c>
      <c r="AS1763" s="129">
        <f t="shared" ca="1" si="153"/>
        <v>-1.4960570012328709</v>
      </c>
      <c r="BD1763" s="157"/>
    </row>
    <row r="1764" spans="2:56">
      <c r="B1764" s="156"/>
      <c r="C1764" s="128" t="s">
        <v>394</v>
      </c>
      <c r="D1764" s="128">
        <f ca="1">IF(C1756&gt;=2,D1763,D1761)</f>
        <v>8888</v>
      </c>
      <c r="E1764" s="139">
        <f ca="1">IF(C1756&gt;=2,E1762-P1749,E1761)</f>
        <v>8888</v>
      </c>
      <c r="F1764" s="157"/>
      <c r="G1764" s="2" t="s">
        <v>394</v>
      </c>
      <c r="H1764" s="128">
        <f ca="1">IF(G1756&gt;=2,H1759,H1761)</f>
        <v>8888</v>
      </c>
      <c r="I1764" s="139">
        <f ca="1">IF(G1756&gt;=2,I1763-P1749,I1761)</f>
        <v>8888</v>
      </c>
      <c r="K1764" s="128" t="s">
        <v>394</v>
      </c>
      <c r="L1764" s="128">
        <f ca="1">L1763</f>
        <v>8888</v>
      </c>
      <c r="M1764" s="139">
        <f ca="1">IF(K1756&gt;=2,M1763-P1749,M1761)</f>
        <v>8888</v>
      </c>
      <c r="AA1764" s="143" t="s">
        <v>394</v>
      </c>
      <c r="AB1764" s="128">
        <f ca="1">IF($AA1756,D1764,AB1762)</f>
        <v>8888</v>
      </c>
      <c r="AC1764" s="129">
        <f ca="1">IF($AA1756,E1764,AC1762)</f>
        <v>8888</v>
      </c>
      <c r="AD1764" s="157"/>
      <c r="AE1764" s="2" t="s">
        <v>394</v>
      </c>
      <c r="AF1764" s="128">
        <f ca="1">IF($AE1756,H1764,AF1762)</f>
        <v>8888</v>
      </c>
      <c r="AG1764" s="129">
        <f ca="1">IF($AE1756,I1764,AG1762)</f>
        <v>8888</v>
      </c>
      <c r="AI1764" s="128" t="s">
        <v>394</v>
      </c>
      <c r="AJ1764" s="128">
        <f ca="1">IF($AI1756,L1764,AJ1762)</f>
        <v>8888</v>
      </c>
      <c r="AK1764" s="129">
        <f ca="1">IF($AI1756,M1764,AK1762)</f>
        <v>8888</v>
      </c>
      <c r="BD1764" s="157"/>
    </row>
    <row r="1765" spans="2:56">
      <c r="B1765" s="156"/>
      <c r="C1765" s="188" t="s">
        <v>454</v>
      </c>
      <c r="D1765" s="188">
        <f ca="1">IF(C1756&gt;=2,D1758,D1761)</f>
        <v>8888</v>
      </c>
      <c r="E1765" s="189">
        <f ca="1">E1764</f>
        <v>8888</v>
      </c>
      <c r="F1765" s="157"/>
      <c r="G1765" s="115" t="s">
        <v>454</v>
      </c>
      <c r="H1765" s="188">
        <f ca="1">IF(G1756&gt;=2,H1758,H1761)</f>
        <v>8888</v>
      </c>
      <c r="I1765" s="189">
        <f ca="1">IF(G1756&gt;=2,I1764,I1761)</f>
        <v>8888</v>
      </c>
      <c r="K1765" s="188" t="s">
        <v>454</v>
      </c>
      <c r="L1765" s="188">
        <f ca="1">IF(K1756&gt;=2,L1758,L1761)</f>
        <v>8888</v>
      </c>
      <c r="M1765" s="189">
        <f ca="1">IF(K1756&gt;=2,M1764,M1761)</f>
        <v>8888</v>
      </c>
      <c r="AA1765" s="195" t="s">
        <v>454</v>
      </c>
      <c r="AB1765" s="128">
        <f ca="1">IF($AA1756,D1765,AB1762)</f>
        <v>8888</v>
      </c>
      <c r="AC1765" s="129">
        <f ca="1">IF($AA1756,E1765,AC1762)</f>
        <v>8888</v>
      </c>
      <c r="AD1765" s="157"/>
      <c r="AE1765" s="115" t="s">
        <v>454</v>
      </c>
      <c r="AF1765" s="188">
        <f ca="1">IF($AE1756,H1765,AF1762)</f>
        <v>8888</v>
      </c>
      <c r="AG1765" s="196">
        <f ca="1">IF($AE1756,I1765,AG1762)</f>
        <v>8888</v>
      </c>
      <c r="AI1765" s="188" t="s">
        <v>454</v>
      </c>
      <c r="AJ1765" s="188">
        <f ca="1">IF($AI1756,L1765,AJ1762)</f>
        <v>8888</v>
      </c>
      <c r="AK1765" s="196">
        <f ca="1">IF($AI1756,M1765,AK1762)</f>
        <v>8888</v>
      </c>
      <c r="BD1765" s="157"/>
    </row>
    <row r="1766" spans="2:56">
      <c r="B1766" s="156"/>
      <c r="C1766" s="128" t="s">
        <v>507</v>
      </c>
      <c r="D1766" s="128">
        <f ca="1">IF(C1756&gt;=3,D1758,D1765)</f>
        <v>8888</v>
      </c>
      <c r="E1766" s="139">
        <f ca="1">IF(C1756&gt;=3,E1765-P1751,E1765)</f>
        <v>8888</v>
      </c>
      <c r="F1766" s="157"/>
      <c r="G1766" s="2" t="s">
        <v>507</v>
      </c>
      <c r="H1766" s="128">
        <f ca="1">IF(G1756&gt;=3,H1758,H1765)</f>
        <v>8888</v>
      </c>
      <c r="I1766" s="139">
        <f ca="1">IF(G1756&gt;=3,I1765-P1751,I1765)</f>
        <v>8888</v>
      </c>
      <c r="K1766" s="128" t="s">
        <v>507</v>
      </c>
      <c r="L1766" s="128">
        <f ca="1">IF(K1756&gt;=3,L1758,L1765)</f>
        <v>8888</v>
      </c>
      <c r="M1766" s="139">
        <f ca="1">IF(K1756&gt;=3,M1765-P1751,M1765)</f>
        <v>8888</v>
      </c>
      <c r="AA1766" s="143" t="s">
        <v>507</v>
      </c>
      <c r="AB1766" s="128">
        <f ca="1">IF($AA1756,D1766,AB1762)</f>
        <v>8888</v>
      </c>
      <c r="AC1766" s="129">
        <f ca="1">IF($AA1756,E1766,AC1762)</f>
        <v>8888</v>
      </c>
      <c r="AD1766" s="157"/>
      <c r="AE1766" s="2" t="s">
        <v>507</v>
      </c>
      <c r="AF1766" s="128">
        <f ca="1">IF($AE1756,H1766,AF1762)</f>
        <v>8888</v>
      </c>
      <c r="AG1766" s="129">
        <f ca="1">IF($AE1756,I1766,AG1762)</f>
        <v>8888</v>
      </c>
      <c r="AI1766" s="128" t="s">
        <v>507</v>
      </c>
      <c r="AJ1766" s="128">
        <f ca="1">IF($AI1756,L1766,AJ1762)</f>
        <v>8888</v>
      </c>
      <c r="AK1766" s="129">
        <f ca="1">IF($AI1756,M1766,AK1762)</f>
        <v>8888</v>
      </c>
      <c r="BD1766" s="157"/>
    </row>
    <row r="1767" spans="2:56">
      <c r="B1767" s="156"/>
      <c r="C1767" s="128" t="s">
        <v>455</v>
      </c>
      <c r="D1767" s="128">
        <f ca="1">IF(C1756&gt;=3,D1763,D1765)</f>
        <v>8888</v>
      </c>
      <c r="E1767" s="139">
        <f ca="1">E1766</f>
        <v>8888</v>
      </c>
      <c r="F1767" s="157"/>
      <c r="G1767" s="2" t="s">
        <v>455</v>
      </c>
      <c r="H1767" s="128">
        <f ca="1">IF(G1756&gt;=3,H1759,H1765)</f>
        <v>8888</v>
      </c>
      <c r="I1767" s="139">
        <f ca="1">IF(G1756&gt;=3,I1766,I1765)</f>
        <v>8888</v>
      </c>
      <c r="K1767" s="128" t="s">
        <v>455</v>
      </c>
      <c r="L1767" s="128">
        <f ca="1">IF(K1756&gt;=3,IF(X1751,IF(K1756=3,L1758+P1750/4,L1758+P1750),L1758+P1750),L1761)</f>
        <v>8888</v>
      </c>
      <c r="M1767" s="139">
        <f ca="1">IF(K1756&gt;=3,M1766,M1765)</f>
        <v>8888</v>
      </c>
      <c r="AA1767" s="143" t="s">
        <v>455</v>
      </c>
      <c r="AB1767" s="128">
        <f ca="1">IF($AA1756,D1767,AB1762)</f>
        <v>8888</v>
      </c>
      <c r="AC1767" s="129">
        <f ca="1">IF($AA1756,E1767,AC1762)</f>
        <v>8888</v>
      </c>
      <c r="AD1767" s="157"/>
      <c r="AE1767" s="2" t="s">
        <v>455</v>
      </c>
      <c r="AF1767" s="128">
        <f ca="1">IF($AE1756,H1767,AF1762)</f>
        <v>8888</v>
      </c>
      <c r="AG1767" s="129">
        <f ca="1">IF($AE1756,I1767,AG1762)</f>
        <v>8888</v>
      </c>
      <c r="AI1767" s="128" t="s">
        <v>455</v>
      </c>
      <c r="AJ1767" s="128">
        <f ca="1">IF($AI1756,L1767,AJ1762)</f>
        <v>8888</v>
      </c>
      <c r="AK1767" s="129">
        <f ca="1">IF($AI1756,M1767,AK1762)</f>
        <v>8888</v>
      </c>
      <c r="AL1767" s="156"/>
      <c r="BD1767" s="157"/>
    </row>
    <row r="1768" spans="2:56">
      <c r="B1768" s="156"/>
      <c r="C1768" s="128" t="s">
        <v>311</v>
      </c>
      <c r="D1768" s="128">
        <f ca="1">IF(C1756&gt;=3,D1763,D1765)</f>
        <v>8888</v>
      </c>
      <c r="E1768" s="139">
        <f ca="1">IF(C1756&gt;=3,E1767-P1749,E1765)</f>
        <v>8888</v>
      </c>
      <c r="F1768" s="157"/>
      <c r="G1768" s="2" t="s">
        <v>311</v>
      </c>
      <c r="H1768" s="128">
        <f ca="1">IF(G1756&gt;=3,H1759,H1765)</f>
        <v>8888</v>
      </c>
      <c r="I1768" s="139">
        <f ca="1">IF(G1756&gt;=3,I1767-P1749,I1765)</f>
        <v>8888</v>
      </c>
      <c r="K1768" s="128" t="s">
        <v>311</v>
      </c>
      <c r="L1768" s="128">
        <f ca="1">L1767</f>
        <v>8888</v>
      </c>
      <c r="M1768" s="139">
        <f ca="1">IF(K1756&gt;=3,M1767-P1749,M1765)</f>
        <v>8888</v>
      </c>
      <c r="AA1768" s="143" t="s">
        <v>311</v>
      </c>
      <c r="AB1768" s="128">
        <f ca="1">IF($AA1756,D1768,AB1762)</f>
        <v>8888</v>
      </c>
      <c r="AC1768" s="129">
        <f ca="1">IF($AA1756,E1768,AC1762)</f>
        <v>8888</v>
      </c>
      <c r="AD1768" s="157"/>
      <c r="AE1768" s="2" t="s">
        <v>311</v>
      </c>
      <c r="AF1768" s="128">
        <f ca="1">IF($AE1756,H1768,AF1762)</f>
        <v>8888</v>
      </c>
      <c r="AG1768" s="129">
        <f ca="1">IF($AE1756,I1768,AG1762)</f>
        <v>8888</v>
      </c>
      <c r="AI1768" s="128" t="s">
        <v>311</v>
      </c>
      <c r="AJ1768" s="128">
        <f ca="1">IF($AI1756,L1768,AJ1762)</f>
        <v>8888</v>
      </c>
      <c r="AK1768" s="129">
        <f ca="1">IF($AI1756,M1768,AK1762)</f>
        <v>8888</v>
      </c>
      <c r="AL1768" s="156"/>
      <c r="BD1768" s="157"/>
    </row>
    <row r="1769" spans="2:56">
      <c r="B1769" s="156"/>
      <c r="C1769" s="188" t="s">
        <v>35</v>
      </c>
      <c r="D1769" s="188">
        <f ca="1">IF(C1756&gt;=3,D1758,D1765)</f>
        <v>8888</v>
      </c>
      <c r="E1769" s="189">
        <f ca="1">E1768</f>
        <v>8888</v>
      </c>
      <c r="F1769" s="157"/>
      <c r="G1769" s="2" t="s">
        <v>35</v>
      </c>
      <c r="H1769" s="188">
        <f ca="1">IF(G1756&gt;=3,H1758,H1765)</f>
        <v>8888</v>
      </c>
      <c r="I1769" s="189">
        <f ca="1">IF(G1756&gt;=3,I1768,I1765)</f>
        <v>8888</v>
      </c>
      <c r="K1769" s="188" t="s">
        <v>35</v>
      </c>
      <c r="L1769" s="188">
        <f ca="1">IF(K1756&gt;=3,L1758,L1765)</f>
        <v>8888</v>
      </c>
      <c r="M1769" s="189">
        <f ca="1">IF(K1756&gt;=3,M1768,M1765)</f>
        <v>8888</v>
      </c>
      <c r="AA1769" s="143" t="s">
        <v>35</v>
      </c>
      <c r="AB1769" s="128">
        <f ca="1">IF($AA1756,D1769,AB1762)</f>
        <v>8888</v>
      </c>
      <c r="AC1769" s="129">
        <f ca="1">IF($AA1756,E1769,AC1762)</f>
        <v>8888</v>
      </c>
      <c r="AD1769" s="157"/>
      <c r="AE1769" s="2" t="s">
        <v>35</v>
      </c>
      <c r="AF1769" s="188">
        <f ca="1">IF($AE1756,H1769,AF1762)</f>
        <v>8888</v>
      </c>
      <c r="AG1769" s="196">
        <f ca="1">IF($AE1756,I1769,AG1762)</f>
        <v>8888</v>
      </c>
      <c r="AI1769" s="128" t="s">
        <v>35</v>
      </c>
      <c r="AJ1769" s="128">
        <f ca="1">IF($AI1756,L1769,AJ1762)</f>
        <v>8888</v>
      </c>
      <c r="AK1769" s="129">
        <f ca="1">IF($AI1756,M1769,AK1762)</f>
        <v>8888</v>
      </c>
      <c r="AL1769" s="156"/>
      <c r="BD1769" s="157"/>
    </row>
    <row r="1770" spans="2:56" ht="15" thickBot="1">
      <c r="B1770" s="156"/>
      <c r="C1770" s="130" t="s">
        <v>396</v>
      </c>
      <c r="D1770" s="130">
        <f ca="1">D1758</f>
        <v>8888</v>
      </c>
      <c r="E1770" s="140">
        <f ca="1">E1758</f>
        <v>8888</v>
      </c>
      <c r="F1770" s="157"/>
      <c r="G1770" s="192" t="s">
        <v>312</v>
      </c>
      <c r="H1770" s="128">
        <f ca="1">IF(G1756&gt;=4,H1758,H1769)</f>
        <v>8888</v>
      </c>
      <c r="I1770" s="139">
        <f ca="1">IF(G1756&gt;=4,I1769-P1751,I1769)</f>
        <v>8888</v>
      </c>
      <c r="K1770" s="130" t="s">
        <v>396</v>
      </c>
      <c r="L1770" s="130">
        <f ca="1">L1758</f>
        <v>8888</v>
      </c>
      <c r="M1770" s="140">
        <f ca="1">M1758</f>
        <v>8888</v>
      </c>
      <c r="AA1770" s="144" t="s">
        <v>396</v>
      </c>
      <c r="AB1770" s="130">
        <f ca="1">IF($AA1756,D1770,AB1762)</f>
        <v>8888</v>
      </c>
      <c r="AC1770" s="132">
        <f ca="1">IF($AA1756,E1770,AC1762)</f>
        <v>8888</v>
      </c>
      <c r="AD1770" s="157"/>
      <c r="AE1770" s="192" t="s">
        <v>312</v>
      </c>
      <c r="AF1770" s="128">
        <f ca="1">IF($AE1756,H1770,AF1762)</f>
        <v>8888</v>
      </c>
      <c r="AG1770" s="129">
        <f ca="1">IF($AE1756,I1770,AG1762)</f>
        <v>8888</v>
      </c>
      <c r="AI1770" s="130" t="s">
        <v>396</v>
      </c>
      <c r="AJ1770" s="130">
        <f ca="1">IF($AI1756,L1770,AJ1762)</f>
        <v>8888</v>
      </c>
      <c r="AK1770" s="132">
        <f ca="1">IF($AI1756,M1770,AK1762)</f>
        <v>8888</v>
      </c>
      <c r="BD1770" s="157"/>
    </row>
    <row r="1771" spans="2:56">
      <c r="B1771" s="156"/>
      <c r="F1771" s="157"/>
      <c r="G1771" s="2" t="s">
        <v>313</v>
      </c>
      <c r="H1771" s="128">
        <f ca="1">IF(G1756&gt;=4,H1759,H1769)</f>
        <v>8888</v>
      </c>
      <c r="I1771" s="139">
        <f ca="1">IF(G1756&gt;=4,I1770,I1769)</f>
        <v>8888</v>
      </c>
      <c r="AD1771" s="157"/>
      <c r="AE1771" s="2" t="s">
        <v>313</v>
      </c>
      <c r="AF1771" s="128">
        <f ca="1">IF($AE1756,H1771,AF1762)</f>
        <v>8888</v>
      </c>
      <c r="AG1771" s="129">
        <f ca="1">IF($AE1756,I1771,AG1762)</f>
        <v>8888</v>
      </c>
      <c r="BD1771" s="157"/>
    </row>
    <row r="1772" spans="2:56">
      <c r="B1772" s="156"/>
      <c r="F1772" s="157"/>
      <c r="G1772" s="2" t="s">
        <v>7</v>
      </c>
      <c r="H1772" s="128">
        <f ca="1">IF(G1756&gt;=4,H1759,H1769)</f>
        <v>8888</v>
      </c>
      <c r="I1772" s="139">
        <f ca="1">IF(G1756&gt;=4,I1771-P1749,I1769)</f>
        <v>8888</v>
      </c>
      <c r="AD1772" s="157"/>
      <c r="AE1772" s="2" t="s">
        <v>7</v>
      </c>
      <c r="AF1772" s="128">
        <f ca="1">IF($AE1756,H1772,AF1762)</f>
        <v>8888</v>
      </c>
      <c r="AG1772" s="129">
        <f ca="1">IF($AE1756,I1772,AG1762)</f>
        <v>8888</v>
      </c>
      <c r="BD1772" s="157"/>
    </row>
    <row r="1773" spans="2:56">
      <c r="B1773" s="156"/>
      <c r="F1773" s="157"/>
      <c r="G1773" s="115" t="s">
        <v>8</v>
      </c>
      <c r="H1773" s="188">
        <f ca="1">IF(G1756&gt;=4,H1758,H1769)</f>
        <v>8888</v>
      </c>
      <c r="I1773" s="189">
        <f ca="1">IF(G1756&gt;=4,I1772,I1769)</f>
        <v>8888</v>
      </c>
      <c r="AD1773" s="157"/>
      <c r="AE1773" s="115" t="s">
        <v>8</v>
      </c>
      <c r="AF1773" s="188">
        <f ca="1">IF($AE1756,H1773,AF1762)</f>
        <v>8888</v>
      </c>
      <c r="AG1773" s="196">
        <f ca="1">IF($AE1756,I1773,AG1762)</f>
        <v>8888</v>
      </c>
      <c r="BD1773" s="157"/>
    </row>
    <row r="1774" spans="2:56">
      <c r="B1774" s="156"/>
      <c r="F1774" s="157"/>
      <c r="G1774" s="2" t="s">
        <v>9</v>
      </c>
      <c r="H1774" s="128">
        <f ca="1">IF(G1756&gt;=5,H1758,H1773)</f>
        <v>8888</v>
      </c>
      <c r="I1774" s="139">
        <f ca="1">IF(G1756&gt;=5,I1773-P1751,I1773)</f>
        <v>8888</v>
      </c>
      <c r="AD1774" s="157"/>
      <c r="AE1774" s="2" t="s">
        <v>9</v>
      </c>
      <c r="AF1774" s="128">
        <f ca="1">IF($AE1756,H1774,AF1762)</f>
        <v>8888</v>
      </c>
      <c r="AG1774" s="129">
        <f ca="1">IF($AE1756,I1774,AG1762)</f>
        <v>8888</v>
      </c>
      <c r="BD1774" s="157"/>
    </row>
    <row r="1775" spans="2:56">
      <c r="B1775" s="156"/>
      <c r="F1775" s="157"/>
      <c r="G1775" s="2" t="s">
        <v>196</v>
      </c>
      <c r="H1775" s="128">
        <f ca="1">IF(G1756&gt;=5,H1759,H1773)</f>
        <v>8888</v>
      </c>
      <c r="I1775" s="139">
        <f ca="1">IF(G1756&gt;=5,I1774,I1773)</f>
        <v>8888</v>
      </c>
      <c r="AD1775" s="157"/>
      <c r="AE1775" s="2" t="s">
        <v>196</v>
      </c>
      <c r="AF1775" s="128">
        <f ca="1">IF($AE1756,H1775,AF1762)</f>
        <v>8888</v>
      </c>
      <c r="AG1775" s="129">
        <f ca="1">IF($AE1756,I1775,AG1762)</f>
        <v>8888</v>
      </c>
      <c r="BD1775" s="157"/>
    </row>
    <row r="1776" spans="2:56">
      <c r="B1776" s="156"/>
      <c r="F1776" s="157"/>
      <c r="G1776" s="2" t="s">
        <v>10</v>
      </c>
      <c r="H1776" s="128">
        <f ca="1">IF(G1756&gt;=5,H1759,H1773)</f>
        <v>8888</v>
      </c>
      <c r="I1776" s="139">
        <f ca="1">IF(G1756&gt;=5,I1775-P1749,I1773)</f>
        <v>8888</v>
      </c>
      <c r="AD1776" s="157"/>
      <c r="AE1776" s="2" t="s">
        <v>10</v>
      </c>
      <c r="AF1776" s="128">
        <f ca="1">IF($AE1756,H1776,AF1762)</f>
        <v>8888</v>
      </c>
      <c r="AG1776" s="129">
        <f ca="1">IF($AE1756,I1776,AG1762)</f>
        <v>8888</v>
      </c>
      <c r="BD1776" s="157"/>
    </row>
    <row r="1777" spans="2:56">
      <c r="B1777" s="156"/>
      <c r="F1777" s="157"/>
      <c r="G1777" s="2" t="s">
        <v>161</v>
      </c>
      <c r="H1777" s="188">
        <f ca="1">IF(G1756&gt;=5,H1758,H1773)</f>
        <v>8888</v>
      </c>
      <c r="I1777" s="189">
        <f ca="1">IF(G1756&gt;=5,I1776,I1773)</f>
        <v>8888</v>
      </c>
      <c r="AD1777" s="157"/>
      <c r="AE1777" s="2" t="s">
        <v>161</v>
      </c>
      <c r="AF1777" s="188">
        <f ca="1">IF($AE1756,H1777,AF1762)</f>
        <v>8888</v>
      </c>
      <c r="AG1777" s="196">
        <f ca="1">IF($AE1756,I1777,AG1762)</f>
        <v>8888</v>
      </c>
      <c r="BD1777" s="157"/>
    </row>
    <row r="1778" spans="2:56">
      <c r="B1778" s="156"/>
      <c r="F1778" s="157"/>
      <c r="G1778" s="192" t="s">
        <v>11</v>
      </c>
      <c r="H1778" s="128">
        <f ca="1">IF(G1756&gt;=6,H1758,H1777)</f>
        <v>8888</v>
      </c>
      <c r="I1778" s="139">
        <f ca="1">IF(G1756&gt;=6,I1777-P1751,I1777)</f>
        <v>8888</v>
      </c>
      <c r="AD1778" s="157"/>
      <c r="AE1778" s="192" t="s">
        <v>11</v>
      </c>
      <c r="AF1778" s="128">
        <f ca="1">IF($AE1756,H1778,AF1762)</f>
        <v>8888</v>
      </c>
      <c r="AG1778" s="129">
        <f ca="1">IF($AE1756,I1778,AG1762)</f>
        <v>8888</v>
      </c>
      <c r="BD1778" s="157"/>
    </row>
    <row r="1779" spans="2:56">
      <c r="B1779" s="156"/>
      <c r="F1779" s="157"/>
      <c r="G1779" s="2" t="s">
        <v>12</v>
      </c>
      <c r="H1779" s="128">
        <f ca="1">IF(G1756&gt;=6,H1759,H1777)</f>
        <v>8888</v>
      </c>
      <c r="I1779" s="139">
        <f ca="1">IF(G1756&gt;=6,I1778,I1777)</f>
        <v>8888</v>
      </c>
      <c r="AD1779" s="157"/>
      <c r="AE1779" s="2" t="s">
        <v>12</v>
      </c>
      <c r="AF1779" s="128">
        <f ca="1">IF($AE1756,H1779,AF1762)</f>
        <v>8888</v>
      </c>
      <c r="AG1779" s="129">
        <f ca="1">IF($AE1756,I1779,AG1762)</f>
        <v>8888</v>
      </c>
      <c r="BD1779" s="157"/>
    </row>
    <row r="1780" spans="2:56">
      <c r="B1780" s="156"/>
      <c r="F1780" s="157"/>
      <c r="G1780" s="2" t="s">
        <v>13</v>
      </c>
      <c r="H1780" s="128">
        <f ca="1">IF(G1756&gt;=6,H1759,H1777)</f>
        <v>8888</v>
      </c>
      <c r="I1780" s="139">
        <f ca="1">IF(G1756&gt;=6,I1779-P1749,I1777)</f>
        <v>8888</v>
      </c>
      <c r="AD1780" s="157"/>
      <c r="AE1780" s="2" t="s">
        <v>13</v>
      </c>
      <c r="AF1780" s="128">
        <f ca="1">IF($AE1756,H1780,AF1762)</f>
        <v>8888</v>
      </c>
      <c r="AG1780" s="129">
        <f ca="1">IF($AE1756,I1780,AG1762)</f>
        <v>8888</v>
      </c>
      <c r="BD1780" s="157"/>
    </row>
    <row r="1781" spans="2:56">
      <c r="B1781" s="156"/>
      <c r="F1781" s="157"/>
      <c r="G1781" s="115" t="s">
        <v>14</v>
      </c>
      <c r="H1781" s="188">
        <f ca="1">IF(G1756&gt;=6,H1758,H1777)</f>
        <v>8888</v>
      </c>
      <c r="I1781" s="189">
        <f ca="1">IF(G1756&gt;=6,I1780,I1777)</f>
        <v>8888</v>
      </c>
      <c r="AD1781" s="157"/>
      <c r="AE1781" s="115" t="s">
        <v>14</v>
      </c>
      <c r="AF1781" s="188">
        <f ca="1">IF($AE1756,H1781,AF1762)</f>
        <v>8888</v>
      </c>
      <c r="AG1781" s="196">
        <f ca="1">IF($AE1756,I1781,AG1762)</f>
        <v>8888</v>
      </c>
      <c r="BD1781" s="157"/>
    </row>
    <row r="1782" spans="2:56" ht="15" thickBot="1">
      <c r="B1782" s="156"/>
      <c r="G1782" s="130" t="s">
        <v>396</v>
      </c>
      <c r="H1782" s="130">
        <f ca="1">H1758</f>
        <v>8888</v>
      </c>
      <c r="I1782" s="140">
        <f ca="1">I1758</f>
        <v>8888</v>
      </c>
      <c r="AE1782" s="130" t="s">
        <v>396</v>
      </c>
      <c r="AF1782" s="130">
        <f ca="1">IF($AE1756,H1782,AF1762)</f>
        <v>8888</v>
      </c>
      <c r="AG1782" s="132">
        <f ca="1">IF($AE1756,I1782,AG1762)</f>
        <v>8888</v>
      </c>
      <c r="BD1782" s="157"/>
    </row>
    <row r="1783" spans="2:56">
      <c r="B1783" s="156"/>
      <c r="BD1783" s="157"/>
    </row>
    <row r="1784" spans="2:56">
      <c r="B1784" s="156"/>
      <c r="BD1784" s="157"/>
    </row>
    <row r="1785" spans="2:56">
      <c r="B1785" s="156"/>
      <c r="C1785" s="200" t="s">
        <v>336</v>
      </c>
      <c r="D1785">
        <f>D1749+1</f>
        <v>45</v>
      </c>
      <c r="G1785" s="200" t="s">
        <v>638</v>
      </c>
      <c r="H1785">
        <f ca="1">LOOKUP(D1788,$C$191:$C$196,$D$191:$D$196)</f>
        <v>0</v>
      </c>
      <c r="K1785" s="200" t="s">
        <v>644</v>
      </c>
      <c r="L1785">
        <f ca="1">L1749-H1790</f>
        <v>-18.624000000000006</v>
      </c>
      <c r="O1785" s="200" t="s">
        <v>404</v>
      </c>
      <c r="P1785">
        <f ca="1">IF(D1787=1,SEAT_w_cushion_FC,IF(D1787=2,SEAT_w_cushion_BC,IF(D1787=3,SEAT_w_cushion_YC,0)))</f>
        <v>0</v>
      </c>
      <c r="S1785" s="200" t="s">
        <v>647</v>
      </c>
      <c r="T1785">
        <f ca="1">LOOKUP(D1788,$C$191:$C$196,$E$191:$E$196)</f>
        <v>0</v>
      </c>
      <c r="W1785" t="s">
        <v>130</v>
      </c>
      <c r="X1785" t="str">
        <f ca="1">OFFSET(Fuselage!$B$275,D1785,5)</f>
        <v>None</v>
      </c>
      <c r="AN1785" s="200" t="s">
        <v>135</v>
      </c>
      <c r="AO1785">
        <f ca="1">MAX(0,H1790-MAX(T1785,T1787,T1789,P1786)-X1786)</f>
        <v>0</v>
      </c>
      <c r="BD1785" s="157"/>
    </row>
    <row r="1786" spans="2:56">
      <c r="B1786" s="156"/>
      <c r="C1786" s="200" t="s">
        <v>200</v>
      </c>
      <c r="D1786" t="str">
        <f ca="1">OFFSET(Fuselage!$B$275,D1785,0)</f>
        <v/>
      </c>
      <c r="G1786" s="200" t="s">
        <v>639</v>
      </c>
      <c r="H1786">
        <f ca="1">LOOKUP(D1789,$C$191:$C$196,$D$191:$D$196)</f>
        <v>0</v>
      </c>
      <c r="O1786" s="200" t="s">
        <v>535</v>
      </c>
      <c r="P1786">
        <f ca="1">IF(D1787=1,SEAT_length_FC,IF(D1787=2,SEAT_length_BC,IF(D1787=3,SEAT_length_YC,0)))</f>
        <v>0</v>
      </c>
      <c r="S1786" s="200" t="s">
        <v>648</v>
      </c>
      <c r="T1786">
        <f ca="1">LOOKUP(D1788,$C$191:$C$196,$F$191:$F$196)</f>
        <v>0</v>
      </c>
      <c r="W1786" t="s">
        <v>131</v>
      </c>
      <c r="X1786">
        <f ca="1">LOOKUP(X1785,$I$191:$I$198,$J$191:$J$198)</f>
        <v>0</v>
      </c>
      <c r="BD1786" s="157"/>
    </row>
    <row r="1787" spans="2:56">
      <c r="B1787" s="156"/>
      <c r="C1787" s="200" t="s">
        <v>337</v>
      </c>
      <c r="D1787" t="str">
        <f ca="1">OFFSET(Fuselage!$B$275,D1785,4)</f>
        <v/>
      </c>
      <c r="G1787" s="200" t="s">
        <v>309</v>
      </c>
      <c r="H1787">
        <f ca="1">LOOKUP(D1790,$C$191:$C$196,$D$191:$D$196)</f>
        <v>0</v>
      </c>
      <c r="K1787" s="200" t="s">
        <v>645</v>
      </c>
      <c r="L1787">
        <f ca="1">IF(D1787=1,FUSELAGE_nseats_left_FC,IF(D1787=2,FUSELAGE_nseats_left_BC,IF(D1787=3,FUSELAGE_nseats_left_YC,0)))</f>
        <v>0</v>
      </c>
      <c r="O1787" s="200" t="s">
        <v>405</v>
      </c>
      <c r="P1787">
        <f ca="1">IF(D1787=1,SEAT_w_armrest_FC,IF(D1787=2,SEAT_w_armrest_BC,IF(D1787=3,SEAT_w_armrest_YC,0)))</f>
        <v>0</v>
      </c>
      <c r="S1787" s="200" t="s">
        <v>652</v>
      </c>
      <c r="T1787">
        <f ca="1">LOOKUP(D1789,$C$191:$C$196,$E$191:$E$196)</f>
        <v>0</v>
      </c>
      <c r="W1787" s="200" t="s">
        <v>393</v>
      </c>
      <c r="X1787" t="b">
        <f ca="1">IF(OFFSET(Fuselage!$B$275,D1785,6)="YES",TRUE(),FALSE())</f>
        <v>0</v>
      </c>
      <c r="BD1787" s="157"/>
    </row>
    <row r="1788" spans="2:56">
      <c r="B1788" s="156"/>
      <c r="C1788" s="200" t="s">
        <v>640</v>
      </c>
      <c r="D1788" t="str">
        <f ca="1">OFFSET(Fuselage!$B$275,D1785,1)</f>
        <v>None</v>
      </c>
      <c r="G1788" s="200" t="s">
        <v>132</v>
      </c>
      <c r="H1788">
        <f ca="1">IF(D1787=1,SEAT_pitch_FC,IF(D1787=2,SEAT_pitch_BC,IF(D1787=3,SEAT_pitch_YC,0)))</f>
        <v>0</v>
      </c>
      <c r="K1788" s="200" t="s">
        <v>646</v>
      </c>
      <c r="L1788">
        <f ca="1">IF(D1787=1,FUSELAGE_nseats_middle_FC,IF(D1787=2,FUSELAGE_nseats_middle_BC,IF(D1787=3,FUSELAGE_nseats_middle_YC,0)))</f>
        <v>0</v>
      </c>
      <c r="S1788" s="200" t="s">
        <v>653</v>
      </c>
      <c r="T1788">
        <f ca="1">LOOKUP(D1789,$C$191:$C$196,$F$191:$F$196)</f>
        <v>0</v>
      </c>
      <c r="BD1788" s="157"/>
    </row>
    <row r="1789" spans="2:56">
      <c r="B1789" s="156"/>
      <c r="C1789" s="200" t="s">
        <v>642</v>
      </c>
      <c r="D1789" t="str">
        <f ca="1">OFFSET(Fuselage!$B$275,D1785,2)</f>
        <v>None</v>
      </c>
      <c r="G1789" s="200" t="s">
        <v>129</v>
      </c>
      <c r="H1789">
        <f ca="1">IF(OR(X1785="Type A",X1785="Type B"),MAX(H1785:H1788)+42*0.0254,IF(X1785="Type C",MAX(H1785:H1788)+X1786,IF(X1785&lt;&gt;"None",24*0.0254,0)))</f>
        <v>0</v>
      </c>
      <c r="K1789" s="200" t="s">
        <v>655</v>
      </c>
      <c r="L1789">
        <f ca="1">IF(D1787=1,FUSELAGE_nseats_right_FC,IF(D1787=2,FUSELAGE_nseats_right_BC,IF(D1787=3,FUSELAGE_nseats_right_YC,0)))</f>
        <v>0</v>
      </c>
      <c r="O1789" s="200" t="s">
        <v>407</v>
      </c>
      <c r="P1789">
        <f ca="1">($C$13-(L1787+L1788+L1789)*(P1785+P1787)+(FUSELAGE_n_aisles-1)*P1787)/FUSELAGE_n_aisles</f>
        <v>2.76</v>
      </c>
      <c r="S1789" s="200" t="s">
        <v>651</v>
      </c>
      <c r="T1789">
        <f ca="1">LOOKUP(D1790,$C$191:$C$196,$E$191:$E$196)</f>
        <v>0</v>
      </c>
      <c r="BD1789" s="157"/>
    </row>
    <row r="1790" spans="2:56">
      <c r="B1790" s="156"/>
      <c r="C1790" s="200" t="s">
        <v>641</v>
      </c>
      <c r="D1790" t="str">
        <f ca="1">OFFSET(Fuselage!$B$275,D1785,3)</f>
        <v>None</v>
      </c>
      <c r="G1790" s="200" t="s">
        <v>643</v>
      </c>
      <c r="H1790">
        <f ca="1">MAX(H1785:H1789)</f>
        <v>0</v>
      </c>
      <c r="S1790" s="200" t="s">
        <v>654</v>
      </c>
      <c r="T1790">
        <f ca="1">LOOKUP(D1790,$C$191:$C$196,$F$191:$F$196)</f>
        <v>0</v>
      </c>
      <c r="BD1790" s="157"/>
    </row>
    <row r="1791" spans="2:56" ht="15" thickBot="1">
      <c r="B1791" s="156"/>
      <c r="BD1791" s="157"/>
    </row>
    <row r="1792" spans="2:56" ht="15" thickBot="1">
      <c r="B1792" s="156"/>
      <c r="C1792" s="141">
        <f ca="1">L1789</f>
        <v>0</v>
      </c>
      <c r="D1792" s="197" t="str">
        <f ca="1">IF($D1787=1,"FC",IF($D1787=2,"BC",IF($D1787=3,"YC","Nothing")))</f>
        <v>Nothing</v>
      </c>
      <c r="E1792" s="198"/>
      <c r="G1792" s="141">
        <f ca="1">L1788</f>
        <v>0</v>
      </c>
      <c r="H1792" s="197" t="str">
        <f ca="1">IF($D1787=1,"FC",IF($D1787=2,"BC",IF($D1787=3,"YC","Nothing")))</f>
        <v>Nothing</v>
      </c>
      <c r="I1792" s="198"/>
      <c r="K1792" s="141">
        <f ca="1" xml:space="preserve"> L1787</f>
        <v>0</v>
      </c>
      <c r="L1792" s="197" t="str">
        <f ca="1">IF($D1787=1,"FC",IF($D1787=2,"BC",IF($D1787=3,"YC","Nothing")))</f>
        <v>Nothing</v>
      </c>
      <c r="M1792" s="198"/>
      <c r="O1792" s="141">
        <f ca="1">IF($D1790&lt;&gt;"None",1,0)</f>
        <v>0</v>
      </c>
      <c r="P1792" s="326" t="s">
        <v>380</v>
      </c>
      <c r="Q1792" s="327"/>
      <c r="S1792" s="141">
        <f ca="1">IF($D1789&lt;&gt;"None",1,0)</f>
        <v>0</v>
      </c>
      <c r="T1792" s="326" t="s">
        <v>381</v>
      </c>
      <c r="U1792" s="327"/>
      <c r="W1792" s="141">
        <f ca="1">IF($D1788&lt;&gt;"None",1,0)</f>
        <v>0</v>
      </c>
      <c r="X1792" s="326" t="s">
        <v>382</v>
      </c>
      <c r="Y1792" s="327"/>
      <c r="AA1792" s="141">
        <f ca="1">IF($D1790="None",1,0)</f>
        <v>1</v>
      </c>
      <c r="AB1792" s="326" t="str">
        <f ca="1">IF(AA1792,D1792,$D1790)</f>
        <v>Nothing</v>
      </c>
      <c r="AC1792" s="327"/>
      <c r="AE1792" s="141">
        <f ca="1">IF($D1789="None",1,0)</f>
        <v>1</v>
      </c>
      <c r="AF1792" s="326" t="str">
        <f ca="1">IF(AE1792,H1792,$D1789)</f>
        <v>Nothing</v>
      </c>
      <c r="AG1792" s="327"/>
      <c r="AI1792" s="141">
        <f ca="1">IF($D1788="None",1,0)</f>
        <v>1</v>
      </c>
      <c r="AJ1792" s="326" t="str">
        <f ca="1">IF(AI1792,L1792,$D1788)</f>
        <v>Nothing</v>
      </c>
      <c r="AK1792" s="327"/>
      <c r="AM1792" s="141">
        <f ca="1">IF($X1785="None",0,1)</f>
        <v>0</v>
      </c>
      <c r="AN1792" s="197" t="s">
        <v>133</v>
      </c>
      <c r="AO1792" s="198"/>
      <c r="AQ1792" s="141">
        <f ca="1">IF($X1785="None",0,1)</f>
        <v>0</v>
      </c>
      <c r="AR1792" s="197" t="s">
        <v>134</v>
      </c>
      <c r="AS1792" s="198"/>
      <c r="BD1792" s="157"/>
    </row>
    <row r="1793" spans="2:56" ht="15" thickBot="1">
      <c r="B1793" s="156"/>
      <c r="C1793" s="136" t="s">
        <v>452</v>
      </c>
      <c r="D1793" s="136" t="s">
        <v>384</v>
      </c>
      <c r="E1793" s="138" t="s">
        <v>385</v>
      </c>
      <c r="G1793" s="136" t="s">
        <v>452</v>
      </c>
      <c r="H1793" s="136" t="s">
        <v>384</v>
      </c>
      <c r="I1793" s="138" t="s">
        <v>385</v>
      </c>
      <c r="K1793" s="193" t="s">
        <v>452</v>
      </c>
      <c r="L1793" s="193" t="s">
        <v>384</v>
      </c>
      <c r="M1793" s="194" t="s">
        <v>385</v>
      </c>
      <c r="O1793" s="136" t="s">
        <v>452</v>
      </c>
      <c r="P1793" s="136" t="s">
        <v>384</v>
      </c>
      <c r="Q1793" s="138" t="s">
        <v>385</v>
      </c>
      <c r="S1793" s="136" t="s">
        <v>452</v>
      </c>
      <c r="T1793" s="136" t="s">
        <v>384</v>
      </c>
      <c r="U1793" s="138" t="s">
        <v>385</v>
      </c>
      <c r="W1793" s="136" t="s">
        <v>452</v>
      </c>
      <c r="X1793" s="136" t="s">
        <v>384</v>
      </c>
      <c r="Y1793" s="138" t="s">
        <v>385</v>
      </c>
      <c r="AA1793" s="136" t="s">
        <v>452</v>
      </c>
      <c r="AB1793" s="136" t="s">
        <v>384</v>
      </c>
      <c r="AC1793" s="138" t="s">
        <v>385</v>
      </c>
      <c r="AE1793" s="136" t="s">
        <v>452</v>
      </c>
      <c r="AF1793" s="136" t="s">
        <v>384</v>
      </c>
      <c r="AG1793" s="138" t="s">
        <v>385</v>
      </c>
      <c r="AI1793" s="193" t="s">
        <v>452</v>
      </c>
      <c r="AJ1793" s="193" t="s">
        <v>384</v>
      </c>
      <c r="AK1793" s="194" t="s">
        <v>385</v>
      </c>
      <c r="AM1793" s="193" t="s">
        <v>452</v>
      </c>
      <c r="AN1793" s="193" t="s">
        <v>384</v>
      </c>
      <c r="AO1793" s="194" t="s">
        <v>385</v>
      </c>
      <c r="AQ1793" s="193" t="s">
        <v>452</v>
      </c>
      <c r="AR1793" s="193" t="s">
        <v>384</v>
      </c>
      <c r="AS1793" s="194" t="s">
        <v>385</v>
      </c>
      <c r="BD1793" s="157"/>
    </row>
    <row r="1794" spans="2:56">
      <c r="B1794" s="156"/>
      <c r="C1794" s="128" t="s">
        <v>396</v>
      </c>
      <c r="D1794" s="158">
        <f ca="1">IF(C1792&gt;=1,L1785,8888)</f>
        <v>8888</v>
      </c>
      <c r="E1794" s="160">
        <f ca="1">IF(C1792&gt;=1,1/2*($C$13-P1785-2*P1787)+1/2*P1785,8888)</f>
        <v>8888</v>
      </c>
      <c r="G1794" s="128" t="s">
        <v>396</v>
      </c>
      <c r="H1794" s="158">
        <f ca="1">IF(G1792&gt;=1,L1785,8888)</f>
        <v>8888</v>
      </c>
      <c r="I1794" s="160">
        <f ca="1">IF(G1792&gt;=1,E1805-P1789,8888)</f>
        <v>8888</v>
      </c>
      <c r="K1794" s="128" t="s">
        <v>396</v>
      </c>
      <c r="L1794" s="158">
        <f ca="1">IF(K1792&gt;=1,L1785,8888)</f>
        <v>8888</v>
      </c>
      <c r="M1794" s="160">
        <f ca="1">IF(K1792&gt;=1,IF(FUSELAGE_n_aisles=1,E1805-P1789,I1817-P1789),8888)</f>
        <v>8888</v>
      </c>
      <c r="O1794" s="128" t="s">
        <v>396</v>
      </c>
      <c r="P1794" s="158">
        <f ca="1">IF(O1792,$L1785,8888)</f>
        <v>8888</v>
      </c>
      <c r="Q1794" s="209">
        <f ca="1">IF(O1792,FUSELAGE_y_position_of_left_seat_YC-(FUSELAGE_nseats_right_YC-1)*(SEAT_w_cushion_YC+SEAT_w_armrest_YC)/2+T1790/2,8888)</f>
        <v>8888</v>
      </c>
      <c r="S1794" s="128" t="s">
        <v>396</v>
      </c>
      <c r="T1794" s="158">
        <f ca="1">IF(S1792,$L1785,8888)</f>
        <v>8888</v>
      </c>
      <c r="U1794" s="160">
        <f ca="1">IF(S1792,T1788/2,8888)</f>
        <v>8888</v>
      </c>
      <c r="W1794" s="128" t="s">
        <v>396</v>
      </c>
      <c r="X1794" s="158">
        <f ca="1">IF(W1792,$L1785,8888)</f>
        <v>8888</v>
      </c>
      <c r="Y1794" s="160">
        <f ca="1">IF(W1792,-FUSELAGE_y_position_of_left_seat_YC+(FUSELAGE_nseats_left_YC-1)*(SEAT_w_cushion_YC+SEAT_w_armrest_YC)/2-T1786/2,8888)</f>
        <v>8888</v>
      </c>
      <c r="AA1794" s="128" t="s">
        <v>396</v>
      </c>
      <c r="AB1794" s="158">
        <f ca="1">IF($AA1792,D1794,P1794)</f>
        <v>8888</v>
      </c>
      <c r="AC1794" s="174">
        <f ca="1">IF($AA1792,E1794,Q1794)</f>
        <v>8888</v>
      </c>
      <c r="AE1794" s="128" t="s">
        <v>396</v>
      </c>
      <c r="AF1794" s="158">
        <f ca="1">IF($AE1792,H1794,T1794)</f>
        <v>8888</v>
      </c>
      <c r="AG1794" s="174">
        <f ca="1">IF($AE1792,I1794,U1794)</f>
        <v>8888</v>
      </c>
      <c r="AI1794" s="128" t="s">
        <v>396</v>
      </c>
      <c r="AJ1794" s="158">
        <f ca="1">IF($AI1792,L1794,X1794)</f>
        <v>8888</v>
      </c>
      <c r="AK1794" s="174">
        <f ca="1">IF($AI1792,M1794,Y1794)</f>
        <v>8888</v>
      </c>
      <c r="AM1794" s="128" t="s">
        <v>396</v>
      </c>
      <c r="AN1794" s="158">
        <f ca="1">AN1763</f>
        <v>-18.624000000000006</v>
      </c>
      <c r="AO1794" s="174">
        <f ca="1">IF(AN1794&gt;-Fuselage!$D$366,(FUSELAGE_a_ellipse)*SQRT(1-((AN1794+Fuselage!$D$366)/(Fuselage!$K$364-FUSELAGE_t_fuselage))^2),IF(AN1794&gt;$L$2505+Fuselage!$K$370,FUSELAGE_a_ellipse,(FUSELAGE_a_ellipse+FUSELAGE_t_fuselage-FUSELAGE_d_fo/4)/Fuselage!$K$368*(AN1794-$L$2505-Fuselage!$K$370)+FUSELAGE_a_ellipse))</f>
        <v>1.4960570012328709</v>
      </c>
      <c r="AQ1794" s="128" t="s">
        <v>396</v>
      </c>
      <c r="AR1794" s="158">
        <f t="shared" ref="AR1794:AR1799" ca="1" si="154">AN1794</f>
        <v>-18.624000000000006</v>
      </c>
      <c r="AS1794" s="174">
        <f t="shared" ref="AS1794:AS1799" ca="1" si="155">-AO1794</f>
        <v>-1.4960570012328709</v>
      </c>
      <c r="BD1794" s="157"/>
    </row>
    <row r="1795" spans="2:56">
      <c r="B1795" s="156"/>
      <c r="C1795" s="128" t="s">
        <v>213</v>
      </c>
      <c r="D1795" s="128">
        <f ca="1">IF(X1787,D1794+P1786/4,D1794+P1786)</f>
        <v>8888</v>
      </c>
      <c r="E1795" s="139">
        <f ca="1">E1794</f>
        <v>8888</v>
      </c>
      <c r="G1795" s="128" t="s">
        <v>213</v>
      </c>
      <c r="H1795" s="128">
        <f ca="1">H1794+P1786</f>
        <v>8888</v>
      </c>
      <c r="I1795" s="139">
        <f ca="1">I1794</f>
        <v>8888</v>
      </c>
      <c r="K1795" s="128" t="s">
        <v>213</v>
      </c>
      <c r="L1795" s="128">
        <f ca="1">IF(X1787,IF(K1792=1,L1794+P1786/4,L1794+P1786),L1794+P1786)</f>
        <v>8888</v>
      </c>
      <c r="M1795" s="139">
        <f ca="1">M1794</f>
        <v>8888</v>
      </c>
      <c r="O1795" s="128" t="s">
        <v>213</v>
      </c>
      <c r="P1795" s="128">
        <f ca="1">P1794+$T1789</f>
        <v>8888</v>
      </c>
      <c r="Q1795" s="139">
        <f ca="1">Q1794</f>
        <v>8888</v>
      </c>
      <c r="S1795" s="128" t="s">
        <v>213</v>
      </c>
      <c r="T1795" s="128">
        <f ca="1">T1794+$T1787</f>
        <v>8888</v>
      </c>
      <c r="U1795" s="139">
        <f ca="1">U1794</f>
        <v>8888</v>
      </c>
      <c r="W1795" s="128" t="s">
        <v>213</v>
      </c>
      <c r="X1795" s="128">
        <f ca="1">X1794+$T1785</f>
        <v>8888</v>
      </c>
      <c r="Y1795" s="139">
        <f ca="1">Y1794</f>
        <v>8888</v>
      </c>
      <c r="AA1795" s="143" t="s">
        <v>213</v>
      </c>
      <c r="AB1795" s="128">
        <f ca="1">IF($AA1792,D1795,P1795)</f>
        <v>8888</v>
      </c>
      <c r="AC1795" s="129">
        <f ca="1">IF($AA1792,E1795,Q1795)</f>
        <v>8888</v>
      </c>
      <c r="AE1795" s="128" t="s">
        <v>213</v>
      </c>
      <c r="AF1795" s="128">
        <f ca="1">IF($AE1792,H1795,T1795)</f>
        <v>8888</v>
      </c>
      <c r="AG1795" s="129">
        <f ca="1">IF($AE1792,I1795,U1795)</f>
        <v>8888</v>
      </c>
      <c r="AI1795" s="128" t="s">
        <v>213</v>
      </c>
      <c r="AJ1795" s="128">
        <f ca="1">IF($AI1792,L1795,X1795)</f>
        <v>8888</v>
      </c>
      <c r="AK1795" s="129">
        <f ca="1">IF($AI1792,M1795,Y1795)</f>
        <v>8888</v>
      </c>
      <c r="AM1795" s="128" t="s">
        <v>213</v>
      </c>
      <c r="AN1795" s="128">
        <f ca="1">AN1794-AO1785/2</f>
        <v>-18.624000000000006</v>
      </c>
      <c r="AO1795" s="129">
        <f ca="1">IF(AN1795&gt;-Fuselage!$D$366,(FUSELAGE_a_ellipse)*SQRT(1-((AN1795+Fuselage!$D$366)/(Fuselage!$K$364-FUSELAGE_t_fuselage))^2),IF(AN1795&gt;$L$2505+Fuselage!$K$370,FUSELAGE_a_ellipse,(FUSELAGE_a_ellipse+FUSELAGE_t_fuselage-FUSELAGE_d_fo/4)/Fuselage!$K$368*(AN1795-$L$2505-Fuselage!$K$370)+FUSELAGE_a_ellipse))</f>
        <v>1.4960570012328709</v>
      </c>
      <c r="AQ1795" s="128" t="s">
        <v>213</v>
      </c>
      <c r="AR1795" s="128">
        <f t="shared" ca="1" si="154"/>
        <v>-18.624000000000006</v>
      </c>
      <c r="AS1795" s="129">
        <f t="shared" ca="1" si="155"/>
        <v>-1.4960570012328709</v>
      </c>
      <c r="BD1795" s="157"/>
    </row>
    <row r="1796" spans="2:56">
      <c r="B1796" s="156"/>
      <c r="C1796" s="128" t="s">
        <v>286</v>
      </c>
      <c r="D1796" s="128">
        <f ca="1">D1795</f>
        <v>8888</v>
      </c>
      <c r="E1796" s="139">
        <f ca="1">E1795-P1785</f>
        <v>8888</v>
      </c>
      <c r="G1796" s="128" t="s">
        <v>286</v>
      </c>
      <c r="H1796" s="128">
        <f ca="1">H1795</f>
        <v>8888</v>
      </c>
      <c r="I1796" s="139">
        <f ca="1">I1795-P1785</f>
        <v>8888</v>
      </c>
      <c r="K1796" s="128" t="s">
        <v>286</v>
      </c>
      <c r="L1796" s="128">
        <f ca="1">L1795</f>
        <v>8888</v>
      </c>
      <c r="M1796" s="139">
        <f ca="1">M1795-P1785</f>
        <v>8888</v>
      </c>
      <c r="O1796" s="128" t="s">
        <v>286</v>
      </c>
      <c r="P1796" s="128">
        <f ca="1">P1795</f>
        <v>8888</v>
      </c>
      <c r="Q1796" s="139">
        <f ca="1">Q1795-$T1790</f>
        <v>8888</v>
      </c>
      <c r="S1796" s="128" t="s">
        <v>286</v>
      </c>
      <c r="T1796" s="128">
        <f ca="1">T1795</f>
        <v>8888</v>
      </c>
      <c r="U1796" s="139">
        <f ca="1">U1795-$T1788</f>
        <v>8888</v>
      </c>
      <c r="W1796" s="128" t="s">
        <v>286</v>
      </c>
      <c r="X1796" s="128">
        <f ca="1">X1795</f>
        <v>8888</v>
      </c>
      <c r="Y1796" s="139">
        <f ca="1">Y1795+$T1786</f>
        <v>8888</v>
      </c>
      <c r="AA1796" s="143" t="s">
        <v>286</v>
      </c>
      <c r="AB1796" s="128">
        <f ca="1">IF($AA1792,D1796,P1796)</f>
        <v>8888</v>
      </c>
      <c r="AC1796" s="129">
        <f ca="1">IF($AA1792,E1796,Q1796)</f>
        <v>8888</v>
      </c>
      <c r="AE1796" s="128" t="s">
        <v>286</v>
      </c>
      <c r="AF1796" s="128">
        <f ca="1">IF($AE1792,H1796,T1796)</f>
        <v>8888</v>
      </c>
      <c r="AG1796" s="129">
        <f ca="1">IF($AE1792,I1796,U1796)</f>
        <v>8888</v>
      </c>
      <c r="AI1796" s="128" t="s">
        <v>286</v>
      </c>
      <c r="AJ1796" s="128">
        <f ca="1">IF($AI1792,L1796,X1796)</f>
        <v>8888</v>
      </c>
      <c r="AK1796" s="129">
        <f ca="1">IF($AI1792,M1796,Y1796)</f>
        <v>8888</v>
      </c>
      <c r="AM1796" s="128" t="s">
        <v>286</v>
      </c>
      <c r="AN1796" s="128">
        <f ca="1">AN1795</f>
        <v>-18.624000000000006</v>
      </c>
      <c r="AO1796" s="129">
        <f ca="1">IF(AN1796&gt;-Fuselage!$D$366,IF(AM1792,(FUSELAGE_a_ellipse+FUSELAGE_t_fuselage)*SQRT(1-((AN1796+Fuselage!$D$366)/Fuselage!$K$364)^2),(FUSELAGE_a_ellipse)*SQRT(1-((AN1796+Fuselage!$D$366)/Fuselage!$K$364)^2)),IF(AN1796&gt;$L$2505+Fuselage!$K$370,(IF(AM1792,FUSELAGE_a_ellipse+FUSELAGE_t_fuselage,FUSELAGE_a_ellipse)),IF(AM1792,(FUSELAGE_a_ellipse+FUSELAGE_t_fuselage-FUSELAGE_d_fo/4)/Fuselage!$K$368*(AN1796-$L$2505-Fuselage!$K$370)+FUSELAGE_a_ellipse+FUSELAGE_t_fuselage,(FUSELAGE_a_ellipse+FUSELAGE_t_fuselage-FUSELAGE_d_fo/4)/Fuselage!$K$368*(AN1796-$L$2505-Fuselage!$K$370)+FUSELAGE_a_ellipse)))</f>
        <v>1.4960570012328709</v>
      </c>
      <c r="AQ1796" s="128" t="s">
        <v>286</v>
      </c>
      <c r="AR1796" s="128">
        <f t="shared" ca="1" si="154"/>
        <v>-18.624000000000006</v>
      </c>
      <c r="AS1796" s="129">
        <f t="shared" ca="1" si="155"/>
        <v>-1.4960570012328709</v>
      </c>
      <c r="BD1796" s="157"/>
    </row>
    <row r="1797" spans="2:56">
      <c r="B1797" s="156"/>
      <c r="C1797" s="188" t="s">
        <v>522</v>
      </c>
      <c r="D1797" s="188">
        <f ca="1">D1794</f>
        <v>8888</v>
      </c>
      <c r="E1797" s="189">
        <f ca="1">E1796</f>
        <v>8888</v>
      </c>
      <c r="F1797" s="157"/>
      <c r="G1797" s="2" t="s">
        <v>522</v>
      </c>
      <c r="H1797" s="128">
        <f ca="1">H1794</f>
        <v>8888</v>
      </c>
      <c r="I1797" s="139">
        <f ca="1">I1796</f>
        <v>8888</v>
      </c>
      <c r="K1797" s="128" t="s">
        <v>522</v>
      </c>
      <c r="L1797" s="128">
        <f ca="1">L1794</f>
        <v>8888</v>
      </c>
      <c r="M1797" s="139">
        <f ca="1">M1796</f>
        <v>8888</v>
      </c>
      <c r="O1797" s="188" t="s">
        <v>522</v>
      </c>
      <c r="P1797" s="188">
        <f ca="1">P1794</f>
        <v>8888</v>
      </c>
      <c r="Q1797" s="189">
        <f ca="1">Q1796</f>
        <v>8888</v>
      </c>
      <c r="S1797" s="188" t="s">
        <v>522</v>
      </c>
      <c r="T1797" s="188">
        <f ca="1">T1794</f>
        <v>8888</v>
      </c>
      <c r="U1797" s="189">
        <f ca="1">U1796</f>
        <v>8888</v>
      </c>
      <c r="W1797" s="188" t="s">
        <v>522</v>
      </c>
      <c r="X1797" s="188">
        <f ca="1">X1794</f>
        <v>8888</v>
      </c>
      <c r="Y1797" s="189">
        <f ca="1">Y1796</f>
        <v>8888</v>
      </c>
      <c r="AA1797" s="195" t="s">
        <v>522</v>
      </c>
      <c r="AB1797" s="128">
        <f ca="1">IF($AA1792,D1797,P1797)</f>
        <v>8888</v>
      </c>
      <c r="AC1797" s="129">
        <f ca="1">IF($AA1792,E1797,Q1797)</f>
        <v>8888</v>
      </c>
      <c r="AD1797" s="157"/>
      <c r="AE1797" s="2" t="s">
        <v>522</v>
      </c>
      <c r="AF1797" s="188">
        <f ca="1">IF($AE1792,H1797,T1797)</f>
        <v>8888</v>
      </c>
      <c r="AG1797" s="196">
        <f ca="1">IF($AE1792,I1797,U1797)</f>
        <v>8888</v>
      </c>
      <c r="AI1797" s="128" t="s">
        <v>522</v>
      </c>
      <c r="AJ1797" s="188">
        <f ca="1">IF($AI1792,L1797,X1797)</f>
        <v>8888</v>
      </c>
      <c r="AK1797" s="196">
        <f ca="1">IF($AI1792,M1797,Y1797)</f>
        <v>8888</v>
      </c>
      <c r="AM1797" s="128" t="s">
        <v>522</v>
      </c>
      <c r="AN1797" s="128">
        <f ca="1">AN1796-X1786</f>
        <v>-18.624000000000006</v>
      </c>
      <c r="AO1797" s="129">
        <f ca="1">IF(AN1797&gt;-Fuselage!$D$366,IF(AM1792,(FUSELAGE_a_ellipse+FUSELAGE_t_fuselage)*SQRT(1-((AN1797+Fuselage!$D$366)/Fuselage!$K$364)^2),(FUSELAGE_a_ellipse)*SQRT(1-((AN1797+Fuselage!$D$366)/Fuselage!$K$364)^2)),IF(AN1797&gt;$L$2505+Fuselage!$K$370,(IF(AM1792,FUSELAGE_a_ellipse+FUSELAGE_t_fuselage,FUSELAGE_a_ellipse)),IF(AM1792,(FUSELAGE_a_ellipse+FUSELAGE_t_fuselage-FUSELAGE_d_fo/4)/Fuselage!$K$368*(AN1797-$L$2505-Fuselage!$K$370)+FUSELAGE_a_ellipse+FUSELAGE_t_fuselage,(FUSELAGE_a_ellipse+FUSELAGE_t_fuselage-FUSELAGE_d_fo/4)/Fuselage!$K$368*(AN1797-$L$2505-Fuselage!$K$370)+FUSELAGE_a_ellipse)))</f>
        <v>1.4960570012328709</v>
      </c>
      <c r="AQ1797" s="128" t="s">
        <v>522</v>
      </c>
      <c r="AR1797" s="128">
        <f t="shared" ca="1" si="154"/>
        <v>-18.624000000000006</v>
      </c>
      <c r="AS1797" s="129">
        <f t="shared" ca="1" si="155"/>
        <v>-1.4960570012328709</v>
      </c>
      <c r="BD1797" s="157"/>
    </row>
    <row r="1798" spans="2:56" ht="15" thickBot="1">
      <c r="B1798" s="156"/>
      <c r="C1798" s="128" t="s">
        <v>49</v>
      </c>
      <c r="D1798" s="128">
        <f ca="1">IF(C1792&gt;=2,D1794,D1797)</f>
        <v>8888</v>
      </c>
      <c r="E1798" s="139">
        <f ca="1">IF(C1792&gt;=2,E1797-P1787,E1797)</f>
        <v>8888</v>
      </c>
      <c r="F1798" s="157"/>
      <c r="G1798" s="192" t="s">
        <v>49</v>
      </c>
      <c r="H1798" s="190">
        <f ca="1">IF(G1792&gt;=2,H1794,H1797)</f>
        <v>8888</v>
      </c>
      <c r="I1798" s="191">
        <f ca="1">IF(G1792&gt;=2,I1797-P1787,I1797)</f>
        <v>8888</v>
      </c>
      <c r="K1798" s="190" t="s">
        <v>49</v>
      </c>
      <c r="L1798" s="190">
        <f ca="1">IF(K1792&gt;=2,L1794,L1797)</f>
        <v>8888</v>
      </c>
      <c r="M1798" s="191">
        <f ca="1">IF(K1792&gt;=2,M1797-P1787,M1797)</f>
        <v>8888</v>
      </c>
      <c r="O1798" s="130" t="s">
        <v>396</v>
      </c>
      <c r="P1798" s="130">
        <f ca="1">P1794</f>
        <v>8888</v>
      </c>
      <c r="Q1798" s="140">
        <f ca="1">Q1794</f>
        <v>8888</v>
      </c>
      <c r="S1798" s="130" t="s">
        <v>396</v>
      </c>
      <c r="T1798" s="130">
        <f ca="1">T1794</f>
        <v>8888</v>
      </c>
      <c r="U1798" s="140">
        <f ca="1">U1794</f>
        <v>8888</v>
      </c>
      <c r="W1798" s="130" t="s">
        <v>396</v>
      </c>
      <c r="X1798" s="130">
        <f ca="1">X1794</f>
        <v>8888</v>
      </c>
      <c r="Y1798" s="140">
        <f ca="1">Y1794</f>
        <v>8888</v>
      </c>
      <c r="AA1798" s="143" t="s">
        <v>49</v>
      </c>
      <c r="AB1798" s="128">
        <f ca="1">IF($AA1792,D1798,P1798)</f>
        <v>8888</v>
      </c>
      <c r="AC1798" s="129">
        <f ca="1">IF($AA1792,E1798,Q1798)</f>
        <v>8888</v>
      </c>
      <c r="AD1798" s="157"/>
      <c r="AE1798" s="192" t="s">
        <v>49</v>
      </c>
      <c r="AF1798" s="128">
        <f ca="1">IF($AE1792,H1798,T1798)</f>
        <v>8888</v>
      </c>
      <c r="AG1798" s="129">
        <f ca="1">IF($AE1792,I1798,U1798)</f>
        <v>8888</v>
      </c>
      <c r="AI1798" s="190" t="s">
        <v>49</v>
      </c>
      <c r="AJ1798" s="128">
        <f ca="1">IF($AI1792,L1798,X1798)</f>
        <v>8888</v>
      </c>
      <c r="AK1798" s="129">
        <f ca="1">IF($AI1792,M1798,Y1798)</f>
        <v>8888</v>
      </c>
      <c r="AM1798" s="128" t="s">
        <v>49</v>
      </c>
      <c r="AN1798" s="128">
        <f ca="1">AN1797</f>
        <v>-18.624000000000006</v>
      </c>
      <c r="AO1798" s="129">
        <f ca="1">IF(AN1798&gt;-Fuselage!$D$366,(FUSELAGE_a_ellipse)*SQRT(1-((AN1798+Fuselage!$D$366)/(Fuselage!$K$364-FUSELAGE_t_fuselage))^2),IF(AN1798&gt;$L$2505+Fuselage!$K$370,FUSELAGE_a_ellipse,(FUSELAGE_a_ellipse+FUSELAGE_t_fuselage-FUSELAGE_d_fo/4)/Fuselage!$K$368*(AN1798-$L$2505-Fuselage!$K$370)+FUSELAGE_a_ellipse))</f>
        <v>1.4960570012328709</v>
      </c>
      <c r="AQ1798" s="128" t="s">
        <v>49</v>
      </c>
      <c r="AR1798" s="128">
        <f t="shared" ca="1" si="154"/>
        <v>-18.624000000000006</v>
      </c>
      <c r="AS1798" s="129">
        <f t="shared" ca="1" si="155"/>
        <v>-1.4960570012328709</v>
      </c>
      <c r="BD1798" s="157"/>
    </row>
    <row r="1799" spans="2:56">
      <c r="B1799" s="156"/>
      <c r="C1799" s="128" t="s">
        <v>453</v>
      </c>
      <c r="D1799" s="128">
        <f ca="1">IF(C1792&gt;=2,D1794+P1786,D1797)</f>
        <v>8888</v>
      </c>
      <c r="E1799" s="139">
        <f ca="1">E1798</f>
        <v>8888</v>
      </c>
      <c r="F1799" s="157"/>
      <c r="G1799" s="2" t="s">
        <v>453</v>
      </c>
      <c r="H1799" s="128">
        <f ca="1">IF(G1792&gt;=2,H1795,H1797)</f>
        <v>8888</v>
      </c>
      <c r="I1799" s="139">
        <f ca="1">IF(G1792&gt;=2,I1798,I1797)</f>
        <v>8888</v>
      </c>
      <c r="K1799" s="128" t="s">
        <v>453</v>
      </c>
      <c r="L1799" s="128">
        <f ca="1">IF(K1792&gt;=2,IF(X1787,IF(K1792=2,L1794+P1786/4,L1794+P1786),L1794+P1786),L1797)</f>
        <v>8888</v>
      </c>
      <c r="M1799" s="139">
        <f ca="1">IF(K1792&gt;=2,M1798,M1797)</f>
        <v>8888</v>
      </c>
      <c r="AA1799" s="143" t="s">
        <v>453</v>
      </c>
      <c r="AB1799" s="128">
        <f ca="1">IF($AA1792,D1799,AB1798)</f>
        <v>8888</v>
      </c>
      <c r="AC1799" s="129">
        <f ca="1">IF($AA1792,E1799,AC1798)</f>
        <v>8888</v>
      </c>
      <c r="AD1799" s="157"/>
      <c r="AE1799" s="2" t="s">
        <v>453</v>
      </c>
      <c r="AF1799" s="128">
        <f ca="1">IF($AE1792,H1799,AF1798)</f>
        <v>8888</v>
      </c>
      <c r="AG1799" s="129">
        <f ca="1">IF($AE1792,I1799,AG1798)</f>
        <v>8888</v>
      </c>
      <c r="AI1799" s="128" t="s">
        <v>453</v>
      </c>
      <c r="AJ1799" s="128">
        <f ca="1">IF($AI1792,L1799,AJ1798)</f>
        <v>8888</v>
      </c>
      <c r="AK1799" s="129">
        <f ca="1">IF($AI1792,M1799,AK1798)</f>
        <v>8888</v>
      </c>
      <c r="AM1799" s="128" t="s">
        <v>453</v>
      </c>
      <c r="AN1799" s="128">
        <f ca="1">L1785</f>
        <v>-18.624000000000006</v>
      </c>
      <c r="AO1799" s="129">
        <f ca="1">IF(AN1799&gt;-Fuselage!$D$366,(FUSELAGE_a_ellipse)*SQRT(1-((AN1799+Fuselage!$D$366)/(Fuselage!$K$364-FUSELAGE_t_fuselage))^2),IF(AN1799&gt;$L$2505+Fuselage!$K$370,FUSELAGE_a_ellipse,(FUSELAGE_a_ellipse+FUSELAGE_t_fuselage-FUSELAGE_d_fo/4)/Fuselage!$K$368*(AN1799-$L$2505-Fuselage!$K$370)+FUSELAGE_a_ellipse))</f>
        <v>1.4960570012328709</v>
      </c>
      <c r="AQ1799" s="128" t="s">
        <v>453</v>
      </c>
      <c r="AR1799" s="128">
        <f t="shared" ca="1" si="154"/>
        <v>-18.624000000000006</v>
      </c>
      <c r="AS1799" s="129">
        <f t="shared" ca="1" si="155"/>
        <v>-1.4960570012328709</v>
      </c>
      <c r="BD1799" s="157"/>
    </row>
    <row r="1800" spans="2:56">
      <c r="B1800" s="156"/>
      <c r="C1800" s="128" t="s">
        <v>394</v>
      </c>
      <c r="D1800" s="128">
        <f ca="1">IF(C1792&gt;=2,D1799,D1797)</f>
        <v>8888</v>
      </c>
      <c r="E1800" s="139">
        <f ca="1">IF(C1792&gt;=2,E1798-P1785,E1797)</f>
        <v>8888</v>
      </c>
      <c r="F1800" s="157"/>
      <c r="G1800" s="2" t="s">
        <v>394</v>
      </c>
      <c r="H1800" s="128">
        <f ca="1">IF(G1792&gt;=2,H1795,H1797)</f>
        <v>8888</v>
      </c>
      <c r="I1800" s="139">
        <f ca="1">IF(G1792&gt;=2,I1799-P1785,I1797)</f>
        <v>8888</v>
      </c>
      <c r="K1800" s="128" t="s">
        <v>394</v>
      </c>
      <c r="L1800" s="128">
        <f ca="1">L1799</f>
        <v>8888</v>
      </c>
      <c r="M1800" s="139">
        <f ca="1">IF(K1792&gt;=2,M1799-P1785,M1797)</f>
        <v>8888</v>
      </c>
      <c r="AA1800" s="143" t="s">
        <v>394</v>
      </c>
      <c r="AB1800" s="128">
        <f ca="1">IF($AA1792,D1800,AB1798)</f>
        <v>8888</v>
      </c>
      <c r="AC1800" s="129">
        <f ca="1">IF($AA1792,E1800,AC1798)</f>
        <v>8888</v>
      </c>
      <c r="AD1800" s="157"/>
      <c r="AE1800" s="2" t="s">
        <v>394</v>
      </c>
      <c r="AF1800" s="128">
        <f ca="1">IF($AE1792,H1800,AF1798)</f>
        <v>8888</v>
      </c>
      <c r="AG1800" s="129">
        <f ca="1">IF($AE1792,I1800,AG1798)</f>
        <v>8888</v>
      </c>
      <c r="AI1800" s="128" t="s">
        <v>394</v>
      </c>
      <c r="AJ1800" s="128">
        <f ca="1">IF($AI1792,L1800,AJ1798)</f>
        <v>8888</v>
      </c>
      <c r="AK1800" s="129">
        <f ca="1">IF($AI1792,M1800,AK1798)</f>
        <v>8888</v>
      </c>
      <c r="BD1800" s="157"/>
    </row>
    <row r="1801" spans="2:56">
      <c r="B1801" s="156"/>
      <c r="C1801" s="188" t="s">
        <v>454</v>
      </c>
      <c r="D1801" s="188">
        <f ca="1">IF(C1792&gt;=2,D1794,D1797)</f>
        <v>8888</v>
      </c>
      <c r="E1801" s="189">
        <f ca="1">E1800</f>
        <v>8888</v>
      </c>
      <c r="F1801" s="157"/>
      <c r="G1801" s="115" t="s">
        <v>454</v>
      </c>
      <c r="H1801" s="188">
        <f ca="1">IF(G1792&gt;=2,H1794,H1797)</f>
        <v>8888</v>
      </c>
      <c r="I1801" s="189">
        <f ca="1">IF(G1792&gt;=2,I1800,I1797)</f>
        <v>8888</v>
      </c>
      <c r="K1801" s="188" t="s">
        <v>454</v>
      </c>
      <c r="L1801" s="188">
        <f ca="1">IF(K1792&gt;=2,L1794,L1797)</f>
        <v>8888</v>
      </c>
      <c r="M1801" s="189">
        <f ca="1">IF(K1792&gt;=2,M1800,M1797)</f>
        <v>8888</v>
      </c>
      <c r="AA1801" s="195" t="s">
        <v>454</v>
      </c>
      <c r="AB1801" s="128">
        <f ca="1">IF($AA1792,D1801,AB1798)</f>
        <v>8888</v>
      </c>
      <c r="AC1801" s="129">
        <f ca="1">IF($AA1792,E1801,AC1798)</f>
        <v>8888</v>
      </c>
      <c r="AD1801" s="157"/>
      <c r="AE1801" s="115" t="s">
        <v>454</v>
      </c>
      <c r="AF1801" s="188">
        <f ca="1">IF($AE1792,H1801,AF1798)</f>
        <v>8888</v>
      </c>
      <c r="AG1801" s="196">
        <f ca="1">IF($AE1792,I1801,AG1798)</f>
        <v>8888</v>
      </c>
      <c r="AI1801" s="188" t="s">
        <v>454</v>
      </c>
      <c r="AJ1801" s="188">
        <f ca="1">IF($AI1792,L1801,AJ1798)</f>
        <v>8888</v>
      </c>
      <c r="AK1801" s="196">
        <f ca="1">IF($AI1792,M1801,AK1798)</f>
        <v>8888</v>
      </c>
      <c r="BD1801" s="157"/>
    </row>
    <row r="1802" spans="2:56">
      <c r="B1802" s="156"/>
      <c r="C1802" s="128" t="s">
        <v>507</v>
      </c>
      <c r="D1802" s="128">
        <f ca="1">IF(C1792&gt;=3,D1794,D1801)</f>
        <v>8888</v>
      </c>
      <c r="E1802" s="139">
        <f ca="1">IF(C1792&gt;=3,E1801-P1787,E1801)</f>
        <v>8888</v>
      </c>
      <c r="F1802" s="157"/>
      <c r="G1802" s="2" t="s">
        <v>507</v>
      </c>
      <c r="H1802" s="128">
        <f ca="1">IF(G1792&gt;=3,H1794,H1801)</f>
        <v>8888</v>
      </c>
      <c r="I1802" s="139">
        <f ca="1">IF(G1792&gt;=3,I1801-P1787,I1801)</f>
        <v>8888</v>
      </c>
      <c r="K1802" s="128" t="s">
        <v>507</v>
      </c>
      <c r="L1802" s="128">
        <f ca="1">IF(K1792&gt;=3,L1794,L1801)</f>
        <v>8888</v>
      </c>
      <c r="M1802" s="139">
        <f ca="1">IF(K1792&gt;=3,M1801-P1787,M1801)</f>
        <v>8888</v>
      </c>
      <c r="AA1802" s="143" t="s">
        <v>507</v>
      </c>
      <c r="AB1802" s="128">
        <f ca="1">IF($AA1792,D1802,AB1798)</f>
        <v>8888</v>
      </c>
      <c r="AC1802" s="129">
        <f ca="1">IF($AA1792,E1802,AC1798)</f>
        <v>8888</v>
      </c>
      <c r="AD1802" s="157"/>
      <c r="AE1802" s="2" t="s">
        <v>507</v>
      </c>
      <c r="AF1802" s="128">
        <f ca="1">IF($AE1792,H1802,AF1798)</f>
        <v>8888</v>
      </c>
      <c r="AG1802" s="129">
        <f ca="1">IF($AE1792,I1802,AG1798)</f>
        <v>8888</v>
      </c>
      <c r="AI1802" s="128" t="s">
        <v>507</v>
      </c>
      <c r="AJ1802" s="128">
        <f ca="1">IF($AI1792,L1802,AJ1798)</f>
        <v>8888</v>
      </c>
      <c r="AK1802" s="129">
        <f ca="1">IF($AI1792,M1802,AK1798)</f>
        <v>8888</v>
      </c>
      <c r="BD1802" s="157"/>
    </row>
    <row r="1803" spans="2:56">
      <c r="B1803" s="156"/>
      <c r="C1803" s="128" t="s">
        <v>455</v>
      </c>
      <c r="D1803" s="128">
        <f ca="1">IF(C1792&gt;=3,D1799,D1801)</f>
        <v>8888</v>
      </c>
      <c r="E1803" s="139">
        <f ca="1">E1802</f>
        <v>8888</v>
      </c>
      <c r="F1803" s="157"/>
      <c r="G1803" s="2" t="s">
        <v>455</v>
      </c>
      <c r="H1803" s="128">
        <f ca="1">IF(G1792&gt;=3,H1795,H1801)</f>
        <v>8888</v>
      </c>
      <c r="I1803" s="139">
        <f ca="1">IF(G1792&gt;=3,I1802,I1801)</f>
        <v>8888</v>
      </c>
      <c r="K1803" s="128" t="s">
        <v>455</v>
      </c>
      <c r="L1803" s="128">
        <f ca="1">IF(K1792&gt;=3,IF(X1787,IF(K1792=3,L1794+P1786/4,L1794+P1786),L1794+P1786),L1797)</f>
        <v>8888</v>
      </c>
      <c r="M1803" s="139">
        <f ca="1">IF(K1792&gt;=3,M1802,M1801)</f>
        <v>8888</v>
      </c>
      <c r="AA1803" s="143" t="s">
        <v>455</v>
      </c>
      <c r="AB1803" s="128">
        <f ca="1">IF($AA1792,D1803,AB1798)</f>
        <v>8888</v>
      </c>
      <c r="AC1803" s="129">
        <f ca="1">IF($AA1792,E1803,AC1798)</f>
        <v>8888</v>
      </c>
      <c r="AD1803" s="157"/>
      <c r="AE1803" s="2" t="s">
        <v>455</v>
      </c>
      <c r="AF1803" s="128">
        <f ca="1">IF($AE1792,H1803,AF1798)</f>
        <v>8888</v>
      </c>
      <c r="AG1803" s="129">
        <f ca="1">IF($AE1792,I1803,AG1798)</f>
        <v>8888</v>
      </c>
      <c r="AI1803" s="128" t="s">
        <v>455</v>
      </c>
      <c r="AJ1803" s="128">
        <f ca="1">IF($AI1792,L1803,AJ1798)</f>
        <v>8888</v>
      </c>
      <c r="AK1803" s="129">
        <f ca="1">IF($AI1792,M1803,AK1798)</f>
        <v>8888</v>
      </c>
      <c r="AL1803" s="156"/>
      <c r="BD1803" s="157"/>
    </row>
    <row r="1804" spans="2:56">
      <c r="B1804" s="156"/>
      <c r="C1804" s="128" t="s">
        <v>311</v>
      </c>
      <c r="D1804" s="128">
        <f ca="1">IF(C1792&gt;=3,D1799,D1801)</f>
        <v>8888</v>
      </c>
      <c r="E1804" s="139">
        <f ca="1">IF(C1792&gt;=3,E1803-P1785,E1801)</f>
        <v>8888</v>
      </c>
      <c r="F1804" s="157"/>
      <c r="G1804" s="2" t="s">
        <v>311</v>
      </c>
      <c r="H1804" s="128">
        <f ca="1">IF(G1792&gt;=3,H1795,H1801)</f>
        <v>8888</v>
      </c>
      <c r="I1804" s="139">
        <f ca="1">IF(G1792&gt;=3,I1803-P1785,I1801)</f>
        <v>8888</v>
      </c>
      <c r="K1804" s="128" t="s">
        <v>311</v>
      </c>
      <c r="L1804" s="128">
        <f ca="1">L1803</f>
        <v>8888</v>
      </c>
      <c r="M1804" s="139">
        <f ca="1">IF(K1792&gt;=3,M1803-P1785,M1801)</f>
        <v>8888</v>
      </c>
      <c r="AA1804" s="143" t="s">
        <v>311</v>
      </c>
      <c r="AB1804" s="128">
        <f ca="1">IF($AA1792,D1804,AB1798)</f>
        <v>8888</v>
      </c>
      <c r="AC1804" s="129">
        <f ca="1">IF($AA1792,E1804,AC1798)</f>
        <v>8888</v>
      </c>
      <c r="AD1804" s="157"/>
      <c r="AE1804" s="2" t="s">
        <v>311</v>
      </c>
      <c r="AF1804" s="128">
        <f ca="1">IF($AE1792,H1804,AF1798)</f>
        <v>8888</v>
      </c>
      <c r="AG1804" s="129">
        <f ca="1">IF($AE1792,I1804,AG1798)</f>
        <v>8888</v>
      </c>
      <c r="AI1804" s="128" t="s">
        <v>311</v>
      </c>
      <c r="AJ1804" s="128">
        <f ca="1">IF($AI1792,L1804,AJ1798)</f>
        <v>8888</v>
      </c>
      <c r="AK1804" s="129">
        <f ca="1">IF($AI1792,M1804,AK1798)</f>
        <v>8888</v>
      </c>
      <c r="AL1804" s="156"/>
      <c r="BD1804" s="157"/>
    </row>
    <row r="1805" spans="2:56">
      <c r="B1805" s="156"/>
      <c r="C1805" s="188" t="s">
        <v>35</v>
      </c>
      <c r="D1805" s="188">
        <f ca="1">IF(C1792&gt;=3,D1794,D1801)</f>
        <v>8888</v>
      </c>
      <c r="E1805" s="189">
        <f ca="1">E1804</f>
        <v>8888</v>
      </c>
      <c r="F1805" s="157"/>
      <c r="G1805" s="2" t="s">
        <v>35</v>
      </c>
      <c r="H1805" s="188">
        <f ca="1">IF(G1792&gt;=3,H1794,H1801)</f>
        <v>8888</v>
      </c>
      <c r="I1805" s="189">
        <f ca="1">IF(G1792&gt;=3,I1804,I1801)</f>
        <v>8888</v>
      </c>
      <c r="K1805" s="188" t="s">
        <v>35</v>
      </c>
      <c r="L1805" s="188">
        <f ca="1">IF(K1792&gt;=3,L1794,L1801)</f>
        <v>8888</v>
      </c>
      <c r="M1805" s="189">
        <f ca="1">IF(K1792&gt;=3,M1804,M1801)</f>
        <v>8888</v>
      </c>
      <c r="AA1805" s="143" t="s">
        <v>35</v>
      </c>
      <c r="AB1805" s="128">
        <f ca="1">IF($AA1792,D1805,AB1798)</f>
        <v>8888</v>
      </c>
      <c r="AC1805" s="129">
        <f ca="1">IF($AA1792,E1805,AC1798)</f>
        <v>8888</v>
      </c>
      <c r="AD1805" s="157"/>
      <c r="AE1805" s="2" t="s">
        <v>35</v>
      </c>
      <c r="AF1805" s="188">
        <f ca="1">IF($AE1792,H1805,AF1798)</f>
        <v>8888</v>
      </c>
      <c r="AG1805" s="196">
        <f ca="1">IF($AE1792,I1805,AG1798)</f>
        <v>8888</v>
      </c>
      <c r="AI1805" s="128" t="s">
        <v>35</v>
      </c>
      <c r="AJ1805" s="128">
        <f ca="1">IF($AI1792,L1805,AJ1798)</f>
        <v>8888</v>
      </c>
      <c r="AK1805" s="129">
        <f ca="1">IF($AI1792,M1805,AK1798)</f>
        <v>8888</v>
      </c>
      <c r="AL1805" s="156"/>
      <c r="BD1805" s="157"/>
    </row>
    <row r="1806" spans="2:56" ht="15" thickBot="1">
      <c r="B1806" s="156"/>
      <c r="C1806" s="130" t="s">
        <v>396</v>
      </c>
      <c r="D1806" s="130">
        <f ca="1">D1794</f>
        <v>8888</v>
      </c>
      <c r="E1806" s="140">
        <f ca="1">E1794</f>
        <v>8888</v>
      </c>
      <c r="F1806" s="157"/>
      <c r="G1806" s="192" t="s">
        <v>312</v>
      </c>
      <c r="H1806" s="128">
        <f ca="1">IF(G1792&gt;=4,H1794,H1805)</f>
        <v>8888</v>
      </c>
      <c r="I1806" s="139">
        <f ca="1">IF(G1792&gt;=4,I1805-P1787,I1805)</f>
        <v>8888</v>
      </c>
      <c r="K1806" s="130" t="s">
        <v>396</v>
      </c>
      <c r="L1806" s="130">
        <f ca="1">L1794</f>
        <v>8888</v>
      </c>
      <c r="M1806" s="140">
        <f ca="1">M1794</f>
        <v>8888</v>
      </c>
      <c r="AA1806" s="144" t="s">
        <v>396</v>
      </c>
      <c r="AB1806" s="130">
        <f ca="1">IF($AA1792,D1806,AB1798)</f>
        <v>8888</v>
      </c>
      <c r="AC1806" s="132">
        <f ca="1">IF($AA1792,E1806,AC1798)</f>
        <v>8888</v>
      </c>
      <c r="AD1806" s="157"/>
      <c r="AE1806" s="192" t="s">
        <v>312</v>
      </c>
      <c r="AF1806" s="128">
        <f ca="1">IF($AE1792,H1806,AF1798)</f>
        <v>8888</v>
      </c>
      <c r="AG1806" s="129">
        <f ca="1">IF($AE1792,I1806,AG1798)</f>
        <v>8888</v>
      </c>
      <c r="AI1806" s="130" t="s">
        <v>396</v>
      </c>
      <c r="AJ1806" s="130">
        <f ca="1">IF($AI1792,L1806,AJ1798)</f>
        <v>8888</v>
      </c>
      <c r="AK1806" s="132">
        <f ca="1">IF($AI1792,M1806,AK1798)</f>
        <v>8888</v>
      </c>
      <c r="BD1806" s="157"/>
    </row>
    <row r="1807" spans="2:56">
      <c r="B1807" s="156"/>
      <c r="F1807" s="157"/>
      <c r="G1807" s="2" t="s">
        <v>313</v>
      </c>
      <c r="H1807" s="128">
        <f ca="1">IF(G1792&gt;=4,H1795,H1805)</f>
        <v>8888</v>
      </c>
      <c r="I1807" s="139">
        <f ca="1">IF(G1792&gt;=4,I1806,I1805)</f>
        <v>8888</v>
      </c>
      <c r="AD1807" s="157"/>
      <c r="AE1807" s="2" t="s">
        <v>313</v>
      </c>
      <c r="AF1807" s="128">
        <f ca="1">IF($AE1792,H1807,AF1798)</f>
        <v>8888</v>
      </c>
      <c r="AG1807" s="129">
        <f ca="1">IF($AE1792,I1807,AG1798)</f>
        <v>8888</v>
      </c>
      <c r="BD1807" s="157"/>
    </row>
    <row r="1808" spans="2:56">
      <c r="B1808" s="156"/>
      <c r="F1808" s="157"/>
      <c r="G1808" s="2" t="s">
        <v>7</v>
      </c>
      <c r="H1808" s="128">
        <f ca="1">IF(G1792&gt;=4,H1795,H1805)</f>
        <v>8888</v>
      </c>
      <c r="I1808" s="139">
        <f ca="1">IF(G1792&gt;=4,I1807-P1785,I1805)</f>
        <v>8888</v>
      </c>
      <c r="AD1808" s="157"/>
      <c r="AE1808" s="2" t="s">
        <v>7</v>
      </c>
      <c r="AF1808" s="128">
        <f ca="1">IF($AE1792,H1808,AF1798)</f>
        <v>8888</v>
      </c>
      <c r="AG1808" s="129">
        <f ca="1">IF($AE1792,I1808,AG1798)</f>
        <v>8888</v>
      </c>
      <c r="BD1808" s="157"/>
    </row>
    <row r="1809" spans="2:56">
      <c r="B1809" s="156"/>
      <c r="F1809" s="157"/>
      <c r="G1809" s="115" t="s">
        <v>8</v>
      </c>
      <c r="H1809" s="188">
        <f ca="1">IF(G1792&gt;=4,H1794,H1805)</f>
        <v>8888</v>
      </c>
      <c r="I1809" s="189">
        <f ca="1">IF(G1792&gt;=4,I1808,I1805)</f>
        <v>8888</v>
      </c>
      <c r="AD1809" s="157"/>
      <c r="AE1809" s="115" t="s">
        <v>8</v>
      </c>
      <c r="AF1809" s="188">
        <f ca="1">IF($AE1792,H1809,AF1798)</f>
        <v>8888</v>
      </c>
      <c r="AG1809" s="196">
        <f ca="1">IF($AE1792,I1809,AG1798)</f>
        <v>8888</v>
      </c>
      <c r="BD1809" s="157"/>
    </row>
    <row r="1810" spans="2:56">
      <c r="B1810" s="156"/>
      <c r="F1810" s="157"/>
      <c r="G1810" s="2" t="s">
        <v>9</v>
      </c>
      <c r="H1810" s="128">
        <f ca="1">IF(G1792&gt;=5,H1794,H1809)</f>
        <v>8888</v>
      </c>
      <c r="I1810" s="139">
        <f ca="1">IF(G1792&gt;=5,I1809-P1787,I1809)</f>
        <v>8888</v>
      </c>
      <c r="AD1810" s="157"/>
      <c r="AE1810" s="2" t="s">
        <v>9</v>
      </c>
      <c r="AF1810" s="128">
        <f ca="1">IF($AE1792,H1810,AF1798)</f>
        <v>8888</v>
      </c>
      <c r="AG1810" s="129">
        <f ca="1">IF($AE1792,I1810,AG1798)</f>
        <v>8888</v>
      </c>
      <c r="BD1810" s="157"/>
    </row>
    <row r="1811" spans="2:56">
      <c r="B1811" s="156"/>
      <c r="F1811" s="157"/>
      <c r="G1811" s="2" t="s">
        <v>196</v>
      </c>
      <c r="H1811" s="128">
        <f ca="1">IF(G1792&gt;=5,H1795,H1809)</f>
        <v>8888</v>
      </c>
      <c r="I1811" s="139">
        <f ca="1">IF(G1792&gt;=5,I1810,I1809)</f>
        <v>8888</v>
      </c>
      <c r="AD1811" s="157"/>
      <c r="AE1811" s="2" t="s">
        <v>196</v>
      </c>
      <c r="AF1811" s="128">
        <f ca="1">IF($AE1792,H1811,AF1798)</f>
        <v>8888</v>
      </c>
      <c r="AG1811" s="129">
        <f ca="1">IF($AE1792,I1811,AG1798)</f>
        <v>8888</v>
      </c>
      <c r="BD1811" s="157"/>
    </row>
    <row r="1812" spans="2:56">
      <c r="B1812" s="156"/>
      <c r="F1812" s="157"/>
      <c r="G1812" s="2" t="s">
        <v>10</v>
      </c>
      <c r="H1812" s="128">
        <f ca="1">IF(G1792&gt;=5,H1795,H1809)</f>
        <v>8888</v>
      </c>
      <c r="I1812" s="139">
        <f ca="1">IF(G1792&gt;=5,I1811-P1785,I1809)</f>
        <v>8888</v>
      </c>
      <c r="AD1812" s="157"/>
      <c r="AE1812" s="2" t="s">
        <v>10</v>
      </c>
      <c r="AF1812" s="128">
        <f ca="1">IF($AE1792,H1812,AF1798)</f>
        <v>8888</v>
      </c>
      <c r="AG1812" s="129">
        <f ca="1">IF($AE1792,I1812,AG1798)</f>
        <v>8888</v>
      </c>
      <c r="BD1812" s="157"/>
    </row>
    <row r="1813" spans="2:56">
      <c r="B1813" s="156"/>
      <c r="F1813" s="157"/>
      <c r="G1813" s="2" t="s">
        <v>161</v>
      </c>
      <c r="H1813" s="188">
        <f ca="1">IF(G1792&gt;=5,H1794,H1809)</f>
        <v>8888</v>
      </c>
      <c r="I1813" s="189">
        <f ca="1">IF(G1792&gt;=5,I1812,I1809)</f>
        <v>8888</v>
      </c>
      <c r="AD1813" s="157"/>
      <c r="AE1813" s="2" t="s">
        <v>161</v>
      </c>
      <c r="AF1813" s="188">
        <f ca="1">IF($AE1792,H1813,AF1798)</f>
        <v>8888</v>
      </c>
      <c r="AG1813" s="196">
        <f ca="1">IF($AE1792,I1813,AG1798)</f>
        <v>8888</v>
      </c>
      <c r="BD1813" s="157"/>
    </row>
    <row r="1814" spans="2:56">
      <c r="B1814" s="156"/>
      <c r="F1814" s="157"/>
      <c r="G1814" s="192" t="s">
        <v>11</v>
      </c>
      <c r="H1814" s="128">
        <f ca="1">IF(G1792&gt;=6,H1794,H1813)</f>
        <v>8888</v>
      </c>
      <c r="I1814" s="139">
        <f ca="1">IF(G1792&gt;=6,I1813-P1787,I1813)</f>
        <v>8888</v>
      </c>
      <c r="AD1814" s="157"/>
      <c r="AE1814" s="192" t="s">
        <v>11</v>
      </c>
      <c r="AF1814" s="128">
        <f ca="1">IF($AE1792,H1814,AF1798)</f>
        <v>8888</v>
      </c>
      <c r="AG1814" s="129">
        <f ca="1">IF($AE1792,I1814,AG1798)</f>
        <v>8888</v>
      </c>
      <c r="BD1814" s="157"/>
    </row>
    <row r="1815" spans="2:56">
      <c r="B1815" s="156"/>
      <c r="F1815" s="157"/>
      <c r="G1815" s="2" t="s">
        <v>12</v>
      </c>
      <c r="H1815" s="128">
        <f ca="1">IF(G1792&gt;=6,H1795,H1813)</f>
        <v>8888</v>
      </c>
      <c r="I1815" s="139">
        <f ca="1">IF(G1792&gt;=6,I1814,I1813)</f>
        <v>8888</v>
      </c>
      <c r="AD1815" s="157"/>
      <c r="AE1815" s="2" t="s">
        <v>12</v>
      </c>
      <c r="AF1815" s="128">
        <f ca="1">IF($AE1792,H1815,AF1798)</f>
        <v>8888</v>
      </c>
      <c r="AG1815" s="129">
        <f ca="1">IF($AE1792,I1815,AG1798)</f>
        <v>8888</v>
      </c>
      <c r="BD1815" s="157"/>
    </row>
    <row r="1816" spans="2:56">
      <c r="B1816" s="156"/>
      <c r="F1816" s="157"/>
      <c r="G1816" s="2" t="s">
        <v>13</v>
      </c>
      <c r="H1816" s="128">
        <f ca="1">IF(G1792&gt;=6,H1795,H1813)</f>
        <v>8888</v>
      </c>
      <c r="I1816" s="139">
        <f ca="1">IF(G1792&gt;=6,I1815-P1785,I1813)</f>
        <v>8888</v>
      </c>
      <c r="AD1816" s="157"/>
      <c r="AE1816" s="2" t="s">
        <v>13</v>
      </c>
      <c r="AF1816" s="128">
        <f ca="1">IF($AE1792,H1816,AF1798)</f>
        <v>8888</v>
      </c>
      <c r="AG1816" s="129">
        <f ca="1">IF($AE1792,I1816,AG1798)</f>
        <v>8888</v>
      </c>
      <c r="BD1816" s="157"/>
    </row>
    <row r="1817" spans="2:56">
      <c r="B1817" s="156"/>
      <c r="F1817" s="157"/>
      <c r="G1817" s="115" t="s">
        <v>14</v>
      </c>
      <c r="H1817" s="188">
        <f ca="1">IF(G1792&gt;=6,H1794,H1813)</f>
        <v>8888</v>
      </c>
      <c r="I1817" s="189">
        <f ca="1">IF(G1792&gt;=6,I1816,I1813)</f>
        <v>8888</v>
      </c>
      <c r="AD1817" s="157"/>
      <c r="AE1817" s="115" t="s">
        <v>14</v>
      </c>
      <c r="AF1817" s="188">
        <f ca="1">IF($AE1792,H1817,AF1798)</f>
        <v>8888</v>
      </c>
      <c r="AG1817" s="196">
        <f ca="1">IF($AE1792,I1817,AG1798)</f>
        <v>8888</v>
      </c>
      <c r="BD1817" s="157"/>
    </row>
    <row r="1818" spans="2:56" ht="15" thickBot="1">
      <c r="B1818" s="156"/>
      <c r="G1818" s="130" t="s">
        <v>396</v>
      </c>
      <c r="H1818" s="130">
        <f ca="1">H1794</f>
        <v>8888</v>
      </c>
      <c r="I1818" s="140">
        <f ca="1">I1794</f>
        <v>8888</v>
      </c>
      <c r="AE1818" s="130" t="s">
        <v>396</v>
      </c>
      <c r="AF1818" s="130">
        <f ca="1">IF($AE1792,H1818,AF1798)</f>
        <v>8888</v>
      </c>
      <c r="AG1818" s="132">
        <f ca="1">IF($AE1792,I1818,AG1798)</f>
        <v>8888</v>
      </c>
      <c r="BD1818" s="157"/>
    </row>
    <row r="1819" spans="2:56">
      <c r="B1819" s="156"/>
      <c r="BD1819" s="157"/>
    </row>
    <row r="1820" spans="2:56">
      <c r="B1820" s="156"/>
      <c r="BD1820" s="157"/>
    </row>
    <row r="1821" spans="2:56">
      <c r="B1821" s="156"/>
      <c r="C1821" s="200" t="s">
        <v>336</v>
      </c>
      <c r="D1821">
        <f>D1785+1</f>
        <v>46</v>
      </c>
      <c r="G1821" s="200" t="s">
        <v>638</v>
      </c>
      <c r="H1821">
        <f ca="1">LOOKUP(D1824,$C$191:$C$196,$D$191:$D$196)</f>
        <v>0</v>
      </c>
      <c r="K1821" s="200" t="s">
        <v>644</v>
      </c>
      <c r="L1821">
        <f ca="1">L1785-H1826</f>
        <v>-18.624000000000006</v>
      </c>
      <c r="O1821" s="200" t="s">
        <v>404</v>
      </c>
      <c r="P1821">
        <f ca="1">IF(D1823=1,SEAT_w_cushion_FC,IF(D1823=2,SEAT_w_cushion_BC,IF(D1823=3,SEAT_w_cushion_YC,0)))</f>
        <v>0</v>
      </c>
      <c r="S1821" s="200" t="s">
        <v>647</v>
      </c>
      <c r="T1821">
        <f ca="1">LOOKUP(D1824,$C$191:$C$196,$E$191:$E$196)</f>
        <v>0</v>
      </c>
      <c r="W1821" t="s">
        <v>130</v>
      </c>
      <c r="X1821" t="str">
        <f ca="1">OFFSET(Fuselage!$B$275,D1821,5)</f>
        <v>None</v>
      </c>
      <c r="AN1821" s="200" t="s">
        <v>135</v>
      </c>
      <c r="AO1821">
        <f ca="1">MAX(0,H1826-MAX(T1821,T1823,T1825,P1822)-X1822)</f>
        <v>0</v>
      </c>
      <c r="BD1821" s="157"/>
    </row>
    <row r="1822" spans="2:56">
      <c r="B1822" s="156"/>
      <c r="C1822" s="200" t="s">
        <v>200</v>
      </c>
      <c r="D1822" t="str">
        <f ca="1">OFFSET(Fuselage!$B$275,D1821,0)</f>
        <v/>
      </c>
      <c r="G1822" s="200" t="s">
        <v>639</v>
      </c>
      <c r="H1822">
        <f ca="1">LOOKUP(D1825,$C$191:$C$196,$D$191:$D$196)</f>
        <v>0</v>
      </c>
      <c r="O1822" s="200" t="s">
        <v>535</v>
      </c>
      <c r="P1822">
        <f ca="1">IF(D1823=1,SEAT_length_FC,IF(D1823=2,SEAT_length_BC,IF(D1823=3,SEAT_length_YC,0)))</f>
        <v>0</v>
      </c>
      <c r="S1822" s="200" t="s">
        <v>648</v>
      </c>
      <c r="T1822">
        <f ca="1">LOOKUP(D1824,$C$191:$C$196,$F$191:$F$196)</f>
        <v>0</v>
      </c>
      <c r="W1822" t="s">
        <v>131</v>
      </c>
      <c r="X1822">
        <f ca="1">LOOKUP(X1821,$I$191:$I$198,$J$191:$J$198)</f>
        <v>0</v>
      </c>
      <c r="BD1822" s="157"/>
    </row>
    <row r="1823" spans="2:56">
      <c r="B1823" s="156"/>
      <c r="C1823" s="200" t="s">
        <v>337</v>
      </c>
      <c r="D1823" t="str">
        <f ca="1">OFFSET(Fuselage!$B$275,D1821,4)</f>
        <v/>
      </c>
      <c r="G1823" s="200" t="s">
        <v>309</v>
      </c>
      <c r="H1823">
        <f ca="1">LOOKUP(D1826,$C$191:$C$196,$D$191:$D$196)</f>
        <v>0</v>
      </c>
      <c r="K1823" s="200" t="s">
        <v>645</v>
      </c>
      <c r="L1823">
        <f ca="1">IF(D1823=1,FUSELAGE_nseats_left_FC,IF(D1823=2,FUSELAGE_nseats_left_BC,IF(D1823=3,FUSELAGE_nseats_left_YC,0)))</f>
        <v>0</v>
      </c>
      <c r="O1823" s="200" t="s">
        <v>405</v>
      </c>
      <c r="P1823">
        <f ca="1">IF(D1823=1,SEAT_w_armrest_FC,IF(D1823=2,SEAT_w_armrest_BC,IF(D1823=3,SEAT_w_armrest_YC,0)))</f>
        <v>0</v>
      </c>
      <c r="S1823" s="200" t="s">
        <v>652</v>
      </c>
      <c r="T1823">
        <f ca="1">LOOKUP(D1825,$C$191:$C$196,$E$191:$E$196)</f>
        <v>0</v>
      </c>
      <c r="W1823" s="200" t="s">
        <v>393</v>
      </c>
      <c r="X1823" t="b">
        <f ca="1">IF(OFFSET(Fuselage!$B$275,D1821,6)="YES",TRUE(),FALSE())</f>
        <v>0</v>
      </c>
      <c r="BD1823" s="157"/>
    </row>
    <row r="1824" spans="2:56">
      <c r="B1824" s="156"/>
      <c r="C1824" s="200" t="s">
        <v>640</v>
      </c>
      <c r="D1824" t="str">
        <f ca="1">OFFSET(Fuselage!$B$275,D1821,1)</f>
        <v>None</v>
      </c>
      <c r="G1824" s="200" t="s">
        <v>132</v>
      </c>
      <c r="H1824">
        <f ca="1">IF(D1823=1,SEAT_pitch_FC,IF(D1823=2,SEAT_pitch_BC,IF(D1823=3,SEAT_pitch_YC,0)))</f>
        <v>0</v>
      </c>
      <c r="K1824" s="200" t="s">
        <v>646</v>
      </c>
      <c r="L1824">
        <f ca="1">IF(D1823=1,FUSELAGE_nseats_middle_FC,IF(D1823=2,FUSELAGE_nseats_middle_BC,IF(D1823=3,FUSELAGE_nseats_middle_YC,0)))</f>
        <v>0</v>
      </c>
      <c r="S1824" s="200" t="s">
        <v>653</v>
      </c>
      <c r="T1824">
        <f ca="1">LOOKUP(D1825,$C$191:$C$196,$F$191:$F$196)</f>
        <v>0</v>
      </c>
      <c r="BD1824" s="157"/>
    </row>
    <row r="1825" spans="2:56">
      <c r="B1825" s="156"/>
      <c r="C1825" s="200" t="s">
        <v>642</v>
      </c>
      <c r="D1825" t="str">
        <f ca="1">OFFSET(Fuselage!$B$275,D1821,2)</f>
        <v>None</v>
      </c>
      <c r="G1825" s="200" t="s">
        <v>129</v>
      </c>
      <c r="H1825">
        <f ca="1">IF(OR(X1821="Type A",X1821="Type B"),MAX(H1821:H1824)+42*0.0254,IF(X1821="Type C",MAX(H1821:H1824)+X1822,IF(X1821&lt;&gt;"None",24*0.0254,0)))</f>
        <v>0</v>
      </c>
      <c r="K1825" s="200" t="s">
        <v>655</v>
      </c>
      <c r="L1825">
        <f ca="1">IF(D1823=1,FUSELAGE_nseats_right_FC,IF(D1823=2,FUSELAGE_nseats_right_BC,IF(D1823=3,FUSELAGE_nseats_right_YC,0)))</f>
        <v>0</v>
      </c>
      <c r="O1825" s="200" t="s">
        <v>407</v>
      </c>
      <c r="P1825">
        <f ca="1">($C$13-(L1823+L1824+L1825)*(P1821+P1823)+(FUSELAGE_n_aisles-1)*P1823)/FUSELAGE_n_aisles</f>
        <v>2.76</v>
      </c>
      <c r="S1825" s="200" t="s">
        <v>651</v>
      </c>
      <c r="T1825">
        <f ca="1">LOOKUP(D1826,$C$191:$C$196,$E$191:$E$196)</f>
        <v>0</v>
      </c>
      <c r="BD1825" s="157"/>
    </row>
    <row r="1826" spans="2:56">
      <c r="B1826" s="156"/>
      <c r="C1826" s="200" t="s">
        <v>641</v>
      </c>
      <c r="D1826" t="str">
        <f ca="1">OFFSET(Fuselage!$B$275,D1821,3)</f>
        <v>None</v>
      </c>
      <c r="G1826" s="200" t="s">
        <v>643</v>
      </c>
      <c r="H1826">
        <f ca="1">MAX(H1821:H1825)</f>
        <v>0</v>
      </c>
      <c r="S1826" s="200" t="s">
        <v>654</v>
      </c>
      <c r="T1826">
        <f ca="1">LOOKUP(D1826,$C$191:$C$196,$F$191:$F$196)</f>
        <v>0</v>
      </c>
      <c r="BD1826" s="157"/>
    </row>
    <row r="1827" spans="2:56" ht="15" thickBot="1">
      <c r="B1827" s="156"/>
      <c r="BD1827" s="157"/>
    </row>
    <row r="1828" spans="2:56" ht="15" thickBot="1">
      <c r="B1828" s="156"/>
      <c r="C1828" s="141">
        <f ca="1">L1825</f>
        <v>0</v>
      </c>
      <c r="D1828" s="197" t="str">
        <f ca="1">IF($D1823=1,"FC",IF($D1823=2,"BC",IF($D1823=3,"YC","Nothing")))</f>
        <v>Nothing</v>
      </c>
      <c r="E1828" s="198"/>
      <c r="G1828" s="141">
        <f ca="1">L1824</f>
        <v>0</v>
      </c>
      <c r="H1828" s="197" t="str">
        <f ca="1">IF($D1823=1,"FC",IF($D1823=2,"BC",IF($D1823=3,"YC","Nothing")))</f>
        <v>Nothing</v>
      </c>
      <c r="I1828" s="198"/>
      <c r="K1828" s="141">
        <f ca="1" xml:space="preserve"> L1823</f>
        <v>0</v>
      </c>
      <c r="L1828" s="197" t="str">
        <f ca="1">IF($D1823=1,"FC",IF($D1823=2,"BC",IF($D1823=3,"YC","Nothing")))</f>
        <v>Nothing</v>
      </c>
      <c r="M1828" s="198"/>
      <c r="O1828" s="141">
        <f ca="1">IF($D1826&lt;&gt;"None",1,0)</f>
        <v>0</v>
      </c>
      <c r="P1828" s="326" t="s">
        <v>380</v>
      </c>
      <c r="Q1828" s="327"/>
      <c r="S1828" s="141">
        <f ca="1">IF($D1825&lt;&gt;"None",1,0)</f>
        <v>0</v>
      </c>
      <c r="T1828" s="326" t="s">
        <v>381</v>
      </c>
      <c r="U1828" s="327"/>
      <c r="W1828" s="141">
        <f ca="1">IF($D1824&lt;&gt;"None",1,0)</f>
        <v>0</v>
      </c>
      <c r="X1828" s="326" t="s">
        <v>382</v>
      </c>
      <c r="Y1828" s="327"/>
      <c r="AA1828" s="141">
        <f ca="1">IF($D1826="None",1,0)</f>
        <v>1</v>
      </c>
      <c r="AB1828" s="326" t="str">
        <f ca="1">IF(AA1828,D1828,$D1826)</f>
        <v>Nothing</v>
      </c>
      <c r="AC1828" s="327"/>
      <c r="AE1828" s="141">
        <f ca="1">IF($D1825="None",1,0)</f>
        <v>1</v>
      </c>
      <c r="AF1828" s="326" t="str">
        <f ca="1">IF(AE1828,H1828,$D1825)</f>
        <v>Nothing</v>
      </c>
      <c r="AG1828" s="327"/>
      <c r="AI1828" s="141">
        <f ca="1">IF($D1824="None",1,0)</f>
        <v>1</v>
      </c>
      <c r="AJ1828" s="326" t="str">
        <f ca="1">IF(AI1828,L1828,$D1824)</f>
        <v>Nothing</v>
      </c>
      <c r="AK1828" s="327"/>
      <c r="AM1828" s="141">
        <f ca="1">IF($X1821="None",0,1)</f>
        <v>0</v>
      </c>
      <c r="AN1828" s="197" t="s">
        <v>133</v>
      </c>
      <c r="AO1828" s="198"/>
      <c r="AQ1828" s="141">
        <f ca="1">IF($X1821="None",0,1)</f>
        <v>0</v>
      </c>
      <c r="AR1828" s="197" t="s">
        <v>134</v>
      </c>
      <c r="AS1828" s="198"/>
      <c r="BD1828" s="157"/>
    </row>
    <row r="1829" spans="2:56" ht="15" thickBot="1">
      <c r="B1829" s="156"/>
      <c r="C1829" s="136" t="s">
        <v>452</v>
      </c>
      <c r="D1829" s="136" t="s">
        <v>384</v>
      </c>
      <c r="E1829" s="138" t="s">
        <v>385</v>
      </c>
      <c r="G1829" s="136" t="s">
        <v>452</v>
      </c>
      <c r="H1829" s="136" t="s">
        <v>384</v>
      </c>
      <c r="I1829" s="138" t="s">
        <v>385</v>
      </c>
      <c r="K1829" s="193" t="s">
        <v>452</v>
      </c>
      <c r="L1829" s="193" t="s">
        <v>384</v>
      </c>
      <c r="M1829" s="194" t="s">
        <v>385</v>
      </c>
      <c r="O1829" s="136" t="s">
        <v>452</v>
      </c>
      <c r="P1829" s="136" t="s">
        <v>384</v>
      </c>
      <c r="Q1829" s="138" t="s">
        <v>385</v>
      </c>
      <c r="S1829" s="136" t="s">
        <v>452</v>
      </c>
      <c r="T1829" s="136" t="s">
        <v>384</v>
      </c>
      <c r="U1829" s="138" t="s">
        <v>385</v>
      </c>
      <c r="W1829" s="136" t="s">
        <v>452</v>
      </c>
      <c r="X1829" s="136" t="s">
        <v>384</v>
      </c>
      <c r="Y1829" s="138" t="s">
        <v>385</v>
      </c>
      <c r="AA1829" s="136" t="s">
        <v>452</v>
      </c>
      <c r="AB1829" s="136" t="s">
        <v>384</v>
      </c>
      <c r="AC1829" s="138" t="s">
        <v>385</v>
      </c>
      <c r="AE1829" s="136" t="s">
        <v>452</v>
      </c>
      <c r="AF1829" s="136" t="s">
        <v>384</v>
      </c>
      <c r="AG1829" s="138" t="s">
        <v>385</v>
      </c>
      <c r="AI1829" s="193" t="s">
        <v>452</v>
      </c>
      <c r="AJ1829" s="193" t="s">
        <v>384</v>
      </c>
      <c r="AK1829" s="194" t="s">
        <v>385</v>
      </c>
      <c r="AM1829" s="193" t="s">
        <v>452</v>
      </c>
      <c r="AN1829" s="193" t="s">
        <v>384</v>
      </c>
      <c r="AO1829" s="194" t="s">
        <v>385</v>
      </c>
      <c r="AQ1829" s="193" t="s">
        <v>452</v>
      </c>
      <c r="AR1829" s="193" t="s">
        <v>384</v>
      </c>
      <c r="AS1829" s="194" t="s">
        <v>385</v>
      </c>
      <c r="BD1829" s="157"/>
    </row>
    <row r="1830" spans="2:56">
      <c r="B1830" s="156"/>
      <c r="C1830" s="128" t="s">
        <v>396</v>
      </c>
      <c r="D1830" s="158">
        <f ca="1">IF(C1828&gt;=1,L1821,8888)</f>
        <v>8888</v>
      </c>
      <c r="E1830" s="160">
        <f ca="1">IF(C1828&gt;=1,1/2*($C$13-P1821-2*P1823)+1/2*P1821,8888)</f>
        <v>8888</v>
      </c>
      <c r="G1830" s="128" t="s">
        <v>396</v>
      </c>
      <c r="H1830" s="158">
        <f ca="1">IF(G1828&gt;=1,L1821,8888)</f>
        <v>8888</v>
      </c>
      <c r="I1830" s="160">
        <f ca="1">IF(G1828&gt;=1,E1841-P1825,8888)</f>
        <v>8888</v>
      </c>
      <c r="K1830" s="128" t="s">
        <v>396</v>
      </c>
      <c r="L1830" s="158">
        <f ca="1">IF(K1828&gt;=1,L1821,8888)</f>
        <v>8888</v>
      </c>
      <c r="M1830" s="160">
        <f ca="1">IF(K1828&gt;=1,IF(FUSELAGE_n_aisles=1,E1841-P1825,I1853-P1825),8888)</f>
        <v>8888</v>
      </c>
      <c r="O1830" s="128" t="s">
        <v>396</v>
      </c>
      <c r="P1830" s="158">
        <f ca="1">IF(O1828,$L1821,8888)</f>
        <v>8888</v>
      </c>
      <c r="Q1830" s="209">
        <f ca="1">IF(O1828,FUSELAGE_y_position_of_left_seat_YC-(FUSELAGE_nseats_right_YC-1)*(SEAT_w_cushion_YC+SEAT_w_armrest_YC)/2+T1826/2,8888)</f>
        <v>8888</v>
      </c>
      <c r="S1830" s="128" t="s">
        <v>396</v>
      </c>
      <c r="T1830" s="158">
        <f ca="1">IF(S1828,$L1821,8888)</f>
        <v>8888</v>
      </c>
      <c r="U1830" s="160">
        <f ca="1">IF(S1828,T1824/2,8888)</f>
        <v>8888</v>
      </c>
      <c r="W1830" s="128" t="s">
        <v>396</v>
      </c>
      <c r="X1830" s="158">
        <f ca="1">IF(W1828,$L1821,8888)</f>
        <v>8888</v>
      </c>
      <c r="Y1830" s="160">
        <f ca="1">IF(W1828,-FUSELAGE_y_position_of_left_seat_YC+(FUSELAGE_nseats_left_YC-1)*(SEAT_w_cushion_YC+SEAT_w_armrest_YC)/2-T1822/2,8888)</f>
        <v>8888</v>
      </c>
      <c r="AA1830" s="128" t="s">
        <v>396</v>
      </c>
      <c r="AB1830" s="158">
        <f ca="1">IF($AA1828,D1830,P1830)</f>
        <v>8888</v>
      </c>
      <c r="AC1830" s="174">
        <f ca="1">IF($AA1828,E1830,Q1830)</f>
        <v>8888</v>
      </c>
      <c r="AE1830" s="128" t="s">
        <v>396</v>
      </c>
      <c r="AF1830" s="158">
        <f ca="1">IF($AE1828,H1830,T1830)</f>
        <v>8888</v>
      </c>
      <c r="AG1830" s="174">
        <f ca="1">IF($AE1828,I1830,U1830)</f>
        <v>8888</v>
      </c>
      <c r="AI1830" s="128" t="s">
        <v>396</v>
      </c>
      <c r="AJ1830" s="158">
        <f ca="1">IF($AI1828,L1830,X1830)</f>
        <v>8888</v>
      </c>
      <c r="AK1830" s="174">
        <f ca="1">IF($AI1828,M1830,Y1830)</f>
        <v>8888</v>
      </c>
      <c r="AM1830" s="128" t="s">
        <v>396</v>
      </c>
      <c r="AN1830" s="158">
        <f ca="1">AN1799</f>
        <v>-18.624000000000006</v>
      </c>
      <c r="AO1830" s="174">
        <f ca="1">IF(AN1830&gt;-Fuselage!$D$366,(FUSELAGE_a_ellipse)*SQRT(1-((AN1830+Fuselage!$D$366)/(Fuselage!$K$364-FUSELAGE_t_fuselage))^2),IF(AN1830&gt;$L$2505+Fuselage!$K$370,FUSELAGE_a_ellipse,(FUSELAGE_a_ellipse+FUSELAGE_t_fuselage-FUSELAGE_d_fo/4)/Fuselage!$K$368*(AN1830-$L$2505-Fuselage!$K$370)+FUSELAGE_a_ellipse))</f>
        <v>1.4960570012328709</v>
      </c>
      <c r="AQ1830" s="128" t="s">
        <v>396</v>
      </c>
      <c r="AR1830" s="158">
        <f t="shared" ref="AR1830:AR1835" ca="1" si="156">AN1830</f>
        <v>-18.624000000000006</v>
      </c>
      <c r="AS1830" s="174">
        <f t="shared" ref="AS1830:AS1835" ca="1" si="157">-AO1830</f>
        <v>-1.4960570012328709</v>
      </c>
      <c r="BD1830" s="157"/>
    </row>
    <row r="1831" spans="2:56">
      <c r="B1831" s="156"/>
      <c r="C1831" s="128" t="s">
        <v>213</v>
      </c>
      <c r="D1831" s="128">
        <f ca="1">IF(X1823,D1830+P1822/4,D1830+P1822)</f>
        <v>8888</v>
      </c>
      <c r="E1831" s="139">
        <f ca="1">E1830</f>
        <v>8888</v>
      </c>
      <c r="G1831" s="128" t="s">
        <v>213</v>
      </c>
      <c r="H1831" s="128">
        <f ca="1">H1830+P1822</f>
        <v>8888</v>
      </c>
      <c r="I1831" s="139">
        <f ca="1">I1830</f>
        <v>8888</v>
      </c>
      <c r="K1831" s="128" t="s">
        <v>213</v>
      </c>
      <c r="L1831" s="128">
        <f ca="1">IF(X1823,IF(K1828=1,L1830+P1822/4,L1830+P1822),L1830+P1822)</f>
        <v>8888</v>
      </c>
      <c r="M1831" s="139">
        <f ca="1">M1830</f>
        <v>8888</v>
      </c>
      <c r="O1831" s="128" t="s">
        <v>213</v>
      </c>
      <c r="P1831" s="128">
        <f ca="1">P1830+$T1825</f>
        <v>8888</v>
      </c>
      <c r="Q1831" s="139">
        <f ca="1">Q1830</f>
        <v>8888</v>
      </c>
      <c r="S1831" s="128" t="s">
        <v>213</v>
      </c>
      <c r="T1831" s="128">
        <f ca="1">T1830+$T1823</f>
        <v>8888</v>
      </c>
      <c r="U1831" s="139">
        <f ca="1">U1830</f>
        <v>8888</v>
      </c>
      <c r="W1831" s="128" t="s">
        <v>213</v>
      </c>
      <c r="X1831" s="128">
        <f ca="1">X1830+$T1821</f>
        <v>8888</v>
      </c>
      <c r="Y1831" s="139">
        <f ca="1">Y1830</f>
        <v>8888</v>
      </c>
      <c r="AA1831" s="143" t="s">
        <v>213</v>
      </c>
      <c r="AB1831" s="128">
        <f ca="1">IF($AA1828,D1831,P1831)</f>
        <v>8888</v>
      </c>
      <c r="AC1831" s="129">
        <f ca="1">IF($AA1828,E1831,Q1831)</f>
        <v>8888</v>
      </c>
      <c r="AE1831" s="128" t="s">
        <v>213</v>
      </c>
      <c r="AF1831" s="128">
        <f ca="1">IF($AE1828,H1831,T1831)</f>
        <v>8888</v>
      </c>
      <c r="AG1831" s="129">
        <f ca="1">IF($AE1828,I1831,U1831)</f>
        <v>8888</v>
      </c>
      <c r="AI1831" s="128" t="s">
        <v>213</v>
      </c>
      <c r="AJ1831" s="128">
        <f ca="1">IF($AI1828,L1831,X1831)</f>
        <v>8888</v>
      </c>
      <c r="AK1831" s="129">
        <f ca="1">IF($AI1828,M1831,Y1831)</f>
        <v>8888</v>
      </c>
      <c r="AM1831" s="128" t="s">
        <v>213</v>
      </c>
      <c r="AN1831" s="128">
        <f ca="1">AN1830-AO1821/2</f>
        <v>-18.624000000000006</v>
      </c>
      <c r="AO1831" s="129">
        <f ca="1">IF(AN1831&gt;-Fuselage!$D$366,(FUSELAGE_a_ellipse)*SQRT(1-((AN1831+Fuselage!$D$366)/(Fuselage!$K$364-FUSELAGE_t_fuselage))^2),IF(AN1831&gt;$L$2505+Fuselage!$K$370,FUSELAGE_a_ellipse,(FUSELAGE_a_ellipse+FUSELAGE_t_fuselage-FUSELAGE_d_fo/4)/Fuselage!$K$368*(AN1831-$L$2505-Fuselage!$K$370)+FUSELAGE_a_ellipse))</f>
        <v>1.4960570012328709</v>
      </c>
      <c r="AQ1831" s="128" t="s">
        <v>213</v>
      </c>
      <c r="AR1831" s="128">
        <f t="shared" ca="1" si="156"/>
        <v>-18.624000000000006</v>
      </c>
      <c r="AS1831" s="129">
        <f t="shared" ca="1" si="157"/>
        <v>-1.4960570012328709</v>
      </c>
      <c r="BD1831" s="157"/>
    </row>
    <row r="1832" spans="2:56">
      <c r="B1832" s="156"/>
      <c r="C1832" s="128" t="s">
        <v>286</v>
      </c>
      <c r="D1832" s="128">
        <f ca="1">D1831</f>
        <v>8888</v>
      </c>
      <c r="E1832" s="139">
        <f ca="1">E1831-P1821</f>
        <v>8888</v>
      </c>
      <c r="G1832" s="128" t="s">
        <v>286</v>
      </c>
      <c r="H1832" s="128">
        <f ca="1">H1831</f>
        <v>8888</v>
      </c>
      <c r="I1832" s="139">
        <f ca="1">I1831-P1821</f>
        <v>8888</v>
      </c>
      <c r="K1832" s="128" t="s">
        <v>286</v>
      </c>
      <c r="L1832" s="128">
        <f ca="1">L1831</f>
        <v>8888</v>
      </c>
      <c r="M1832" s="139">
        <f ca="1">M1831-P1821</f>
        <v>8888</v>
      </c>
      <c r="O1832" s="128" t="s">
        <v>286</v>
      </c>
      <c r="P1832" s="128">
        <f ca="1">P1831</f>
        <v>8888</v>
      </c>
      <c r="Q1832" s="139">
        <f ca="1">Q1831-$T1826</f>
        <v>8888</v>
      </c>
      <c r="S1832" s="128" t="s">
        <v>286</v>
      </c>
      <c r="T1832" s="128">
        <f ca="1">T1831</f>
        <v>8888</v>
      </c>
      <c r="U1832" s="139">
        <f ca="1">U1831-$T1824</f>
        <v>8888</v>
      </c>
      <c r="W1832" s="128" t="s">
        <v>286</v>
      </c>
      <c r="X1832" s="128">
        <f ca="1">X1831</f>
        <v>8888</v>
      </c>
      <c r="Y1832" s="139">
        <f ca="1">Y1831+$T1822</f>
        <v>8888</v>
      </c>
      <c r="AA1832" s="143" t="s">
        <v>286</v>
      </c>
      <c r="AB1832" s="128">
        <f ca="1">IF($AA1828,D1832,P1832)</f>
        <v>8888</v>
      </c>
      <c r="AC1832" s="129">
        <f ca="1">IF($AA1828,E1832,Q1832)</f>
        <v>8888</v>
      </c>
      <c r="AE1832" s="128" t="s">
        <v>286</v>
      </c>
      <c r="AF1832" s="128">
        <f ca="1">IF($AE1828,H1832,T1832)</f>
        <v>8888</v>
      </c>
      <c r="AG1832" s="129">
        <f ca="1">IF($AE1828,I1832,U1832)</f>
        <v>8888</v>
      </c>
      <c r="AI1832" s="128" t="s">
        <v>286</v>
      </c>
      <c r="AJ1832" s="128">
        <f ca="1">IF($AI1828,L1832,X1832)</f>
        <v>8888</v>
      </c>
      <c r="AK1832" s="129">
        <f ca="1">IF($AI1828,M1832,Y1832)</f>
        <v>8888</v>
      </c>
      <c r="AM1832" s="128" t="s">
        <v>286</v>
      </c>
      <c r="AN1832" s="128">
        <f ca="1">AN1831</f>
        <v>-18.624000000000006</v>
      </c>
      <c r="AO1832" s="129">
        <f ca="1">IF(AN1832&gt;-Fuselage!$D$366,IF(AM1828,(FUSELAGE_a_ellipse+FUSELAGE_t_fuselage)*SQRT(1-((AN1832+Fuselage!$D$366)/Fuselage!$K$364)^2),(FUSELAGE_a_ellipse)*SQRT(1-((AN1832+Fuselage!$D$366)/Fuselage!$K$364)^2)),IF(AN1832&gt;$L$2505+Fuselage!$K$370,(IF(AM1828,FUSELAGE_a_ellipse+FUSELAGE_t_fuselage,FUSELAGE_a_ellipse)),IF(AM1828,(FUSELAGE_a_ellipse+FUSELAGE_t_fuselage-FUSELAGE_d_fo/4)/Fuselage!$K$368*(AN1832-$L$2505-Fuselage!$K$370)+FUSELAGE_a_ellipse+FUSELAGE_t_fuselage,(FUSELAGE_a_ellipse+FUSELAGE_t_fuselage-FUSELAGE_d_fo/4)/Fuselage!$K$368*(AN1832-$L$2505-Fuselage!$K$370)+FUSELAGE_a_ellipse)))</f>
        <v>1.4960570012328709</v>
      </c>
      <c r="AQ1832" s="128" t="s">
        <v>286</v>
      </c>
      <c r="AR1832" s="128">
        <f t="shared" ca="1" si="156"/>
        <v>-18.624000000000006</v>
      </c>
      <c r="AS1832" s="129">
        <f t="shared" ca="1" si="157"/>
        <v>-1.4960570012328709</v>
      </c>
      <c r="BD1832" s="157"/>
    </row>
    <row r="1833" spans="2:56">
      <c r="B1833" s="156"/>
      <c r="C1833" s="188" t="s">
        <v>522</v>
      </c>
      <c r="D1833" s="188">
        <f ca="1">D1830</f>
        <v>8888</v>
      </c>
      <c r="E1833" s="189">
        <f ca="1">E1832</f>
        <v>8888</v>
      </c>
      <c r="F1833" s="157"/>
      <c r="G1833" s="2" t="s">
        <v>522</v>
      </c>
      <c r="H1833" s="128">
        <f ca="1">H1830</f>
        <v>8888</v>
      </c>
      <c r="I1833" s="139">
        <f ca="1">I1832</f>
        <v>8888</v>
      </c>
      <c r="K1833" s="128" t="s">
        <v>522</v>
      </c>
      <c r="L1833" s="128">
        <f ca="1">L1830</f>
        <v>8888</v>
      </c>
      <c r="M1833" s="139">
        <f ca="1">M1832</f>
        <v>8888</v>
      </c>
      <c r="O1833" s="188" t="s">
        <v>522</v>
      </c>
      <c r="P1833" s="188">
        <f ca="1">P1830</f>
        <v>8888</v>
      </c>
      <c r="Q1833" s="189">
        <f ca="1">Q1832</f>
        <v>8888</v>
      </c>
      <c r="S1833" s="188" t="s">
        <v>522</v>
      </c>
      <c r="T1833" s="188">
        <f ca="1">T1830</f>
        <v>8888</v>
      </c>
      <c r="U1833" s="189">
        <f ca="1">U1832</f>
        <v>8888</v>
      </c>
      <c r="W1833" s="188" t="s">
        <v>522</v>
      </c>
      <c r="X1833" s="188">
        <f ca="1">X1830</f>
        <v>8888</v>
      </c>
      <c r="Y1833" s="189">
        <f ca="1">Y1832</f>
        <v>8888</v>
      </c>
      <c r="AA1833" s="195" t="s">
        <v>522</v>
      </c>
      <c r="AB1833" s="128">
        <f ca="1">IF($AA1828,D1833,P1833)</f>
        <v>8888</v>
      </c>
      <c r="AC1833" s="129">
        <f ca="1">IF($AA1828,E1833,Q1833)</f>
        <v>8888</v>
      </c>
      <c r="AD1833" s="157"/>
      <c r="AE1833" s="2" t="s">
        <v>522</v>
      </c>
      <c r="AF1833" s="188">
        <f ca="1">IF($AE1828,H1833,T1833)</f>
        <v>8888</v>
      </c>
      <c r="AG1833" s="196">
        <f ca="1">IF($AE1828,I1833,U1833)</f>
        <v>8888</v>
      </c>
      <c r="AI1833" s="128" t="s">
        <v>522</v>
      </c>
      <c r="AJ1833" s="188">
        <f ca="1">IF($AI1828,L1833,X1833)</f>
        <v>8888</v>
      </c>
      <c r="AK1833" s="196">
        <f ca="1">IF($AI1828,M1833,Y1833)</f>
        <v>8888</v>
      </c>
      <c r="AM1833" s="128" t="s">
        <v>522</v>
      </c>
      <c r="AN1833" s="128">
        <f ca="1">AN1832-X1822</f>
        <v>-18.624000000000006</v>
      </c>
      <c r="AO1833" s="129">
        <f ca="1">IF(AN1833&gt;-Fuselage!$D$366,IF(AM1828,(FUSELAGE_a_ellipse+FUSELAGE_t_fuselage)*SQRT(1-((AN1833+Fuselage!$D$366)/Fuselage!$K$364)^2),(FUSELAGE_a_ellipse)*SQRT(1-((AN1833+Fuselage!$D$366)/Fuselage!$K$364)^2)),IF(AN1833&gt;$L$2505+Fuselage!$K$370,(IF(AM1828,FUSELAGE_a_ellipse+FUSELAGE_t_fuselage,FUSELAGE_a_ellipse)),IF(AM1828,(FUSELAGE_a_ellipse+FUSELAGE_t_fuselage-FUSELAGE_d_fo/4)/Fuselage!$K$368*(AN1833-$L$2505-Fuselage!$K$370)+FUSELAGE_a_ellipse+FUSELAGE_t_fuselage,(FUSELAGE_a_ellipse+FUSELAGE_t_fuselage-FUSELAGE_d_fo/4)/Fuselage!$K$368*(AN1833-$L$2505-Fuselage!$K$370)+FUSELAGE_a_ellipse)))</f>
        <v>1.4960570012328709</v>
      </c>
      <c r="AQ1833" s="128" t="s">
        <v>522</v>
      </c>
      <c r="AR1833" s="128">
        <f t="shared" ca="1" si="156"/>
        <v>-18.624000000000006</v>
      </c>
      <c r="AS1833" s="129">
        <f t="shared" ca="1" si="157"/>
        <v>-1.4960570012328709</v>
      </c>
      <c r="BD1833" s="157"/>
    </row>
    <row r="1834" spans="2:56" ht="15" thickBot="1">
      <c r="B1834" s="156"/>
      <c r="C1834" s="128" t="s">
        <v>49</v>
      </c>
      <c r="D1834" s="128">
        <f ca="1">IF(C1828&gt;=2,D1830,D1833)</f>
        <v>8888</v>
      </c>
      <c r="E1834" s="139">
        <f ca="1">IF(C1828&gt;=2,E1833-P1823,E1833)</f>
        <v>8888</v>
      </c>
      <c r="F1834" s="157"/>
      <c r="G1834" s="192" t="s">
        <v>49</v>
      </c>
      <c r="H1834" s="190">
        <f ca="1">IF(G1828&gt;=2,H1830,H1833)</f>
        <v>8888</v>
      </c>
      <c r="I1834" s="191">
        <f ca="1">IF(G1828&gt;=2,I1833-P1823,I1833)</f>
        <v>8888</v>
      </c>
      <c r="K1834" s="190" t="s">
        <v>49</v>
      </c>
      <c r="L1834" s="190">
        <f ca="1">IF(K1828&gt;=2,L1830,L1833)</f>
        <v>8888</v>
      </c>
      <c r="M1834" s="191">
        <f ca="1">IF(K1828&gt;=2,M1833-P1823,M1833)</f>
        <v>8888</v>
      </c>
      <c r="O1834" s="130" t="s">
        <v>396</v>
      </c>
      <c r="P1834" s="130">
        <f ca="1">P1830</f>
        <v>8888</v>
      </c>
      <c r="Q1834" s="140">
        <f ca="1">Q1830</f>
        <v>8888</v>
      </c>
      <c r="S1834" s="130" t="s">
        <v>396</v>
      </c>
      <c r="T1834" s="130">
        <f ca="1">T1830</f>
        <v>8888</v>
      </c>
      <c r="U1834" s="140">
        <f ca="1">U1830</f>
        <v>8888</v>
      </c>
      <c r="W1834" s="130" t="s">
        <v>396</v>
      </c>
      <c r="X1834" s="130">
        <f ca="1">X1830</f>
        <v>8888</v>
      </c>
      <c r="Y1834" s="140">
        <f ca="1">Y1830</f>
        <v>8888</v>
      </c>
      <c r="AA1834" s="143" t="s">
        <v>49</v>
      </c>
      <c r="AB1834" s="128">
        <f ca="1">IF($AA1828,D1834,P1834)</f>
        <v>8888</v>
      </c>
      <c r="AC1834" s="129">
        <f ca="1">IF($AA1828,E1834,Q1834)</f>
        <v>8888</v>
      </c>
      <c r="AD1834" s="157"/>
      <c r="AE1834" s="192" t="s">
        <v>49</v>
      </c>
      <c r="AF1834" s="128">
        <f ca="1">IF($AE1828,H1834,T1834)</f>
        <v>8888</v>
      </c>
      <c r="AG1834" s="129">
        <f ca="1">IF($AE1828,I1834,U1834)</f>
        <v>8888</v>
      </c>
      <c r="AI1834" s="190" t="s">
        <v>49</v>
      </c>
      <c r="AJ1834" s="128">
        <f ca="1">IF($AI1828,L1834,X1834)</f>
        <v>8888</v>
      </c>
      <c r="AK1834" s="129">
        <f ca="1">IF($AI1828,M1834,Y1834)</f>
        <v>8888</v>
      </c>
      <c r="AM1834" s="128" t="s">
        <v>49</v>
      </c>
      <c r="AN1834" s="128">
        <f ca="1">AN1833</f>
        <v>-18.624000000000006</v>
      </c>
      <c r="AO1834" s="129">
        <f ca="1">IF(AN1834&gt;-Fuselage!$D$366,(FUSELAGE_a_ellipse)*SQRT(1-((AN1834+Fuselage!$D$366)/(Fuselage!$K$364-FUSELAGE_t_fuselage))^2),IF(AN1834&gt;$L$2505+Fuselage!$K$370,FUSELAGE_a_ellipse,(FUSELAGE_a_ellipse+FUSELAGE_t_fuselage-FUSELAGE_d_fo/4)/Fuselage!$K$368*(AN1834-$L$2505-Fuselage!$K$370)+FUSELAGE_a_ellipse))</f>
        <v>1.4960570012328709</v>
      </c>
      <c r="AQ1834" s="128" t="s">
        <v>49</v>
      </c>
      <c r="AR1834" s="128">
        <f t="shared" ca="1" si="156"/>
        <v>-18.624000000000006</v>
      </c>
      <c r="AS1834" s="129">
        <f t="shared" ca="1" si="157"/>
        <v>-1.4960570012328709</v>
      </c>
      <c r="BD1834" s="157"/>
    </row>
    <row r="1835" spans="2:56">
      <c r="B1835" s="156"/>
      <c r="C1835" s="128" t="s">
        <v>453</v>
      </c>
      <c r="D1835" s="128">
        <f ca="1">IF(C1828&gt;=2,D1830+P1822,D1833)</f>
        <v>8888</v>
      </c>
      <c r="E1835" s="139">
        <f ca="1">E1834</f>
        <v>8888</v>
      </c>
      <c r="F1835" s="157"/>
      <c r="G1835" s="2" t="s">
        <v>453</v>
      </c>
      <c r="H1835" s="128">
        <f ca="1">IF(G1828&gt;=2,H1831,H1833)</f>
        <v>8888</v>
      </c>
      <c r="I1835" s="139">
        <f ca="1">IF(G1828&gt;=2,I1834,I1833)</f>
        <v>8888</v>
      </c>
      <c r="K1835" s="128" t="s">
        <v>453</v>
      </c>
      <c r="L1835" s="128">
        <f ca="1">IF(K1828&gt;=2,IF(X1823,IF(K1828=2,L1830+P1822/4,L1830+P1822),L1830+P1822),L1833)</f>
        <v>8888</v>
      </c>
      <c r="M1835" s="139">
        <f ca="1">IF(K1828&gt;=2,M1834,M1833)</f>
        <v>8888</v>
      </c>
      <c r="AA1835" s="143" t="s">
        <v>453</v>
      </c>
      <c r="AB1835" s="128">
        <f ca="1">IF($AA1828,D1835,AB1834)</f>
        <v>8888</v>
      </c>
      <c r="AC1835" s="129">
        <f ca="1">IF($AA1828,E1835,AC1834)</f>
        <v>8888</v>
      </c>
      <c r="AD1835" s="157"/>
      <c r="AE1835" s="2" t="s">
        <v>453</v>
      </c>
      <c r="AF1835" s="128">
        <f ca="1">IF($AE1828,H1835,AF1834)</f>
        <v>8888</v>
      </c>
      <c r="AG1835" s="129">
        <f ca="1">IF($AE1828,I1835,AG1834)</f>
        <v>8888</v>
      </c>
      <c r="AI1835" s="128" t="s">
        <v>453</v>
      </c>
      <c r="AJ1835" s="128">
        <f ca="1">IF($AI1828,L1835,AJ1834)</f>
        <v>8888</v>
      </c>
      <c r="AK1835" s="129">
        <f ca="1">IF($AI1828,M1835,AK1834)</f>
        <v>8888</v>
      </c>
      <c r="AM1835" s="128" t="s">
        <v>453</v>
      </c>
      <c r="AN1835" s="128">
        <f ca="1">L1821</f>
        <v>-18.624000000000006</v>
      </c>
      <c r="AO1835" s="129">
        <f ca="1">IF(AN1835&gt;-Fuselage!$D$366,(FUSELAGE_a_ellipse)*SQRT(1-((AN1835+Fuselage!$D$366)/(Fuselage!$K$364-FUSELAGE_t_fuselage))^2),IF(AN1835&gt;$L$2505+Fuselage!$K$370,FUSELAGE_a_ellipse,(FUSELAGE_a_ellipse+FUSELAGE_t_fuselage-FUSELAGE_d_fo/4)/Fuselage!$K$368*(AN1835-$L$2505-Fuselage!$K$370)+FUSELAGE_a_ellipse))</f>
        <v>1.4960570012328709</v>
      </c>
      <c r="AQ1835" s="128" t="s">
        <v>453</v>
      </c>
      <c r="AR1835" s="128">
        <f t="shared" ca="1" si="156"/>
        <v>-18.624000000000006</v>
      </c>
      <c r="AS1835" s="129">
        <f t="shared" ca="1" si="157"/>
        <v>-1.4960570012328709</v>
      </c>
      <c r="BD1835" s="157"/>
    </row>
    <row r="1836" spans="2:56">
      <c r="B1836" s="156"/>
      <c r="C1836" s="128" t="s">
        <v>394</v>
      </c>
      <c r="D1836" s="128">
        <f ca="1">IF(C1828&gt;=2,D1835,D1833)</f>
        <v>8888</v>
      </c>
      <c r="E1836" s="139">
        <f ca="1">IF(C1828&gt;=2,E1834-P1821,E1833)</f>
        <v>8888</v>
      </c>
      <c r="F1836" s="157"/>
      <c r="G1836" s="2" t="s">
        <v>394</v>
      </c>
      <c r="H1836" s="128">
        <f ca="1">IF(G1828&gt;=2,H1831,H1833)</f>
        <v>8888</v>
      </c>
      <c r="I1836" s="139">
        <f ca="1">IF(G1828&gt;=2,I1835-P1821,I1833)</f>
        <v>8888</v>
      </c>
      <c r="K1836" s="128" t="s">
        <v>394</v>
      </c>
      <c r="L1836" s="128">
        <f ca="1">L1835</f>
        <v>8888</v>
      </c>
      <c r="M1836" s="139">
        <f ca="1">IF(K1828&gt;=2,M1835-P1821,M1833)</f>
        <v>8888</v>
      </c>
      <c r="AA1836" s="143" t="s">
        <v>394</v>
      </c>
      <c r="AB1836" s="128">
        <f ca="1">IF($AA1828,D1836,AB1834)</f>
        <v>8888</v>
      </c>
      <c r="AC1836" s="129">
        <f ca="1">IF($AA1828,E1836,AC1834)</f>
        <v>8888</v>
      </c>
      <c r="AD1836" s="157"/>
      <c r="AE1836" s="2" t="s">
        <v>394</v>
      </c>
      <c r="AF1836" s="128">
        <f ca="1">IF($AE1828,H1836,AF1834)</f>
        <v>8888</v>
      </c>
      <c r="AG1836" s="129">
        <f ca="1">IF($AE1828,I1836,AG1834)</f>
        <v>8888</v>
      </c>
      <c r="AI1836" s="128" t="s">
        <v>394</v>
      </c>
      <c r="AJ1836" s="128">
        <f ca="1">IF($AI1828,L1836,AJ1834)</f>
        <v>8888</v>
      </c>
      <c r="AK1836" s="129">
        <f ca="1">IF($AI1828,M1836,AK1834)</f>
        <v>8888</v>
      </c>
      <c r="BD1836" s="157"/>
    </row>
    <row r="1837" spans="2:56">
      <c r="B1837" s="156"/>
      <c r="C1837" s="188" t="s">
        <v>454</v>
      </c>
      <c r="D1837" s="188">
        <f ca="1">IF(C1828&gt;=2,D1830,D1833)</f>
        <v>8888</v>
      </c>
      <c r="E1837" s="189">
        <f ca="1">E1836</f>
        <v>8888</v>
      </c>
      <c r="F1837" s="157"/>
      <c r="G1837" s="115" t="s">
        <v>454</v>
      </c>
      <c r="H1837" s="188">
        <f ca="1">IF(G1828&gt;=2,H1830,H1833)</f>
        <v>8888</v>
      </c>
      <c r="I1837" s="189">
        <f ca="1">IF(G1828&gt;=2,I1836,I1833)</f>
        <v>8888</v>
      </c>
      <c r="K1837" s="188" t="s">
        <v>454</v>
      </c>
      <c r="L1837" s="188">
        <f ca="1">IF(K1828&gt;=2,L1830,L1833)</f>
        <v>8888</v>
      </c>
      <c r="M1837" s="189">
        <f ca="1">IF(K1828&gt;=2,M1836,M1833)</f>
        <v>8888</v>
      </c>
      <c r="AA1837" s="195" t="s">
        <v>454</v>
      </c>
      <c r="AB1837" s="128">
        <f ca="1">IF($AA1828,D1837,AB1834)</f>
        <v>8888</v>
      </c>
      <c r="AC1837" s="129">
        <f ca="1">IF($AA1828,E1837,AC1834)</f>
        <v>8888</v>
      </c>
      <c r="AD1837" s="157"/>
      <c r="AE1837" s="115" t="s">
        <v>454</v>
      </c>
      <c r="AF1837" s="188">
        <f ca="1">IF($AE1828,H1837,AF1834)</f>
        <v>8888</v>
      </c>
      <c r="AG1837" s="196">
        <f ca="1">IF($AE1828,I1837,AG1834)</f>
        <v>8888</v>
      </c>
      <c r="AI1837" s="188" t="s">
        <v>454</v>
      </c>
      <c r="AJ1837" s="188">
        <f ca="1">IF($AI1828,L1837,AJ1834)</f>
        <v>8888</v>
      </c>
      <c r="AK1837" s="196">
        <f ca="1">IF($AI1828,M1837,AK1834)</f>
        <v>8888</v>
      </c>
      <c r="BD1837" s="157"/>
    </row>
    <row r="1838" spans="2:56">
      <c r="B1838" s="156"/>
      <c r="C1838" s="128" t="s">
        <v>507</v>
      </c>
      <c r="D1838" s="128">
        <f ca="1">IF(C1828&gt;=3,D1830,D1837)</f>
        <v>8888</v>
      </c>
      <c r="E1838" s="139">
        <f ca="1">IF(C1828&gt;=3,E1837-P1823,E1837)</f>
        <v>8888</v>
      </c>
      <c r="F1838" s="157"/>
      <c r="G1838" s="2" t="s">
        <v>507</v>
      </c>
      <c r="H1838" s="128">
        <f ca="1">IF(G1828&gt;=3,H1830,H1837)</f>
        <v>8888</v>
      </c>
      <c r="I1838" s="139">
        <f ca="1">IF(G1828&gt;=3,I1837-P1823,I1837)</f>
        <v>8888</v>
      </c>
      <c r="K1838" s="128" t="s">
        <v>507</v>
      </c>
      <c r="L1838" s="128">
        <f ca="1">IF(K1828&gt;=3,L1830,L1837)</f>
        <v>8888</v>
      </c>
      <c r="M1838" s="139">
        <f ca="1">IF(K1828&gt;=3,M1837-P1823,M1837)</f>
        <v>8888</v>
      </c>
      <c r="AA1838" s="143" t="s">
        <v>507</v>
      </c>
      <c r="AB1838" s="128">
        <f ca="1">IF($AA1828,D1838,AB1834)</f>
        <v>8888</v>
      </c>
      <c r="AC1838" s="129">
        <f ca="1">IF($AA1828,E1838,AC1834)</f>
        <v>8888</v>
      </c>
      <c r="AD1838" s="157"/>
      <c r="AE1838" s="2" t="s">
        <v>507</v>
      </c>
      <c r="AF1838" s="128">
        <f ca="1">IF($AE1828,H1838,AF1834)</f>
        <v>8888</v>
      </c>
      <c r="AG1838" s="129">
        <f ca="1">IF($AE1828,I1838,AG1834)</f>
        <v>8888</v>
      </c>
      <c r="AI1838" s="128" t="s">
        <v>507</v>
      </c>
      <c r="AJ1838" s="128">
        <f ca="1">IF($AI1828,L1838,AJ1834)</f>
        <v>8888</v>
      </c>
      <c r="AK1838" s="129">
        <f ca="1">IF($AI1828,M1838,AK1834)</f>
        <v>8888</v>
      </c>
      <c r="BD1838" s="157"/>
    </row>
    <row r="1839" spans="2:56">
      <c r="B1839" s="156"/>
      <c r="C1839" s="128" t="s">
        <v>455</v>
      </c>
      <c r="D1839" s="128">
        <f ca="1">IF(C1828&gt;=3,D1835,D1837)</f>
        <v>8888</v>
      </c>
      <c r="E1839" s="139">
        <f ca="1">E1838</f>
        <v>8888</v>
      </c>
      <c r="F1839" s="157"/>
      <c r="G1839" s="2" t="s">
        <v>455</v>
      </c>
      <c r="H1839" s="128">
        <f ca="1">IF(G1828&gt;=3,H1831,H1837)</f>
        <v>8888</v>
      </c>
      <c r="I1839" s="139">
        <f ca="1">IF(G1828&gt;=3,I1838,I1837)</f>
        <v>8888</v>
      </c>
      <c r="K1839" s="128" t="s">
        <v>455</v>
      </c>
      <c r="L1839" s="128">
        <f ca="1">IF(K1828&gt;=3,IF(X1823,IF(K1828=3,L1830+P1822/4,L1830+P1822),L1830+P1822),L1833)</f>
        <v>8888</v>
      </c>
      <c r="M1839" s="139">
        <f ca="1">IF(K1828&gt;=3,M1838,M1837)</f>
        <v>8888</v>
      </c>
      <c r="AA1839" s="143" t="s">
        <v>455</v>
      </c>
      <c r="AB1839" s="128">
        <f ca="1">IF($AA1828,D1839,AB1834)</f>
        <v>8888</v>
      </c>
      <c r="AC1839" s="129">
        <f ca="1">IF($AA1828,E1839,AC1834)</f>
        <v>8888</v>
      </c>
      <c r="AD1839" s="157"/>
      <c r="AE1839" s="2" t="s">
        <v>455</v>
      </c>
      <c r="AF1839" s="128">
        <f ca="1">IF($AE1828,H1839,AF1834)</f>
        <v>8888</v>
      </c>
      <c r="AG1839" s="129">
        <f ca="1">IF($AE1828,I1839,AG1834)</f>
        <v>8888</v>
      </c>
      <c r="AI1839" s="128" t="s">
        <v>455</v>
      </c>
      <c r="AJ1839" s="128">
        <f ca="1">IF($AI1828,L1839,AJ1834)</f>
        <v>8888</v>
      </c>
      <c r="AK1839" s="129">
        <f ca="1">IF($AI1828,M1839,AK1834)</f>
        <v>8888</v>
      </c>
      <c r="AL1839" s="156"/>
      <c r="BD1839" s="157"/>
    </row>
    <row r="1840" spans="2:56">
      <c r="B1840" s="156"/>
      <c r="C1840" s="128" t="s">
        <v>311</v>
      </c>
      <c r="D1840" s="128">
        <f ca="1">IF(C1828&gt;=3,D1835,D1837)</f>
        <v>8888</v>
      </c>
      <c r="E1840" s="139">
        <f ca="1">IF(C1828&gt;=3,E1839-P1821,E1837)</f>
        <v>8888</v>
      </c>
      <c r="F1840" s="157"/>
      <c r="G1840" s="2" t="s">
        <v>311</v>
      </c>
      <c r="H1840" s="128">
        <f ca="1">IF(G1828&gt;=3,H1831,H1837)</f>
        <v>8888</v>
      </c>
      <c r="I1840" s="139">
        <f ca="1">IF(G1828&gt;=3,I1839-P1821,I1837)</f>
        <v>8888</v>
      </c>
      <c r="K1840" s="128" t="s">
        <v>311</v>
      </c>
      <c r="L1840" s="128">
        <f ca="1">L1839</f>
        <v>8888</v>
      </c>
      <c r="M1840" s="139">
        <f ca="1">IF(K1828&gt;=3,M1839-P1821,M1837)</f>
        <v>8888</v>
      </c>
      <c r="AA1840" s="143" t="s">
        <v>311</v>
      </c>
      <c r="AB1840" s="128">
        <f ca="1">IF($AA1828,D1840,AB1834)</f>
        <v>8888</v>
      </c>
      <c r="AC1840" s="129">
        <f ca="1">IF($AA1828,E1840,AC1834)</f>
        <v>8888</v>
      </c>
      <c r="AD1840" s="157"/>
      <c r="AE1840" s="2" t="s">
        <v>311</v>
      </c>
      <c r="AF1840" s="128">
        <f ca="1">IF($AE1828,H1840,AF1834)</f>
        <v>8888</v>
      </c>
      <c r="AG1840" s="129">
        <f ca="1">IF($AE1828,I1840,AG1834)</f>
        <v>8888</v>
      </c>
      <c r="AI1840" s="128" t="s">
        <v>311</v>
      </c>
      <c r="AJ1840" s="128">
        <f ca="1">IF($AI1828,L1840,AJ1834)</f>
        <v>8888</v>
      </c>
      <c r="AK1840" s="129">
        <f ca="1">IF($AI1828,M1840,AK1834)</f>
        <v>8888</v>
      </c>
      <c r="AL1840" s="156"/>
      <c r="BD1840" s="157"/>
    </row>
    <row r="1841" spans="2:56">
      <c r="B1841" s="156"/>
      <c r="C1841" s="188" t="s">
        <v>35</v>
      </c>
      <c r="D1841" s="188">
        <f ca="1">IF(C1828&gt;=3,D1830,D1837)</f>
        <v>8888</v>
      </c>
      <c r="E1841" s="189">
        <f ca="1">E1840</f>
        <v>8888</v>
      </c>
      <c r="F1841" s="157"/>
      <c r="G1841" s="2" t="s">
        <v>35</v>
      </c>
      <c r="H1841" s="188">
        <f ca="1">IF(G1828&gt;=3,H1830,H1837)</f>
        <v>8888</v>
      </c>
      <c r="I1841" s="189">
        <f ca="1">IF(G1828&gt;=3,I1840,I1837)</f>
        <v>8888</v>
      </c>
      <c r="K1841" s="188" t="s">
        <v>35</v>
      </c>
      <c r="L1841" s="188">
        <f ca="1">IF(K1828&gt;=3,L1830,L1837)</f>
        <v>8888</v>
      </c>
      <c r="M1841" s="189">
        <f ca="1">IF(K1828&gt;=3,M1840,M1837)</f>
        <v>8888</v>
      </c>
      <c r="AA1841" s="143" t="s">
        <v>35</v>
      </c>
      <c r="AB1841" s="128">
        <f ca="1">IF($AA1828,D1841,AB1834)</f>
        <v>8888</v>
      </c>
      <c r="AC1841" s="129">
        <f ca="1">IF($AA1828,E1841,AC1834)</f>
        <v>8888</v>
      </c>
      <c r="AD1841" s="157"/>
      <c r="AE1841" s="2" t="s">
        <v>35</v>
      </c>
      <c r="AF1841" s="188">
        <f ca="1">IF($AE1828,H1841,AF1834)</f>
        <v>8888</v>
      </c>
      <c r="AG1841" s="196">
        <f ca="1">IF($AE1828,I1841,AG1834)</f>
        <v>8888</v>
      </c>
      <c r="AI1841" s="128" t="s">
        <v>35</v>
      </c>
      <c r="AJ1841" s="128">
        <f ca="1">IF($AI1828,L1841,AJ1834)</f>
        <v>8888</v>
      </c>
      <c r="AK1841" s="129">
        <f ca="1">IF($AI1828,M1841,AK1834)</f>
        <v>8888</v>
      </c>
      <c r="AL1841" s="156"/>
      <c r="BD1841" s="157"/>
    </row>
    <row r="1842" spans="2:56" ht="15" thickBot="1">
      <c r="B1842" s="156"/>
      <c r="C1842" s="130" t="s">
        <v>396</v>
      </c>
      <c r="D1842" s="130">
        <f ca="1">D1830</f>
        <v>8888</v>
      </c>
      <c r="E1842" s="140">
        <f ca="1">E1830</f>
        <v>8888</v>
      </c>
      <c r="F1842" s="157"/>
      <c r="G1842" s="192" t="s">
        <v>312</v>
      </c>
      <c r="H1842" s="128">
        <f ca="1">IF(G1828&gt;=4,H1830,H1841)</f>
        <v>8888</v>
      </c>
      <c r="I1842" s="139">
        <f ca="1">IF(G1828&gt;=4,I1841-P1823,I1841)</f>
        <v>8888</v>
      </c>
      <c r="K1842" s="130" t="s">
        <v>396</v>
      </c>
      <c r="L1842" s="130">
        <f ca="1">L1830</f>
        <v>8888</v>
      </c>
      <c r="M1842" s="140">
        <f ca="1">M1830</f>
        <v>8888</v>
      </c>
      <c r="AA1842" s="144" t="s">
        <v>396</v>
      </c>
      <c r="AB1842" s="130">
        <f ca="1">IF($AA1828,D1842,AB1834)</f>
        <v>8888</v>
      </c>
      <c r="AC1842" s="132">
        <f ca="1">IF($AA1828,E1842,AC1834)</f>
        <v>8888</v>
      </c>
      <c r="AD1842" s="157"/>
      <c r="AE1842" s="192" t="s">
        <v>312</v>
      </c>
      <c r="AF1842" s="128">
        <f ca="1">IF($AE1828,H1842,AF1834)</f>
        <v>8888</v>
      </c>
      <c r="AG1842" s="129">
        <f ca="1">IF($AE1828,I1842,AG1834)</f>
        <v>8888</v>
      </c>
      <c r="AI1842" s="130" t="s">
        <v>396</v>
      </c>
      <c r="AJ1842" s="130">
        <f ca="1">IF($AI1828,L1842,AJ1834)</f>
        <v>8888</v>
      </c>
      <c r="AK1842" s="132">
        <f ca="1">IF($AI1828,M1842,AK1834)</f>
        <v>8888</v>
      </c>
      <c r="BD1842" s="157"/>
    </row>
    <row r="1843" spans="2:56">
      <c r="B1843" s="156"/>
      <c r="F1843" s="157"/>
      <c r="G1843" s="2" t="s">
        <v>313</v>
      </c>
      <c r="H1843" s="128">
        <f ca="1">IF(G1828&gt;=4,H1831,H1841)</f>
        <v>8888</v>
      </c>
      <c r="I1843" s="139">
        <f ca="1">IF(G1828&gt;=4,I1842,I1841)</f>
        <v>8888</v>
      </c>
      <c r="AD1843" s="157"/>
      <c r="AE1843" s="2" t="s">
        <v>313</v>
      </c>
      <c r="AF1843" s="128">
        <f ca="1">IF($AE1828,H1843,AF1834)</f>
        <v>8888</v>
      </c>
      <c r="AG1843" s="129">
        <f ca="1">IF($AE1828,I1843,AG1834)</f>
        <v>8888</v>
      </c>
      <c r="BD1843" s="157"/>
    </row>
    <row r="1844" spans="2:56">
      <c r="B1844" s="156"/>
      <c r="F1844" s="157"/>
      <c r="G1844" s="2" t="s">
        <v>7</v>
      </c>
      <c r="H1844" s="128">
        <f ca="1">IF(G1828&gt;=4,H1831,H1841)</f>
        <v>8888</v>
      </c>
      <c r="I1844" s="139">
        <f ca="1">IF(G1828&gt;=4,I1843-P1821,I1841)</f>
        <v>8888</v>
      </c>
      <c r="AD1844" s="157"/>
      <c r="AE1844" s="2" t="s">
        <v>7</v>
      </c>
      <c r="AF1844" s="128">
        <f ca="1">IF($AE1828,H1844,AF1834)</f>
        <v>8888</v>
      </c>
      <c r="AG1844" s="129">
        <f ca="1">IF($AE1828,I1844,AG1834)</f>
        <v>8888</v>
      </c>
      <c r="BD1844" s="157"/>
    </row>
    <row r="1845" spans="2:56">
      <c r="B1845" s="156"/>
      <c r="F1845" s="157"/>
      <c r="G1845" s="115" t="s">
        <v>8</v>
      </c>
      <c r="H1845" s="188">
        <f ca="1">IF(G1828&gt;=4,H1830,H1841)</f>
        <v>8888</v>
      </c>
      <c r="I1845" s="189">
        <f ca="1">IF(G1828&gt;=4,I1844,I1841)</f>
        <v>8888</v>
      </c>
      <c r="AD1845" s="157"/>
      <c r="AE1845" s="115" t="s">
        <v>8</v>
      </c>
      <c r="AF1845" s="188">
        <f ca="1">IF($AE1828,H1845,AF1834)</f>
        <v>8888</v>
      </c>
      <c r="AG1845" s="196">
        <f ca="1">IF($AE1828,I1845,AG1834)</f>
        <v>8888</v>
      </c>
      <c r="BD1845" s="157"/>
    </row>
    <row r="1846" spans="2:56">
      <c r="B1846" s="156"/>
      <c r="F1846" s="157"/>
      <c r="G1846" s="2" t="s">
        <v>9</v>
      </c>
      <c r="H1846" s="128">
        <f ca="1">IF(G1828&gt;=5,H1830,H1845)</f>
        <v>8888</v>
      </c>
      <c r="I1846" s="139">
        <f ca="1">IF(G1828&gt;=5,I1845-P1823,I1845)</f>
        <v>8888</v>
      </c>
      <c r="AD1846" s="157"/>
      <c r="AE1846" s="2" t="s">
        <v>9</v>
      </c>
      <c r="AF1846" s="128">
        <f ca="1">IF($AE1828,H1846,AF1834)</f>
        <v>8888</v>
      </c>
      <c r="AG1846" s="129">
        <f ca="1">IF($AE1828,I1846,AG1834)</f>
        <v>8888</v>
      </c>
      <c r="BD1846" s="157"/>
    </row>
    <row r="1847" spans="2:56">
      <c r="B1847" s="156"/>
      <c r="F1847" s="157"/>
      <c r="G1847" s="2" t="s">
        <v>196</v>
      </c>
      <c r="H1847" s="128">
        <f ca="1">IF(G1828&gt;=5,H1831,H1845)</f>
        <v>8888</v>
      </c>
      <c r="I1847" s="139">
        <f ca="1">IF(G1828&gt;=5,I1846,I1845)</f>
        <v>8888</v>
      </c>
      <c r="AD1847" s="157"/>
      <c r="AE1847" s="2" t="s">
        <v>196</v>
      </c>
      <c r="AF1847" s="128">
        <f ca="1">IF($AE1828,H1847,AF1834)</f>
        <v>8888</v>
      </c>
      <c r="AG1847" s="129">
        <f ca="1">IF($AE1828,I1847,AG1834)</f>
        <v>8888</v>
      </c>
      <c r="BD1847" s="157"/>
    </row>
    <row r="1848" spans="2:56">
      <c r="B1848" s="156"/>
      <c r="F1848" s="157"/>
      <c r="G1848" s="2" t="s">
        <v>10</v>
      </c>
      <c r="H1848" s="128">
        <f ca="1">IF(G1828&gt;=5,H1831,H1845)</f>
        <v>8888</v>
      </c>
      <c r="I1848" s="139">
        <f ca="1">IF(G1828&gt;=5,I1847-P1821,I1845)</f>
        <v>8888</v>
      </c>
      <c r="AD1848" s="157"/>
      <c r="AE1848" s="2" t="s">
        <v>10</v>
      </c>
      <c r="AF1848" s="128">
        <f ca="1">IF($AE1828,H1848,AF1834)</f>
        <v>8888</v>
      </c>
      <c r="AG1848" s="129">
        <f ca="1">IF($AE1828,I1848,AG1834)</f>
        <v>8888</v>
      </c>
      <c r="BD1848" s="157"/>
    </row>
    <row r="1849" spans="2:56">
      <c r="B1849" s="156"/>
      <c r="F1849" s="157"/>
      <c r="G1849" s="2" t="s">
        <v>161</v>
      </c>
      <c r="H1849" s="188">
        <f ca="1">IF(G1828&gt;=5,H1830,H1845)</f>
        <v>8888</v>
      </c>
      <c r="I1849" s="189">
        <f ca="1">IF(G1828&gt;=5,I1848,I1845)</f>
        <v>8888</v>
      </c>
      <c r="AD1849" s="157"/>
      <c r="AE1849" s="2" t="s">
        <v>161</v>
      </c>
      <c r="AF1849" s="188">
        <f ca="1">IF($AE1828,H1849,AF1834)</f>
        <v>8888</v>
      </c>
      <c r="AG1849" s="196">
        <f ca="1">IF($AE1828,I1849,AG1834)</f>
        <v>8888</v>
      </c>
      <c r="BD1849" s="157"/>
    </row>
    <row r="1850" spans="2:56">
      <c r="B1850" s="156"/>
      <c r="F1850" s="157"/>
      <c r="G1850" s="192" t="s">
        <v>11</v>
      </c>
      <c r="H1850" s="128">
        <f ca="1">IF(G1828&gt;=6,H1830,H1849)</f>
        <v>8888</v>
      </c>
      <c r="I1850" s="139">
        <f ca="1">IF(G1828&gt;=6,I1849-P1823,I1849)</f>
        <v>8888</v>
      </c>
      <c r="AD1850" s="157"/>
      <c r="AE1850" s="192" t="s">
        <v>11</v>
      </c>
      <c r="AF1850" s="128">
        <f ca="1">IF($AE1828,H1850,AF1834)</f>
        <v>8888</v>
      </c>
      <c r="AG1850" s="129">
        <f ca="1">IF($AE1828,I1850,AG1834)</f>
        <v>8888</v>
      </c>
      <c r="BD1850" s="157"/>
    </row>
    <row r="1851" spans="2:56">
      <c r="B1851" s="156"/>
      <c r="F1851" s="157"/>
      <c r="G1851" s="2" t="s">
        <v>12</v>
      </c>
      <c r="H1851" s="128">
        <f ca="1">IF(G1828&gt;=6,H1831,H1849)</f>
        <v>8888</v>
      </c>
      <c r="I1851" s="139">
        <f ca="1">IF(G1828&gt;=6,I1850,I1849)</f>
        <v>8888</v>
      </c>
      <c r="AD1851" s="157"/>
      <c r="AE1851" s="2" t="s">
        <v>12</v>
      </c>
      <c r="AF1851" s="128">
        <f ca="1">IF($AE1828,H1851,AF1834)</f>
        <v>8888</v>
      </c>
      <c r="AG1851" s="129">
        <f ca="1">IF($AE1828,I1851,AG1834)</f>
        <v>8888</v>
      </c>
      <c r="BD1851" s="157"/>
    </row>
    <row r="1852" spans="2:56">
      <c r="B1852" s="156"/>
      <c r="F1852" s="157"/>
      <c r="G1852" s="2" t="s">
        <v>13</v>
      </c>
      <c r="H1852" s="128">
        <f ca="1">IF(G1828&gt;=6,H1831,H1849)</f>
        <v>8888</v>
      </c>
      <c r="I1852" s="139">
        <f ca="1">IF(G1828&gt;=6,I1851-P1821,I1849)</f>
        <v>8888</v>
      </c>
      <c r="AD1852" s="157"/>
      <c r="AE1852" s="2" t="s">
        <v>13</v>
      </c>
      <c r="AF1852" s="128">
        <f ca="1">IF($AE1828,H1852,AF1834)</f>
        <v>8888</v>
      </c>
      <c r="AG1852" s="129">
        <f ca="1">IF($AE1828,I1852,AG1834)</f>
        <v>8888</v>
      </c>
      <c r="BD1852" s="157"/>
    </row>
    <row r="1853" spans="2:56">
      <c r="B1853" s="156"/>
      <c r="F1853" s="157"/>
      <c r="G1853" s="115" t="s">
        <v>14</v>
      </c>
      <c r="H1853" s="188">
        <f ca="1">IF(G1828&gt;=6,H1830,H1849)</f>
        <v>8888</v>
      </c>
      <c r="I1853" s="189">
        <f ca="1">IF(G1828&gt;=6,I1852,I1849)</f>
        <v>8888</v>
      </c>
      <c r="AD1853" s="157"/>
      <c r="AE1853" s="115" t="s">
        <v>14</v>
      </c>
      <c r="AF1853" s="188">
        <f ca="1">IF($AE1828,H1853,AF1834)</f>
        <v>8888</v>
      </c>
      <c r="AG1853" s="196">
        <f ca="1">IF($AE1828,I1853,AG1834)</f>
        <v>8888</v>
      </c>
      <c r="BD1853" s="157"/>
    </row>
    <row r="1854" spans="2:56" ht="15" thickBot="1">
      <c r="B1854" s="156"/>
      <c r="G1854" s="130" t="s">
        <v>396</v>
      </c>
      <c r="H1854" s="130">
        <f ca="1">H1830</f>
        <v>8888</v>
      </c>
      <c r="I1854" s="140">
        <f ca="1">I1830</f>
        <v>8888</v>
      </c>
      <c r="AE1854" s="130" t="s">
        <v>396</v>
      </c>
      <c r="AF1854" s="130">
        <f ca="1">IF($AE1828,H1854,AF1834)</f>
        <v>8888</v>
      </c>
      <c r="AG1854" s="132">
        <f ca="1">IF($AE1828,I1854,AG1834)</f>
        <v>8888</v>
      </c>
      <c r="BD1854" s="157"/>
    </row>
    <row r="1855" spans="2:56">
      <c r="B1855" s="156"/>
      <c r="BD1855" s="157"/>
    </row>
    <row r="1856" spans="2:56">
      <c r="B1856" s="156"/>
      <c r="BD1856" s="157"/>
    </row>
    <row r="1857" spans="2:56">
      <c r="B1857" s="156"/>
      <c r="C1857" s="200" t="s">
        <v>336</v>
      </c>
      <c r="D1857">
        <f>D1821+1</f>
        <v>47</v>
      </c>
      <c r="G1857" s="200" t="s">
        <v>638</v>
      </c>
      <c r="H1857">
        <f ca="1">LOOKUP(D1860,$C$191:$C$196,$D$191:$D$196)</f>
        <v>0</v>
      </c>
      <c r="K1857" s="200" t="s">
        <v>644</v>
      </c>
      <c r="L1857">
        <f ca="1">L1821-H1862</f>
        <v>-18.624000000000006</v>
      </c>
      <c r="O1857" s="200" t="s">
        <v>404</v>
      </c>
      <c r="P1857">
        <f ca="1">IF(D1859=1,SEAT_w_cushion_FC,IF(D1859=2,SEAT_w_cushion_BC,IF(D1859=3,SEAT_w_cushion_YC,0)))</f>
        <v>0</v>
      </c>
      <c r="S1857" s="200" t="s">
        <v>647</v>
      </c>
      <c r="T1857">
        <f ca="1">LOOKUP(D1860,$C$191:$C$196,$E$191:$E$196)</f>
        <v>0</v>
      </c>
      <c r="W1857" t="s">
        <v>130</v>
      </c>
      <c r="X1857" t="str">
        <f ca="1">OFFSET(Fuselage!$B$275,D1857,5)</f>
        <v>None</v>
      </c>
      <c r="AN1857" s="200" t="s">
        <v>135</v>
      </c>
      <c r="AO1857">
        <f ca="1">MAX(0,H1862-MAX(T1857,T1859,T1861,P1858)-X1858)</f>
        <v>0</v>
      </c>
      <c r="BD1857" s="157"/>
    </row>
    <row r="1858" spans="2:56">
      <c r="B1858" s="156"/>
      <c r="C1858" s="200" t="s">
        <v>200</v>
      </c>
      <c r="D1858" t="str">
        <f ca="1">OFFSET(Fuselage!$B$275,D1857,0)</f>
        <v/>
      </c>
      <c r="G1858" s="200" t="s">
        <v>639</v>
      </c>
      <c r="H1858">
        <f ca="1">LOOKUP(D1861,$C$191:$C$196,$D$191:$D$196)</f>
        <v>0</v>
      </c>
      <c r="O1858" s="200" t="s">
        <v>535</v>
      </c>
      <c r="P1858">
        <f ca="1">IF(D1859=1,SEAT_length_FC,IF(D1859=2,SEAT_length_BC,IF(D1859=3,SEAT_length_YC,0)))</f>
        <v>0</v>
      </c>
      <c r="S1858" s="200" t="s">
        <v>648</v>
      </c>
      <c r="T1858">
        <f ca="1">LOOKUP(D1860,$C$191:$C$196,$F$191:$F$196)</f>
        <v>0</v>
      </c>
      <c r="W1858" t="s">
        <v>131</v>
      </c>
      <c r="X1858">
        <f ca="1">LOOKUP(X1857,$I$191:$I$198,$J$191:$J$198)</f>
        <v>0</v>
      </c>
      <c r="BD1858" s="157"/>
    </row>
    <row r="1859" spans="2:56">
      <c r="B1859" s="156"/>
      <c r="C1859" s="200" t="s">
        <v>337</v>
      </c>
      <c r="D1859" t="str">
        <f ca="1">OFFSET(Fuselage!$B$275,D1857,4)</f>
        <v/>
      </c>
      <c r="G1859" s="200" t="s">
        <v>309</v>
      </c>
      <c r="H1859">
        <f ca="1">LOOKUP(D1862,$C$191:$C$196,$D$191:$D$196)</f>
        <v>0</v>
      </c>
      <c r="K1859" s="200" t="s">
        <v>645</v>
      </c>
      <c r="L1859">
        <f ca="1">IF(D1859=1,FUSELAGE_nseats_left_FC,IF(D1859=2,FUSELAGE_nseats_left_BC,IF(D1859=3,FUSELAGE_nseats_left_YC,0)))</f>
        <v>0</v>
      </c>
      <c r="O1859" s="200" t="s">
        <v>405</v>
      </c>
      <c r="P1859">
        <f ca="1">IF(D1859=1,SEAT_w_armrest_FC,IF(D1859=2,SEAT_w_armrest_BC,IF(D1859=3,SEAT_w_armrest_YC,0)))</f>
        <v>0</v>
      </c>
      <c r="S1859" s="200" t="s">
        <v>652</v>
      </c>
      <c r="T1859">
        <f ca="1">LOOKUP(D1861,$C$191:$C$196,$E$191:$E$196)</f>
        <v>0</v>
      </c>
      <c r="W1859" s="200" t="s">
        <v>393</v>
      </c>
      <c r="X1859" t="b">
        <f ca="1">IF(OFFSET(Fuselage!$B$275,D1857,6)="YES",TRUE(),FALSE())</f>
        <v>0</v>
      </c>
      <c r="BD1859" s="157"/>
    </row>
    <row r="1860" spans="2:56">
      <c r="B1860" s="156"/>
      <c r="C1860" s="200" t="s">
        <v>640</v>
      </c>
      <c r="D1860" t="str">
        <f ca="1">OFFSET(Fuselage!$B$275,D1857,1)</f>
        <v>None</v>
      </c>
      <c r="G1860" s="200" t="s">
        <v>132</v>
      </c>
      <c r="H1860">
        <f ca="1">IF(D1859=1,SEAT_pitch_FC,IF(D1859=2,SEAT_pitch_BC,IF(D1859=3,SEAT_pitch_YC,0)))</f>
        <v>0</v>
      </c>
      <c r="K1860" s="200" t="s">
        <v>646</v>
      </c>
      <c r="L1860">
        <f ca="1">IF(D1859=1,FUSELAGE_nseats_middle_FC,IF(D1859=2,FUSELAGE_nseats_middle_BC,IF(D1859=3,FUSELAGE_nseats_middle_YC,0)))</f>
        <v>0</v>
      </c>
      <c r="S1860" s="200" t="s">
        <v>653</v>
      </c>
      <c r="T1860">
        <f ca="1">LOOKUP(D1861,$C$191:$C$196,$F$191:$F$196)</f>
        <v>0</v>
      </c>
      <c r="BD1860" s="157"/>
    </row>
    <row r="1861" spans="2:56">
      <c r="B1861" s="156"/>
      <c r="C1861" s="200" t="s">
        <v>642</v>
      </c>
      <c r="D1861" t="str">
        <f ca="1">OFFSET(Fuselage!$B$275,D1857,2)</f>
        <v>None</v>
      </c>
      <c r="G1861" s="200" t="s">
        <v>129</v>
      </c>
      <c r="H1861">
        <f ca="1">IF(OR(X1857="Type A",X1857="Type B"),MAX(H1857:H1860)+42*0.0254,IF(X1857="Type C",MAX(H1857:H1860)+X1858,IF(X1857&lt;&gt;"None",24*0.0254,0)))</f>
        <v>0</v>
      </c>
      <c r="K1861" s="200" t="s">
        <v>655</v>
      </c>
      <c r="L1861">
        <f ca="1">IF(D1859=1,FUSELAGE_nseats_right_FC,IF(D1859=2,FUSELAGE_nseats_right_BC,IF(D1859=3,FUSELAGE_nseats_right_YC,0)))</f>
        <v>0</v>
      </c>
      <c r="O1861" s="200" t="s">
        <v>407</v>
      </c>
      <c r="P1861">
        <f ca="1">($C$13-(L1859+L1860+L1861)*(P1857+P1859)+(FUSELAGE_n_aisles-1)*P1859)/FUSELAGE_n_aisles</f>
        <v>2.76</v>
      </c>
      <c r="S1861" s="200" t="s">
        <v>651</v>
      </c>
      <c r="T1861">
        <f ca="1">LOOKUP(D1862,$C$191:$C$196,$E$191:$E$196)</f>
        <v>0</v>
      </c>
      <c r="BD1861" s="157"/>
    </row>
    <row r="1862" spans="2:56">
      <c r="B1862" s="156"/>
      <c r="C1862" s="200" t="s">
        <v>641</v>
      </c>
      <c r="D1862" t="str">
        <f ca="1">OFFSET(Fuselage!$B$275,D1857,3)</f>
        <v>None</v>
      </c>
      <c r="G1862" s="200" t="s">
        <v>643</v>
      </c>
      <c r="H1862">
        <f ca="1">MAX(H1857:H1861)</f>
        <v>0</v>
      </c>
      <c r="S1862" s="200" t="s">
        <v>654</v>
      </c>
      <c r="T1862">
        <f ca="1">LOOKUP(D1862,$C$191:$C$196,$F$191:$F$196)</f>
        <v>0</v>
      </c>
      <c r="BD1862" s="157"/>
    </row>
    <row r="1863" spans="2:56" ht="15" thickBot="1">
      <c r="B1863" s="156"/>
      <c r="BD1863" s="157"/>
    </row>
    <row r="1864" spans="2:56" ht="15" thickBot="1">
      <c r="B1864" s="156"/>
      <c r="C1864" s="141">
        <f ca="1">L1861</f>
        <v>0</v>
      </c>
      <c r="D1864" s="197" t="str">
        <f ca="1">IF($D1859=1,"FC",IF($D1859=2,"BC",IF($D1859=3,"YC","Nothing")))</f>
        <v>Nothing</v>
      </c>
      <c r="E1864" s="198"/>
      <c r="G1864" s="141">
        <f ca="1">L1860</f>
        <v>0</v>
      </c>
      <c r="H1864" s="197" t="str">
        <f ca="1">IF($D1859=1,"FC",IF($D1859=2,"BC",IF($D1859=3,"YC","Nothing")))</f>
        <v>Nothing</v>
      </c>
      <c r="I1864" s="198"/>
      <c r="K1864" s="141">
        <f ca="1" xml:space="preserve"> L1859</f>
        <v>0</v>
      </c>
      <c r="L1864" s="197" t="str">
        <f ca="1">IF($D1859=1,"FC",IF($D1859=2,"BC",IF($D1859=3,"YC","Nothing")))</f>
        <v>Nothing</v>
      </c>
      <c r="M1864" s="198"/>
      <c r="O1864" s="141">
        <f ca="1">IF($D1862&lt;&gt;"None",1,0)</f>
        <v>0</v>
      </c>
      <c r="P1864" s="326" t="s">
        <v>380</v>
      </c>
      <c r="Q1864" s="327"/>
      <c r="S1864" s="141">
        <f ca="1">IF($D1861&lt;&gt;"None",1,0)</f>
        <v>0</v>
      </c>
      <c r="T1864" s="326" t="s">
        <v>381</v>
      </c>
      <c r="U1864" s="327"/>
      <c r="W1864" s="141">
        <f ca="1">IF($D1860&lt;&gt;"None",1,0)</f>
        <v>0</v>
      </c>
      <c r="X1864" s="326" t="s">
        <v>382</v>
      </c>
      <c r="Y1864" s="327"/>
      <c r="AA1864" s="141">
        <f ca="1">IF($D1862="None",1,0)</f>
        <v>1</v>
      </c>
      <c r="AB1864" s="326" t="str">
        <f ca="1">IF(AA1864,D1864,$D1862)</f>
        <v>Nothing</v>
      </c>
      <c r="AC1864" s="327"/>
      <c r="AE1864" s="141">
        <f ca="1">IF($D1861="None",1,0)</f>
        <v>1</v>
      </c>
      <c r="AF1864" s="326" t="str">
        <f ca="1">IF(AE1864,H1864,$D1861)</f>
        <v>Nothing</v>
      </c>
      <c r="AG1864" s="327"/>
      <c r="AI1864" s="141">
        <f ca="1">IF($D1860="None",1,0)</f>
        <v>1</v>
      </c>
      <c r="AJ1864" s="326" t="str">
        <f ca="1">IF(AI1864,L1864,$D1860)</f>
        <v>Nothing</v>
      </c>
      <c r="AK1864" s="327"/>
      <c r="AM1864" s="141">
        <f ca="1">IF($X1857="None",0,1)</f>
        <v>0</v>
      </c>
      <c r="AN1864" s="197" t="s">
        <v>133</v>
      </c>
      <c r="AO1864" s="198"/>
      <c r="AQ1864" s="141">
        <f ca="1">IF($X1857="None",0,1)</f>
        <v>0</v>
      </c>
      <c r="AR1864" s="197" t="s">
        <v>134</v>
      </c>
      <c r="AS1864" s="198"/>
      <c r="BD1864" s="157"/>
    </row>
    <row r="1865" spans="2:56" ht="15" thickBot="1">
      <c r="B1865" s="156"/>
      <c r="C1865" s="136" t="s">
        <v>452</v>
      </c>
      <c r="D1865" s="136" t="s">
        <v>384</v>
      </c>
      <c r="E1865" s="138" t="s">
        <v>385</v>
      </c>
      <c r="G1865" s="136" t="s">
        <v>452</v>
      </c>
      <c r="H1865" s="136" t="s">
        <v>384</v>
      </c>
      <c r="I1865" s="138" t="s">
        <v>385</v>
      </c>
      <c r="K1865" s="193" t="s">
        <v>452</v>
      </c>
      <c r="L1865" s="193" t="s">
        <v>384</v>
      </c>
      <c r="M1865" s="194" t="s">
        <v>385</v>
      </c>
      <c r="O1865" s="136" t="s">
        <v>452</v>
      </c>
      <c r="P1865" s="136" t="s">
        <v>384</v>
      </c>
      <c r="Q1865" s="138" t="s">
        <v>385</v>
      </c>
      <c r="S1865" s="136" t="s">
        <v>452</v>
      </c>
      <c r="T1865" s="136" t="s">
        <v>384</v>
      </c>
      <c r="U1865" s="138" t="s">
        <v>385</v>
      </c>
      <c r="W1865" s="136" t="s">
        <v>452</v>
      </c>
      <c r="X1865" s="136" t="s">
        <v>384</v>
      </c>
      <c r="Y1865" s="138" t="s">
        <v>385</v>
      </c>
      <c r="AA1865" s="136" t="s">
        <v>452</v>
      </c>
      <c r="AB1865" s="136" t="s">
        <v>384</v>
      </c>
      <c r="AC1865" s="138" t="s">
        <v>385</v>
      </c>
      <c r="AE1865" s="136" t="s">
        <v>452</v>
      </c>
      <c r="AF1865" s="136" t="s">
        <v>384</v>
      </c>
      <c r="AG1865" s="138" t="s">
        <v>385</v>
      </c>
      <c r="AI1865" s="193" t="s">
        <v>452</v>
      </c>
      <c r="AJ1865" s="193" t="s">
        <v>384</v>
      </c>
      <c r="AK1865" s="194" t="s">
        <v>385</v>
      </c>
      <c r="AM1865" s="193" t="s">
        <v>452</v>
      </c>
      <c r="AN1865" s="193" t="s">
        <v>384</v>
      </c>
      <c r="AO1865" s="194" t="s">
        <v>385</v>
      </c>
      <c r="AQ1865" s="193" t="s">
        <v>452</v>
      </c>
      <c r="AR1865" s="193" t="s">
        <v>384</v>
      </c>
      <c r="AS1865" s="194" t="s">
        <v>385</v>
      </c>
      <c r="BD1865" s="157"/>
    </row>
    <row r="1866" spans="2:56">
      <c r="B1866" s="156"/>
      <c r="C1866" s="128" t="s">
        <v>396</v>
      </c>
      <c r="D1866" s="158">
        <f ca="1">IF(C1864&gt;=1,L1857,8888)</f>
        <v>8888</v>
      </c>
      <c r="E1866" s="160">
        <f ca="1">IF(C1864&gt;=1,1/2*($C$13-P1857-2*P1859)+1/2*P1857,8888)</f>
        <v>8888</v>
      </c>
      <c r="G1866" s="128" t="s">
        <v>396</v>
      </c>
      <c r="H1866" s="158">
        <f ca="1">IF(G1864&gt;=1,L1857,8888)</f>
        <v>8888</v>
      </c>
      <c r="I1866" s="160">
        <f ca="1">IF(G1864&gt;=1,E1877-P1861,8888)</f>
        <v>8888</v>
      </c>
      <c r="K1866" s="128" t="s">
        <v>396</v>
      </c>
      <c r="L1866" s="158">
        <f ca="1">IF(K1864&gt;=1,L1857,8888)</f>
        <v>8888</v>
      </c>
      <c r="M1866" s="160">
        <f ca="1">IF(K1864&gt;=1,IF(FUSELAGE_n_aisles=1,E1877-P1861,I1889-P1861),8888)</f>
        <v>8888</v>
      </c>
      <c r="O1866" s="128" t="s">
        <v>396</v>
      </c>
      <c r="P1866" s="158">
        <f ca="1">IF(O1864,$L1857,8888)</f>
        <v>8888</v>
      </c>
      <c r="Q1866" s="209">
        <f ca="1">IF(O1864,FUSELAGE_y_position_of_left_seat_YC-(FUSELAGE_nseats_right_YC-1)*(SEAT_w_cushion_YC+SEAT_w_armrest_YC)/2+T1862/2,8888)</f>
        <v>8888</v>
      </c>
      <c r="S1866" s="128" t="s">
        <v>396</v>
      </c>
      <c r="T1866" s="158">
        <f ca="1">IF(S1864,$L1857,8888)</f>
        <v>8888</v>
      </c>
      <c r="U1866" s="160">
        <f ca="1">IF(S1864,T1860/2,8888)</f>
        <v>8888</v>
      </c>
      <c r="W1866" s="128" t="s">
        <v>396</v>
      </c>
      <c r="X1866" s="158">
        <f ca="1">IF(W1864,$L1857,8888)</f>
        <v>8888</v>
      </c>
      <c r="Y1866" s="160">
        <f ca="1">IF(W1864,-FUSELAGE_y_position_of_left_seat_YC+(FUSELAGE_nseats_left_YC-1)*(SEAT_w_cushion_YC+SEAT_w_armrest_YC)/2-T1858/2,8888)</f>
        <v>8888</v>
      </c>
      <c r="AA1866" s="128" t="s">
        <v>396</v>
      </c>
      <c r="AB1866" s="158">
        <f ca="1">IF($AA1864,D1866,P1866)</f>
        <v>8888</v>
      </c>
      <c r="AC1866" s="174">
        <f ca="1">IF($AA1864,E1866,Q1866)</f>
        <v>8888</v>
      </c>
      <c r="AE1866" s="128" t="s">
        <v>396</v>
      </c>
      <c r="AF1866" s="158">
        <f ca="1">IF($AE1864,H1866,T1866)</f>
        <v>8888</v>
      </c>
      <c r="AG1866" s="174">
        <f ca="1">IF($AE1864,I1866,U1866)</f>
        <v>8888</v>
      </c>
      <c r="AI1866" s="128" t="s">
        <v>396</v>
      </c>
      <c r="AJ1866" s="158">
        <f ca="1">IF($AI1864,L1866,X1866)</f>
        <v>8888</v>
      </c>
      <c r="AK1866" s="174">
        <f ca="1">IF($AI1864,M1866,Y1866)</f>
        <v>8888</v>
      </c>
      <c r="AM1866" s="128" t="s">
        <v>396</v>
      </c>
      <c r="AN1866" s="158">
        <f ca="1">AN1835</f>
        <v>-18.624000000000006</v>
      </c>
      <c r="AO1866" s="174">
        <f ca="1">IF(AN1866&gt;-Fuselage!$D$366,(FUSELAGE_a_ellipse)*SQRT(1-((AN1866+Fuselage!$D$366)/(Fuselage!$K$364-FUSELAGE_t_fuselage))^2),IF(AN1866&gt;$L$2505+Fuselage!$K$370,FUSELAGE_a_ellipse,(FUSELAGE_a_ellipse+FUSELAGE_t_fuselage-FUSELAGE_d_fo/4)/Fuselage!$K$368*(AN1866-$L$2505-Fuselage!$K$370)+FUSELAGE_a_ellipse))</f>
        <v>1.4960570012328709</v>
      </c>
      <c r="AQ1866" s="128" t="s">
        <v>396</v>
      </c>
      <c r="AR1866" s="158">
        <f t="shared" ref="AR1866:AR1871" ca="1" si="158">AN1866</f>
        <v>-18.624000000000006</v>
      </c>
      <c r="AS1866" s="174">
        <f t="shared" ref="AS1866:AS1871" ca="1" si="159">-AO1866</f>
        <v>-1.4960570012328709</v>
      </c>
      <c r="BD1866" s="157"/>
    </row>
    <row r="1867" spans="2:56">
      <c r="B1867" s="156"/>
      <c r="C1867" s="128" t="s">
        <v>213</v>
      </c>
      <c r="D1867" s="128">
        <f ca="1">IF(X1859,D1866+P1858/4,D1866+P1858)</f>
        <v>8888</v>
      </c>
      <c r="E1867" s="139">
        <f ca="1">E1866</f>
        <v>8888</v>
      </c>
      <c r="G1867" s="128" t="s">
        <v>213</v>
      </c>
      <c r="H1867" s="128">
        <f ca="1">H1866+P1858</f>
        <v>8888</v>
      </c>
      <c r="I1867" s="139">
        <f ca="1">I1866</f>
        <v>8888</v>
      </c>
      <c r="K1867" s="128" t="s">
        <v>213</v>
      </c>
      <c r="L1867" s="128">
        <f ca="1">IF(X1859,IF(K1864=1,L1866+P1858/4,L1866+P1858),L1866+P1858)</f>
        <v>8888</v>
      </c>
      <c r="M1867" s="139">
        <f ca="1">M1866</f>
        <v>8888</v>
      </c>
      <c r="O1867" s="128" t="s">
        <v>213</v>
      </c>
      <c r="P1867" s="128">
        <f ca="1">P1866+$T1861</f>
        <v>8888</v>
      </c>
      <c r="Q1867" s="139">
        <f ca="1">Q1866</f>
        <v>8888</v>
      </c>
      <c r="S1867" s="128" t="s">
        <v>213</v>
      </c>
      <c r="T1867" s="128">
        <f ca="1">T1866+$T1859</f>
        <v>8888</v>
      </c>
      <c r="U1867" s="139">
        <f ca="1">U1866</f>
        <v>8888</v>
      </c>
      <c r="W1867" s="128" t="s">
        <v>213</v>
      </c>
      <c r="X1867" s="128">
        <f ca="1">X1866+$T1857</f>
        <v>8888</v>
      </c>
      <c r="Y1867" s="139">
        <f ca="1">Y1866</f>
        <v>8888</v>
      </c>
      <c r="AA1867" s="143" t="s">
        <v>213</v>
      </c>
      <c r="AB1867" s="128">
        <f ca="1">IF($AA1864,D1867,P1867)</f>
        <v>8888</v>
      </c>
      <c r="AC1867" s="129">
        <f ca="1">IF($AA1864,E1867,Q1867)</f>
        <v>8888</v>
      </c>
      <c r="AE1867" s="128" t="s">
        <v>213</v>
      </c>
      <c r="AF1867" s="128">
        <f ca="1">IF($AE1864,H1867,T1867)</f>
        <v>8888</v>
      </c>
      <c r="AG1867" s="129">
        <f ca="1">IF($AE1864,I1867,U1867)</f>
        <v>8888</v>
      </c>
      <c r="AI1867" s="128" t="s">
        <v>213</v>
      </c>
      <c r="AJ1867" s="128">
        <f ca="1">IF($AI1864,L1867,X1867)</f>
        <v>8888</v>
      </c>
      <c r="AK1867" s="129">
        <f ca="1">IF($AI1864,M1867,Y1867)</f>
        <v>8888</v>
      </c>
      <c r="AM1867" s="128" t="s">
        <v>213</v>
      </c>
      <c r="AN1867" s="128">
        <f ca="1">AN1866-AO1857/2</f>
        <v>-18.624000000000006</v>
      </c>
      <c r="AO1867" s="129">
        <f ca="1">IF(AN1867&gt;-Fuselage!$D$366,(FUSELAGE_a_ellipse)*SQRT(1-((AN1867+Fuselage!$D$366)/(Fuselage!$K$364-FUSELAGE_t_fuselage))^2),IF(AN1867&gt;$L$2505+Fuselage!$K$370,FUSELAGE_a_ellipse,(FUSELAGE_a_ellipse+FUSELAGE_t_fuselage-FUSELAGE_d_fo/4)/Fuselage!$K$368*(AN1867-$L$2505-Fuselage!$K$370)+FUSELAGE_a_ellipse))</f>
        <v>1.4960570012328709</v>
      </c>
      <c r="AQ1867" s="128" t="s">
        <v>213</v>
      </c>
      <c r="AR1867" s="128">
        <f t="shared" ca="1" si="158"/>
        <v>-18.624000000000006</v>
      </c>
      <c r="AS1867" s="129">
        <f t="shared" ca="1" si="159"/>
        <v>-1.4960570012328709</v>
      </c>
      <c r="BD1867" s="157"/>
    </row>
    <row r="1868" spans="2:56">
      <c r="B1868" s="156"/>
      <c r="C1868" s="128" t="s">
        <v>286</v>
      </c>
      <c r="D1868" s="128">
        <f ca="1">D1867</f>
        <v>8888</v>
      </c>
      <c r="E1868" s="139">
        <f ca="1">E1867-P1857</f>
        <v>8888</v>
      </c>
      <c r="G1868" s="128" t="s">
        <v>286</v>
      </c>
      <c r="H1868" s="128">
        <f ca="1">H1867</f>
        <v>8888</v>
      </c>
      <c r="I1868" s="139">
        <f ca="1">I1867-P1857</f>
        <v>8888</v>
      </c>
      <c r="K1868" s="128" t="s">
        <v>286</v>
      </c>
      <c r="L1868" s="128">
        <f ca="1">L1867</f>
        <v>8888</v>
      </c>
      <c r="M1868" s="139">
        <f ca="1">M1867-P1857</f>
        <v>8888</v>
      </c>
      <c r="O1868" s="128" t="s">
        <v>286</v>
      </c>
      <c r="P1868" s="128">
        <f ca="1">P1867</f>
        <v>8888</v>
      </c>
      <c r="Q1868" s="139">
        <f ca="1">Q1867-$T1862</f>
        <v>8888</v>
      </c>
      <c r="S1868" s="128" t="s">
        <v>286</v>
      </c>
      <c r="T1868" s="128">
        <f ca="1">T1867</f>
        <v>8888</v>
      </c>
      <c r="U1868" s="139">
        <f ca="1">U1867-$T1860</f>
        <v>8888</v>
      </c>
      <c r="W1868" s="128" t="s">
        <v>286</v>
      </c>
      <c r="X1868" s="128">
        <f ca="1">X1867</f>
        <v>8888</v>
      </c>
      <c r="Y1868" s="139">
        <f ca="1">Y1867+$T1858</f>
        <v>8888</v>
      </c>
      <c r="AA1868" s="143" t="s">
        <v>286</v>
      </c>
      <c r="AB1868" s="128">
        <f ca="1">IF($AA1864,D1868,P1868)</f>
        <v>8888</v>
      </c>
      <c r="AC1868" s="129">
        <f ca="1">IF($AA1864,E1868,Q1868)</f>
        <v>8888</v>
      </c>
      <c r="AE1868" s="128" t="s">
        <v>286</v>
      </c>
      <c r="AF1868" s="128">
        <f ca="1">IF($AE1864,H1868,T1868)</f>
        <v>8888</v>
      </c>
      <c r="AG1868" s="129">
        <f ca="1">IF($AE1864,I1868,U1868)</f>
        <v>8888</v>
      </c>
      <c r="AI1868" s="128" t="s">
        <v>286</v>
      </c>
      <c r="AJ1868" s="128">
        <f ca="1">IF($AI1864,L1868,X1868)</f>
        <v>8888</v>
      </c>
      <c r="AK1868" s="129">
        <f ca="1">IF($AI1864,M1868,Y1868)</f>
        <v>8888</v>
      </c>
      <c r="AM1868" s="128" t="s">
        <v>286</v>
      </c>
      <c r="AN1868" s="128">
        <f ca="1">AN1867</f>
        <v>-18.624000000000006</v>
      </c>
      <c r="AO1868" s="129">
        <f ca="1">IF(AN1868&gt;-Fuselage!$D$366,IF(AM1864,(FUSELAGE_a_ellipse+FUSELAGE_t_fuselage)*SQRT(1-((AN1868+Fuselage!$D$366)/Fuselage!$K$364)^2),(FUSELAGE_a_ellipse)*SQRT(1-((AN1868+Fuselage!$D$366)/Fuselage!$K$364)^2)),IF(AN1868&gt;$L$2505+Fuselage!$K$370,(IF(AM1864,FUSELAGE_a_ellipse+FUSELAGE_t_fuselage,FUSELAGE_a_ellipse)),IF(AM1864,(FUSELAGE_a_ellipse+FUSELAGE_t_fuselage-FUSELAGE_d_fo/4)/Fuselage!$K$368*(AN1868-$L$2505-Fuselage!$K$370)+FUSELAGE_a_ellipse+FUSELAGE_t_fuselage,(FUSELAGE_a_ellipse+FUSELAGE_t_fuselage-FUSELAGE_d_fo/4)/Fuselage!$K$368*(AN1868-$L$2505-Fuselage!$K$370)+FUSELAGE_a_ellipse)))</f>
        <v>1.4960570012328709</v>
      </c>
      <c r="AQ1868" s="128" t="s">
        <v>286</v>
      </c>
      <c r="AR1868" s="128">
        <f t="shared" ca="1" si="158"/>
        <v>-18.624000000000006</v>
      </c>
      <c r="AS1868" s="129">
        <f t="shared" ca="1" si="159"/>
        <v>-1.4960570012328709</v>
      </c>
      <c r="BD1868" s="157"/>
    </row>
    <row r="1869" spans="2:56">
      <c r="B1869" s="156"/>
      <c r="C1869" s="188" t="s">
        <v>522</v>
      </c>
      <c r="D1869" s="188">
        <f ca="1">D1866</f>
        <v>8888</v>
      </c>
      <c r="E1869" s="189">
        <f ca="1">E1868</f>
        <v>8888</v>
      </c>
      <c r="F1869" s="157"/>
      <c r="G1869" s="2" t="s">
        <v>522</v>
      </c>
      <c r="H1869" s="128">
        <f ca="1">H1866</f>
        <v>8888</v>
      </c>
      <c r="I1869" s="139">
        <f ca="1">I1868</f>
        <v>8888</v>
      </c>
      <c r="K1869" s="128" t="s">
        <v>522</v>
      </c>
      <c r="L1869" s="128">
        <f ca="1">L1866</f>
        <v>8888</v>
      </c>
      <c r="M1869" s="139">
        <f ca="1">M1868</f>
        <v>8888</v>
      </c>
      <c r="O1869" s="188" t="s">
        <v>522</v>
      </c>
      <c r="P1869" s="188">
        <f ca="1">P1866</f>
        <v>8888</v>
      </c>
      <c r="Q1869" s="189">
        <f ca="1">Q1868</f>
        <v>8888</v>
      </c>
      <c r="S1869" s="188" t="s">
        <v>522</v>
      </c>
      <c r="T1869" s="188">
        <f ca="1">T1866</f>
        <v>8888</v>
      </c>
      <c r="U1869" s="189">
        <f ca="1">U1868</f>
        <v>8888</v>
      </c>
      <c r="W1869" s="188" t="s">
        <v>522</v>
      </c>
      <c r="X1869" s="188">
        <f ca="1">X1866</f>
        <v>8888</v>
      </c>
      <c r="Y1869" s="189">
        <f ca="1">Y1868</f>
        <v>8888</v>
      </c>
      <c r="AA1869" s="195" t="s">
        <v>522</v>
      </c>
      <c r="AB1869" s="128">
        <f ca="1">IF($AA1864,D1869,P1869)</f>
        <v>8888</v>
      </c>
      <c r="AC1869" s="129">
        <f ca="1">IF($AA1864,E1869,Q1869)</f>
        <v>8888</v>
      </c>
      <c r="AD1869" s="157"/>
      <c r="AE1869" s="2" t="s">
        <v>522</v>
      </c>
      <c r="AF1869" s="188">
        <f ca="1">IF($AE1864,H1869,T1869)</f>
        <v>8888</v>
      </c>
      <c r="AG1869" s="196">
        <f ca="1">IF($AE1864,I1869,U1869)</f>
        <v>8888</v>
      </c>
      <c r="AI1869" s="128" t="s">
        <v>522</v>
      </c>
      <c r="AJ1869" s="188">
        <f ca="1">IF($AI1864,L1869,X1869)</f>
        <v>8888</v>
      </c>
      <c r="AK1869" s="196">
        <f ca="1">IF($AI1864,M1869,Y1869)</f>
        <v>8888</v>
      </c>
      <c r="AM1869" s="128" t="s">
        <v>522</v>
      </c>
      <c r="AN1869" s="128">
        <f ca="1">AN1868-X1858</f>
        <v>-18.624000000000006</v>
      </c>
      <c r="AO1869" s="129">
        <f ca="1">IF(AN1869&gt;-Fuselage!$D$366,IF(AM1864,(FUSELAGE_a_ellipse+FUSELAGE_t_fuselage)*SQRT(1-((AN1869+Fuselage!$D$366)/Fuselage!$K$364)^2),(FUSELAGE_a_ellipse)*SQRT(1-((AN1869+Fuselage!$D$366)/Fuselage!$K$364)^2)),IF(AN1869&gt;$L$2505+Fuselage!$K$370,(IF(AM1864,FUSELAGE_a_ellipse+FUSELAGE_t_fuselage,FUSELAGE_a_ellipse)),IF(AM1864,(FUSELAGE_a_ellipse+FUSELAGE_t_fuselage-FUSELAGE_d_fo/4)/Fuselage!$K$368*(AN1869-$L$2505-Fuselage!$K$370)+FUSELAGE_a_ellipse+FUSELAGE_t_fuselage,(FUSELAGE_a_ellipse+FUSELAGE_t_fuselage-FUSELAGE_d_fo/4)/Fuselage!$K$368*(AN1869-$L$2505-Fuselage!$K$370)+FUSELAGE_a_ellipse)))</f>
        <v>1.4960570012328709</v>
      </c>
      <c r="AQ1869" s="128" t="s">
        <v>522</v>
      </c>
      <c r="AR1869" s="128">
        <f t="shared" ca="1" si="158"/>
        <v>-18.624000000000006</v>
      </c>
      <c r="AS1869" s="129">
        <f t="shared" ca="1" si="159"/>
        <v>-1.4960570012328709</v>
      </c>
      <c r="BD1869" s="157"/>
    </row>
    <row r="1870" spans="2:56" ht="15" thickBot="1">
      <c r="B1870" s="156"/>
      <c r="C1870" s="128" t="s">
        <v>49</v>
      </c>
      <c r="D1870" s="128">
        <f ca="1">IF(C1864&gt;=2,D1866,D1869)</f>
        <v>8888</v>
      </c>
      <c r="E1870" s="139">
        <f ca="1">IF(C1864&gt;=2,E1869-P1859,E1869)</f>
        <v>8888</v>
      </c>
      <c r="F1870" s="157"/>
      <c r="G1870" s="192" t="s">
        <v>49</v>
      </c>
      <c r="H1870" s="190">
        <f ca="1">IF(G1864&gt;=2,H1866,H1869)</f>
        <v>8888</v>
      </c>
      <c r="I1870" s="191">
        <f ca="1">IF(G1864&gt;=2,I1869-P1859,I1869)</f>
        <v>8888</v>
      </c>
      <c r="K1870" s="190" t="s">
        <v>49</v>
      </c>
      <c r="L1870" s="190">
        <f ca="1">IF(K1864&gt;=2,L1866,L1869)</f>
        <v>8888</v>
      </c>
      <c r="M1870" s="191">
        <f ca="1">IF(K1864&gt;=2,M1869-P1859,M1869)</f>
        <v>8888</v>
      </c>
      <c r="O1870" s="130" t="s">
        <v>396</v>
      </c>
      <c r="P1870" s="130">
        <f ca="1">P1866</f>
        <v>8888</v>
      </c>
      <c r="Q1870" s="140">
        <f ca="1">Q1866</f>
        <v>8888</v>
      </c>
      <c r="S1870" s="130" t="s">
        <v>396</v>
      </c>
      <c r="T1870" s="130">
        <f ca="1">T1866</f>
        <v>8888</v>
      </c>
      <c r="U1870" s="140">
        <f ca="1">U1866</f>
        <v>8888</v>
      </c>
      <c r="W1870" s="130" t="s">
        <v>396</v>
      </c>
      <c r="X1870" s="130">
        <f ca="1">X1866</f>
        <v>8888</v>
      </c>
      <c r="Y1870" s="140">
        <f ca="1">Y1866</f>
        <v>8888</v>
      </c>
      <c r="AA1870" s="143" t="s">
        <v>49</v>
      </c>
      <c r="AB1870" s="128">
        <f ca="1">IF($AA1864,D1870,P1870)</f>
        <v>8888</v>
      </c>
      <c r="AC1870" s="129">
        <f ca="1">IF($AA1864,E1870,Q1870)</f>
        <v>8888</v>
      </c>
      <c r="AD1870" s="157"/>
      <c r="AE1870" s="192" t="s">
        <v>49</v>
      </c>
      <c r="AF1870" s="128">
        <f ca="1">IF($AE1864,H1870,T1870)</f>
        <v>8888</v>
      </c>
      <c r="AG1870" s="129">
        <f ca="1">IF($AE1864,I1870,U1870)</f>
        <v>8888</v>
      </c>
      <c r="AI1870" s="190" t="s">
        <v>49</v>
      </c>
      <c r="AJ1870" s="128">
        <f ca="1">IF($AI1864,L1870,X1870)</f>
        <v>8888</v>
      </c>
      <c r="AK1870" s="129">
        <f ca="1">IF($AI1864,M1870,Y1870)</f>
        <v>8888</v>
      </c>
      <c r="AM1870" s="128" t="s">
        <v>49</v>
      </c>
      <c r="AN1870" s="128">
        <f ca="1">AN1869</f>
        <v>-18.624000000000006</v>
      </c>
      <c r="AO1870" s="129">
        <f ca="1">IF(AN1870&gt;-Fuselage!$D$366,(FUSELAGE_a_ellipse)*SQRT(1-((AN1870+Fuselage!$D$366)/(Fuselage!$K$364-FUSELAGE_t_fuselage))^2),IF(AN1870&gt;$L$2505+Fuselage!$K$370,FUSELAGE_a_ellipse,(FUSELAGE_a_ellipse+FUSELAGE_t_fuselage-FUSELAGE_d_fo/4)/Fuselage!$K$368*(AN1870-$L$2505-Fuselage!$K$370)+FUSELAGE_a_ellipse))</f>
        <v>1.4960570012328709</v>
      </c>
      <c r="AQ1870" s="128" t="s">
        <v>49</v>
      </c>
      <c r="AR1870" s="128">
        <f t="shared" ca="1" si="158"/>
        <v>-18.624000000000006</v>
      </c>
      <c r="AS1870" s="129">
        <f t="shared" ca="1" si="159"/>
        <v>-1.4960570012328709</v>
      </c>
      <c r="BD1870" s="157"/>
    </row>
    <row r="1871" spans="2:56">
      <c r="B1871" s="156"/>
      <c r="C1871" s="128" t="s">
        <v>453</v>
      </c>
      <c r="D1871" s="128">
        <f ca="1">IF(C1864&gt;=2,D1866+P1858,D1869)</f>
        <v>8888</v>
      </c>
      <c r="E1871" s="139">
        <f ca="1">E1870</f>
        <v>8888</v>
      </c>
      <c r="F1871" s="157"/>
      <c r="G1871" s="2" t="s">
        <v>453</v>
      </c>
      <c r="H1871" s="128">
        <f ca="1">IF(G1864&gt;=2,H1867,H1869)</f>
        <v>8888</v>
      </c>
      <c r="I1871" s="139">
        <f ca="1">IF(G1864&gt;=2,I1870,I1869)</f>
        <v>8888</v>
      </c>
      <c r="K1871" s="128" t="s">
        <v>453</v>
      </c>
      <c r="L1871" s="128">
        <f ca="1">IF(K1864&gt;=2,IF(X1859,IF(K1864=2,L1866+P1858/4,L1866+P1858),L1866+P1858),L1869)</f>
        <v>8888</v>
      </c>
      <c r="M1871" s="139">
        <f ca="1">IF(K1864&gt;=2,M1870,M1869)</f>
        <v>8888</v>
      </c>
      <c r="AA1871" s="143" t="s">
        <v>453</v>
      </c>
      <c r="AB1871" s="128">
        <f ca="1">IF($AA1864,D1871,AB1870)</f>
        <v>8888</v>
      </c>
      <c r="AC1871" s="129">
        <f ca="1">IF($AA1864,E1871,AC1870)</f>
        <v>8888</v>
      </c>
      <c r="AD1871" s="157"/>
      <c r="AE1871" s="2" t="s">
        <v>453</v>
      </c>
      <c r="AF1871" s="128">
        <f ca="1">IF($AE1864,H1871,AF1870)</f>
        <v>8888</v>
      </c>
      <c r="AG1871" s="129">
        <f ca="1">IF($AE1864,I1871,AG1870)</f>
        <v>8888</v>
      </c>
      <c r="AI1871" s="128" t="s">
        <v>453</v>
      </c>
      <c r="AJ1871" s="128">
        <f ca="1">IF($AI1864,L1871,AJ1870)</f>
        <v>8888</v>
      </c>
      <c r="AK1871" s="129">
        <f ca="1">IF($AI1864,M1871,AK1870)</f>
        <v>8888</v>
      </c>
      <c r="AM1871" s="128" t="s">
        <v>453</v>
      </c>
      <c r="AN1871" s="128">
        <f ca="1">L1857</f>
        <v>-18.624000000000006</v>
      </c>
      <c r="AO1871" s="129">
        <f ca="1">IF(AN1871&gt;-Fuselage!$D$366,(FUSELAGE_a_ellipse)*SQRT(1-((AN1871+Fuselage!$D$366)/(Fuselage!$K$364-FUSELAGE_t_fuselage))^2),IF(AN1871&gt;$L$2505+Fuselage!$K$370,FUSELAGE_a_ellipse,(FUSELAGE_a_ellipse+FUSELAGE_t_fuselage-FUSELAGE_d_fo/4)/Fuselage!$K$368*(AN1871-$L$2505-Fuselage!$K$370)+FUSELAGE_a_ellipse))</f>
        <v>1.4960570012328709</v>
      </c>
      <c r="AQ1871" s="128" t="s">
        <v>453</v>
      </c>
      <c r="AR1871" s="128">
        <f t="shared" ca="1" si="158"/>
        <v>-18.624000000000006</v>
      </c>
      <c r="AS1871" s="129">
        <f t="shared" ca="1" si="159"/>
        <v>-1.4960570012328709</v>
      </c>
      <c r="BD1871" s="157"/>
    </row>
    <row r="1872" spans="2:56">
      <c r="B1872" s="156"/>
      <c r="C1872" s="128" t="s">
        <v>394</v>
      </c>
      <c r="D1872" s="128">
        <f ca="1">IF(C1864&gt;=2,D1871,D1869)</f>
        <v>8888</v>
      </c>
      <c r="E1872" s="139">
        <f ca="1">IF(C1864&gt;=2,E1870-P1857,E1869)</f>
        <v>8888</v>
      </c>
      <c r="F1872" s="157"/>
      <c r="G1872" s="2" t="s">
        <v>394</v>
      </c>
      <c r="H1872" s="128">
        <f ca="1">IF(G1864&gt;=2,H1867,H1869)</f>
        <v>8888</v>
      </c>
      <c r="I1872" s="139">
        <f ca="1">IF(G1864&gt;=2,I1871-P1857,I1869)</f>
        <v>8888</v>
      </c>
      <c r="K1872" s="128" t="s">
        <v>394</v>
      </c>
      <c r="L1872" s="128">
        <f ca="1">L1871</f>
        <v>8888</v>
      </c>
      <c r="M1872" s="139">
        <f ca="1">IF(K1864&gt;=2,M1871-P1857,M1869)</f>
        <v>8888</v>
      </c>
      <c r="AA1872" s="143" t="s">
        <v>394</v>
      </c>
      <c r="AB1872" s="128">
        <f ca="1">IF($AA1864,D1872,AB1870)</f>
        <v>8888</v>
      </c>
      <c r="AC1872" s="129">
        <f ca="1">IF($AA1864,E1872,AC1870)</f>
        <v>8888</v>
      </c>
      <c r="AD1872" s="157"/>
      <c r="AE1872" s="2" t="s">
        <v>394</v>
      </c>
      <c r="AF1872" s="128">
        <f ca="1">IF($AE1864,H1872,AF1870)</f>
        <v>8888</v>
      </c>
      <c r="AG1872" s="129">
        <f ca="1">IF($AE1864,I1872,AG1870)</f>
        <v>8888</v>
      </c>
      <c r="AI1872" s="128" t="s">
        <v>394</v>
      </c>
      <c r="AJ1872" s="128">
        <f ca="1">IF($AI1864,L1872,AJ1870)</f>
        <v>8888</v>
      </c>
      <c r="AK1872" s="129">
        <f ca="1">IF($AI1864,M1872,AK1870)</f>
        <v>8888</v>
      </c>
      <c r="BD1872" s="157"/>
    </row>
    <row r="1873" spans="2:56">
      <c r="B1873" s="156"/>
      <c r="C1873" s="188" t="s">
        <v>454</v>
      </c>
      <c r="D1873" s="188">
        <f ca="1">IF(C1864&gt;=2,D1866,D1869)</f>
        <v>8888</v>
      </c>
      <c r="E1873" s="189">
        <f ca="1">E1872</f>
        <v>8888</v>
      </c>
      <c r="F1873" s="157"/>
      <c r="G1873" s="115" t="s">
        <v>454</v>
      </c>
      <c r="H1873" s="188">
        <f ca="1">IF(G1864&gt;=2,H1866,H1869)</f>
        <v>8888</v>
      </c>
      <c r="I1873" s="189">
        <f ca="1">IF(G1864&gt;=2,I1872,I1869)</f>
        <v>8888</v>
      </c>
      <c r="K1873" s="188" t="s">
        <v>454</v>
      </c>
      <c r="L1873" s="188">
        <f ca="1">IF(K1864&gt;=2,L1866,L1869)</f>
        <v>8888</v>
      </c>
      <c r="M1873" s="189">
        <f ca="1">IF(K1864&gt;=2,M1872,M1869)</f>
        <v>8888</v>
      </c>
      <c r="AA1873" s="195" t="s">
        <v>454</v>
      </c>
      <c r="AB1873" s="128">
        <f ca="1">IF($AA1864,D1873,AB1870)</f>
        <v>8888</v>
      </c>
      <c r="AC1873" s="129">
        <f ca="1">IF($AA1864,E1873,AC1870)</f>
        <v>8888</v>
      </c>
      <c r="AD1873" s="157"/>
      <c r="AE1873" s="115" t="s">
        <v>454</v>
      </c>
      <c r="AF1873" s="188">
        <f ca="1">IF($AE1864,H1873,AF1870)</f>
        <v>8888</v>
      </c>
      <c r="AG1873" s="196">
        <f ca="1">IF($AE1864,I1873,AG1870)</f>
        <v>8888</v>
      </c>
      <c r="AI1873" s="188" t="s">
        <v>454</v>
      </c>
      <c r="AJ1873" s="188">
        <f ca="1">IF($AI1864,L1873,AJ1870)</f>
        <v>8888</v>
      </c>
      <c r="AK1873" s="196">
        <f ca="1">IF($AI1864,M1873,AK1870)</f>
        <v>8888</v>
      </c>
      <c r="BD1873" s="157"/>
    </row>
    <row r="1874" spans="2:56">
      <c r="B1874" s="156"/>
      <c r="C1874" s="128" t="s">
        <v>507</v>
      </c>
      <c r="D1874" s="128">
        <f ca="1">IF(C1864&gt;=3,D1866,D1873)</f>
        <v>8888</v>
      </c>
      <c r="E1874" s="139">
        <f ca="1">IF(C1864&gt;=3,E1873-P1859,E1873)</f>
        <v>8888</v>
      </c>
      <c r="F1874" s="157"/>
      <c r="G1874" s="2" t="s">
        <v>507</v>
      </c>
      <c r="H1874" s="128">
        <f ca="1">IF(G1864&gt;=3,H1866,H1873)</f>
        <v>8888</v>
      </c>
      <c r="I1874" s="139">
        <f ca="1">IF(G1864&gt;=3,I1873-P1859,I1873)</f>
        <v>8888</v>
      </c>
      <c r="K1874" s="128" t="s">
        <v>507</v>
      </c>
      <c r="L1874" s="128">
        <f ca="1">IF(K1864&gt;=3,L1866,L1873)</f>
        <v>8888</v>
      </c>
      <c r="M1874" s="139">
        <f ca="1">IF(K1864&gt;=3,M1873-P1859,M1873)</f>
        <v>8888</v>
      </c>
      <c r="AA1874" s="143" t="s">
        <v>507</v>
      </c>
      <c r="AB1874" s="128">
        <f ca="1">IF($AA1864,D1874,AB1870)</f>
        <v>8888</v>
      </c>
      <c r="AC1874" s="129">
        <f ca="1">IF($AA1864,E1874,AC1870)</f>
        <v>8888</v>
      </c>
      <c r="AD1874" s="157"/>
      <c r="AE1874" s="2" t="s">
        <v>507</v>
      </c>
      <c r="AF1874" s="128">
        <f ca="1">IF($AE1864,H1874,AF1870)</f>
        <v>8888</v>
      </c>
      <c r="AG1874" s="129">
        <f ca="1">IF($AE1864,I1874,AG1870)</f>
        <v>8888</v>
      </c>
      <c r="AI1874" s="128" t="s">
        <v>507</v>
      </c>
      <c r="AJ1874" s="128">
        <f ca="1">IF($AI1864,L1874,AJ1870)</f>
        <v>8888</v>
      </c>
      <c r="AK1874" s="129">
        <f ca="1">IF($AI1864,M1874,AK1870)</f>
        <v>8888</v>
      </c>
      <c r="BD1874" s="157"/>
    </row>
    <row r="1875" spans="2:56">
      <c r="B1875" s="156"/>
      <c r="C1875" s="128" t="s">
        <v>455</v>
      </c>
      <c r="D1875" s="128">
        <f ca="1">IF(C1864&gt;=3,D1871,D1873)</f>
        <v>8888</v>
      </c>
      <c r="E1875" s="139">
        <f ca="1">E1874</f>
        <v>8888</v>
      </c>
      <c r="F1875" s="157"/>
      <c r="G1875" s="2" t="s">
        <v>455</v>
      </c>
      <c r="H1875" s="128">
        <f ca="1">IF(G1864&gt;=3,H1867,H1873)</f>
        <v>8888</v>
      </c>
      <c r="I1875" s="139">
        <f ca="1">IF(G1864&gt;=3,I1874,I1873)</f>
        <v>8888</v>
      </c>
      <c r="K1875" s="128" t="s">
        <v>455</v>
      </c>
      <c r="L1875" s="128">
        <f ca="1">IF(K1864&gt;=3,IF(X1859,IF(K1864=3,L1866+P1858/4,L1866+P1858),L1866+P1858),L1869)</f>
        <v>8888</v>
      </c>
      <c r="M1875" s="139">
        <f ca="1">IF(K1864&gt;=3,M1874,M1873)</f>
        <v>8888</v>
      </c>
      <c r="AA1875" s="143" t="s">
        <v>455</v>
      </c>
      <c r="AB1875" s="128">
        <f ca="1">IF($AA1864,D1875,AB1870)</f>
        <v>8888</v>
      </c>
      <c r="AC1875" s="129">
        <f ca="1">IF($AA1864,E1875,AC1870)</f>
        <v>8888</v>
      </c>
      <c r="AD1875" s="157"/>
      <c r="AE1875" s="2" t="s">
        <v>455</v>
      </c>
      <c r="AF1875" s="128">
        <f ca="1">IF($AE1864,H1875,AF1870)</f>
        <v>8888</v>
      </c>
      <c r="AG1875" s="129">
        <f ca="1">IF($AE1864,I1875,AG1870)</f>
        <v>8888</v>
      </c>
      <c r="AI1875" s="128" t="s">
        <v>455</v>
      </c>
      <c r="AJ1875" s="128">
        <f ca="1">IF($AI1864,L1875,AJ1870)</f>
        <v>8888</v>
      </c>
      <c r="AK1875" s="129">
        <f ca="1">IF($AI1864,M1875,AK1870)</f>
        <v>8888</v>
      </c>
      <c r="AL1875" s="156"/>
      <c r="BD1875" s="157"/>
    </row>
    <row r="1876" spans="2:56">
      <c r="B1876" s="156"/>
      <c r="C1876" s="128" t="s">
        <v>311</v>
      </c>
      <c r="D1876" s="128">
        <f ca="1">IF(C1864&gt;=3,D1871,D1873)</f>
        <v>8888</v>
      </c>
      <c r="E1876" s="139">
        <f ca="1">IF(C1864&gt;=3,E1875-P1857,E1873)</f>
        <v>8888</v>
      </c>
      <c r="F1876" s="157"/>
      <c r="G1876" s="2" t="s">
        <v>311</v>
      </c>
      <c r="H1876" s="128">
        <f ca="1">IF(G1864&gt;=3,H1867,H1873)</f>
        <v>8888</v>
      </c>
      <c r="I1876" s="139">
        <f ca="1">IF(G1864&gt;=3,I1875-P1857,I1873)</f>
        <v>8888</v>
      </c>
      <c r="K1876" s="128" t="s">
        <v>311</v>
      </c>
      <c r="L1876" s="128">
        <f ca="1">L1875</f>
        <v>8888</v>
      </c>
      <c r="M1876" s="139">
        <f ca="1">IF(K1864&gt;=3,M1875-P1857,M1873)</f>
        <v>8888</v>
      </c>
      <c r="AA1876" s="143" t="s">
        <v>311</v>
      </c>
      <c r="AB1876" s="128">
        <f ca="1">IF($AA1864,D1876,AB1870)</f>
        <v>8888</v>
      </c>
      <c r="AC1876" s="129">
        <f ca="1">IF($AA1864,E1876,AC1870)</f>
        <v>8888</v>
      </c>
      <c r="AD1876" s="157"/>
      <c r="AE1876" s="2" t="s">
        <v>311</v>
      </c>
      <c r="AF1876" s="128">
        <f ca="1">IF($AE1864,H1876,AF1870)</f>
        <v>8888</v>
      </c>
      <c r="AG1876" s="129">
        <f ca="1">IF($AE1864,I1876,AG1870)</f>
        <v>8888</v>
      </c>
      <c r="AI1876" s="128" t="s">
        <v>311</v>
      </c>
      <c r="AJ1876" s="128">
        <f ca="1">IF($AI1864,L1876,AJ1870)</f>
        <v>8888</v>
      </c>
      <c r="AK1876" s="129">
        <f ca="1">IF($AI1864,M1876,AK1870)</f>
        <v>8888</v>
      </c>
      <c r="AL1876" s="156"/>
      <c r="BD1876" s="157"/>
    </row>
    <row r="1877" spans="2:56">
      <c r="B1877" s="156"/>
      <c r="C1877" s="188" t="s">
        <v>35</v>
      </c>
      <c r="D1877" s="188">
        <f ca="1">IF(C1864&gt;=3,D1866,D1873)</f>
        <v>8888</v>
      </c>
      <c r="E1877" s="189">
        <f ca="1">E1876</f>
        <v>8888</v>
      </c>
      <c r="F1877" s="157"/>
      <c r="G1877" s="2" t="s">
        <v>35</v>
      </c>
      <c r="H1877" s="188">
        <f ca="1">IF(G1864&gt;=3,H1866,H1873)</f>
        <v>8888</v>
      </c>
      <c r="I1877" s="189">
        <f ca="1">IF(G1864&gt;=3,I1876,I1873)</f>
        <v>8888</v>
      </c>
      <c r="K1877" s="188" t="s">
        <v>35</v>
      </c>
      <c r="L1877" s="188">
        <f ca="1">IF(K1864&gt;=3,L1866,L1873)</f>
        <v>8888</v>
      </c>
      <c r="M1877" s="189">
        <f ca="1">IF(K1864&gt;=3,M1876,M1873)</f>
        <v>8888</v>
      </c>
      <c r="AA1877" s="143" t="s">
        <v>35</v>
      </c>
      <c r="AB1877" s="128">
        <f ca="1">IF($AA1864,D1877,AB1870)</f>
        <v>8888</v>
      </c>
      <c r="AC1877" s="129">
        <f ca="1">IF($AA1864,E1877,AC1870)</f>
        <v>8888</v>
      </c>
      <c r="AD1877" s="157"/>
      <c r="AE1877" s="2" t="s">
        <v>35</v>
      </c>
      <c r="AF1877" s="188">
        <f ca="1">IF($AE1864,H1877,AF1870)</f>
        <v>8888</v>
      </c>
      <c r="AG1877" s="196">
        <f ca="1">IF($AE1864,I1877,AG1870)</f>
        <v>8888</v>
      </c>
      <c r="AI1877" s="128" t="s">
        <v>35</v>
      </c>
      <c r="AJ1877" s="128">
        <f ca="1">IF($AI1864,L1877,AJ1870)</f>
        <v>8888</v>
      </c>
      <c r="AK1877" s="129">
        <f ca="1">IF($AI1864,M1877,AK1870)</f>
        <v>8888</v>
      </c>
      <c r="AL1877" s="156"/>
      <c r="BD1877" s="157"/>
    </row>
    <row r="1878" spans="2:56" ht="15" thickBot="1">
      <c r="B1878" s="156"/>
      <c r="C1878" s="130" t="s">
        <v>396</v>
      </c>
      <c r="D1878" s="130">
        <f ca="1">D1866</f>
        <v>8888</v>
      </c>
      <c r="E1878" s="140">
        <f ca="1">E1866</f>
        <v>8888</v>
      </c>
      <c r="F1878" s="157"/>
      <c r="G1878" s="192" t="s">
        <v>312</v>
      </c>
      <c r="H1878" s="128">
        <f ca="1">IF(G1864&gt;=4,H1866,H1877)</f>
        <v>8888</v>
      </c>
      <c r="I1878" s="139">
        <f ca="1">IF(G1864&gt;=4,I1877-P1859,I1877)</f>
        <v>8888</v>
      </c>
      <c r="K1878" s="130" t="s">
        <v>396</v>
      </c>
      <c r="L1878" s="130">
        <f ca="1">L1866</f>
        <v>8888</v>
      </c>
      <c r="M1878" s="140">
        <f ca="1">M1866</f>
        <v>8888</v>
      </c>
      <c r="AA1878" s="144" t="s">
        <v>396</v>
      </c>
      <c r="AB1878" s="130">
        <f ca="1">IF($AA1864,D1878,AB1870)</f>
        <v>8888</v>
      </c>
      <c r="AC1878" s="132">
        <f ca="1">IF($AA1864,E1878,AC1870)</f>
        <v>8888</v>
      </c>
      <c r="AD1878" s="157"/>
      <c r="AE1878" s="192" t="s">
        <v>312</v>
      </c>
      <c r="AF1878" s="128">
        <f ca="1">IF($AE1864,H1878,AF1870)</f>
        <v>8888</v>
      </c>
      <c r="AG1878" s="129">
        <f ca="1">IF($AE1864,I1878,AG1870)</f>
        <v>8888</v>
      </c>
      <c r="AI1878" s="130" t="s">
        <v>396</v>
      </c>
      <c r="AJ1878" s="130">
        <f ca="1">IF($AI1864,L1878,AJ1870)</f>
        <v>8888</v>
      </c>
      <c r="AK1878" s="132">
        <f ca="1">IF($AI1864,M1878,AK1870)</f>
        <v>8888</v>
      </c>
      <c r="BD1878" s="157"/>
    </row>
    <row r="1879" spans="2:56">
      <c r="B1879" s="156"/>
      <c r="F1879" s="157"/>
      <c r="G1879" s="2" t="s">
        <v>313</v>
      </c>
      <c r="H1879" s="128">
        <f ca="1">IF(G1864&gt;=4,H1867,H1877)</f>
        <v>8888</v>
      </c>
      <c r="I1879" s="139">
        <f ca="1">IF(G1864&gt;=4,I1878,I1877)</f>
        <v>8888</v>
      </c>
      <c r="AD1879" s="157"/>
      <c r="AE1879" s="2" t="s">
        <v>313</v>
      </c>
      <c r="AF1879" s="128">
        <f ca="1">IF($AE1864,H1879,AF1870)</f>
        <v>8888</v>
      </c>
      <c r="AG1879" s="129">
        <f ca="1">IF($AE1864,I1879,AG1870)</f>
        <v>8888</v>
      </c>
      <c r="BD1879" s="157"/>
    </row>
    <row r="1880" spans="2:56">
      <c r="B1880" s="156"/>
      <c r="F1880" s="157"/>
      <c r="G1880" s="2" t="s">
        <v>7</v>
      </c>
      <c r="H1880" s="128">
        <f ca="1">IF(G1864&gt;=4,H1867,H1877)</f>
        <v>8888</v>
      </c>
      <c r="I1880" s="139">
        <f ca="1">IF(G1864&gt;=4,I1879-P1857,I1877)</f>
        <v>8888</v>
      </c>
      <c r="AD1880" s="157"/>
      <c r="AE1880" s="2" t="s">
        <v>7</v>
      </c>
      <c r="AF1880" s="128">
        <f ca="1">IF($AE1864,H1880,AF1870)</f>
        <v>8888</v>
      </c>
      <c r="AG1880" s="129">
        <f ca="1">IF($AE1864,I1880,AG1870)</f>
        <v>8888</v>
      </c>
      <c r="BD1880" s="157"/>
    </row>
    <row r="1881" spans="2:56">
      <c r="B1881" s="156"/>
      <c r="F1881" s="157"/>
      <c r="G1881" s="115" t="s">
        <v>8</v>
      </c>
      <c r="H1881" s="188">
        <f ca="1">IF(G1864&gt;=4,H1866,H1877)</f>
        <v>8888</v>
      </c>
      <c r="I1881" s="189">
        <f ca="1">IF(G1864&gt;=4,I1880,I1877)</f>
        <v>8888</v>
      </c>
      <c r="AD1881" s="157"/>
      <c r="AE1881" s="115" t="s">
        <v>8</v>
      </c>
      <c r="AF1881" s="188">
        <f ca="1">IF($AE1864,H1881,AF1870)</f>
        <v>8888</v>
      </c>
      <c r="AG1881" s="196">
        <f ca="1">IF($AE1864,I1881,AG1870)</f>
        <v>8888</v>
      </c>
      <c r="BD1881" s="157"/>
    </row>
    <row r="1882" spans="2:56">
      <c r="B1882" s="156"/>
      <c r="F1882" s="157"/>
      <c r="G1882" s="2" t="s">
        <v>9</v>
      </c>
      <c r="H1882" s="128">
        <f ca="1">IF(G1864&gt;=5,H1866,H1881)</f>
        <v>8888</v>
      </c>
      <c r="I1882" s="139">
        <f ca="1">IF(G1864&gt;=5,I1881-P1859,I1881)</f>
        <v>8888</v>
      </c>
      <c r="AD1882" s="157"/>
      <c r="AE1882" s="2" t="s">
        <v>9</v>
      </c>
      <c r="AF1882" s="128">
        <f ca="1">IF($AE1864,H1882,AF1870)</f>
        <v>8888</v>
      </c>
      <c r="AG1882" s="129">
        <f ca="1">IF($AE1864,I1882,AG1870)</f>
        <v>8888</v>
      </c>
      <c r="BD1882" s="157"/>
    </row>
    <row r="1883" spans="2:56">
      <c r="B1883" s="156"/>
      <c r="F1883" s="157"/>
      <c r="G1883" s="2" t="s">
        <v>196</v>
      </c>
      <c r="H1883" s="128">
        <f ca="1">IF(G1864&gt;=5,H1867,H1881)</f>
        <v>8888</v>
      </c>
      <c r="I1883" s="139">
        <f ca="1">IF(G1864&gt;=5,I1882,I1881)</f>
        <v>8888</v>
      </c>
      <c r="AD1883" s="157"/>
      <c r="AE1883" s="2" t="s">
        <v>196</v>
      </c>
      <c r="AF1883" s="128">
        <f ca="1">IF($AE1864,H1883,AF1870)</f>
        <v>8888</v>
      </c>
      <c r="AG1883" s="129">
        <f ca="1">IF($AE1864,I1883,AG1870)</f>
        <v>8888</v>
      </c>
      <c r="BD1883" s="157"/>
    </row>
    <row r="1884" spans="2:56">
      <c r="B1884" s="156"/>
      <c r="F1884" s="157"/>
      <c r="G1884" s="2" t="s">
        <v>10</v>
      </c>
      <c r="H1884" s="128">
        <f ca="1">IF(G1864&gt;=5,H1867,H1881)</f>
        <v>8888</v>
      </c>
      <c r="I1884" s="139">
        <f ca="1">IF(G1864&gt;=5,I1883-P1857,I1881)</f>
        <v>8888</v>
      </c>
      <c r="AD1884" s="157"/>
      <c r="AE1884" s="2" t="s">
        <v>10</v>
      </c>
      <c r="AF1884" s="128">
        <f ca="1">IF($AE1864,H1884,AF1870)</f>
        <v>8888</v>
      </c>
      <c r="AG1884" s="129">
        <f ca="1">IF($AE1864,I1884,AG1870)</f>
        <v>8888</v>
      </c>
      <c r="BD1884" s="157"/>
    </row>
    <row r="1885" spans="2:56">
      <c r="B1885" s="156"/>
      <c r="F1885" s="157"/>
      <c r="G1885" s="2" t="s">
        <v>161</v>
      </c>
      <c r="H1885" s="188">
        <f ca="1">IF(G1864&gt;=5,H1866,H1881)</f>
        <v>8888</v>
      </c>
      <c r="I1885" s="189">
        <f ca="1">IF(G1864&gt;=5,I1884,I1881)</f>
        <v>8888</v>
      </c>
      <c r="AD1885" s="157"/>
      <c r="AE1885" s="2" t="s">
        <v>161</v>
      </c>
      <c r="AF1885" s="188">
        <f ca="1">IF($AE1864,H1885,AF1870)</f>
        <v>8888</v>
      </c>
      <c r="AG1885" s="196">
        <f ca="1">IF($AE1864,I1885,AG1870)</f>
        <v>8888</v>
      </c>
      <c r="BD1885" s="157"/>
    </row>
    <row r="1886" spans="2:56">
      <c r="B1886" s="156"/>
      <c r="F1886" s="157"/>
      <c r="G1886" s="192" t="s">
        <v>11</v>
      </c>
      <c r="H1886" s="128">
        <f ca="1">IF(G1864&gt;=6,H1866,H1885)</f>
        <v>8888</v>
      </c>
      <c r="I1886" s="139">
        <f ca="1">IF(G1864&gt;=6,I1885-P1859,I1885)</f>
        <v>8888</v>
      </c>
      <c r="AD1886" s="157"/>
      <c r="AE1886" s="192" t="s">
        <v>11</v>
      </c>
      <c r="AF1886" s="128">
        <f ca="1">IF($AE1864,H1886,AF1870)</f>
        <v>8888</v>
      </c>
      <c r="AG1886" s="129">
        <f ca="1">IF($AE1864,I1886,AG1870)</f>
        <v>8888</v>
      </c>
      <c r="BD1886" s="157"/>
    </row>
    <row r="1887" spans="2:56">
      <c r="B1887" s="156"/>
      <c r="F1887" s="157"/>
      <c r="G1887" s="2" t="s">
        <v>12</v>
      </c>
      <c r="H1887" s="128">
        <f ca="1">IF(G1864&gt;=6,H1867,H1885)</f>
        <v>8888</v>
      </c>
      <c r="I1887" s="139">
        <f ca="1">IF(G1864&gt;=6,I1886,I1885)</f>
        <v>8888</v>
      </c>
      <c r="AD1887" s="157"/>
      <c r="AE1887" s="2" t="s">
        <v>12</v>
      </c>
      <c r="AF1887" s="128">
        <f ca="1">IF($AE1864,H1887,AF1870)</f>
        <v>8888</v>
      </c>
      <c r="AG1887" s="129">
        <f ca="1">IF($AE1864,I1887,AG1870)</f>
        <v>8888</v>
      </c>
      <c r="BD1887" s="157"/>
    </row>
    <row r="1888" spans="2:56">
      <c r="B1888" s="156"/>
      <c r="F1888" s="157"/>
      <c r="G1888" s="2" t="s">
        <v>13</v>
      </c>
      <c r="H1888" s="128">
        <f ca="1">IF(G1864&gt;=6,H1867,H1885)</f>
        <v>8888</v>
      </c>
      <c r="I1888" s="139">
        <f ca="1">IF(G1864&gt;=6,I1887-P1857,I1885)</f>
        <v>8888</v>
      </c>
      <c r="AD1888" s="157"/>
      <c r="AE1888" s="2" t="s">
        <v>13</v>
      </c>
      <c r="AF1888" s="128">
        <f ca="1">IF($AE1864,H1888,AF1870)</f>
        <v>8888</v>
      </c>
      <c r="AG1888" s="129">
        <f ca="1">IF($AE1864,I1888,AG1870)</f>
        <v>8888</v>
      </c>
      <c r="BD1888" s="157"/>
    </row>
    <row r="1889" spans="2:56">
      <c r="B1889" s="156"/>
      <c r="F1889" s="157"/>
      <c r="G1889" s="115" t="s">
        <v>14</v>
      </c>
      <c r="H1889" s="188">
        <f ca="1">IF(G1864&gt;=6,H1866,H1885)</f>
        <v>8888</v>
      </c>
      <c r="I1889" s="189">
        <f ca="1">IF(G1864&gt;=6,I1888,I1885)</f>
        <v>8888</v>
      </c>
      <c r="AD1889" s="157"/>
      <c r="AE1889" s="115" t="s">
        <v>14</v>
      </c>
      <c r="AF1889" s="188">
        <f ca="1">IF($AE1864,H1889,AF1870)</f>
        <v>8888</v>
      </c>
      <c r="AG1889" s="196">
        <f ca="1">IF($AE1864,I1889,AG1870)</f>
        <v>8888</v>
      </c>
      <c r="BD1889" s="157"/>
    </row>
    <row r="1890" spans="2:56" ht="15" thickBot="1">
      <c r="B1890" s="156"/>
      <c r="G1890" s="130" t="s">
        <v>396</v>
      </c>
      <c r="H1890" s="130">
        <f ca="1">H1866</f>
        <v>8888</v>
      </c>
      <c r="I1890" s="140">
        <f ca="1">I1866</f>
        <v>8888</v>
      </c>
      <c r="AE1890" s="130" t="s">
        <v>396</v>
      </c>
      <c r="AF1890" s="130">
        <f ca="1">IF($AE1864,H1890,AF1870)</f>
        <v>8888</v>
      </c>
      <c r="AG1890" s="132">
        <f ca="1">IF($AE1864,I1890,AG1870)</f>
        <v>8888</v>
      </c>
      <c r="BD1890" s="157"/>
    </row>
    <row r="1891" spans="2:56">
      <c r="B1891" s="156"/>
      <c r="BD1891" s="157"/>
    </row>
    <row r="1892" spans="2:56">
      <c r="B1892" s="156"/>
      <c r="BD1892" s="157"/>
    </row>
    <row r="1893" spans="2:56">
      <c r="B1893" s="156"/>
      <c r="C1893" s="200" t="s">
        <v>336</v>
      </c>
      <c r="D1893">
        <f>D1857+1</f>
        <v>48</v>
      </c>
      <c r="G1893" s="200" t="s">
        <v>638</v>
      </c>
      <c r="H1893">
        <f ca="1">LOOKUP(D1896,$C$191:$C$196,$D$191:$D$196)</f>
        <v>0</v>
      </c>
      <c r="K1893" s="200" t="s">
        <v>644</v>
      </c>
      <c r="L1893">
        <f ca="1">L1857-H1898</f>
        <v>-18.624000000000006</v>
      </c>
      <c r="O1893" s="200" t="s">
        <v>404</v>
      </c>
      <c r="P1893">
        <f ca="1">IF(D1895=1,SEAT_w_cushion_FC,IF(D1895=2,SEAT_w_cushion_BC,IF(D1895=3,SEAT_w_cushion_YC,0)))</f>
        <v>0</v>
      </c>
      <c r="S1893" s="200" t="s">
        <v>647</v>
      </c>
      <c r="T1893">
        <f ca="1">LOOKUP(D1896,$C$191:$C$196,$E$191:$E$196)</f>
        <v>0</v>
      </c>
      <c r="W1893" t="s">
        <v>130</v>
      </c>
      <c r="X1893" t="str">
        <f ca="1">OFFSET(Fuselage!$B$275,D1893,5)</f>
        <v>None</v>
      </c>
      <c r="AN1893" s="200" t="s">
        <v>135</v>
      </c>
      <c r="AO1893">
        <f ca="1">MAX(0,H1898-MAX(T1893,T1895,T1897,P1894)-X1894)</f>
        <v>0</v>
      </c>
      <c r="BD1893" s="157"/>
    </row>
    <row r="1894" spans="2:56">
      <c r="B1894" s="156"/>
      <c r="C1894" s="200" t="s">
        <v>200</v>
      </c>
      <c r="D1894" t="str">
        <f ca="1">OFFSET(Fuselage!$B$275,D1893,0)</f>
        <v/>
      </c>
      <c r="G1894" s="200" t="s">
        <v>639</v>
      </c>
      <c r="H1894">
        <f ca="1">LOOKUP(D1897,$C$191:$C$196,$D$191:$D$196)</f>
        <v>0</v>
      </c>
      <c r="O1894" s="200" t="s">
        <v>535</v>
      </c>
      <c r="P1894">
        <f ca="1">IF(D1895=1,SEAT_length_FC,IF(D1895=2,SEAT_length_BC,IF(D1895=3,SEAT_length_YC,0)))</f>
        <v>0</v>
      </c>
      <c r="S1894" s="200" t="s">
        <v>648</v>
      </c>
      <c r="T1894">
        <f ca="1">LOOKUP(D1896,$C$191:$C$196,$F$191:$F$196)</f>
        <v>0</v>
      </c>
      <c r="W1894" t="s">
        <v>131</v>
      </c>
      <c r="X1894">
        <f ca="1">LOOKUP(X1893,$I$191:$I$198,$J$191:$J$198)</f>
        <v>0</v>
      </c>
      <c r="BD1894" s="157"/>
    </row>
    <row r="1895" spans="2:56">
      <c r="B1895" s="156"/>
      <c r="C1895" s="200" t="s">
        <v>337</v>
      </c>
      <c r="D1895" t="str">
        <f ca="1">OFFSET(Fuselage!$B$275,D1893,4)</f>
        <v/>
      </c>
      <c r="G1895" s="200" t="s">
        <v>309</v>
      </c>
      <c r="H1895">
        <f ca="1">LOOKUP(D1898,$C$191:$C$196,$D$191:$D$196)</f>
        <v>0</v>
      </c>
      <c r="K1895" s="200" t="s">
        <v>645</v>
      </c>
      <c r="L1895">
        <f ca="1">IF(D1895=1,FUSELAGE_nseats_left_FC,IF(D1895=2,FUSELAGE_nseats_left_BC,IF(D1895=3,FUSELAGE_nseats_left_YC,0)))</f>
        <v>0</v>
      </c>
      <c r="O1895" s="200" t="s">
        <v>405</v>
      </c>
      <c r="P1895">
        <f ca="1">IF(D1895=1,SEAT_w_armrest_FC,IF(D1895=2,SEAT_w_armrest_BC,IF(D1895=3,SEAT_w_armrest_YC,0)))</f>
        <v>0</v>
      </c>
      <c r="S1895" s="200" t="s">
        <v>652</v>
      </c>
      <c r="T1895">
        <f ca="1">LOOKUP(D1897,$C$191:$C$196,$E$191:$E$196)</f>
        <v>0</v>
      </c>
      <c r="W1895" s="200" t="s">
        <v>393</v>
      </c>
      <c r="X1895" t="b">
        <f ca="1">IF(OFFSET(Fuselage!$B$275,D1893,6)="YES",TRUE(),FALSE())</f>
        <v>0</v>
      </c>
      <c r="BD1895" s="157"/>
    </row>
    <row r="1896" spans="2:56">
      <c r="B1896" s="156"/>
      <c r="C1896" s="200" t="s">
        <v>640</v>
      </c>
      <c r="D1896" t="str">
        <f ca="1">OFFSET(Fuselage!$B$275,D1893,1)</f>
        <v>None</v>
      </c>
      <c r="G1896" s="200" t="s">
        <v>132</v>
      </c>
      <c r="H1896">
        <f ca="1">IF(D1895=1,SEAT_pitch_FC,IF(D1895=2,SEAT_pitch_BC,IF(D1895=3,SEAT_pitch_YC,0)))</f>
        <v>0</v>
      </c>
      <c r="K1896" s="200" t="s">
        <v>646</v>
      </c>
      <c r="L1896">
        <f ca="1">IF(D1895=1,FUSELAGE_nseats_middle_FC,IF(D1895=2,FUSELAGE_nseats_middle_BC,IF(D1895=3,FUSELAGE_nseats_middle_YC,0)))</f>
        <v>0</v>
      </c>
      <c r="S1896" s="200" t="s">
        <v>653</v>
      </c>
      <c r="T1896">
        <f ca="1">LOOKUP(D1897,$C$191:$C$196,$F$191:$F$196)</f>
        <v>0</v>
      </c>
      <c r="BD1896" s="157"/>
    </row>
    <row r="1897" spans="2:56">
      <c r="B1897" s="156"/>
      <c r="C1897" s="200" t="s">
        <v>642</v>
      </c>
      <c r="D1897" t="str">
        <f ca="1">OFFSET(Fuselage!$B$275,D1893,2)</f>
        <v>None</v>
      </c>
      <c r="G1897" s="200" t="s">
        <v>129</v>
      </c>
      <c r="H1897">
        <f ca="1">IF(OR(X1893="Type A",X1893="Type B"),MAX(H1893:H1896)+42*0.0254,IF(X1893="Type C",MAX(H1893:H1896)+X1894,IF(X1893&lt;&gt;"None",24*0.0254,0)))</f>
        <v>0</v>
      </c>
      <c r="K1897" s="200" t="s">
        <v>655</v>
      </c>
      <c r="L1897">
        <f ca="1">IF(D1895=1,FUSELAGE_nseats_right_FC,IF(D1895=2,FUSELAGE_nseats_right_BC,IF(D1895=3,FUSELAGE_nseats_right_YC,0)))</f>
        <v>0</v>
      </c>
      <c r="O1897" s="200" t="s">
        <v>407</v>
      </c>
      <c r="P1897">
        <f ca="1">($C$13-(L1895+L1896+L1897)*(P1893+P1895)+(FUSELAGE_n_aisles-1)*P1895)/FUSELAGE_n_aisles</f>
        <v>2.76</v>
      </c>
      <c r="S1897" s="200" t="s">
        <v>651</v>
      </c>
      <c r="T1897">
        <f ca="1">LOOKUP(D1898,$C$191:$C$196,$E$191:$E$196)</f>
        <v>0</v>
      </c>
      <c r="BD1897" s="157"/>
    </row>
    <row r="1898" spans="2:56">
      <c r="B1898" s="156"/>
      <c r="C1898" s="200" t="s">
        <v>641</v>
      </c>
      <c r="D1898" t="str">
        <f ca="1">OFFSET(Fuselage!$B$275,D1893,3)</f>
        <v>None</v>
      </c>
      <c r="G1898" s="200" t="s">
        <v>643</v>
      </c>
      <c r="H1898">
        <f ca="1">MAX(H1893:H1897)</f>
        <v>0</v>
      </c>
      <c r="S1898" s="200" t="s">
        <v>654</v>
      </c>
      <c r="T1898">
        <f ca="1">LOOKUP(D1898,$C$191:$C$196,$F$191:$F$196)</f>
        <v>0</v>
      </c>
      <c r="BD1898" s="157"/>
    </row>
    <row r="1899" spans="2:56" ht="15" thickBot="1">
      <c r="B1899" s="156"/>
      <c r="BD1899" s="157"/>
    </row>
    <row r="1900" spans="2:56" ht="15" thickBot="1">
      <c r="B1900" s="156"/>
      <c r="C1900" s="141">
        <f ca="1">L1897</f>
        <v>0</v>
      </c>
      <c r="D1900" s="197" t="str">
        <f ca="1">IF($D1895=1,"FC",IF($D1895=2,"BC",IF($D1895=3,"YC","Nothing")))</f>
        <v>Nothing</v>
      </c>
      <c r="E1900" s="198"/>
      <c r="G1900" s="141">
        <f ca="1">L1896</f>
        <v>0</v>
      </c>
      <c r="H1900" s="197" t="str">
        <f ca="1">IF($D1895=1,"FC",IF($D1895=2,"BC",IF($D1895=3,"YC","Nothing")))</f>
        <v>Nothing</v>
      </c>
      <c r="I1900" s="198"/>
      <c r="K1900" s="141">
        <f ca="1" xml:space="preserve"> L1895</f>
        <v>0</v>
      </c>
      <c r="L1900" s="197" t="str">
        <f ca="1">IF($D1895=1,"FC",IF($D1895=2,"BC",IF($D1895=3,"YC","Nothing")))</f>
        <v>Nothing</v>
      </c>
      <c r="M1900" s="198"/>
      <c r="O1900" s="141">
        <f ca="1">IF($D1898&lt;&gt;"None",1,0)</f>
        <v>0</v>
      </c>
      <c r="P1900" s="326" t="s">
        <v>380</v>
      </c>
      <c r="Q1900" s="327"/>
      <c r="S1900" s="141">
        <f ca="1">IF($D1897&lt;&gt;"None",1,0)</f>
        <v>0</v>
      </c>
      <c r="T1900" s="326" t="s">
        <v>381</v>
      </c>
      <c r="U1900" s="327"/>
      <c r="W1900" s="141">
        <f ca="1">IF($D1896&lt;&gt;"None",1,0)</f>
        <v>0</v>
      </c>
      <c r="X1900" s="326" t="s">
        <v>382</v>
      </c>
      <c r="Y1900" s="327"/>
      <c r="AA1900" s="141">
        <f ca="1">IF($D1898="None",1,0)</f>
        <v>1</v>
      </c>
      <c r="AB1900" s="326" t="str">
        <f ca="1">IF(AA1900,D1900,$D1898)</f>
        <v>Nothing</v>
      </c>
      <c r="AC1900" s="327"/>
      <c r="AE1900" s="141">
        <f ca="1">IF($D1897="None",1,0)</f>
        <v>1</v>
      </c>
      <c r="AF1900" s="326" t="str">
        <f ca="1">IF(AE1900,H1900,$D1897)</f>
        <v>Nothing</v>
      </c>
      <c r="AG1900" s="327"/>
      <c r="AI1900" s="141">
        <f ca="1">IF($D1896="None",1,0)</f>
        <v>1</v>
      </c>
      <c r="AJ1900" s="326" t="str">
        <f ca="1">IF(AI1900,L1900,$D1896)</f>
        <v>Nothing</v>
      </c>
      <c r="AK1900" s="327"/>
      <c r="AM1900" s="141">
        <f ca="1">IF($X1893="None",0,1)</f>
        <v>0</v>
      </c>
      <c r="AN1900" s="197" t="s">
        <v>133</v>
      </c>
      <c r="AO1900" s="198"/>
      <c r="AQ1900" s="141">
        <f ca="1">IF($X1893="None",0,1)</f>
        <v>0</v>
      </c>
      <c r="AR1900" s="197" t="s">
        <v>134</v>
      </c>
      <c r="AS1900" s="198"/>
      <c r="BD1900" s="157"/>
    </row>
    <row r="1901" spans="2:56" ht="15" thickBot="1">
      <c r="B1901" s="156"/>
      <c r="C1901" s="136" t="s">
        <v>452</v>
      </c>
      <c r="D1901" s="136" t="s">
        <v>384</v>
      </c>
      <c r="E1901" s="138" t="s">
        <v>385</v>
      </c>
      <c r="G1901" s="136" t="s">
        <v>452</v>
      </c>
      <c r="H1901" s="136" t="s">
        <v>384</v>
      </c>
      <c r="I1901" s="138" t="s">
        <v>385</v>
      </c>
      <c r="K1901" s="193" t="s">
        <v>452</v>
      </c>
      <c r="L1901" s="193" t="s">
        <v>384</v>
      </c>
      <c r="M1901" s="194" t="s">
        <v>385</v>
      </c>
      <c r="O1901" s="136" t="s">
        <v>452</v>
      </c>
      <c r="P1901" s="136" t="s">
        <v>384</v>
      </c>
      <c r="Q1901" s="138" t="s">
        <v>385</v>
      </c>
      <c r="S1901" s="136" t="s">
        <v>452</v>
      </c>
      <c r="T1901" s="136" t="s">
        <v>384</v>
      </c>
      <c r="U1901" s="138" t="s">
        <v>385</v>
      </c>
      <c r="W1901" s="136" t="s">
        <v>452</v>
      </c>
      <c r="X1901" s="136" t="s">
        <v>384</v>
      </c>
      <c r="Y1901" s="138" t="s">
        <v>385</v>
      </c>
      <c r="AA1901" s="136" t="s">
        <v>452</v>
      </c>
      <c r="AB1901" s="136" t="s">
        <v>384</v>
      </c>
      <c r="AC1901" s="138" t="s">
        <v>385</v>
      </c>
      <c r="AE1901" s="136" t="s">
        <v>452</v>
      </c>
      <c r="AF1901" s="136" t="s">
        <v>384</v>
      </c>
      <c r="AG1901" s="138" t="s">
        <v>385</v>
      </c>
      <c r="AI1901" s="193" t="s">
        <v>452</v>
      </c>
      <c r="AJ1901" s="193" t="s">
        <v>384</v>
      </c>
      <c r="AK1901" s="194" t="s">
        <v>385</v>
      </c>
      <c r="AM1901" s="193" t="s">
        <v>452</v>
      </c>
      <c r="AN1901" s="193" t="s">
        <v>384</v>
      </c>
      <c r="AO1901" s="194" t="s">
        <v>385</v>
      </c>
      <c r="AQ1901" s="193" t="s">
        <v>452</v>
      </c>
      <c r="AR1901" s="193" t="s">
        <v>384</v>
      </c>
      <c r="AS1901" s="194" t="s">
        <v>385</v>
      </c>
      <c r="BD1901" s="157"/>
    </row>
    <row r="1902" spans="2:56">
      <c r="B1902" s="156"/>
      <c r="C1902" s="128" t="s">
        <v>396</v>
      </c>
      <c r="D1902" s="158">
        <f ca="1">IF(C1900&gt;=1,L1893,8888)</f>
        <v>8888</v>
      </c>
      <c r="E1902" s="160">
        <f ca="1">IF(C1900&gt;=1,1/2*($C$13-P1893-2*P1895)+1/2*P1893,8888)</f>
        <v>8888</v>
      </c>
      <c r="G1902" s="128" t="s">
        <v>396</v>
      </c>
      <c r="H1902" s="158">
        <f ca="1">IF(G1900&gt;=1,L1893,8888)</f>
        <v>8888</v>
      </c>
      <c r="I1902" s="160">
        <f ca="1">IF(G1900&gt;=1,E1913-P1897,8888)</f>
        <v>8888</v>
      </c>
      <c r="K1902" s="128" t="s">
        <v>396</v>
      </c>
      <c r="L1902" s="158">
        <f ca="1">IF(K1900&gt;=1,L1893,8888)</f>
        <v>8888</v>
      </c>
      <c r="M1902" s="160">
        <f ca="1">IF(K1900&gt;=1,IF(FUSELAGE_n_aisles=1,E1913-P1897,I1925-P1897),8888)</f>
        <v>8888</v>
      </c>
      <c r="O1902" s="128" t="s">
        <v>396</v>
      </c>
      <c r="P1902" s="158">
        <f ca="1">IF(O1900,$L1893,8888)</f>
        <v>8888</v>
      </c>
      <c r="Q1902" s="209">
        <f ca="1">IF(O1900,FUSELAGE_y_position_of_left_seat_YC-(FUSELAGE_nseats_right_YC-1)*(SEAT_w_cushion_YC+SEAT_w_armrest_YC)/2+T1898/2,8888)</f>
        <v>8888</v>
      </c>
      <c r="S1902" s="128" t="s">
        <v>396</v>
      </c>
      <c r="T1902" s="158">
        <f ca="1">IF(S1900,$L1893,8888)</f>
        <v>8888</v>
      </c>
      <c r="U1902" s="160">
        <f ca="1">IF(S1900,T1896/2,8888)</f>
        <v>8888</v>
      </c>
      <c r="W1902" s="128" t="s">
        <v>396</v>
      </c>
      <c r="X1902" s="158">
        <f ca="1">IF(W1900,$L1893,8888)</f>
        <v>8888</v>
      </c>
      <c r="Y1902" s="160">
        <f ca="1">IF(W1900,-FUSELAGE_y_position_of_left_seat_YC+(FUSELAGE_nseats_left_YC-1)*(SEAT_w_cushion_YC+SEAT_w_armrest_YC)/2-T1894/2,8888)</f>
        <v>8888</v>
      </c>
      <c r="AA1902" s="128" t="s">
        <v>396</v>
      </c>
      <c r="AB1902" s="158">
        <f ca="1">IF($AA1900,D1902,P1902)</f>
        <v>8888</v>
      </c>
      <c r="AC1902" s="174">
        <f ca="1">IF($AA1900,E1902,Q1902)</f>
        <v>8888</v>
      </c>
      <c r="AE1902" s="128" t="s">
        <v>396</v>
      </c>
      <c r="AF1902" s="158">
        <f ca="1">IF($AE1900,H1902,T1902)</f>
        <v>8888</v>
      </c>
      <c r="AG1902" s="174">
        <f ca="1">IF($AE1900,I1902,U1902)</f>
        <v>8888</v>
      </c>
      <c r="AI1902" s="128" t="s">
        <v>396</v>
      </c>
      <c r="AJ1902" s="158">
        <f ca="1">IF($AI1900,L1902,X1902)</f>
        <v>8888</v>
      </c>
      <c r="AK1902" s="174">
        <f ca="1">IF($AI1900,M1902,Y1902)</f>
        <v>8888</v>
      </c>
      <c r="AM1902" s="128" t="s">
        <v>396</v>
      </c>
      <c r="AN1902" s="158">
        <f ca="1">AN1871</f>
        <v>-18.624000000000006</v>
      </c>
      <c r="AO1902" s="174">
        <f ca="1">IF(AN1902&gt;-Fuselage!$D$366,(FUSELAGE_a_ellipse)*SQRT(1-((AN1902+Fuselage!$D$366)/(Fuselage!$K$364-FUSELAGE_t_fuselage))^2),IF(AN1902&gt;$L$2505+Fuselage!$K$370,FUSELAGE_a_ellipse,(FUSELAGE_a_ellipse+FUSELAGE_t_fuselage-FUSELAGE_d_fo/4)/Fuselage!$K$368*(AN1902-$L$2505-Fuselage!$K$370)+FUSELAGE_a_ellipse))</f>
        <v>1.4960570012328709</v>
      </c>
      <c r="AQ1902" s="128" t="s">
        <v>396</v>
      </c>
      <c r="AR1902" s="158">
        <f t="shared" ref="AR1902:AR1907" ca="1" si="160">AN1902</f>
        <v>-18.624000000000006</v>
      </c>
      <c r="AS1902" s="174">
        <f t="shared" ref="AS1902:AS1907" ca="1" si="161">-AO1902</f>
        <v>-1.4960570012328709</v>
      </c>
      <c r="BD1902" s="157"/>
    </row>
    <row r="1903" spans="2:56">
      <c r="B1903" s="156"/>
      <c r="C1903" s="128" t="s">
        <v>213</v>
      </c>
      <c r="D1903" s="128">
        <f ca="1">IF(X1895,D1902+P1894/4,D1902+P1894)</f>
        <v>8888</v>
      </c>
      <c r="E1903" s="139">
        <f ca="1">E1902</f>
        <v>8888</v>
      </c>
      <c r="G1903" s="128" t="s">
        <v>213</v>
      </c>
      <c r="H1903" s="128">
        <f ca="1">H1902+P1894</f>
        <v>8888</v>
      </c>
      <c r="I1903" s="139">
        <f ca="1">I1902</f>
        <v>8888</v>
      </c>
      <c r="K1903" s="128" t="s">
        <v>213</v>
      </c>
      <c r="L1903" s="128">
        <f ca="1">IF(X1895,IF(K1900=1,L1902+P1894/4,L1902+P1894),L1902+P1894)</f>
        <v>8888</v>
      </c>
      <c r="M1903" s="139">
        <f ca="1">M1902</f>
        <v>8888</v>
      </c>
      <c r="O1903" s="128" t="s">
        <v>213</v>
      </c>
      <c r="P1903" s="128">
        <f ca="1">P1902+$T1897</f>
        <v>8888</v>
      </c>
      <c r="Q1903" s="139">
        <f ca="1">Q1902</f>
        <v>8888</v>
      </c>
      <c r="S1903" s="128" t="s">
        <v>213</v>
      </c>
      <c r="T1903" s="128">
        <f ca="1">T1902+$T1895</f>
        <v>8888</v>
      </c>
      <c r="U1903" s="139">
        <f ca="1">U1902</f>
        <v>8888</v>
      </c>
      <c r="W1903" s="128" t="s">
        <v>213</v>
      </c>
      <c r="X1903" s="128">
        <f ca="1">X1902+$T1893</f>
        <v>8888</v>
      </c>
      <c r="Y1903" s="139">
        <f ca="1">Y1902</f>
        <v>8888</v>
      </c>
      <c r="AA1903" s="143" t="s">
        <v>213</v>
      </c>
      <c r="AB1903" s="128">
        <f ca="1">IF($AA1900,D1903,P1903)</f>
        <v>8888</v>
      </c>
      <c r="AC1903" s="129">
        <f ca="1">IF($AA1900,E1903,Q1903)</f>
        <v>8888</v>
      </c>
      <c r="AE1903" s="128" t="s">
        <v>213</v>
      </c>
      <c r="AF1903" s="128">
        <f ca="1">IF($AE1900,H1903,T1903)</f>
        <v>8888</v>
      </c>
      <c r="AG1903" s="129">
        <f ca="1">IF($AE1900,I1903,U1903)</f>
        <v>8888</v>
      </c>
      <c r="AI1903" s="128" t="s">
        <v>213</v>
      </c>
      <c r="AJ1903" s="128">
        <f ca="1">IF($AI1900,L1903,X1903)</f>
        <v>8888</v>
      </c>
      <c r="AK1903" s="129">
        <f ca="1">IF($AI1900,M1903,Y1903)</f>
        <v>8888</v>
      </c>
      <c r="AM1903" s="128" t="s">
        <v>213</v>
      </c>
      <c r="AN1903" s="128">
        <f ca="1">AN1902-AO1893/2</f>
        <v>-18.624000000000006</v>
      </c>
      <c r="AO1903" s="129">
        <f ca="1">IF(AN1903&gt;-Fuselage!$D$366,(FUSELAGE_a_ellipse)*SQRT(1-((AN1903+Fuselage!$D$366)/(Fuselage!$K$364-FUSELAGE_t_fuselage))^2),IF(AN1903&gt;$L$2505+Fuselage!$K$370,FUSELAGE_a_ellipse,(FUSELAGE_a_ellipse+FUSELAGE_t_fuselage-FUSELAGE_d_fo/4)/Fuselage!$K$368*(AN1903-$L$2505-Fuselage!$K$370)+FUSELAGE_a_ellipse))</f>
        <v>1.4960570012328709</v>
      </c>
      <c r="AQ1903" s="128" t="s">
        <v>213</v>
      </c>
      <c r="AR1903" s="128">
        <f t="shared" ca="1" si="160"/>
        <v>-18.624000000000006</v>
      </c>
      <c r="AS1903" s="129">
        <f t="shared" ca="1" si="161"/>
        <v>-1.4960570012328709</v>
      </c>
      <c r="BD1903" s="157"/>
    </row>
    <row r="1904" spans="2:56">
      <c r="B1904" s="156"/>
      <c r="C1904" s="128" t="s">
        <v>286</v>
      </c>
      <c r="D1904" s="128">
        <f ca="1">D1903</f>
        <v>8888</v>
      </c>
      <c r="E1904" s="139">
        <f ca="1">E1903-P1893</f>
        <v>8888</v>
      </c>
      <c r="G1904" s="128" t="s">
        <v>286</v>
      </c>
      <c r="H1904" s="128">
        <f ca="1">H1903</f>
        <v>8888</v>
      </c>
      <c r="I1904" s="139">
        <f ca="1">I1903-P1893</f>
        <v>8888</v>
      </c>
      <c r="K1904" s="128" t="s">
        <v>286</v>
      </c>
      <c r="L1904" s="128">
        <f ca="1">L1903</f>
        <v>8888</v>
      </c>
      <c r="M1904" s="139">
        <f ca="1">M1903-P1893</f>
        <v>8888</v>
      </c>
      <c r="O1904" s="128" t="s">
        <v>286</v>
      </c>
      <c r="P1904" s="128">
        <f ca="1">P1903</f>
        <v>8888</v>
      </c>
      <c r="Q1904" s="139">
        <f ca="1">Q1903-$T1898</f>
        <v>8888</v>
      </c>
      <c r="S1904" s="128" t="s">
        <v>286</v>
      </c>
      <c r="T1904" s="128">
        <f ca="1">T1903</f>
        <v>8888</v>
      </c>
      <c r="U1904" s="139">
        <f ca="1">U1903-$T1896</f>
        <v>8888</v>
      </c>
      <c r="W1904" s="128" t="s">
        <v>286</v>
      </c>
      <c r="X1904" s="128">
        <f ca="1">X1903</f>
        <v>8888</v>
      </c>
      <c r="Y1904" s="139">
        <f ca="1">Y1903+$T1894</f>
        <v>8888</v>
      </c>
      <c r="AA1904" s="143" t="s">
        <v>286</v>
      </c>
      <c r="AB1904" s="128">
        <f ca="1">IF($AA1900,D1904,P1904)</f>
        <v>8888</v>
      </c>
      <c r="AC1904" s="129">
        <f ca="1">IF($AA1900,E1904,Q1904)</f>
        <v>8888</v>
      </c>
      <c r="AE1904" s="128" t="s">
        <v>286</v>
      </c>
      <c r="AF1904" s="128">
        <f ca="1">IF($AE1900,H1904,T1904)</f>
        <v>8888</v>
      </c>
      <c r="AG1904" s="129">
        <f ca="1">IF($AE1900,I1904,U1904)</f>
        <v>8888</v>
      </c>
      <c r="AI1904" s="128" t="s">
        <v>286</v>
      </c>
      <c r="AJ1904" s="128">
        <f ca="1">IF($AI1900,L1904,X1904)</f>
        <v>8888</v>
      </c>
      <c r="AK1904" s="129">
        <f ca="1">IF($AI1900,M1904,Y1904)</f>
        <v>8888</v>
      </c>
      <c r="AM1904" s="128" t="s">
        <v>286</v>
      </c>
      <c r="AN1904" s="128">
        <f ca="1">AN1903</f>
        <v>-18.624000000000006</v>
      </c>
      <c r="AO1904" s="129">
        <f ca="1">IF(AN1904&gt;-Fuselage!$D$366,IF(AM1900,(FUSELAGE_a_ellipse+FUSELAGE_t_fuselage)*SQRT(1-((AN1904+Fuselage!$D$366)/Fuselage!$K$364)^2),(FUSELAGE_a_ellipse)*SQRT(1-((AN1904+Fuselage!$D$366)/Fuselage!$K$364)^2)),IF(AN1904&gt;$L$2505+Fuselage!$K$370,(IF(AM1900,FUSELAGE_a_ellipse+FUSELAGE_t_fuselage,FUSELAGE_a_ellipse)),IF(AM1900,(FUSELAGE_a_ellipse+FUSELAGE_t_fuselage-FUSELAGE_d_fo/4)/Fuselage!$K$368*(AN1904-$L$2505-Fuselage!$K$370)+FUSELAGE_a_ellipse+FUSELAGE_t_fuselage,(FUSELAGE_a_ellipse+FUSELAGE_t_fuselage-FUSELAGE_d_fo/4)/Fuselage!$K$368*(AN1904-$L$2505-Fuselage!$K$370)+FUSELAGE_a_ellipse)))</f>
        <v>1.4960570012328709</v>
      </c>
      <c r="AQ1904" s="128" t="s">
        <v>286</v>
      </c>
      <c r="AR1904" s="128">
        <f t="shared" ca="1" si="160"/>
        <v>-18.624000000000006</v>
      </c>
      <c r="AS1904" s="129">
        <f t="shared" ca="1" si="161"/>
        <v>-1.4960570012328709</v>
      </c>
      <c r="BD1904" s="157"/>
    </row>
    <row r="1905" spans="2:56">
      <c r="B1905" s="156"/>
      <c r="C1905" s="188" t="s">
        <v>522</v>
      </c>
      <c r="D1905" s="188">
        <f ca="1">D1902</f>
        <v>8888</v>
      </c>
      <c r="E1905" s="189">
        <f ca="1">E1904</f>
        <v>8888</v>
      </c>
      <c r="F1905" s="157"/>
      <c r="G1905" s="2" t="s">
        <v>522</v>
      </c>
      <c r="H1905" s="128">
        <f ca="1">H1902</f>
        <v>8888</v>
      </c>
      <c r="I1905" s="139">
        <f ca="1">I1904</f>
        <v>8888</v>
      </c>
      <c r="K1905" s="128" t="s">
        <v>522</v>
      </c>
      <c r="L1905" s="128">
        <f ca="1">L1902</f>
        <v>8888</v>
      </c>
      <c r="M1905" s="139">
        <f ca="1">M1904</f>
        <v>8888</v>
      </c>
      <c r="O1905" s="188" t="s">
        <v>522</v>
      </c>
      <c r="P1905" s="188">
        <f ca="1">P1902</f>
        <v>8888</v>
      </c>
      <c r="Q1905" s="189">
        <f ca="1">Q1904</f>
        <v>8888</v>
      </c>
      <c r="S1905" s="188" t="s">
        <v>522</v>
      </c>
      <c r="T1905" s="188">
        <f ca="1">T1902</f>
        <v>8888</v>
      </c>
      <c r="U1905" s="189">
        <f ca="1">U1904</f>
        <v>8888</v>
      </c>
      <c r="W1905" s="188" t="s">
        <v>522</v>
      </c>
      <c r="X1905" s="188">
        <f ca="1">X1902</f>
        <v>8888</v>
      </c>
      <c r="Y1905" s="189">
        <f ca="1">Y1904</f>
        <v>8888</v>
      </c>
      <c r="AA1905" s="195" t="s">
        <v>522</v>
      </c>
      <c r="AB1905" s="128">
        <f ca="1">IF($AA1900,D1905,P1905)</f>
        <v>8888</v>
      </c>
      <c r="AC1905" s="129">
        <f ca="1">IF($AA1900,E1905,Q1905)</f>
        <v>8888</v>
      </c>
      <c r="AD1905" s="157"/>
      <c r="AE1905" s="2" t="s">
        <v>522</v>
      </c>
      <c r="AF1905" s="188">
        <f ca="1">IF($AE1900,H1905,T1905)</f>
        <v>8888</v>
      </c>
      <c r="AG1905" s="196">
        <f ca="1">IF($AE1900,I1905,U1905)</f>
        <v>8888</v>
      </c>
      <c r="AI1905" s="128" t="s">
        <v>522</v>
      </c>
      <c r="AJ1905" s="188">
        <f ca="1">IF($AI1900,L1905,X1905)</f>
        <v>8888</v>
      </c>
      <c r="AK1905" s="196">
        <f ca="1">IF($AI1900,M1905,Y1905)</f>
        <v>8888</v>
      </c>
      <c r="AM1905" s="128" t="s">
        <v>522</v>
      </c>
      <c r="AN1905" s="128">
        <f ca="1">AN1904-X1894</f>
        <v>-18.624000000000006</v>
      </c>
      <c r="AO1905" s="129">
        <f ca="1">IF(AN1905&gt;-Fuselage!$D$366,IF(AM1900,(FUSELAGE_a_ellipse+FUSELAGE_t_fuselage)*SQRT(1-((AN1905+Fuselage!$D$366)/Fuselage!$K$364)^2),(FUSELAGE_a_ellipse)*SQRT(1-((AN1905+Fuselage!$D$366)/Fuselage!$K$364)^2)),IF(AN1905&gt;$L$2505+Fuselage!$K$370,(IF(AM1900,FUSELAGE_a_ellipse+FUSELAGE_t_fuselage,FUSELAGE_a_ellipse)),IF(AM1900,(FUSELAGE_a_ellipse+FUSELAGE_t_fuselage-FUSELAGE_d_fo/4)/Fuselage!$K$368*(AN1905-$L$2505-Fuselage!$K$370)+FUSELAGE_a_ellipse+FUSELAGE_t_fuselage,(FUSELAGE_a_ellipse+FUSELAGE_t_fuselage-FUSELAGE_d_fo/4)/Fuselage!$K$368*(AN1905-$L$2505-Fuselage!$K$370)+FUSELAGE_a_ellipse)))</f>
        <v>1.4960570012328709</v>
      </c>
      <c r="AQ1905" s="128" t="s">
        <v>522</v>
      </c>
      <c r="AR1905" s="128">
        <f t="shared" ca="1" si="160"/>
        <v>-18.624000000000006</v>
      </c>
      <c r="AS1905" s="129">
        <f t="shared" ca="1" si="161"/>
        <v>-1.4960570012328709</v>
      </c>
      <c r="BD1905" s="157"/>
    </row>
    <row r="1906" spans="2:56" ht="15" thickBot="1">
      <c r="B1906" s="156"/>
      <c r="C1906" s="128" t="s">
        <v>49</v>
      </c>
      <c r="D1906" s="128">
        <f ca="1">IF(C1900&gt;=2,D1902,D1905)</f>
        <v>8888</v>
      </c>
      <c r="E1906" s="139">
        <f ca="1">IF(C1900&gt;=2,E1905-P1895,E1905)</f>
        <v>8888</v>
      </c>
      <c r="F1906" s="157"/>
      <c r="G1906" s="192" t="s">
        <v>49</v>
      </c>
      <c r="H1906" s="190">
        <f ca="1">IF(G1900&gt;=2,H1902,H1905)</f>
        <v>8888</v>
      </c>
      <c r="I1906" s="191">
        <f ca="1">IF(G1900&gt;=2,I1905-P1895,I1905)</f>
        <v>8888</v>
      </c>
      <c r="K1906" s="190" t="s">
        <v>49</v>
      </c>
      <c r="L1906" s="190">
        <f ca="1">IF(K1900&gt;=2,L1902,L1905)</f>
        <v>8888</v>
      </c>
      <c r="M1906" s="191">
        <f ca="1">IF(K1900&gt;=2,M1905-P1895,M1905)</f>
        <v>8888</v>
      </c>
      <c r="O1906" s="130" t="s">
        <v>396</v>
      </c>
      <c r="P1906" s="130">
        <f ca="1">P1902</f>
        <v>8888</v>
      </c>
      <c r="Q1906" s="140">
        <f ca="1">Q1902</f>
        <v>8888</v>
      </c>
      <c r="S1906" s="130" t="s">
        <v>396</v>
      </c>
      <c r="T1906" s="130">
        <f ca="1">T1902</f>
        <v>8888</v>
      </c>
      <c r="U1906" s="140">
        <f ca="1">U1902</f>
        <v>8888</v>
      </c>
      <c r="W1906" s="130" t="s">
        <v>396</v>
      </c>
      <c r="X1906" s="130">
        <f ca="1">X1902</f>
        <v>8888</v>
      </c>
      <c r="Y1906" s="140">
        <f ca="1">Y1902</f>
        <v>8888</v>
      </c>
      <c r="AA1906" s="143" t="s">
        <v>49</v>
      </c>
      <c r="AB1906" s="128">
        <f ca="1">IF($AA1900,D1906,P1906)</f>
        <v>8888</v>
      </c>
      <c r="AC1906" s="129">
        <f ca="1">IF($AA1900,E1906,Q1906)</f>
        <v>8888</v>
      </c>
      <c r="AD1906" s="157"/>
      <c r="AE1906" s="192" t="s">
        <v>49</v>
      </c>
      <c r="AF1906" s="128">
        <f ca="1">IF($AE1900,H1906,T1906)</f>
        <v>8888</v>
      </c>
      <c r="AG1906" s="129">
        <f ca="1">IF($AE1900,I1906,U1906)</f>
        <v>8888</v>
      </c>
      <c r="AI1906" s="190" t="s">
        <v>49</v>
      </c>
      <c r="AJ1906" s="128">
        <f ca="1">IF($AI1900,L1906,X1906)</f>
        <v>8888</v>
      </c>
      <c r="AK1906" s="129">
        <f ca="1">IF($AI1900,M1906,Y1906)</f>
        <v>8888</v>
      </c>
      <c r="AM1906" s="128" t="s">
        <v>49</v>
      </c>
      <c r="AN1906" s="128">
        <f ca="1">AN1905</f>
        <v>-18.624000000000006</v>
      </c>
      <c r="AO1906" s="129">
        <f ca="1">IF(AN1906&gt;-Fuselage!$D$366,(FUSELAGE_a_ellipse)*SQRT(1-((AN1906+Fuselage!$D$366)/(Fuselage!$K$364-FUSELAGE_t_fuselage))^2),IF(AN1906&gt;$L$2505+Fuselage!$K$370,FUSELAGE_a_ellipse,(FUSELAGE_a_ellipse+FUSELAGE_t_fuselage-FUSELAGE_d_fo/4)/Fuselage!$K$368*(AN1906-$L$2505-Fuselage!$K$370)+FUSELAGE_a_ellipse))</f>
        <v>1.4960570012328709</v>
      </c>
      <c r="AQ1906" s="128" t="s">
        <v>49</v>
      </c>
      <c r="AR1906" s="128">
        <f t="shared" ca="1" si="160"/>
        <v>-18.624000000000006</v>
      </c>
      <c r="AS1906" s="129">
        <f t="shared" ca="1" si="161"/>
        <v>-1.4960570012328709</v>
      </c>
      <c r="BD1906" s="157"/>
    </row>
    <row r="1907" spans="2:56">
      <c r="B1907" s="156"/>
      <c r="C1907" s="128" t="s">
        <v>453</v>
      </c>
      <c r="D1907" s="128">
        <f ca="1">IF(C1900&gt;=2,D1902+P1894,D1905)</f>
        <v>8888</v>
      </c>
      <c r="E1907" s="139">
        <f ca="1">E1906</f>
        <v>8888</v>
      </c>
      <c r="F1907" s="157"/>
      <c r="G1907" s="2" t="s">
        <v>453</v>
      </c>
      <c r="H1907" s="128">
        <f ca="1">IF(G1900&gt;=2,H1903,H1905)</f>
        <v>8888</v>
      </c>
      <c r="I1907" s="139">
        <f ca="1">IF(G1900&gt;=2,I1906,I1905)</f>
        <v>8888</v>
      </c>
      <c r="K1907" s="128" t="s">
        <v>453</v>
      </c>
      <c r="L1907" s="128">
        <f ca="1">IF(K1900&gt;=2,IF(X1895,IF(K1900=2,L1902+P1894/4,L1902+P1894),L1902+P1894),L1905)</f>
        <v>8888</v>
      </c>
      <c r="M1907" s="139">
        <f ca="1">IF(K1900&gt;=2,M1906,M1905)</f>
        <v>8888</v>
      </c>
      <c r="AA1907" s="143" t="s">
        <v>453</v>
      </c>
      <c r="AB1907" s="128">
        <f ca="1">IF($AA1900,D1907,AB1906)</f>
        <v>8888</v>
      </c>
      <c r="AC1907" s="129">
        <f ca="1">IF($AA1900,E1907,AC1906)</f>
        <v>8888</v>
      </c>
      <c r="AD1907" s="157"/>
      <c r="AE1907" s="2" t="s">
        <v>453</v>
      </c>
      <c r="AF1907" s="128">
        <f ca="1">IF($AE1900,H1907,AF1906)</f>
        <v>8888</v>
      </c>
      <c r="AG1907" s="129">
        <f ca="1">IF($AE1900,I1907,AG1906)</f>
        <v>8888</v>
      </c>
      <c r="AI1907" s="128" t="s">
        <v>453</v>
      </c>
      <c r="AJ1907" s="128">
        <f ca="1">IF($AI1900,L1907,AJ1906)</f>
        <v>8888</v>
      </c>
      <c r="AK1907" s="129">
        <f ca="1">IF($AI1900,M1907,AK1906)</f>
        <v>8888</v>
      </c>
      <c r="AM1907" s="128" t="s">
        <v>453</v>
      </c>
      <c r="AN1907" s="128">
        <f ca="1">L1893</f>
        <v>-18.624000000000006</v>
      </c>
      <c r="AO1907" s="129">
        <f ca="1">IF(AN1907&gt;-Fuselage!$D$366,(FUSELAGE_a_ellipse)*SQRT(1-((AN1907+Fuselage!$D$366)/(Fuselage!$K$364-FUSELAGE_t_fuselage))^2),IF(AN1907&gt;$L$2505+Fuselage!$K$370,FUSELAGE_a_ellipse,(FUSELAGE_a_ellipse+FUSELAGE_t_fuselage-FUSELAGE_d_fo/4)/Fuselage!$K$368*(AN1907-$L$2505-Fuselage!$K$370)+FUSELAGE_a_ellipse))</f>
        <v>1.4960570012328709</v>
      </c>
      <c r="AQ1907" s="128" t="s">
        <v>453</v>
      </c>
      <c r="AR1907" s="128">
        <f t="shared" ca="1" si="160"/>
        <v>-18.624000000000006</v>
      </c>
      <c r="AS1907" s="129">
        <f t="shared" ca="1" si="161"/>
        <v>-1.4960570012328709</v>
      </c>
      <c r="BD1907" s="157"/>
    </row>
    <row r="1908" spans="2:56">
      <c r="B1908" s="156"/>
      <c r="C1908" s="128" t="s">
        <v>394</v>
      </c>
      <c r="D1908" s="128">
        <f ca="1">IF(C1900&gt;=2,D1907,D1905)</f>
        <v>8888</v>
      </c>
      <c r="E1908" s="139">
        <f ca="1">IF(C1900&gt;=2,E1906-P1893,E1905)</f>
        <v>8888</v>
      </c>
      <c r="F1908" s="157"/>
      <c r="G1908" s="2" t="s">
        <v>394</v>
      </c>
      <c r="H1908" s="128">
        <f ca="1">IF(G1900&gt;=2,H1903,H1905)</f>
        <v>8888</v>
      </c>
      <c r="I1908" s="139">
        <f ca="1">IF(G1900&gt;=2,I1907-P1893,I1905)</f>
        <v>8888</v>
      </c>
      <c r="K1908" s="128" t="s">
        <v>394</v>
      </c>
      <c r="L1908" s="128">
        <f ca="1">L1907</f>
        <v>8888</v>
      </c>
      <c r="M1908" s="139">
        <f ca="1">IF(K1900&gt;=2,M1907-P1893,M1905)</f>
        <v>8888</v>
      </c>
      <c r="AA1908" s="143" t="s">
        <v>394</v>
      </c>
      <c r="AB1908" s="128">
        <f ca="1">IF($AA1900,D1908,AB1906)</f>
        <v>8888</v>
      </c>
      <c r="AC1908" s="129">
        <f ca="1">IF($AA1900,E1908,AC1906)</f>
        <v>8888</v>
      </c>
      <c r="AD1908" s="157"/>
      <c r="AE1908" s="2" t="s">
        <v>394</v>
      </c>
      <c r="AF1908" s="128">
        <f ca="1">IF($AE1900,H1908,AF1906)</f>
        <v>8888</v>
      </c>
      <c r="AG1908" s="129">
        <f ca="1">IF($AE1900,I1908,AG1906)</f>
        <v>8888</v>
      </c>
      <c r="AI1908" s="128" t="s">
        <v>394</v>
      </c>
      <c r="AJ1908" s="128">
        <f ca="1">IF($AI1900,L1908,AJ1906)</f>
        <v>8888</v>
      </c>
      <c r="AK1908" s="129">
        <f ca="1">IF($AI1900,M1908,AK1906)</f>
        <v>8888</v>
      </c>
      <c r="BD1908" s="157"/>
    </row>
    <row r="1909" spans="2:56">
      <c r="B1909" s="156"/>
      <c r="C1909" s="188" t="s">
        <v>454</v>
      </c>
      <c r="D1909" s="188">
        <f ca="1">IF(C1900&gt;=2,D1902,D1905)</f>
        <v>8888</v>
      </c>
      <c r="E1909" s="189">
        <f ca="1">E1908</f>
        <v>8888</v>
      </c>
      <c r="F1909" s="157"/>
      <c r="G1909" s="115" t="s">
        <v>454</v>
      </c>
      <c r="H1909" s="188">
        <f ca="1">IF(G1900&gt;=2,H1902,H1905)</f>
        <v>8888</v>
      </c>
      <c r="I1909" s="189">
        <f ca="1">IF(G1900&gt;=2,I1908,I1905)</f>
        <v>8888</v>
      </c>
      <c r="K1909" s="188" t="s">
        <v>454</v>
      </c>
      <c r="L1909" s="188">
        <f ca="1">IF(K1900&gt;=2,L1902,L1905)</f>
        <v>8888</v>
      </c>
      <c r="M1909" s="189">
        <f ca="1">IF(K1900&gt;=2,M1908,M1905)</f>
        <v>8888</v>
      </c>
      <c r="AA1909" s="195" t="s">
        <v>454</v>
      </c>
      <c r="AB1909" s="128">
        <f ca="1">IF($AA1900,D1909,AB1906)</f>
        <v>8888</v>
      </c>
      <c r="AC1909" s="129">
        <f ca="1">IF($AA1900,E1909,AC1906)</f>
        <v>8888</v>
      </c>
      <c r="AD1909" s="157"/>
      <c r="AE1909" s="115" t="s">
        <v>454</v>
      </c>
      <c r="AF1909" s="188">
        <f ca="1">IF($AE1900,H1909,AF1906)</f>
        <v>8888</v>
      </c>
      <c r="AG1909" s="196">
        <f ca="1">IF($AE1900,I1909,AG1906)</f>
        <v>8888</v>
      </c>
      <c r="AI1909" s="188" t="s">
        <v>454</v>
      </c>
      <c r="AJ1909" s="188">
        <f ca="1">IF($AI1900,L1909,AJ1906)</f>
        <v>8888</v>
      </c>
      <c r="AK1909" s="196">
        <f ca="1">IF($AI1900,M1909,AK1906)</f>
        <v>8888</v>
      </c>
      <c r="BD1909" s="157"/>
    </row>
    <row r="1910" spans="2:56">
      <c r="B1910" s="156"/>
      <c r="C1910" s="128" t="s">
        <v>507</v>
      </c>
      <c r="D1910" s="128">
        <f ca="1">IF(C1900&gt;=3,D1902,D1909)</f>
        <v>8888</v>
      </c>
      <c r="E1910" s="139">
        <f ca="1">IF(C1900&gt;=3,E1909-P1895,E1909)</f>
        <v>8888</v>
      </c>
      <c r="F1910" s="157"/>
      <c r="G1910" s="2" t="s">
        <v>507</v>
      </c>
      <c r="H1910" s="128">
        <f ca="1">IF(G1900&gt;=3,H1902,H1909)</f>
        <v>8888</v>
      </c>
      <c r="I1910" s="139">
        <f ca="1">IF(G1900&gt;=3,I1909-P1895,I1909)</f>
        <v>8888</v>
      </c>
      <c r="K1910" s="128" t="s">
        <v>507</v>
      </c>
      <c r="L1910" s="128">
        <f ca="1">IF(K1900&gt;=3,L1902,L1909)</f>
        <v>8888</v>
      </c>
      <c r="M1910" s="139">
        <f ca="1">IF(K1900&gt;=3,M1909-P1895,M1909)</f>
        <v>8888</v>
      </c>
      <c r="AA1910" s="143" t="s">
        <v>507</v>
      </c>
      <c r="AB1910" s="128">
        <f ca="1">IF($AA1900,D1910,AB1906)</f>
        <v>8888</v>
      </c>
      <c r="AC1910" s="129">
        <f ca="1">IF($AA1900,E1910,AC1906)</f>
        <v>8888</v>
      </c>
      <c r="AD1910" s="157"/>
      <c r="AE1910" s="2" t="s">
        <v>507</v>
      </c>
      <c r="AF1910" s="128">
        <f ca="1">IF($AE1900,H1910,AF1906)</f>
        <v>8888</v>
      </c>
      <c r="AG1910" s="129">
        <f ca="1">IF($AE1900,I1910,AG1906)</f>
        <v>8888</v>
      </c>
      <c r="AI1910" s="128" t="s">
        <v>507</v>
      </c>
      <c r="AJ1910" s="128">
        <f ca="1">IF($AI1900,L1910,AJ1906)</f>
        <v>8888</v>
      </c>
      <c r="AK1910" s="129">
        <f ca="1">IF($AI1900,M1910,AK1906)</f>
        <v>8888</v>
      </c>
      <c r="BD1910" s="157"/>
    </row>
    <row r="1911" spans="2:56">
      <c r="B1911" s="156"/>
      <c r="C1911" s="128" t="s">
        <v>455</v>
      </c>
      <c r="D1911" s="128">
        <f ca="1">IF(C1900&gt;=3,D1907,D1909)</f>
        <v>8888</v>
      </c>
      <c r="E1911" s="139">
        <f ca="1">E1910</f>
        <v>8888</v>
      </c>
      <c r="F1911" s="157"/>
      <c r="G1911" s="2" t="s">
        <v>455</v>
      </c>
      <c r="H1911" s="128">
        <f ca="1">IF(G1900&gt;=3,H1903,H1909)</f>
        <v>8888</v>
      </c>
      <c r="I1911" s="139">
        <f ca="1">IF(G1900&gt;=3,I1910,I1909)</f>
        <v>8888</v>
      </c>
      <c r="K1911" s="128" t="s">
        <v>455</v>
      </c>
      <c r="L1911" s="128">
        <f ca="1">IF(K1900&gt;=3,IF(X1895,IF(K1900=3,L1902+P1894/4,L1902+P1894),L1902+P1894),L1905)</f>
        <v>8888</v>
      </c>
      <c r="M1911" s="139">
        <f ca="1">IF(K1900&gt;=3,M1910,M1909)</f>
        <v>8888</v>
      </c>
      <c r="AA1911" s="143" t="s">
        <v>455</v>
      </c>
      <c r="AB1911" s="128">
        <f ca="1">IF($AA1900,D1911,AB1906)</f>
        <v>8888</v>
      </c>
      <c r="AC1911" s="129">
        <f ca="1">IF($AA1900,E1911,AC1906)</f>
        <v>8888</v>
      </c>
      <c r="AD1911" s="157"/>
      <c r="AE1911" s="2" t="s">
        <v>455</v>
      </c>
      <c r="AF1911" s="128">
        <f ca="1">IF($AE1900,H1911,AF1906)</f>
        <v>8888</v>
      </c>
      <c r="AG1911" s="129">
        <f ca="1">IF($AE1900,I1911,AG1906)</f>
        <v>8888</v>
      </c>
      <c r="AI1911" s="128" t="s">
        <v>455</v>
      </c>
      <c r="AJ1911" s="128">
        <f ca="1">IF($AI1900,L1911,AJ1906)</f>
        <v>8888</v>
      </c>
      <c r="AK1911" s="129">
        <f ca="1">IF($AI1900,M1911,AK1906)</f>
        <v>8888</v>
      </c>
      <c r="AL1911" s="156"/>
      <c r="BD1911" s="157"/>
    </row>
    <row r="1912" spans="2:56">
      <c r="B1912" s="156"/>
      <c r="C1912" s="128" t="s">
        <v>311</v>
      </c>
      <c r="D1912" s="128">
        <f ca="1">IF(C1900&gt;=3,D1907,D1909)</f>
        <v>8888</v>
      </c>
      <c r="E1912" s="139">
        <f ca="1">IF(C1900&gt;=3,E1911-P1893,E1909)</f>
        <v>8888</v>
      </c>
      <c r="F1912" s="157"/>
      <c r="G1912" s="2" t="s">
        <v>311</v>
      </c>
      <c r="H1912" s="128">
        <f ca="1">IF(G1900&gt;=3,H1903,H1909)</f>
        <v>8888</v>
      </c>
      <c r="I1912" s="139">
        <f ca="1">IF(G1900&gt;=3,I1911-P1893,I1909)</f>
        <v>8888</v>
      </c>
      <c r="K1912" s="128" t="s">
        <v>311</v>
      </c>
      <c r="L1912" s="128">
        <f ca="1">L1911</f>
        <v>8888</v>
      </c>
      <c r="M1912" s="139">
        <f ca="1">IF(K1900&gt;=3,M1911-P1893,M1909)</f>
        <v>8888</v>
      </c>
      <c r="AA1912" s="143" t="s">
        <v>311</v>
      </c>
      <c r="AB1912" s="128">
        <f ca="1">IF($AA1900,D1912,AB1906)</f>
        <v>8888</v>
      </c>
      <c r="AC1912" s="129">
        <f ca="1">IF($AA1900,E1912,AC1906)</f>
        <v>8888</v>
      </c>
      <c r="AD1912" s="157"/>
      <c r="AE1912" s="2" t="s">
        <v>311</v>
      </c>
      <c r="AF1912" s="128">
        <f ca="1">IF($AE1900,H1912,AF1906)</f>
        <v>8888</v>
      </c>
      <c r="AG1912" s="129">
        <f ca="1">IF($AE1900,I1912,AG1906)</f>
        <v>8888</v>
      </c>
      <c r="AI1912" s="128" t="s">
        <v>311</v>
      </c>
      <c r="AJ1912" s="128">
        <f ca="1">IF($AI1900,L1912,AJ1906)</f>
        <v>8888</v>
      </c>
      <c r="AK1912" s="129">
        <f ca="1">IF($AI1900,M1912,AK1906)</f>
        <v>8888</v>
      </c>
      <c r="AL1912" s="156"/>
      <c r="BD1912" s="157"/>
    </row>
    <row r="1913" spans="2:56">
      <c r="B1913" s="156"/>
      <c r="C1913" s="188" t="s">
        <v>35</v>
      </c>
      <c r="D1913" s="188">
        <f ca="1">IF(C1900&gt;=3,D1902,D1909)</f>
        <v>8888</v>
      </c>
      <c r="E1913" s="189">
        <f ca="1">E1912</f>
        <v>8888</v>
      </c>
      <c r="F1913" s="157"/>
      <c r="G1913" s="2" t="s">
        <v>35</v>
      </c>
      <c r="H1913" s="188">
        <f ca="1">IF(G1900&gt;=3,H1902,H1909)</f>
        <v>8888</v>
      </c>
      <c r="I1913" s="189">
        <f ca="1">IF(G1900&gt;=3,I1912,I1909)</f>
        <v>8888</v>
      </c>
      <c r="K1913" s="188" t="s">
        <v>35</v>
      </c>
      <c r="L1913" s="188">
        <f ca="1">IF(K1900&gt;=3,L1902,L1909)</f>
        <v>8888</v>
      </c>
      <c r="M1913" s="189">
        <f ca="1">IF(K1900&gt;=3,M1912,M1909)</f>
        <v>8888</v>
      </c>
      <c r="AA1913" s="143" t="s">
        <v>35</v>
      </c>
      <c r="AB1913" s="128">
        <f ca="1">IF($AA1900,D1913,AB1906)</f>
        <v>8888</v>
      </c>
      <c r="AC1913" s="129">
        <f ca="1">IF($AA1900,E1913,AC1906)</f>
        <v>8888</v>
      </c>
      <c r="AD1913" s="157"/>
      <c r="AE1913" s="2" t="s">
        <v>35</v>
      </c>
      <c r="AF1913" s="188">
        <f ca="1">IF($AE1900,H1913,AF1906)</f>
        <v>8888</v>
      </c>
      <c r="AG1913" s="196">
        <f ca="1">IF($AE1900,I1913,AG1906)</f>
        <v>8888</v>
      </c>
      <c r="AI1913" s="128" t="s">
        <v>35</v>
      </c>
      <c r="AJ1913" s="128">
        <f ca="1">IF($AI1900,L1913,AJ1906)</f>
        <v>8888</v>
      </c>
      <c r="AK1913" s="129">
        <f ca="1">IF($AI1900,M1913,AK1906)</f>
        <v>8888</v>
      </c>
      <c r="AL1913" s="156"/>
      <c r="BD1913" s="157"/>
    </row>
    <row r="1914" spans="2:56" ht="15" thickBot="1">
      <c r="B1914" s="156"/>
      <c r="C1914" s="130" t="s">
        <v>396</v>
      </c>
      <c r="D1914" s="130">
        <f ca="1">D1902</f>
        <v>8888</v>
      </c>
      <c r="E1914" s="140">
        <f ca="1">E1902</f>
        <v>8888</v>
      </c>
      <c r="F1914" s="157"/>
      <c r="G1914" s="192" t="s">
        <v>312</v>
      </c>
      <c r="H1914" s="128">
        <f ca="1">IF(G1900&gt;=4,H1902,H1913)</f>
        <v>8888</v>
      </c>
      <c r="I1914" s="139">
        <f ca="1">IF(G1900&gt;=4,I1913-P1895,I1913)</f>
        <v>8888</v>
      </c>
      <c r="K1914" s="130" t="s">
        <v>396</v>
      </c>
      <c r="L1914" s="130">
        <f ca="1">L1902</f>
        <v>8888</v>
      </c>
      <c r="M1914" s="140">
        <f ca="1">M1902</f>
        <v>8888</v>
      </c>
      <c r="AA1914" s="144" t="s">
        <v>396</v>
      </c>
      <c r="AB1914" s="130">
        <f ca="1">IF($AA1900,D1914,AB1906)</f>
        <v>8888</v>
      </c>
      <c r="AC1914" s="132">
        <f ca="1">IF($AA1900,E1914,AC1906)</f>
        <v>8888</v>
      </c>
      <c r="AD1914" s="157"/>
      <c r="AE1914" s="192" t="s">
        <v>312</v>
      </c>
      <c r="AF1914" s="128">
        <f ca="1">IF($AE1900,H1914,AF1906)</f>
        <v>8888</v>
      </c>
      <c r="AG1914" s="129">
        <f ca="1">IF($AE1900,I1914,AG1906)</f>
        <v>8888</v>
      </c>
      <c r="AI1914" s="130" t="s">
        <v>396</v>
      </c>
      <c r="AJ1914" s="130">
        <f ca="1">IF($AI1900,L1914,AJ1906)</f>
        <v>8888</v>
      </c>
      <c r="AK1914" s="132">
        <f ca="1">IF($AI1900,M1914,AK1906)</f>
        <v>8888</v>
      </c>
      <c r="BD1914" s="157"/>
    </row>
    <row r="1915" spans="2:56">
      <c r="B1915" s="156"/>
      <c r="F1915" s="157"/>
      <c r="G1915" s="2" t="s">
        <v>313</v>
      </c>
      <c r="H1915" s="128">
        <f ca="1">IF(G1900&gt;=4,H1903,H1913)</f>
        <v>8888</v>
      </c>
      <c r="I1915" s="139">
        <f ca="1">IF(G1900&gt;=4,I1914,I1913)</f>
        <v>8888</v>
      </c>
      <c r="AD1915" s="157"/>
      <c r="AE1915" s="2" t="s">
        <v>313</v>
      </c>
      <c r="AF1915" s="128">
        <f ca="1">IF($AE1900,H1915,AF1906)</f>
        <v>8888</v>
      </c>
      <c r="AG1915" s="129">
        <f ca="1">IF($AE1900,I1915,AG1906)</f>
        <v>8888</v>
      </c>
      <c r="BD1915" s="157"/>
    </row>
    <row r="1916" spans="2:56">
      <c r="B1916" s="156"/>
      <c r="F1916" s="157"/>
      <c r="G1916" s="2" t="s">
        <v>7</v>
      </c>
      <c r="H1916" s="128">
        <f ca="1">IF(G1900&gt;=4,H1903,H1913)</f>
        <v>8888</v>
      </c>
      <c r="I1916" s="139">
        <f ca="1">IF(G1900&gt;=4,I1915-P1893,I1913)</f>
        <v>8888</v>
      </c>
      <c r="AD1916" s="157"/>
      <c r="AE1916" s="2" t="s">
        <v>7</v>
      </c>
      <c r="AF1916" s="128">
        <f ca="1">IF($AE1900,H1916,AF1906)</f>
        <v>8888</v>
      </c>
      <c r="AG1916" s="129">
        <f ca="1">IF($AE1900,I1916,AG1906)</f>
        <v>8888</v>
      </c>
      <c r="BD1916" s="157"/>
    </row>
    <row r="1917" spans="2:56">
      <c r="B1917" s="156"/>
      <c r="F1917" s="157"/>
      <c r="G1917" s="115" t="s">
        <v>8</v>
      </c>
      <c r="H1917" s="188">
        <f ca="1">IF(G1900&gt;=4,H1902,H1913)</f>
        <v>8888</v>
      </c>
      <c r="I1917" s="189">
        <f ca="1">IF(G1900&gt;=4,I1916,I1913)</f>
        <v>8888</v>
      </c>
      <c r="AD1917" s="157"/>
      <c r="AE1917" s="115" t="s">
        <v>8</v>
      </c>
      <c r="AF1917" s="188">
        <f ca="1">IF($AE1900,H1917,AF1906)</f>
        <v>8888</v>
      </c>
      <c r="AG1917" s="196">
        <f ca="1">IF($AE1900,I1917,AG1906)</f>
        <v>8888</v>
      </c>
      <c r="BD1917" s="157"/>
    </row>
    <row r="1918" spans="2:56">
      <c r="B1918" s="156"/>
      <c r="F1918" s="157"/>
      <c r="G1918" s="2" t="s">
        <v>9</v>
      </c>
      <c r="H1918" s="128">
        <f ca="1">IF(G1900&gt;=5,H1902,H1917)</f>
        <v>8888</v>
      </c>
      <c r="I1918" s="139">
        <f ca="1">IF(G1900&gt;=5,I1917-P1895,I1917)</f>
        <v>8888</v>
      </c>
      <c r="AD1918" s="157"/>
      <c r="AE1918" s="2" t="s">
        <v>9</v>
      </c>
      <c r="AF1918" s="128">
        <f ca="1">IF($AE1900,H1918,AF1906)</f>
        <v>8888</v>
      </c>
      <c r="AG1918" s="129">
        <f ca="1">IF($AE1900,I1918,AG1906)</f>
        <v>8888</v>
      </c>
      <c r="BD1918" s="157"/>
    </row>
    <row r="1919" spans="2:56">
      <c r="B1919" s="156"/>
      <c r="F1919" s="157"/>
      <c r="G1919" s="2" t="s">
        <v>196</v>
      </c>
      <c r="H1919" s="128">
        <f ca="1">IF(G1900&gt;=5,H1903,H1917)</f>
        <v>8888</v>
      </c>
      <c r="I1919" s="139">
        <f ca="1">IF(G1900&gt;=5,I1918,I1917)</f>
        <v>8888</v>
      </c>
      <c r="AD1919" s="157"/>
      <c r="AE1919" s="2" t="s">
        <v>196</v>
      </c>
      <c r="AF1919" s="128">
        <f ca="1">IF($AE1900,H1919,AF1906)</f>
        <v>8888</v>
      </c>
      <c r="AG1919" s="129">
        <f ca="1">IF($AE1900,I1919,AG1906)</f>
        <v>8888</v>
      </c>
      <c r="BD1919" s="157"/>
    </row>
    <row r="1920" spans="2:56">
      <c r="B1920" s="156"/>
      <c r="F1920" s="157"/>
      <c r="G1920" s="2" t="s">
        <v>10</v>
      </c>
      <c r="H1920" s="128">
        <f ca="1">IF(G1900&gt;=5,H1903,H1917)</f>
        <v>8888</v>
      </c>
      <c r="I1920" s="139">
        <f ca="1">IF(G1900&gt;=5,I1919-P1893,I1917)</f>
        <v>8888</v>
      </c>
      <c r="AD1920" s="157"/>
      <c r="AE1920" s="2" t="s">
        <v>10</v>
      </c>
      <c r="AF1920" s="128">
        <f ca="1">IF($AE1900,H1920,AF1906)</f>
        <v>8888</v>
      </c>
      <c r="AG1920" s="129">
        <f ca="1">IF($AE1900,I1920,AG1906)</f>
        <v>8888</v>
      </c>
      <c r="BD1920" s="157"/>
    </row>
    <row r="1921" spans="2:56">
      <c r="B1921" s="156"/>
      <c r="F1921" s="157"/>
      <c r="G1921" s="2" t="s">
        <v>161</v>
      </c>
      <c r="H1921" s="188">
        <f ca="1">IF(G1900&gt;=5,H1902,H1917)</f>
        <v>8888</v>
      </c>
      <c r="I1921" s="189">
        <f ca="1">IF(G1900&gt;=5,I1920,I1917)</f>
        <v>8888</v>
      </c>
      <c r="AD1921" s="157"/>
      <c r="AE1921" s="2" t="s">
        <v>161</v>
      </c>
      <c r="AF1921" s="188">
        <f ca="1">IF($AE1900,H1921,AF1906)</f>
        <v>8888</v>
      </c>
      <c r="AG1921" s="196">
        <f ca="1">IF($AE1900,I1921,AG1906)</f>
        <v>8888</v>
      </c>
      <c r="BD1921" s="157"/>
    </row>
    <row r="1922" spans="2:56">
      <c r="B1922" s="156"/>
      <c r="F1922" s="157"/>
      <c r="G1922" s="192" t="s">
        <v>11</v>
      </c>
      <c r="H1922" s="128">
        <f ca="1">IF(G1900&gt;=6,H1902,H1921)</f>
        <v>8888</v>
      </c>
      <c r="I1922" s="139">
        <f ca="1">IF(G1900&gt;=6,I1921-P1895,I1921)</f>
        <v>8888</v>
      </c>
      <c r="AD1922" s="157"/>
      <c r="AE1922" s="192" t="s">
        <v>11</v>
      </c>
      <c r="AF1922" s="128">
        <f ca="1">IF($AE1900,H1922,AF1906)</f>
        <v>8888</v>
      </c>
      <c r="AG1922" s="129">
        <f ca="1">IF($AE1900,I1922,AG1906)</f>
        <v>8888</v>
      </c>
      <c r="BD1922" s="157"/>
    </row>
    <row r="1923" spans="2:56">
      <c r="B1923" s="156"/>
      <c r="F1923" s="157"/>
      <c r="G1923" s="2" t="s">
        <v>12</v>
      </c>
      <c r="H1923" s="128">
        <f ca="1">IF(G1900&gt;=6,H1903,H1921)</f>
        <v>8888</v>
      </c>
      <c r="I1923" s="139">
        <f ca="1">IF(G1900&gt;=6,I1922,I1921)</f>
        <v>8888</v>
      </c>
      <c r="AD1923" s="157"/>
      <c r="AE1923" s="2" t="s">
        <v>12</v>
      </c>
      <c r="AF1923" s="128">
        <f ca="1">IF($AE1900,H1923,AF1906)</f>
        <v>8888</v>
      </c>
      <c r="AG1923" s="129">
        <f ca="1">IF($AE1900,I1923,AG1906)</f>
        <v>8888</v>
      </c>
      <c r="BD1923" s="157"/>
    </row>
    <row r="1924" spans="2:56">
      <c r="B1924" s="156"/>
      <c r="F1924" s="157"/>
      <c r="G1924" s="2" t="s">
        <v>13</v>
      </c>
      <c r="H1924" s="128">
        <f ca="1">IF(G1900&gt;=6,H1903,H1921)</f>
        <v>8888</v>
      </c>
      <c r="I1924" s="139">
        <f ca="1">IF(G1900&gt;=6,I1923-P1893,I1921)</f>
        <v>8888</v>
      </c>
      <c r="AD1924" s="157"/>
      <c r="AE1924" s="2" t="s">
        <v>13</v>
      </c>
      <c r="AF1924" s="128">
        <f ca="1">IF($AE1900,H1924,AF1906)</f>
        <v>8888</v>
      </c>
      <c r="AG1924" s="129">
        <f ca="1">IF($AE1900,I1924,AG1906)</f>
        <v>8888</v>
      </c>
      <c r="BD1924" s="157"/>
    </row>
    <row r="1925" spans="2:56">
      <c r="B1925" s="156"/>
      <c r="F1925" s="157"/>
      <c r="G1925" s="115" t="s">
        <v>14</v>
      </c>
      <c r="H1925" s="188">
        <f ca="1">IF(G1900&gt;=6,H1902,H1921)</f>
        <v>8888</v>
      </c>
      <c r="I1925" s="189">
        <f ca="1">IF(G1900&gt;=6,I1924,I1921)</f>
        <v>8888</v>
      </c>
      <c r="AD1925" s="157"/>
      <c r="AE1925" s="115" t="s">
        <v>14</v>
      </c>
      <c r="AF1925" s="188">
        <f ca="1">IF($AE1900,H1925,AF1906)</f>
        <v>8888</v>
      </c>
      <c r="AG1925" s="196">
        <f ca="1">IF($AE1900,I1925,AG1906)</f>
        <v>8888</v>
      </c>
      <c r="BD1925" s="157"/>
    </row>
    <row r="1926" spans="2:56" ht="15" thickBot="1">
      <c r="B1926" s="156"/>
      <c r="G1926" s="130" t="s">
        <v>396</v>
      </c>
      <c r="H1926" s="130">
        <f ca="1">H1902</f>
        <v>8888</v>
      </c>
      <c r="I1926" s="140">
        <f ca="1">I1902</f>
        <v>8888</v>
      </c>
      <c r="AE1926" s="130" t="s">
        <v>396</v>
      </c>
      <c r="AF1926" s="130">
        <f ca="1">IF($AE1900,H1926,AF1906)</f>
        <v>8888</v>
      </c>
      <c r="AG1926" s="132">
        <f ca="1">IF($AE1900,I1926,AG1906)</f>
        <v>8888</v>
      </c>
      <c r="BD1926" s="157"/>
    </row>
    <row r="1927" spans="2:56">
      <c r="B1927" s="156"/>
      <c r="BD1927" s="157"/>
    </row>
    <row r="1928" spans="2:56">
      <c r="B1928" s="156"/>
      <c r="BD1928" s="157"/>
    </row>
    <row r="1929" spans="2:56">
      <c r="B1929" s="156"/>
      <c r="C1929" s="200" t="s">
        <v>336</v>
      </c>
      <c r="D1929">
        <f>D1893+1</f>
        <v>49</v>
      </c>
      <c r="G1929" s="200" t="s">
        <v>638</v>
      </c>
      <c r="H1929">
        <f ca="1">LOOKUP(D1932,$C$191:$C$196,$D$191:$D$196)</f>
        <v>0</v>
      </c>
      <c r="K1929" s="200" t="s">
        <v>644</v>
      </c>
      <c r="L1929">
        <f ca="1">L1893-H1934</f>
        <v>-18.624000000000006</v>
      </c>
      <c r="O1929" s="200" t="s">
        <v>404</v>
      </c>
      <c r="P1929">
        <f ca="1">IF(D1931=1,SEAT_w_cushion_FC,IF(D1931=2,SEAT_w_cushion_BC,IF(D1931=3,SEAT_w_cushion_YC,0)))</f>
        <v>0</v>
      </c>
      <c r="S1929" s="200" t="s">
        <v>647</v>
      </c>
      <c r="T1929">
        <f ca="1">LOOKUP(D1932,$C$191:$C$196,$E$191:$E$196)</f>
        <v>0</v>
      </c>
      <c r="W1929" t="s">
        <v>130</v>
      </c>
      <c r="X1929" t="str">
        <f ca="1">OFFSET(Fuselage!$B$275,D1929,5)</f>
        <v>None</v>
      </c>
      <c r="AN1929" s="200" t="s">
        <v>135</v>
      </c>
      <c r="AO1929">
        <f ca="1">MAX(0,H1934-MAX(T1929,T1931,T1933,P1930)-X1930)</f>
        <v>0</v>
      </c>
      <c r="BD1929" s="157"/>
    </row>
    <row r="1930" spans="2:56">
      <c r="B1930" s="156"/>
      <c r="C1930" s="200" t="s">
        <v>200</v>
      </c>
      <c r="D1930" t="str">
        <f ca="1">OFFSET(Fuselage!$B$275,D1929,0)</f>
        <v/>
      </c>
      <c r="G1930" s="200" t="s">
        <v>639</v>
      </c>
      <c r="H1930">
        <f ca="1">LOOKUP(D1933,$C$191:$C$196,$D$191:$D$196)</f>
        <v>0</v>
      </c>
      <c r="O1930" s="200" t="s">
        <v>535</v>
      </c>
      <c r="P1930">
        <f ca="1">IF(D1931=1,SEAT_length_FC,IF(D1931=2,SEAT_length_BC,IF(D1931=3,SEAT_length_YC,0)))</f>
        <v>0</v>
      </c>
      <c r="S1930" s="200" t="s">
        <v>648</v>
      </c>
      <c r="T1930">
        <f ca="1">LOOKUP(D1932,$C$191:$C$196,$F$191:$F$196)</f>
        <v>0</v>
      </c>
      <c r="W1930" t="s">
        <v>131</v>
      </c>
      <c r="X1930">
        <f ca="1">LOOKUP(X1929,$I$191:$I$198,$J$191:$J$198)</f>
        <v>0</v>
      </c>
      <c r="BD1930" s="157"/>
    </row>
    <row r="1931" spans="2:56">
      <c r="B1931" s="156"/>
      <c r="C1931" s="200" t="s">
        <v>337</v>
      </c>
      <c r="D1931" t="str">
        <f ca="1">OFFSET(Fuselage!$B$275,D1929,4)</f>
        <v/>
      </c>
      <c r="G1931" s="200" t="s">
        <v>309</v>
      </c>
      <c r="H1931">
        <f ca="1">LOOKUP(D1934,$C$191:$C$196,$D$191:$D$196)</f>
        <v>0</v>
      </c>
      <c r="K1931" s="200" t="s">
        <v>645</v>
      </c>
      <c r="L1931">
        <f ca="1">IF(D1931=1,FUSELAGE_nseats_left_FC,IF(D1931=2,FUSELAGE_nseats_left_BC,IF(D1931=3,FUSELAGE_nseats_left_YC,0)))</f>
        <v>0</v>
      </c>
      <c r="O1931" s="200" t="s">
        <v>405</v>
      </c>
      <c r="P1931">
        <f ca="1">IF(D1931=1,SEAT_w_armrest_FC,IF(D1931=2,SEAT_w_armrest_BC,IF(D1931=3,SEAT_w_armrest_YC,0)))</f>
        <v>0</v>
      </c>
      <c r="S1931" s="200" t="s">
        <v>652</v>
      </c>
      <c r="T1931">
        <f ca="1">LOOKUP(D1933,$C$191:$C$196,$E$191:$E$196)</f>
        <v>0</v>
      </c>
      <c r="W1931" s="200" t="s">
        <v>393</v>
      </c>
      <c r="X1931" t="b">
        <f ca="1">IF(OFFSET(Fuselage!$B$275,D1929,6)="YES",TRUE(),FALSE())</f>
        <v>0</v>
      </c>
      <c r="BD1931" s="157"/>
    </row>
    <row r="1932" spans="2:56">
      <c r="B1932" s="156"/>
      <c r="C1932" s="200" t="s">
        <v>640</v>
      </c>
      <c r="D1932" t="str">
        <f ca="1">OFFSET(Fuselage!$B$275,D1929,1)</f>
        <v>None</v>
      </c>
      <c r="G1932" s="200" t="s">
        <v>132</v>
      </c>
      <c r="H1932">
        <f ca="1">IF(D1931=1,SEAT_pitch_FC,IF(D1931=2,SEAT_pitch_BC,IF(D1931=3,SEAT_pitch_YC,0)))</f>
        <v>0</v>
      </c>
      <c r="K1932" s="200" t="s">
        <v>646</v>
      </c>
      <c r="L1932">
        <f ca="1">IF(D1931=1,FUSELAGE_nseats_middle_FC,IF(D1931=2,FUSELAGE_nseats_middle_BC,IF(D1931=3,FUSELAGE_nseats_middle_YC,0)))</f>
        <v>0</v>
      </c>
      <c r="S1932" s="200" t="s">
        <v>653</v>
      </c>
      <c r="T1932">
        <f ca="1">LOOKUP(D1933,$C$191:$C$196,$F$191:$F$196)</f>
        <v>0</v>
      </c>
      <c r="BD1932" s="157"/>
    </row>
    <row r="1933" spans="2:56">
      <c r="B1933" s="156"/>
      <c r="C1933" s="200" t="s">
        <v>642</v>
      </c>
      <c r="D1933" t="str">
        <f ca="1">OFFSET(Fuselage!$B$275,D1929,2)</f>
        <v>None</v>
      </c>
      <c r="G1933" s="200" t="s">
        <v>129</v>
      </c>
      <c r="H1933">
        <f ca="1">IF(OR(X1929="Type A",X1929="Type B"),MAX(H1929:H1932)+42*0.0254,IF(X1929="Type C",MAX(H1929:H1932)+X1930,IF(X1929&lt;&gt;"None",24*0.0254,0)))</f>
        <v>0</v>
      </c>
      <c r="K1933" s="200" t="s">
        <v>655</v>
      </c>
      <c r="L1933">
        <f ca="1">IF(D1931=1,FUSELAGE_nseats_right_FC,IF(D1931=2,FUSELAGE_nseats_right_BC,IF(D1931=3,FUSELAGE_nseats_right_YC,0)))</f>
        <v>0</v>
      </c>
      <c r="O1933" s="200" t="s">
        <v>407</v>
      </c>
      <c r="P1933">
        <f ca="1">($C$13-(L1931+L1932+L1933)*(P1929+P1931)+(FUSELAGE_n_aisles-1)*P1931)/FUSELAGE_n_aisles</f>
        <v>2.76</v>
      </c>
      <c r="S1933" s="200" t="s">
        <v>651</v>
      </c>
      <c r="T1933">
        <f ca="1">LOOKUP(D1934,$C$191:$C$196,$E$191:$E$196)</f>
        <v>0</v>
      </c>
      <c r="BD1933" s="157"/>
    </row>
    <row r="1934" spans="2:56">
      <c r="B1934" s="156"/>
      <c r="C1934" s="200" t="s">
        <v>641</v>
      </c>
      <c r="D1934" t="str">
        <f ca="1">OFFSET(Fuselage!$B$275,D1929,3)</f>
        <v>None</v>
      </c>
      <c r="G1934" s="200" t="s">
        <v>643</v>
      </c>
      <c r="H1934">
        <f ca="1">MAX(H1929:H1933)</f>
        <v>0</v>
      </c>
      <c r="S1934" s="200" t="s">
        <v>654</v>
      </c>
      <c r="T1934">
        <f ca="1">LOOKUP(D1934,$C$191:$C$196,$F$191:$F$196)</f>
        <v>0</v>
      </c>
      <c r="BD1934" s="157"/>
    </row>
    <row r="1935" spans="2:56" ht="15" thickBot="1">
      <c r="B1935" s="156"/>
      <c r="BD1935" s="157"/>
    </row>
    <row r="1936" spans="2:56" ht="15" thickBot="1">
      <c r="B1936" s="156"/>
      <c r="C1936" s="141">
        <f ca="1">L1933</f>
        <v>0</v>
      </c>
      <c r="D1936" s="197" t="str">
        <f ca="1">IF($D1931=1,"FC",IF($D1931=2,"BC",IF($D1931=3,"YC","Nothing")))</f>
        <v>Nothing</v>
      </c>
      <c r="E1936" s="198"/>
      <c r="G1936" s="141">
        <f ca="1">L1932</f>
        <v>0</v>
      </c>
      <c r="H1936" s="197" t="str">
        <f ca="1">IF($D1931=1,"FC",IF($D1931=2,"BC",IF($D1931=3,"YC","Nothing")))</f>
        <v>Nothing</v>
      </c>
      <c r="I1936" s="198"/>
      <c r="K1936" s="141">
        <f ca="1" xml:space="preserve"> L1931</f>
        <v>0</v>
      </c>
      <c r="L1936" s="197" t="str">
        <f ca="1">IF($D1931=1,"FC",IF($D1931=2,"BC",IF($D1931=3,"YC","Nothing")))</f>
        <v>Nothing</v>
      </c>
      <c r="M1936" s="198"/>
      <c r="O1936" s="141">
        <f ca="1">IF($D1934&lt;&gt;"None",1,0)</f>
        <v>0</v>
      </c>
      <c r="P1936" s="326" t="s">
        <v>380</v>
      </c>
      <c r="Q1936" s="327"/>
      <c r="S1936" s="141">
        <f ca="1">IF($D1933&lt;&gt;"None",1,0)</f>
        <v>0</v>
      </c>
      <c r="T1936" s="326" t="s">
        <v>381</v>
      </c>
      <c r="U1936" s="327"/>
      <c r="W1936" s="141">
        <f ca="1">IF($D1932&lt;&gt;"None",1,0)</f>
        <v>0</v>
      </c>
      <c r="X1936" s="326" t="s">
        <v>382</v>
      </c>
      <c r="Y1936" s="327"/>
      <c r="AA1936" s="141">
        <f ca="1">IF($D1934="None",1,0)</f>
        <v>1</v>
      </c>
      <c r="AB1936" s="326" t="str">
        <f ca="1">IF(AA1936,D1936,$D1934)</f>
        <v>Nothing</v>
      </c>
      <c r="AC1936" s="327"/>
      <c r="AE1936" s="141">
        <f ca="1">IF($D1933="None",1,0)</f>
        <v>1</v>
      </c>
      <c r="AF1936" s="326" t="str">
        <f ca="1">IF(AE1936,H1936,$D1933)</f>
        <v>Nothing</v>
      </c>
      <c r="AG1936" s="327"/>
      <c r="AI1936" s="141">
        <f ca="1">IF($D1932="None",1,0)</f>
        <v>1</v>
      </c>
      <c r="AJ1936" s="326" t="str">
        <f ca="1">IF(AI1936,L1936,$D1932)</f>
        <v>Nothing</v>
      </c>
      <c r="AK1936" s="327"/>
      <c r="AM1936" s="141">
        <f ca="1">IF($X1929="None",0,1)</f>
        <v>0</v>
      </c>
      <c r="AN1936" s="197" t="s">
        <v>133</v>
      </c>
      <c r="AO1936" s="198"/>
      <c r="AQ1936" s="141">
        <f ca="1">IF($X1929="None",0,1)</f>
        <v>0</v>
      </c>
      <c r="AR1936" s="197" t="s">
        <v>134</v>
      </c>
      <c r="AS1936" s="198"/>
      <c r="BD1936" s="157"/>
    </row>
    <row r="1937" spans="2:56" ht="15" thickBot="1">
      <c r="B1937" s="156"/>
      <c r="C1937" s="136" t="s">
        <v>452</v>
      </c>
      <c r="D1937" s="136" t="s">
        <v>384</v>
      </c>
      <c r="E1937" s="138" t="s">
        <v>385</v>
      </c>
      <c r="G1937" s="136" t="s">
        <v>452</v>
      </c>
      <c r="H1937" s="136" t="s">
        <v>384</v>
      </c>
      <c r="I1937" s="138" t="s">
        <v>385</v>
      </c>
      <c r="K1937" s="193" t="s">
        <v>452</v>
      </c>
      <c r="L1937" s="193" t="s">
        <v>384</v>
      </c>
      <c r="M1937" s="194" t="s">
        <v>385</v>
      </c>
      <c r="O1937" s="136" t="s">
        <v>452</v>
      </c>
      <c r="P1937" s="136" t="s">
        <v>384</v>
      </c>
      <c r="Q1937" s="138" t="s">
        <v>385</v>
      </c>
      <c r="S1937" s="136" t="s">
        <v>452</v>
      </c>
      <c r="T1937" s="136" t="s">
        <v>384</v>
      </c>
      <c r="U1937" s="138" t="s">
        <v>385</v>
      </c>
      <c r="W1937" s="136" t="s">
        <v>452</v>
      </c>
      <c r="X1937" s="136" t="s">
        <v>384</v>
      </c>
      <c r="Y1937" s="138" t="s">
        <v>385</v>
      </c>
      <c r="AA1937" s="136" t="s">
        <v>452</v>
      </c>
      <c r="AB1937" s="136" t="s">
        <v>384</v>
      </c>
      <c r="AC1937" s="138" t="s">
        <v>385</v>
      </c>
      <c r="AE1937" s="136" t="s">
        <v>452</v>
      </c>
      <c r="AF1937" s="136" t="s">
        <v>384</v>
      </c>
      <c r="AG1937" s="138" t="s">
        <v>385</v>
      </c>
      <c r="AI1937" s="193" t="s">
        <v>452</v>
      </c>
      <c r="AJ1937" s="193" t="s">
        <v>384</v>
      </c>
      <c r="AK1937" s="194" t="s">
        <v>385</v>
      </c>
      <c r="AM1937" s="193" t="s">
        <v>452</v>
      </c>
      <c r="AN1937" s="193" t="s">
        <v>384</v>
      </c>
      <c r="AO1937" s="194" t="s">
        <v>385</v>
      </c>
      <c r="AQ1937" s="193" t="s">
        <v>452</v>
      </c>
      <c r="AR1937" s="193" t="s">
        <v>384</v>
      </c>
      <c r="AS1937" s="194" t="s">
        <v>385</v>
      </c>
      <c r="BD1937" s="157"/>
    </row>
    <row r="1938" spans="2:56">
      <c r="B1938" s="156"/>
      <c r="C1938" s="128" t="s">
        <v>396</v>
      </c>
      <c r="D1938" s="158">
        <f ca="1">IF(C1936&gt;=1,L1929,8888)</f>
        <v>8888</v>
      </c>
      <c r="E1938" s="160">
        <f ca="1">IF(C1936&gt;=1,1/2*($C$13-P1929-2*P1931)+1/2*P1929,8888)</f>
        <v>8888</v>
      </c>
      <c r="G1938" s="128" t="s">
        <v>396</v>
      </c>
      <c r="H1938" s="158">
        <f ca="1">IF(G1936&gt;=1,L1929,8888)</f>
        <v>8888</v>
      </c>
      <c r="I1938" s="160">
        <f ca="1">IF(G1936&gt;=1,E1949-P1933,8888)</f>
        <v>8888</v>
      </c>
      <c r="K1938" s="128" t="s">
        <v>396</v>
      </c>
      <c r="L1938" s="158">
        <f ca="1">IF(K1936&gt;=1,L1929,8888)</f>
        <v>8888</v>
      </c>
      <c r="M1938" s="160">
        <f ca="1">IF(K1936&gt;=1,IF(FUSELAGE_n_aisles=1,E1949-P1933,I1961-P1933),8888)</f>
        <v>8888</v>
      </c>
      <c r="O1938" s="128" t="s">
        <v>396</v>
      </c>
      <c r="P1938" s="158">
        <f ca="1">IF(O1936,$L1929,8888)</f>
        <v>8888</v>
      </c>
      <c r="Q1938" s="209">
        <f ca="1">IF(O1936,FUSELAGE_y_position_of_left_seat_YC-(FUSELAGE_nseats_right_YC-1)*(SEAT_w_cushion_YC+SEAT_w_armrest_YC)/2+T1934/2,8888)</f>
        <v>8888</v>
      </c>
      <c r="S1938" s="128" t="s">
        <v>396</v>
      </c>
      <c r="T1938" s="158">
        <f ca="1">IF(S1936,$L1929,8888)</f>
        <v>8888</v>
      </c>
      <c r="U1938" s="160">
        <f ca="1">IF(S1936,T1932/2,8888)</f>
        <v>8888</v>
      </c>
      <c r="W1938" s="128" t="s">
        <v>396</v>
      </c>
      <c r="X1938" s="158">
        <f ca="1">IF(W1936,$L1929,8888)</f>
        <v>8888</v>
      </c>
      <c r="Y1938" s="160">
        <f ca="1">IF(W1936,-FUSELAGE_y_position_of_left_seat_YC+(FUSELAGE_nseats_left_YC-1)*(SEAT_w_cushion_YC+SEAT_w_armrest_YC)/2-T1930/2,8888)</f>
        <v>8888</v>
      </c>
      <c r="AA1938" s="128" t="s">
        <v>396</v>
      </c>
      <c r="AB1938" s="158">
        <f ca="1">IF($AA1936,D1938,P1938)</f>
        <v>8888</v>
      </c>
      <c r="AC1938" s="174">
        <f ca="1">IF($AA1936,E1938,Q1938)</f>
        <v>8888</v>
      </c>
      <c r="AE1938" s="128" t="s">
        <v>396</v>
      </c>
      <c r="AF1938" s="158">
        <f ca="1">IF($AE1936,H1938,T1938)</f>
        <v>8888</v>
      </c>
      <c r="AG1938" s="174">
        <f ca="1">IF($AE1936,I1938,U1938)</f>
        <v>8888</v>
      </c>
      <c r="AI1938" s="128" t="s">
        <v>396</v>
      </c>
      <c r="AJ1938" s="158">
        <f ca="1">IF($AI1936,L1938,X1938)</f>
        <v>8888</v>
      </c>
      <c r="AK1938" s="174">
        <f ca="1">IF($AI1936,M1938,Y1938)</f>
        <v>8888</v>
      </c>
      <c r="AM1938" s="128" t="s">
        <v>396</v>
      </c>
      <c r="AN1938" s="158">
        <f ca="1">AN1907</f>
        <v>-18.624000000000006</v>
      </c>
      <c r="AO1938" s="174">
        <f ca="1">IF(AN1938&gt;-Fuselage!$D$366,(FUSELAGE_a_ellipse)*SQRT(1-((AN1938+Fuselage!$D$366)/(Fuselage!$K$364-FUSELAGE_t_fuselage))^2),IF(AN1938&gt;$L$2505+Fuselage!$K$370,FUSELAGE_a_ellipse,(FUSELAGE_a_ellipse+FUSELAGE_t_fuselage-FUSELAGE_d_fo/4)/Fuselage!$K$368*(AN1938-$L$2505-Fuselage!$K$370)+FUSELAGE_a_ellipse))</f>
        <v>1.4960570012328709</v>
      </c>
      <c r="AQ1938" s="128" t="s">
        <v>396</v>
      </c>
      <c r="AR1938" s="158">
        <f t="shared" ref="AR1938:AR1943" ca="1" si="162">AN1938</f>
        <v>-18.624000000000006</v>
      </c>
      <c r="AS1938" s="174">
        <f t="shared" ref="AS1938:AS1943" ca="1" si="163">-AO1938</f>
        <v>-1.4960570012328709</v>
      </c>
      <c r="BD1938" s="157"/>
    </row>
    <row r="1939" spans="2:56">
      <c r="B1939" s="156"/>
      <c r="C1939" s="128" t="s">
        <v>213</v>
      </c>
      <c r="D1939" s="128">
        <f ca="1">IF(X1931,D1938+P1930/4,D1938+P1930)</f>
        <v>8888</v>
      </c>
      <c r="E1939" s="139">
        <f ca="1">E1938</f>
        <v>8888</v>
      </c>
      <c r="G1939" s="128" t="s">
        <v>213</v>
      </c>
      <c r="H1939" s="128">
        <f ca="1">H1938+P1930</f>
        <v>8888</v>
      </c>
      <c r="I1939" s="139">
        <f ca="1">I1938</f>
        <v>8888</v>
      </c>
      <c r="K1939" s="128" t="s">
        <v>213</v>
      </c>
      <c r="L1939" s="128">
        <f ca="1">IF(X1931,IF(K1936=1,L1938+P1930/4,L1938+P1930),L1938+P1930)</f>
        <v>8888</v>
      </c>
      <c r="M1939" s="139">
        <f ca="1">M1938</f>
        <v>8888</v>
      </c>
      <c r="O1939" s="128" t="s">
        <v>213</v>
      </c>
      <c r="P1939" s="128">
        <f ca="1">P1938+$T1933</f>
        <v>8888</v>
      </c>
      <c r="Q1939" s="139">
        <f ca="1">Q1938</f>
        <v>8888</v>
      </c>
      <c r="S1939" s="128" t="s">
        <v>213</v>
      </c>
      <c r="T1939" s="128">
        <f ca="1">T1938+$T1931</f>
        <v>8888</v>
      </c>
      <c r="U1939" s="139">
        <f ca="1">U1938</f>
        <v>8888</v>
      </c>
      <c r="W1939" s="128" t="s">
        <v>213</v>
      </c>
      <c r="X1939" s="128">
        <f ca="1">X1938+$T1929</f>
        <v>8888</v>
      </c>
      <c r="Y1939" s="139">
        <f ca="1">Y1938</f>
        <v>8888</v>
      </c>
      <c r="AA1939" s="143" t="s">
        <v>213</v>
      </c>
      <c r="AB1939" s="128">
        <f ca="1">IF($AA1936,D1939,P1939)</f>
        <v>8888</v>
      </c>
      <c r="AC1939" s="129">
        <f ca="1">IF($AA1936,E1939,Q1939)</f>
        <v>8888</v>
      </c>
      <c r="AE1939" s="128" t="s">
        <v>213</v>
      </c>
      <c r="AF1939" s="128">
        <f ca="1">IF($AE1936,H1939,T1939)</f>
        <v>8888</v>
      </c>
      <c r="AG1939" s="129">
        <f ca="1">IF($AE1936,I1939,U1939)</f>
        <v>8888</v>
      </c>
      <c r="AI1939" s="128" t="s">
        <v>213</v>
      </c>
      <c r="AJ1939" s="128">
        <f ca="1">IF($AI1936,L1939,X1939)</f>
        <v>8888</v>
      </c>
      <c r="AK1939" s="129">
        <f ca="1">IF($AI1936,M1939,Y1939)</f>
        <v>8888</v>
      </c>
      <c r="AM1939" s="128" t="s">
        <v>213</v>
      </c>
      <c r="AN1939" s="128">
        <f ca="1">AN1938-AO1929/2</f>
        <v>-18.624000000000006</v>
      </c>
      <c r="AO1939" s="129">
        <f ca="1">IF(AN1939&gt;-Fuselage!$D$366,(FUSELAGE_a_ellipse)*SQRT(1-((AN1939+Fuselage!$D$366)/(Fuselage!$K$364-FUSELAGE_t_fuselage))^2),IF(AN1939&gt;$L$2505+Fuselage!$K$370,FUSELAGE_a_ellipse,(FUSELAGE_a_ellipse+FUSELAGE_t_fuselage-FUSELAGE_d_fo/4)/Fuselage!$K$368*(AN1939-$L$2505-Fuselage!$K$370)+FUSELAGE_a_ellipse))</f>
        <v>1.4960570012328709</v>
      </c>
      <c r="AQ1939" s="128" t="s">
        <v>213</v>
      </c>
      <c r="AR1939" s="128">
        <f t="shared" ca="1" si="162"/>
        <v>-18.624000000000006</v>
      </c>
      <c r="AS1939" s="129">
        <f t="shared" ca="1" si="163"/>
        <v>-1.4960570012328709</v>
      </c>
      <c r="BD1939" s="157"/>
    </row>
    <row r="1940" spans="2:56">
      <c r="B1940" s="156"/>
      <c r="C1940" s="128" t="s">
        <v>286</v>
      </c>
      <c r="D1940" s="128">
        <f ca="1">D1939</f>
        <v>8888</v>
      </c>
      <c r="E1940" s="139">
        <f ca="1">E1939-P1929</f>
        <v>8888</v>
      </c>
      <c r="G1940" s="128" t="s">
        <v>286</v>
      </c>
      <c r="H1940" s="128">
        <f ca="1">H1939</f>
        <v>8888</v>
      </c>
      <c r="I1940" s="139">
        <f ca="1">I1939-P1929</f>
        <v>8888</v>
      </c>
      <c r="K1940" s="128" t="s">
        <v>286</v>
      </c>
      <c r="L1940" s="128">
        <f ca="1">L1939</f>
        <v>8888</v>
      </c>
      <c r="M1940" s="139">
        <f ca="1">M1939-P1929</f>
        <v>8888</v>
      </c>
      <c r="O1940" s="128" t="s">
        <v>286</v>
      </c>
      <c r="P1940" s="128">
        <f ca="1">P1939</f>
        <v>8888</v>
      </c>
      <c r="Q1940" s="139">
        <f ca="1">Q1939-$T1934</f>
        <v>8888</v>
      </c>
      <c r="S1940" s="128" t="s">
        <v>286</v>
      </c>
      <c r="T1940" s="128">
        <f ca="1">T1939</f>
        <v>8888</v>
      </c>
      <c r="U1940" s="139">
        <f ca="1">U1939-$T1932</f>
        <v>8888</v>
      </c>
      <c r="W1940" s="128" t="s">
        <v>286</v>
      </c>
      <c r="X1940" s="128">
        <f ca="1">X1939</f>
        <v>8888</v>
      </c>
      <c r="Y1940" s="139">
        <f ca="1">Y1939+$T1930</f>
        <v>8888</v>
      </c>
      <c r="AA1940" s="143" t="s">
        <v>286</v>
      </c>
      <c r="AB1940" s="128">
        <f ca="1">IF($AA1936,D1940,P1940)</f>
        <v>8888</v>
      </c>
      <c r="AC1940" s="129">
        <f ca="1">IF($AA1936,E1940,Q1940)</f>
        <v>8888</v>
      </c>
      <c r="AE1940" s="128" t="s">
        <v>286</v>
      </c>
      <c r="AF1940" s="128">
        <f ca="1">IF($AE1936,H1940,T1940)</f>
        <v>8888</v>
      </c>
      <c r="AG1940" s="129">
        <f ca="1">IF($AE1936,I1940,U1940)</f>
        <v>8888</v>
      </c>
      <c r="AI1940" s="128" t="s">
        <v>286</v>
      </c>
      <c r="AJ1940" s="128">
        <f ca="1">IF($AI1936,L1940,X1940)</f>
        <v>8888</v>
      </c>
      <c r="AK1940" s="129">
        <f ca="1">IF($AI1936,M1940,Y1940)</f>
        <v>8888</v>
      </c>
      <c r="AM1940" s="128" t="s">
        <v>286</v>
      </c>
      <c r="AN1940" s="128">
        <f ca="1">AN1939</f>
        <v>-18.624000000000006</v>
      </c>
      <c r="AO1940" s="129">
        <f ca="1">IF(AN1940&gt;-Fuselage!$D$366,IF(AM1936,(FUSELAGE_a_ellipse+FUSELAGE_t_fuselage)*SQRT(1-((AN1940+Fuselage!$D$366)/Fuselage!$K$364)^2),(FUSELAGE_a_ellipse)*SQRT(1-((AN1940+Fuselage!$D$366)/Fuselage!$K$364)^2)),IF(AN1940&gt;$L$2505+Fuselage!$K$370,(IF(AM1936,FUSELAGE_a_ellipse+FUSELAGE_t_fuselage,FUSELAGE_a_ellipse)),IF(AM1936,(FUSELAGE_a_ellipse+FUSELAGE_t_fuselage-FUSELAGE_d_fo/4)/Fuselage!$K$368*(AN1940-$L$2505-Fuselage!$K$370)+FUSELAGE_a_ellipse+FUSELAGE_t_fuselage,(FUSELAGE_a_ellipse+FUSELAGE_t_fuselage-FUSELAGE_d_fo/4)/Fuselage!$K$368*(AN1940-$L$2505-Fuselage!$K$370)+FUSELAGE_a_ellipse)))</f>
        <v>1.4960570012328709</v>
      </c>
      <c r="AQ1940" s="128" t="s">
        <v>286</v>
      </c>
      <c r="AR1940" s="128">
        <f t="shared" ca="1" si="162"/>
        <v>-18.624000000000006</v>
      </c>
      <c r="AS1940" s="129">
        <f t="shared" ca="1" si="163"/>
        <v>-1.4960570012328709</v>
      </c>
      <c r="BD1940" s="157"/>
    </row>
    <row r="1941" spans="2:56">
      <c r="B1941" s="156"/>
      <c r="C1941" s="188" t="s">
        <v>522</v>
      </c>
      <c r="D1941" s="188">
        <f ca="1">D1938</f>
        <v>8888</v>
      </c>
      <c r="E1941" s="189">
        <f ca="1">E1940</f>
        <v>8888</v>
      </c>
      <c r="F1941" s="157"/>
      <c r="G1941" s="2" t="s">
        <v>522</v>
      </c>
      <c r="H1941" s="128">
        <f ca="1">H1938</f>
        <v>8888</v>
      </c>
      <c r="I1941" s="139">
        <f ca="1">I1940</f>
        <v>8888</v>
      </c>
      <c r="K1941" s="128" t="s">
        <v>522</v>
      </c>
      <c r="L1941" s="128">
        <f ca="1">L1938</f>
        <v>8888</v>
      </c>
      <c r="M1941" s="139">
        <f ca="1">M1940</f>
        <v>8888</v>
      </c>
      <c r="O1941" s="188" t="s">
        <v>522</v>
      </c>
      <c r="P1941" s="188">
        <f ca="1">P1938</f>
        <v>8888</v>
      </c>
      <c r="Q1941" s="189">
        <f ca="1">Q1940</f>
        <v>8888</v>
      </c>
      <c r="S1941" s="188" t="s">
        <v>522</v>
      </c>
      <c r="T1941" s="188">
        <f ca="1">T1938</f>
        <v>8888</v>
      </c>
      <c r="U1941" s="189">
        <f ca="1">U1940</f>
        <v>8888</v>
      </c>
      <c r="W1941" s="188" t="s">
        <v>522</v>
      </c>
      <c r="X1941" s="188">
        <f ca="1">X1938</f>
        <v>8888</v>
      </c>
      <c r="Y1941" s="189">
        <f ca="1">Y1940</f>
        <v>8888</v>
      </c>
      <c r="AA1941" s="195" t="s">
        <v>522</v>
      </c>
      <c r="AB1941" s="128">
        <f ca="1">IF($AA1936,D1941,P1941)</f>
        <v>8888</v>
      </c>
      <c r="AC1941" s="129">
        <f ca="1">IF($AA1936,E1941,Q1941)</f>
        <v>8888</v>
      </c>
      <c r="AD1941" s="157"/>
      <c r="AE1941" s="2" t="s">
        <v>522</v>
      </c>
      <c r="AF1941" s="188">
        <f ca="1">IF($AE1936,H1941,T1941)</f>
        <v>8888</v>
      </c>
      <c r="AG1941" s="196">
        <f ca="1">IF($AE1936,I1941,U1941)</f>
        <v>8888</v>
      </c>
      <c r="AI1941" s="128" t="s">
        <v>522</v>
      </c>
      <c r="AJ1941" s="188">
        <f ca="1">IF($AI1936,L1941,X1941)</f>
        <v>8888</v>
      </c>
      <c r="AK1941" s="196">
        <f ca="1">IF($AI1936,M1941,Y1941)</f>
        <v>8888</v>
      </c>
      <c r="AM1941" s="128" t="s">
        <v>522</v>
      </c>
      <c r="AN1941" s="128">
        <f ca="1">AN1940-X1930</f>
        <v>-18.624000000000006</v>
      </c>
      <c r="AO1941" s="129">
        <f ca="1">IF(AN1941&gt;-Fuselage!$D$366,IF(AM1936,(FUSELAGE_a_ellipse+FUSELAGE_t_fuselage)*SQRT(1-((AN1941+Fuselage!$D$366)/Fuselage!$K$364)^2),(FUSELAGE_a_ellipse)*SQRT(1-((AN1941+Fuselage!$D$366)/Fuselage!$K$364)^2)),IF(AN1941&gt;$L$2505+Fuselage!$K$370,(IF(AM1936,FUSELAGE_a_ellipse+FUSELAGE_t_fuselage,FUSELAGE_a_ellipse)),IF(AM1936,(FUSELAGE_a_ellipse+FUSELAGE_t_fuselage-FUSELAGE_d_fo/4)/Fuselage!$K$368*(AN1941-$L$2505-Fuselage!$K$370)+FUSELAGE_a_ellipse+FUSELAGE_t_fuselage,(FUSELAGE_a_ellipse+FUSELAGE_t_fuselage-FUSELAGE_d_fo/4)/Fuselage!$K$368*(AN1941-$L$2505-Fuselage!$K$370)+FUSELAGE_a_ellipse)))</f>
        <v>1.4960570012328709</v>
      </c>
      <c r="AQ1941" s="128" t="s">
        <v>522</v>
      </c>
      <c r="AR1941" s="128">
        <f t="shared" ca="1" si="162"/>
        <v>-18.624000000000006</v>
      </c>
      <c r="AS1941" s="129">
        <f t="shared" ca="1" si="163"/>
        <v>-1.4960570012328709</v>
      </c>
      <c r="BD1941" s="157"/>
    </row>
    <row r="1942" spans="2:56" ht="15" thickBot="1">
      <c r="B1942" s="156"/>
      <c r="C1942" s="128" t="s">
        <v>49</v>
      </c>
      <c r="D1942" s="128">
        <f ca="1">IF(C1936&gt;=2,D1938,D1941)</f>
        <v>8888</v>
      </c>
      <c r="E1942" s="139">
        <f ca="1">IF(C1936&gt;=2,E1941-P1931,E1941)</f>
        <v>8888</v>
      </c>
      <c r="F1942" s="157"/>
      <c r="G1942" s="192" t="s">
        <v>49</v>
      </c>
      <c r="H1942" s="190">
        <f ca="1">IF(G1936&gt;=2,H1938,H1941)</f>
        <v>8888</v>
      </c>
      <c r="I1942" s="191">
        <f ca="1">IF(G1936&gt;=2,I1941-P1931,I1941)</f>
        <v>8888</v>
      </c>
      <c r="K1942" s="190" t="s">
        <v>49</v>
      </c>
      <c r="L1942" s="190">
        <f ca="1">IF(K1936&gt;=2,L1938,L1941)</f>
        <v>8888</v>
      </c>
      <c r="M1942" s="191">
        <f ca="1">IF(K1936&gt;=2,M1941-P1931,M1941)</f>
        <v>8888</v>
      </c>
      <c r="O1942" s="130" t="s">
        <v>396</v>
      </c>
      <c r="P1942" s="130">
        <f ca="1">P1938</f>
        <v>8888</v>
      </c>
      <c r="Q1942" s="140">
        <f ca="1">Q1938</f>
        <v>8888</v>
      </c>
      <c r="S1942" s="130" t="s">
        <v>396</v>
      </c>
      <c r="T1942" s="130">
        <f ca="1">T1938</f>
        <v>8888</v>
      </c>
      <c r="U1942" s="140">
        <f ca="1">U1938</f>
        <v>8888</v>
      </c>
      <c r="W1942" s="130" t="s">
        <v>396</v>
      </c>
      <c r="X1942" s="130">
        <f ca="1">X1938</f>
        <v>8888</v>
      </c>
      <c r="Y1942" s="140">
        <f ca="1">Y1938</f>
        <v>8888</v>
      </c>
      <c r="AA1942" s="143" t="s">
        <v>49</v>
      </c>
      <c r="AB1942" s="128">
        <f ca="1">IF($AA1936,D1942,P1942)</f>
        <v>8888</v>
      </c>
      <c r="AC1942" s="129">
        <f ca="1">IF($AA1936,E1942,Q1942)</f>
        <v>8888</v>
      </c>
      <c r="AD1942" s="157"/>
      <c r="AE1942" s="192" t="s">
        <v>49</v>
      </c>
      <c r="AF1942" s="128">
        <f ca="1">IF($AE1936,H1942,T1942)</f>
        <v>8888</v>
      </c>
      <c r="AG1942" s="129">
        <f ca="1">IF($AE1936,I1942,U1942)</f>
        <v>8888</v>
      </c>
      <c r="AI1942" s="190" t="s">
        <v>49</v>
      </c>
      <c r="AJ1942" s="128">
        <f ca="1">IF($AI1936,L1942,X1942)</f>
        <v>8888</v>
      </c>
      <c r="AK1942" s="129">
        <f ca="1">IF($AI1936,M1942,Y1942)</f>
        <v>8888</v>
      </c>
      <c r="AM1942" s="128" t="s">
        <v>49</v>
      </c>
      <c r="AN1942" s="128">
        <f ca="1">AN1941</f>
        <v>-18.624000000000006</v>
      </c>
      <c r="AO1942" s="129">
        <f ca="1">IF(AN1942&gt;-Fuselage!$D$366,(FUSELAGE_a_ellipse)*SQRT(1-((AN1942+Fuselage!$D$366)/(Fuselage!$K$364-FUSELAGE_t_fuselage))^2),IF(AN1942&gt;$L$2505+Fuselage!$K$370,FUSELAGE_a_ellipse,(FUSELAGE_a_ellipse+FUSELAGE_t_fuselage-FUSELAGE_d_fo/4)/Fuselage!$K$368*(AN1942-$L$2505-Fuselage!$K$370)+FUSELAGE_a_ellipse))</f>
        <v>1.4960570012328709</v>
      </c>
      <c r="AQ1942" s="128" t="s">
        <v>49</v>
      </c>
      <c r="AR1942" s="128">
        <f t="shared" ca="1" si="162"/>
        <v>-18.624000000000006</v>
      </c>
      <c r="AS1942" s="129">
        <f t="shared" ca="1" si="163"/>
        <v>-1.4960570012328709</v>
      </c>
      <c r="BD1942" s="157"/>
    </row>
    <row r="1943" spans="2:56">
      <c r="B1943" s="156"/>
      <c r="C1943" s="128" t="s">
        <v>453</v>
      </c>
      <c r="D1943" s="128">
        <f ca="1">IF(C1936&gt;=2,D1938+P1930,D1941)</f>
        <v>8888</v>
      </c>
      <c r="E1943" s="139">
        <f ca="1">E1942</f>
        <v>8888</v>
      </c>
      <c r="F1943" s="157"/>
      <c r="G1943" s="2" t="s">
        <v>453</v>
      </c>
      <c r="H1943" s="128">
        <f ca="1">IF(G1936&gt;=2,H1939,H1941)</f>
        <v>8888</v>
      </c>
      <c r="I1943" s="139">
        <f ca="1">IF(G1936&gt;=2,I1942,I1941)</f>
        <v>8888</v>
      </c>
      <c r="K1943" s="128" t="s">
        <v>453</v>
      </c>
      <c r="L1943" s="128">
        <f ca="1">IF(K1936&gt;=2,IF(X1931,IF(K1936=2,L1938+P1930/4,L1938+P1930),L1938+P1930),L1941)</f>
        <v>8888</v>
      </c>
      <c r="M1943" s="139">
        <f ca="1">IF(K1936&gt;=2,M1942,M1941)</f>
        <v>8888</v>
      </c>
      <c r="AA1943" s="143" t="s">
        <v>453</v>
      </c>
      <c r="AB1943" s="128">
        <f ca="1">IF($AA1936,D1943,AB1942)</f>
        <v>8888</v>
      </c>
      <c r="AC1943" s="129">
        <f ca="1">IF($AA1936,E1943,AC1942)</f>
        <v>8888</v>
      </c>
      <c r="AD1943" s="157"/>
      <c r="AE1943" s="2" t="s">
        <v>453</v>
      </c>
      <c r="AF1943" s="128">
        <f ca="1">IF($AE1936,H1943,AF1942)</f>
        <v>8888</v>
      </c>
      <c r="AG1943" s="129">
        <f ca="1">IF($AE1936,I1943,AG1942)</f>
        <v>8888</v>
      </c>
      <c r="AI1943" s="128" t="s">
        <v>453</v>
      </c>
      <c r="AJ1943" s="128">
        <f ca="1">IF($AI1936,L1943,AJ1942)</f>
        <v>8888</v>
      </c>
      <c r="AK1943" s="129">
        <f ca="1">IF($AI1936,M1943,AK1942)</f>
        <v>8888</v>
      </c>
      <c r="AM1943" s="128" t="s">
        <v>453</v>
      </c>
      <c r="AN1943" s="128">
        <f ca="1">L1929</f>
        <v>-18.624000000000006</v>
      </c>
      <c r="AO1943" s="129">
        <f ca="1">IF(AN1943&gt;-Fuselage!$D$366,(FUSELAGE_a_ellipse)*SQRT(1-((AN1943+Fuselage!$D$366)/(Fuselage!$K$364-FUSELAGE_t_fuselage))^2),IF(AN1943&gt;$L$2505+Fuselage!$K$370,FUSELAGE_a_ellipse,(FUSELAGE_a_ellipse+FUSELAGE_t_fuselage-FUSELAGE_d_fo/4)/Fuselage!$K$368*(AN1943-$L$2505-Fuselage!$K$370)+FUSELAGE_a_ellipse))</f>
        <v>1.4960570012328709</v>
      </c>
      <c r="AQ1943" s="128" t="s">
        <v>453</v>
      </c>
      <c r="AR1943" s="128">
        <f t="shared" ca="1" si="162"/>
        <v>-18.624000000000006</v>
      </c>
      <c r="AS1943" s="129">
        <f t="shared" ca="1" si="163"/>
        <v>-1.4960570012328709</v>
      </c>
      <c r="BD1943" s="157"/>
    </row>
    <row r="1944" spans="2:56">
      <c r="B1944" s="156"/>
      <c r="C1944" s="128" t="s">
        <v>394</v>
      </c>
      <c r="D1944" s="128">
        <f ca="1">IF(C1936&gt;=2,D1943,D1941)</f>
        <v>8888</v>
      </c>
      <c r="E1944" s="139">
        <f ca="1">IF(C1936&gt;=2,E1942-P1929,E1941)</f>
        <v>8888</v>
      </c>
      <c r="F1944" s="157"/>
      <c r="G1944" s="2" t="s">
        <v>394</v>
      </c>
      <c r="H1944" s="128">
        <f ca="1">IF(G1936&gt;=2,H1939,H1941)</f>
        <v>8888</v>
      </c>
      <c r="I1944" s="139">
        <f ca="1">IF(G1936&gt;=2,I1943-P1929,I1941)</f>
        <v>8888</v>
      </c>
      <c r="K1944" s="128" t="s">
        <v>394</v>
      </c>
      <c r="L1944" s="128">
        <f ca="1">L1943</f>
        <v>8888</v>
      </c>
      <c r="M1944" s="139">
        <f ca="1">IF(K1936&gt;=2,M1943-P1929,M1941)</f>
        <v>8888</v>
      </c>
      <c r="AA1944" s="143" t="s">
        <v>394</v>
      </c>
      <c r="AB1944" s="128">
        <f ca="1">IF($AA1936,D1944,AB1942)</f>
        <v>8888</v>
      </c>
      <c r="AC1944" s="129">
        <f ca="1">IF($AA1936,E1944,AC1942)</f>
        <v>8888</v>
      </c>
      <c r="AD1944" s="157"/>
      <c r="AE1944" s="2" t="s">
        <v>394</v>
      </c>
      <c r="AF1944" s="128">
        <f ca="1">IF($AE1936,H1944,AF1942)</f>
        <v>8888</v>
      </c>
      <c r="AG1944" s="129">
        <f ca="1">IF($AE1936,I1944,AG1942)</f>
        <v>8888</v>
      </c>
      <c r="AI1944" s="128" t="s">
        <v>394</v>
      </c>
      <c r="AJ1944" s="128">
        <f ca="1">IF($AI1936,L1944,AJ1942)</f>
        <v>8888</v>
      </c>
      <c r="AK1944" s="129">
        <f ca="1">IF($AI1936,M1944,AK1942)</f>
        <v>8888</v>
      </c>
      <c r="BD1944" s="157"/>
    </row>
    <row r="1945" spans="2:56">
      <c r="B1945" s="156"/>
      <c r="C1945" s="188" t="s">
        <v>454</v>
      </c>
      <c r="D1945" s="188">
        <f ca="1">IF(C1936&gt;=2,D1938,D1941)</f>
        <v>8888</v>
      </c>
      <c r="E1945" s="189">
        <f ca="1">E1944</f>
        <v>8888</v>
      </c>
      <c r="F1945" s="157"/>
      <c r="G1945" s="115" t="s">
        <v>454</v>
      </c>
      <c r="H1945" s="188">
        <f ca="1">IF(G1936&gt;=2,H1938,H1941)</f>
        <v>8888</v>
      </c>
      <c r="I1945" s="189">
        <f ca="1">IF(G1936&gt;=2,I1944,I1941)</f>
        <v>8888</v>
      </c>
      <c r="K1945" s="188" t="s">
        <v>454</v>
      </c>
      <c r="L1945" s="188">
        <f ca="1">IF(K1936&gt;=2,L1938,L1941)</f>
        <v>8888</v>
      </c>
      <c r="M1945" s="189">
        <f ca="1">IF(K1936&gt;=2,M1944,M1941)</f>
        <v>8888</v>
      </c>
      <c r="AA1945" s="195" t="s">
        <v>454</v>
      </c>
      <c r="AB1945" s="128">
        <f ca="1">IF($AA1936,D1945,AB1942)</f>
        <v>8888</v>
      </c>
      <c r="AC1945" s="129">
        <f ca="1">IF($AA1936,E1945,AC1942)</f>
        <v>8888</v>
      </c>
      <c r="AD1945" s="157"/>
      <c r="AE1945" s="115" t="s">
        <v>454</v>
      </c>
      <c r="AF1945" s="188">
        <f ca="1">IF($AE1936,H1945,AF1942)</f>
        <v>8888</v>
      </c>
      <c r="AG1945" s="196">
        <f ca="1">IF($AE1936,I1945,AG1942)</f>
        <v>8888</v>
      </c>
      <c r="AI1945" s="188" t="s">
        <v>454</v>
      </c>
      <c r="AJ1945" s="188">
        <f ca="1">IF($AI1936,L1945,AJ1942)</f>
        <v>8888</v>
      </c>
      <c r="AK1945" s="196">
        <f ca="1">IF($AI1936,M1945,AK1942)</f>
        <v>8888</v>
      </c>
      <c r="BD1945" s="157"/>
    </row>
    <row r="1946" spans="2:56">
      <c r="B1946" s="156"/>
      <c r="C1946" s="128" t="s">
        <v>507</v>
      </c>
      <c r="D1946" s="128">
        <f ca="1">IF(C1936&gt;=3,D1938,D1945)</f>
        <v>8888</v>
      </c>
      <c r="E1946" s="139">
        <f ca="1">IF(C1936&gt;=3,E1945-P1931,E1945)</f>
        <v>8888</v>
      </c>
      <c r="F1946" s="157"/>
      <c r="G1946" s="2" t="s">
        <v>507</v>
      </c>
      <c r="H1946" s="128">
        <f ca="1">IF(G1936&gt;=3,H1938,H1945)</f>
        <v>8888</v>
      </c>
      <c r="I1946" s="139">
        <f ca="1">IF(G1936&gt;=3,I1945-P1931,I1945)</f>
        <v>8888</v>
      </c>
      <c r="K1946" s="128" t="s">
        <v>507</v>
      </c>
      <c r="L1946" s="128">
        <f ca="1">IF(K1936&gt;=3,L1938,L1945)</f>
        <v>8888</v>
      </c>
      <c r="M1946" s="139">
        <f ca="1">IF(K1936&gt;=3,M1945-P1931,M1945)</f>
        <v>8888</v>
      </c>
      <c r="AA1946" s="143" t="s">
        <v>507</v>
      </c>
      <c r="AB1946" s="128">
        <f ca="1">IF($AA1936,D1946,AB1942)</f>
        <v>8888</v>
      </c>
      <c r="AC1946" s="129">
        <f ca="1">IF($AA1936,E1946,AC1942)</f>
        <v>8888</v>
      </c>
      <c r="AD1946" s="157"/>
      <c r="AE1946" s="2" t="s">
        <v>507</v>
      </c>
      <c r="AF1946" s="128">
        <f ca="1">IF($AE1936,H1946,AF1942)</f>
        <v>8888</v>
      </c>
      <c r="AG1946" s="129">
        <f ca="1">IF($AE1936,I1946,AG1942)</f>
        <v>8888</v>
      </c>
      <c r="AI1946" s="128" t="s">
        <v>507</v>
      </c>
      <c r="AJ1946" s="128">
        <f ca="1">IF($AI1936,L1946,AJ1942)</f>
        <v>8888</v>
      </c>
      <c r="AK1946" s="129">
        <f ca="1">IF($AI1936,M1946,AK1942)</f>
        <v>8888</v>
      </c>
      <c r="BD1946" s="157"/>
    </row>
    <row r="1947" spans="2:56">
      <c r="B1947" s="156"/>
      <c r="C1947" s="128" t="s">
        <v>455</v>
      </c>
      <c r="D1947" s="128">
        <f ca="1">IF(C1936&gt;=3,D1943,D1945)</f>
        <v>8888</v>
      </c>
      <c r="E1947" s="139">
        <f ca="1">E1946</f>
        <v>8888</v>
      </c>
      <c r="F1947" s="157"/>
      <c r="G1947" s="2" t="s">
        <v>455</v>
      </c>
      <c r="H1947" s="128">
        <f ca="1">IF(G1936&gt;=3,H1939,H1945)</f>
        <v>8888</v>
      </c>
      <c r="I1947" s="139">
        <f ca="1">IF(G1936&gt;=3,I1946,I1945)</f>
        <v>8888</v>
      </c>
      <c r="K1947" s="128" t="s">
        <v>455</v>
      </c>
      <c r="L1947" s="128">
        <f ca="1">IF(K1936&gt;=3,IF(X1931,IF(K1936=3,L1938+P1930/4,L1938+P1930),L1938+P1930),L1941)</f>
        <v>8888</v>
      </c>
      <c r="M1947" s="139">
        <f ca="1">IF(K1936&gt;=3,M1946,M1945)</f>
        <v>8888</v>
      </c>
      <c r="AA1947" s="143" t="s">
        <v>455</v>
      </c>
      <c r="AB1947" s="128">
        <f ca="1">IF($AA1936,D1947,AB1942)</f>
        <v>8888</v>
      </c>
      <c r="AC1947" s="129">
        <f ca="1">IF($AA1936,E1947,AC1942)</f>
        <v>8888</v>
      </c>
      <c r="AD1947" s="157"/>
      <c r="AE1947" s="2" t="s">
        <v>455</v>
      </c>
      <c r="AF1947" s="128">
        <f ca="1">IF($AE1936,H1947,AF1942)</f>
        <v>8888</v>
      </c>
      <c r="AG1947" s="129">
        <f ca="1">IF($AE1936,I1947,AG1942)</f>
        <v>8888</v>
      </c>
      <c r="AI1947" s="128" t="s">
        <v>455</v>
      </c>
      <c r="AJ1947" s="128">
        <f ca="1">IF($AI1936,L1947,AJ1942)</f>
        <v>8888</v>
      </c>
      <c r="AK1947" s="129">
        <f ca="1">IF($AI1936,M1947,AK1942)</f>
        <v>8888</v>
      </c>
      <c r="AL1947" s="156"/>
      <c r="BD1947" s="157"/>
    </row>
    <row r="1948" spans="2:56">
      <c r="B1948" s="156"/>
      <c r="C1948" s="128" t="s">
        <v>311</v>
      </c>
      <c r="D1948" s="128">
        <f ca="1">IF(C1936&gt;=3,D1943,D1945)</f>
        <v>8888</v>
      </c>
      <c r="E1948" s="139">
        <f ca="1">IF(C1936&gt;=3,E1947-P1929,E1945)</f>
        <v>8888</v>
      </c>
      <c r="F1948" s="157"/>
      <c r="G1948" s="2" t="s">
        <v>311</v>
      </c>
      <c r="H1948" s="128">
        <f ca="1">IF(G1936&gt;=3,H1939,H1945)</f>
        <v>8888</v>
      </c>
      <c r="I1948" s="139">
        <f ca="1">IF(G1936&gt;=3,I1947-P1929,I1945)</f>
        <v>8888</v>
      </c>
      <c r="K1948" s="128" t="s">
        <v>311</v>
      </c>
      <c r="L1948" s="128">
        <f ca="1">L1947</f>
        <v>8888</v>
      </c>
      <c r="M1948" s="139">
        <f ca="1">IF(K1936&gt;=3,M1947-P1929,M1945)</f>
        <v>8888</v>
      </c>
      <c r="AA1948" s="143" t="s">
        <v>311</v>
      </c>
      <c r="AB1948" s="128">
        <f ca="1">IF($AA1936,D1948,AB1942)</f>
        <v>8888</v>
      </c>
      <c r="AC1948" s="129">
        <f ca="1">IF($AA1936,E1948,AC1942)</f>
        <v>8888</v>
      </c>
      <c r="AD1948" s="157"/>
      <c r="AE1948" s="2" t="s">
        <v>311</v>
      </c>
      <c r="AF1948" s="128">
        <f ca="1">IF($AE1936,H1948,AF1942)</f>
        <v>8888</v>
      </c>
      <c r="AG1948" s="129">
        <f ca="1">IF($AE1936,I1948,AG1942)</f>
        <v>8888</v>
      </c>
      <c r="AI1948" s="128" t="s">
        <v>311</v>
      </c>
      <c r="AJ1948" s="128">
        <f ca="1">IF($AI1936,L1948,AJ1942)</f>
        <v>8888</v>
      </c>
      <c r="AK1948" s="129">
        <f ca="1">IF($AI1936,M1948,AK1942)</f>
        <v>8888</v>
      </c>
      <c r="AL1948" s="156"/>
      <c r="BD1948" s="157"/>
    </row>
    <row r="1949" spans="2:56">
      <c r="B1949" s="156"/>
      <c r="C1949" s="188" t="s">
        <v>35</v>
      </c>
      <c r="D1949" s="188">
        <f ca="1">IF(C1936&gt;=3,D1938,D1945)</f>
        <v>8888</v>
      </c>
      <c r="E1949" s="189">
        <f ca="1">E1948</f>
        <v>8888</v>
      </c>
      <c r="F1949" s="157"/>
      <c r="G1949" s="2" t="s">
        <v>35</v>
      </c>
      <c r="H1949" s="188">
        <f ca="1">IF(G1936&gt;=3,H1938,H1945)</f>
        <v>8888</v>
      </c>
      <c r="I1949" s="189">
        <f ca="1">IF(G1936&gt;=3,I1948,I1945)</f>
        <v>8888</v>
      </c>
      <c r="K1949" s="188" t="s">
        <v>35</v>
      </c>
      <c r="L1949" s="188">
        <f ca="1">IF(K1936&gt;=3,L1938,L1945)</f>
        <v>8888</v>
      </c>
      <c r="M1949" s="189">
        <f ca="1">IF(K1936&gt;=3,M1948,M1945)</f>
        <v>8888</v>
      </c>
      <c r="AA1949" s="143" t="s">
        <v>35</v>
      </c>
      <c r="AB1949" s="128">
        <f ca="1">IF($AA1936,D1949,AB1942)</f>
        <v>8888</v>
      </c>
      <c r="AC1949" s="129">
        <f ca="1">IF($AA1936,E1949,AC1942)</f>
        <v>8888</v>
      </c>
      <c r="AD1949" s="157"/>
      <c r="AE1949" s="2" t="s">
        <v>35</v>
      </c>
      <c r="AF1949" s="188">
        <f ca="1">IF($AE1936,H1949,AF1942)</f>
        <v>8888</v>
      </c>
      <c r="AG1949" s="196">
        <f ca="1">IF($AE1936,I1949,AG1942)</f>
        <v>8888</v>
      </c>
      <c r="AI1949" s="128" t="s">
        <v>35</v>
      </c>
      <c r="AJ1949" s="128">
        <f ca="1">IF($AI1936,L1949,AJ1942)</f>
        <v>8888</v>
      </c>
      <c r="AK1949" s="129">
        <f ca="1">IF($AI1936,M1949,AK1942)</f>
        <v>8888</v>
      </c>
      <c r="AL1949" s="156"/>
      <c r="BD1949" s="157"/>
    </row>
    <row r="1950" spans="2:56" ht="15" thickBot="1">
      <c r="B1950" s="156"/>
      <c r="C1950" s="130" t="s">
        <v>396</v>
      </c>
      <c r="D1950" s="130">
        <f ca="1">D1938</f>
        <v>8888</v>
      </c>
      <c r="E1950" s="140">
        <f ca="1">E1938</f>
        <v>8888</v>
      </c>
      <c r="F1950" s="157"/>
      <c r="G1950" s="192" t="s">
        <v>312</v>
      </c>
      <c r="H1950" s="128">
        <f ca="1">IF(G1936&gt;=4,H1938,H1949)</f>
        <v>8888</v>
      </c>
      <c r="I1950" s="139">
        <f ca="1">IF(G1936&gt;=4,I1949-P1931,I1949)</f>
        <v>8888</v>
      </c>
      <c r="K1950" s="130" t="s">
        <v>396</v>
      </c>
      <c r="L1950" s="130">
        <f ca="1">L1938</f>
        <v>8888</v>
      </c>
      <c r="M1950" s="140">
        <f ca="1">M1938</f>
        <v>8888</v>
      </c>
      <c r="AA1950" s="144" t="s">
        <v>396</v>
      </c>
      <c r="AB1950" s="130">
        <f ca="1">IF($AA1936,D1950,AB1942)</f>
        <v>8888</v>
      </c>
      <c r="AC1950" s="132">
        <f ca="1">IF($AA1936,E1950,AC1942)</f>
        <v>8888</v>
      </c>
      <c r="AD1950" s="157"/>
      <c r="AE1950" s="192" t="s">
        <v>312</v>
      </c>
      <c r="AF1950" s="128">
        <f ca="1">IF($AE1936,H1950,AF1942)</f>
        <v>8888</v>
      </c>
      <c r="AG1950" s="129">
        <f ca="1">IF($AE1936,I1950,AG1942)</f>
        <v>8888</v>
      </c>
      <c r="AI1950" s="130" t="s">
        <v>396</v>
      </c>
      <c r="AJ1950" s="130">
        <f ca="1">IF($AI1936,L1950,AJ1942)</f>
        <v>8888</v>
      </c>
      <c r="AK1950" s="132">
        <f ca="1">IF($AI1936,M1950,AK1942)</f>
        <v>8888</v>
      </c>
      <c r="BD1950" s="157"/>
    </row>
    <row r="1951" spans="2:56">
      <c r="B1951" s="156"/>
      <c r="F1951" s="157"/>
      <c r="G1951" s="2" t="s">
        <v>313</v>
      </c>
      <c r="H1951" s="128">
        <f ca="1">IF(G1936&gt;=4,H1939,H1949)</f>
        <v>8888</v>
      </c>
      <c r="I1951" s="139">
        <f ca="1">IF(G1936&gt;=4,I1950,I1949)</f>
        <v>8888</v>
      </c>
      <c r="AD1951" s="157"/>
      <c r="AE1951" s="2" t="s">
        <v>313</v>
      </c>
      <c r="AF1951" s="128">
        <f ca="1">IF($AE1936,H1951,AF1942)</f>
        <v>8888</v>
      </c>
      <c r="AG1951" s="129">
        <f ca="1">IF($AE1936,I1951,AG1942)</f>
        <v>8888</v>
      </c>
      <c r="BD1951" s="157"/>
    </row>
    <row r="1952" spans="2:56">
      <c r="B1952" s="156"/>
      <c r="F1952" s="157"/>
      <c r="G1952" s="2" t="s">
        <v>7</v>
      </c>
      <c r="H1952" s="128">
        <f ca="1">IF(G1936&gt;=4,H1939,H1949)</f>
        <v>8888</v>
      </c>
      <c r="I1952" s="139">
        <f ca="1">IF(G1936&gt;=4,I1951-P1929,I1949)</f>
        <v>8888</v>
      </c>
      <c r="AD1952" s="157"/>
      <c r="AE1952" s="2" t="s">
        <v>7</v>
      </c>
      <c r="AF1952" s="128">
        <f ca="1">IF($AE1936,H1952,AF1942)</f>
        <v>8888</v>
      </c>
      <c r="AG1952" s="129">
        <f ca="1">IF($AE1936,I1952,AG1942)</f>
        <v>8888</v>
      </c>
      <c r="BD1952" s="157"/>
    </row>
    <row r="1953" spans="2:56">
      <c r="B1953" s="156"/>
      <c r="F1953" s="157"/>
      <c r="G1953" s="115" t="s">
        <v>8</v>
      </c>
      <c r="H1953" s="188">
        <f ca="1">IF(G1936&gt;=4,H1938,H1949)</f>
        <v>8888</v>
      </c>
      <c r="I1953" s="189">
        <f ca="1">IF(G1936&gt;=4,I1952,I1949)</f>
        <v>8888</v>
      </c>
      <c r="AD1953" s="157"/>
      <c r="AE1953" s="115" t="s">
        <v>8</v>
      </c>
      <c r="AF1953" s="188">
        <f ca="1">IF($AE1936,H1953,AF1942)</f>
        <v>8888</v>
      </c>
      <c r="AG1953" s="196">
        <f ca="1">IF($AE1936,I1953,AG1942)</f>
        <v>8888</v>
      </c>
      <c r="BD1953" s="157"/>
    </row>
    <row r="1954" spans="2:56">
      <c r="B1954" s="156"/>
      <c r="F1954" s="157"/>
      <c r="G1954" s="2" t="s">
        <v>9</v>
      </c>
      <c r="H1954" s="128">
        <f ca="1">IF(G1936&gt;=5,H1938,H1953)</f>
        <v>8888</v>
      </c>
      <c r="I1954" s="139">
        <f ca="1">IF(G1936&gt;=5,I1953-P1931,I1953)</f>
        <v>8888</v>
      </c>
      <c r="AD1954" s="157"/>
      <c r="AE1954" s="2" t="s">
        <v>9</v>
      </c>
      <c r="AF1954" s="128">
        <f ca="1">IF($AE1936,H1954,AF1942)</f>
        <v>8888</v>
      </c>
      <c r="AG1954" s="129">
        <f ca="1">IF($AE1936,I1954,AG1942)</f>
        <v>8888</v>
      </c>
      <c r="BD1954" s="157"/>
    </row>
    <row r="1955" spans="2:56">
      <c r="B1955" s="156"/>
      <c r="F1955" s="157"/>
      <c r="G1955" s="2" t="s">
        <v>196</v>
      </c>
      <c r="H1955" s="128">
        <f ca="1">IF(G1936&gt;=5,H1939,H1953)</f>
        <v>8888</v>
      </c>
      <c r="I1955" s="139">
        <f ca="1">IF(G1936&gt;=5,I1954,I1953)</f>
        <v>8888</v>
      </c>
      <c r="AD1955" s="157"/>
      <c r="AE1955" s="2" t="s">
        <v>196</v>
      </c>
      <c r="AF1955" s="128">
        <f ca="1">IF($AE1936,H1955,AF1942)</f>
        <v>8888</v>
      </c>
      <c r="AG1955" s="129">
        <f ca="1">IF($AE1936,I1955,AG1942)</f>
        <v>8888</v>
      </c>
      <c r="BD1955" s="157"/>
    </row>
    <row r="1956" spans="2:56">
      <c r="B1956" s="156"/>
      <c r="F1956" s="157"/>
      <c r="G1956" s="2" t="s">
        <v>10</v>
      </c>
      <c r="H1956" s="128">
        <f ca="1">IF(G1936&gt;=5,H1939,H1953)</f>
        <v>8888</v>
      </c>
      <c r="I1956" s="139">
        <f ca="1">IF(G1936&gt;=5,I1955-P1929,I1953)</f>
        <v>8888</v>
      </c>
      <c r="AD1956" s="157"/>
      <c r="AE1956" s="2" t="s">
        <v>10</v>
      </c>
      <c r="AF1956" s="128">
        <f ca="1">IF($AE1936,H1956,AF1942)</f>
        <v>8888</v>
      </c>
      <c r="AG1956" s="129">
        <f ca="1">IF($AE1936,I1956,AG1942)</f>
        <v>8888</v>
      </c>
      <c r="BD1956" s="157"/>
    </row>
    <row r="1957" spans="2:56">
      <c r="B1957" s="156"/>
      <c r="F1957" s="157"/>
      <c r="G1957" s="2" t="s">
        <v>161</v>
      </c>
      <c r="H1957" s="188">
        <f ca="1">IF(G1936&gt;=5,H1938,H1953)</f>
        <v>8888</v>
      </c>
      <c r="I1957" s="189">
        <f ca="1">IF(G1936&gt;=5,I1956,I1953)</f>
        <v>8888</v>
      </c>
      <c r="AD1957" s="157"/>
      <c r="AE1957" s="2" t="s">
        <v>161</v>
      </c>
      <c r="AF1957" s="188">
        <f ca="1">IF($AE1936,H1957,AF1942)</f>
        <v>8888</v>
      </c>
      <c r="AG1957" s="196">
        <f ca="1">IF($AE1936,I1957,AG1942)</f>
        <v>8888</v>
      </c>
      <c r="BD1957" s="157"/>
    </row>
    <row r="1958" spans="2:56">
      <c r="B1958" s="156"/>
      <c r="F1958" s="157"/>
      <c r="G1958" s="192" t="s">
        <v>11</v>
      </c>
      <c r="H1958" s="128">
        <f ca="1">IF(G1936&gt;=6,H1938,H1957)</f>
        <v>8888</v>
      </c>
      <c r="I1958" s="139">
        <f ca="1">IF(G1936&gt;=6,I1957-P1931,I1957)</f>
        <v>8888</v>
      </c>
      <c r="AD1958" s="157"/>
      <c r="AE1958" s="192" t="s">
        <v>11</v>
      </c>
      <c r="AF1958" s="128">
        <f ca="1">IF($AE1936,H1958,AF1942)</f>
        <v>8888</v>
      </c>
      <c r="AG1958" s="129">
        <f ca="1">IF($AE1936,I1958,AG1942)</f>
        <v>8888</v>
      </c>
      <c r="BD1958" s="157"/>
    </row>
    <row r="1959" spans="2:56">
      <c r="B1959" s="156"/>
      <c r="F1959" s="157"/>
      <c r="G1959" s="2" t="s">
        <v>12</v>
      </c>
      <c r="H1959" s="128">
        <f ca="1">IF(G1936&gt;=6,H1939,H1957)</f>
        <v>8888</v>
      </c>
      <c r="I1959" s="139">
        <f ca="1">IF(G1936&gt;=6,I1958,I1957)</f>
        <v>8888</v>
      </c>
      <c r="AD1959" s="157"/>
      <c r="AE1959" s="2" t="s">
        <v>12</v>
      </c>
      <c r="AF1959" s="128">
        <f ca="1">IF($AE1936,H1959,AF1942)</f>
        <v>8888</v>
      </c>
      <c r="AG1959" s="129">
        <f ca="1">IF($AE1936,I1959,AG1942)</f>
        <v>8888</v>
      </c>
      <c r="BD1959" s="157"/>
    </row>
    <row r="1960" spans="2:56">
      <c r="B1960" s="156"/>
      <c r="F1960" s="157"/>
      <c r="G1960" s="2" t="s">
        <v>13</v>
      </c>
      <c r="H1960" s="128">
        <f ca="1">IF(G1936&gt;=6,H1939,H1957)</f>
        <v>8888</v>
      </c>
      <c r="I1960" s="139">
        <f ca="1">IF(G1936&gt;=6,I1959-P1929,I1957)</f>
        <v>8888</v>
      </c>
      <c r="AD1960" s="157"/>
      <c r="AE1960" s="2" t="s">
        <v>13</v>
      </c>
      <c r="AF1960" s="128">
        <f ca="1">IF($AE1936,H1960,AF1942)</f>
        <v>8888</v>
      </c>
      <c r="AG1960" s="129">
        <f ca="1">IF($AE1936,I1960,AG1942)</f>
        <v>8888</v>
      </c>
      <c r="BD1960" s="157"/>
    </row>
    <row r="1961" spans="2:56">
      <c r="B1961" s="156"/>
      <c r="F1961" s="157"/>
      <c r="G1961" s="115" t="s">
        <v>14</v>
      </c>
      <c r="H1961" s="188">
        <f ca="1">IF(G1936&gt;=6,H1938,H1957)</f>
        <v>8888</v>
      </c>
      <c r="I1961" s="189">
        <f ca="1">IF(G1936&gt;=6,I1960,I1957)</f>
        <v>8888</v>
      </c>
      <c r="AD1961" s="157"/>
      <c r="AE1961" s="115" t="s">
        <v>14</v>
      </c>
      <c r="AF1961" s="188">
        <f ca="1">IF($AE1936,H1961,AF1942)</f>
        <v>8888</v>
      </c>
      <c r="AG1961" s="196">
        <f ca="1">IF($AE1936,I1961,AG1942)</f>
        <v>8888</v>
      </c>
      <c r="BD1961" s="157"/>
    </row>
    <row r="1962" spans="2:56" ht="15" thickBot="1">
      <c r="B1962" s="156"/>
      <c r="G1962" s="130" t="s">
        <v>396</v>
      </c>
      <c r="H1962" s="130">
        <f ca="1">H1938</f>
        <v>8888</v>
      </c>
      <c r="I1962" s="140">
        <f ca="1">I1938</f>
        <v>8888</v>
      </c>
      <c r="AE1962" s="130" t="s">
        <v>396</v>
      </c>
      <c r="AF1962" s="130">
        <f ca="1">IF($AE1936,H1962,AF1942)</f>
        <v>8888</v>
      </c>
      <c r="AG1962" s="132">
        <f ca="1">IF($AE1936,I1962,AG1942)</f>
        <v>8888</v>
      </c>
      <c r="BD1962" s="157"/>
    </row>
    <row r="1963" spans="2:56">
      <c r="B1963" s="156"/>
      <c r="BD1963" s="157"/>
    </row>
    <row r="1964" spans="2:56">
      <c r="B1964" s="156"/>
      <c r="BD1964" s="157"/>
    </row>
    <row r="1965" spans="2:56">
      <c r="B1965" s="156"/>
      <c r="C1965" s="200" t="s">
        <v>336</v>
      </c>
      <c r="D1965">
        <f>D1929+1</f>
        <v>50</v>
      </c>
      <c r="G1965" s="200" t="s">
        <v>638</v>
      </c>
      <c r="H1965">
        <f ca="1">LOOKUP(D1968,$C$191:$C$196,$D$191:$D$196)</f>
        <v>0</v>
      </c>
      <c r="K1965" s="200" t="s">
        <v>644</v>
      </c>
      <c r="L1965">
        <f ca="1">L1929-H1970</f>
        <v>-18.624000000000006</v>
      </c>
      <c r="O1965" s="200" t="s">
        <v>404</v>
      </c>
      <c r="P1965">
        <f ca="1">IF(D1967=1,SEAT_w_cushion_FC,IF(D1967=2,SEAT_w_cushion_BC,IF(D1967=3,SEAT_w_cushion_YC,0)))</f>
        <v>0</v>
      </c>
      <c r="S1965" s="200" t="s">
        <v>647</v>
      </c>
      <c r="T1965">
        <f ca="1">LOOKUP(D1968,$C$191:$C$196,$E$191:$E$196)</f>
        <v>0</v>
      </c>
      <c r="W1965" t="s">
        <v>130</v>
      </c>
      <c r="X1965" t="str">
        <f ca="1">OFFSET(Fuselage!$B$275,D1965,5)</f>
        <v>None</v>
      </c>
      <c r="AN1965" s="200" t="s">
        <v>135</v>
      </c>
      <c r="AO1965">
        <f ca="1">MAX(0,H1970-MAX(T1965,T1967,T1969,P1966)-X1966)</f>
        <v>0</v>
      </c>
      <c r="BD1965" s="157"/>
    </row>
    <row r="1966" spans="2:56">
      <c r="B1966" s="156"/>
      <c r="C1966" s="200" t="s">
        <v>200</v>
      </c>
      <c r="D1966" t="str">
        <f ca="1">OFFSET(Fuselage!$B$275,D1965,0)</f>
        <v/>
      </c>
      <c r="G1966" s="200" t="s">
        <v>639</v>
      </c>
      <c r="H1966">
        <f ca="1">LOOKUP(D1969,$C$191:$C$196,$D$191:$D$196)</f>
        <v>0</v>
      </c>
      <c r="O1966" s="200" t="s">
        <v>535</v>
      </c>
      <c r="P1966">
        <f ca="1">IF(D1967=1,SEAT_length_FC,IF(D1967=2,SEAT_length_BC,IF(D1967=3,SEAT_length_YC,0)))</f>
        <v>0</v>
      </c>
      <c r="S1966" s="200" t="s">
        <v>648</v>
      </c>
      <c r="T1966">
        <f ca="1">LOOKUP(D1968,$C$191:$C$196,$F$191:$F$196)</f>
        <v>0</v>
      </c>
      <c r="W1966" t="s">
        <v>131</v>
      </c>
      <c r="X1966">
        <f ca="1">LOOKUP(X1965,$I$191:$I$198,$J$191:$J$198)</f>
        <v>0</v>
      </c>
      <c r="BD1966" s="157"/>
    </row>
    <row r="1967" spans="2:56">
      <c r="B1967" s="156"/>
      <c r="C1967" s="200" t="s">
        <v>337</v>
      </c>
      <c r="D1967" t="str">
        <f ca="1">OFFSET(Fuselage!$B$275,D1965,4)</f>
        <v/>
      </c>
      <c r="G1967" s="200" t="s">
        <v>309</v>
      </c>
      <c r="H1967">
        <f ca="1">LOOKUP(D1970,$C$191:$C$196,$D$191:$D$196)</f>
        <v>0</v>
      </c>
      <c r="K1967" s="200" t="s">
        <v>645</v>
      </c>
      <c r="L1967">
        <f ca="1">IF(D1967=1,FUSELAGE_nseats_left_FC,IF(D1967=2,FUSELAGE_nseats_left_BC,IF(D1967=3,FUSELAGE_nseats_left_YC,0)))</f>
        <v>0</v>
      </c>
      <c r="O1967" s="200" t="s">
        <v>405</v>
      </c>
      <c r="P1967">
        <f ca="1">IF(D1967=1,SEAT_w_armrest_FC,IF(D1967=2,SEAT_w_armrest_BC,IF(D1967=3,SEAT_w_armrest_YC,0)))</f>
        <v>0</v>
      </c>
      <c r="S1967" s="200" t="s">
        <v>652</v>
      </c>
      <c r="T1967">
        <f ca="1">LOOKUP(D1969,$C$191:$C$196,$E$191:$E$196)</f>
        <v>0</v>
      </c>
      <c r="W1967" s="200" t="s">
        <v>393</v>
      </c>
      <c r="X1967" t="b">
        <f ca="1">IF(OFFSET(Fuselage!$B$275,D1965,6)="YES",TRUE(),FALSE())</f>
        <v>0</v>
      </c>
      <c r="BD1967" s="157"/>
    </row>
    <row r="1968" spans="2:56">
      <c r="B1968" s="156"/>
      <c r="C1968" s="200" t="s">
        <v>640</v>
      </c>
      <c r="D1968" t="str">
        <f ca="1">OFFSET(Fuselage!$B$275,D1965,1)</f>
        <v>None</v>
      </c>
      <c r="G1968" s="200" t="s">
        <v>132</v>
      </c>
      <c r="H1968">
        <f ca="1">IF(D1967=1,SEAT_pitch_FC,IF(D1967=2,SEAT_pitch_BC,IF(D1967=3,SEAT_pitch_YC,0)))</f>
        <v>0</v>
      </c>
      <c r="K1968" s="200" t="s">
        <v>646</v>
      </c>
      <c r="L1968">
        <f ca="1">IF(D1967=1,FUSELAGE_nseats_middle_FC,IF(D1967=2,FUSELAGE_nseats_middle_BC,IF(D1967=3,FUSELAGE_nseats_middle_YC,0)))</f>
        <v>0</v>
      </c>
      <c r="S1968" s="200" t="s">
        <v>653</v>
      </c>
      <c r="T1968">
        <f ca="1">LOOKUP(D1969,$C$191:$C$196,$F$191:$F$196)</f>
        <v>0</v>
      </c>
      <c r="BD1968" s="157"/>
    </row>
    <row r="1969" spans="2:56">
      <c r="B1969" s="156"/>
      <c r="C1969" s="200" t="s">
        <v>642</v>
      </c>
      <c r="D1969" t="str">
        <f ca="1">OFFSET(Fuselage!$B$275,D1965,2)</f>
        <v>None</v>
      </c>
      <c r="G1969" s="200" t="s">
        <v>129</v>
      </c>
      <c r="H1969">
        <f ca="1">IF(OR(X1965="Type A",X1965="Type B"),MAX(H1965:H1968)+42*0.0254,IF(X1965="Type C",MAX(H1965:H1968)+X1966,IF(X1965&lt;&gt;"None",24*0.0254,0)))</f>
        <v>0</v>
      </c>
      <c r="K1969" s="200" t="s">
        <v>655</v>
      </c>
      <c r="L1969">
        <f ca="1">IF(D1967=1,FUSELAGE_nseats_right_FC,IF(D1967=2,FUSELAGE_nseats_right_BC,IF(D1967=3,FUSELAGE_nseats_right_YC,0)))</f>
        <v>0</v>
      </c>
      <c r="O1969" s="200" t="s">
        <v>407</v>
      </c>
      <c r="P1969">
        <f ca="1">($C$13-(L1967+L1968+L1969)*(P1965+P1967)+(FUSELAGE_n_aisles-1)*P1967)/FUSELAGE_n_aisles</f>
        <v>2.76</v>
      </c>
      <c r="S1969" s="200" t="s">
        <v>651</v>
      </c>
      <c r="T1969">
        <f ca="1">LOOKUP(D1970,$C$191:$C$196,$E$191:$E$196)</f>
        <v>0</v>
      </c>
      <c r="BD1969" s="157"/>
    </row>
    <row r="1970" spans="2:56">
      <c r="B1970" s="156"/>
      <c r="C1970" s="200" t="s">
        <v>641</v>
      </c>
      <c r="D1970" t="str">
        <f ca="1">OFFSET(Fuselage!$B$275,D1965,3)</f>
        <v>None</v>
      </c>
      <c r="G1970" s="200" t="s">
        <v>643</v>
      </c>
      <c r="H1970">
        <f ca="1">MAX(H1965:H1969)</f>
        <v>0</v>
      </c>
      <c r="S1970" s="200" t="s">
        <v>654</v>
      </c>
      <c r="T1970">
        <f ca="1">LOOKUP(D1970,$C$191:$C$196,$F$191:$F$196)</f>
        <v>0</v>
      </c>
      <c r="BD1970" s="157"/>
    </row>
    <row r="1971" spans="2:56" ht="15" thickBot="1">
      <c r="B1971" s="156"/>
      <c r="BD1971" s="157"/>
    </row>
    <row r="1972" spans="2:56" ht="15" thickBot="1">
      <c r="B1972" s="156"/>
      <c r="C1972" s="141">
        <f ca="1">L1969</f>
        <v>0</v>
      </c>
      <c r="D1972" s="197" t="str">
        <f ca="1">IF($D1967=1,"FC",IF($D1967=2,"BC",IF($D1967=3,"YC","Nothing")))</f>
        <v>Nothing</v>
      </c>
      <c r="E1972" s="198"/>
      <c r="G1972" s="141">
        <f ca="1">L1968</f>
        <v>0</v>
      </c>
      <c r="H1972" s="197" t="str">
        <f ca="1">IF($D1967=1,"FC",IF($D1967=2,"BC",IF($D1967=3,"YC","Nothing")))</f>
        <v>Nothing</v>
      </c>
      <c r="I1972" s="198"/>
      <c r="K1972" s="141">
        <f ca="1" xml:space="preserve"> L1967</f>
        <v>0</v>
      </c>
      <c r="L1972" s="197" t="str">
        <f ca="1">IF($D1967=1,"FC",IF($D1967=2,"BC",IF($D1967=3,"YC","Nothing")))</f>
        <v>Nothing</v>
      </c>
      <c r="M1972" s="198"/>
      <c r="O1972" s="141">
        <f ca="1">IF($D1970&lt;&gt;"None",1,0)</f>
        <v>0</v>
      </c>
      <c r="P1972" s="326" t="s">
        <v>380</v>
      </c>
      <c r="Q1972" s="327"/>
      <c r="S1972" s="141">
        <f ca="1">IF($D1969&lt;&gt;"None",1,0)</f>
        <v>0</v>
      </c>
      <c r="T1972" s="326" t="s">
        <v>381</v>
      </c>
      <c r="U1972" s="327"/>
      <c r="W1972" s="141">
        <f ca="1">IF($D1968&lt;&gt;"None",1,0)</f>
        <v>0</v>
      </c>
      <c r="X1972" s="326" t="s">
        <v>382</v>
      </c>
      <c r="Y1972" s="327"/>
      <c r="AA1972" s="141">
        <f ca="1">IF($D1970="None",1,0)</f>
        <v>1</v>
      </c>
      <c r="AB1972" s="326" t="str">
        <f ca="1">IF(AA1972,D1972,$D1970)</f>
        <v>Nothing</v>
      </c>
      <c r="AC1972" s="327"/>
      <c r="AE1972" s="141">
        <f ca="1">IF($D1969="None",1,0)</f>
        <v>1</v>
      </c>
      <c r="AF1972" s="326" t="str">
        <f ca="1">IF(AE1972,H1972,$D1969)</f>
        <v>Nothing</v>
      </c>
      <c r="AG1972" s="327"/>
      <c r="AI1972" s="141">
        <f ca="1">IF($D1968="None",1,0)</f>
        <v>1</v>
      </c>
      <c r="AJ1972" s="326" t="str">
        <f ca="1">IF(AI1972,L1972,$D1968)</f>
        <v>Nothing</v>
      </c>
      <c r="AK1972" s="327"/>
      <c r="AM1972" s="141">
        <f ca="1">IF($X1965="None",0,1)</f>
        <v>0</v>
      </c>
      <c r="AN1972" s="197" t="s">
        <v>133</v>
      </c>
      <c r="AO1972" s="198"/>
      <c r="AQ1972" s="141">
        <f ca="1">IF($X1965="None",0,1)</f>
        <v>0</v>
      </c>
      <c r="AR1972" s="197" t="s">
        <v>134</v>
      </c>
      <c r="AS1972" s="198"/>
      <c r="BD1972" s="157"/>
    </row>
    <row r="1973" spans="2:56" ht="15" thickBot="1">
      <c r="B1973" s="156"/>
      <c r="C1973" s="136" t="s">
        <v>452</v>
      </c>
      <c r="D1973" s="136" t="s">
        <v>384</v>
      </c>
      <c r="E1973" s="138" t="s">
        <v>385</v>
      </c>
      <c r="G1973" s="136" t="s">
        <v>452</v>
      </c>
      <c r="H1973" s="136" t="s">
        <v>384</v>
      </c>
      <c r="I1973" s="138" t="s">
        <v>385</v>
      </c>
      <c r="K1973" s="193" t="s">
        <v>452</v>
      </c>
      <c r="L1973" s="193" t="s">
        <v>384</v>
      </c>
      <c r="M1973" s="194" t="s">
        <v>385</v>
      </c>
      <c r="O1973" s="136" t="s">
        <v>452</v>
      </c>
      <c r="P1973" s="136" t="s">
        <v>384</v>
      </c>
      <c r="Q1973" s="138" t="s">
        <v>385</v>
      </c>
      <c r="S1973" s="136" t="s">
        <v>452</v>
      </c>
      <c r="T1973" s="136" t="s">
        <v>384</v>
      </c>
      <c r="U1973" s="138" t="s">
        <v>385</v>
      </c>
      <c r="W1973" s="136" t="s">
        <v>452</v>
      </c>
      <c r="X1973" s="136" t="s">
        <v>384</v>
      </c>
      <c r="Y1973" s="138" t="s">
        <v>385</v>
      </c>
      <c r="AA1973" s="136" t="s">
        <v>452</v>
      </c>
      <c r="AB1973" s="136" t="s">
        <v>384</v>
      </c>
      <c r="AC1973" s="138" t="s">
        <v>385</v>
      </c>
      <c r="AE1973" s="136" t="s">
        <v>452</v>
      </c>
      <c r="AF1973" s="136" t="s">
        <v>384</v>
      </c>
      <c r="AG1973" s="138" t="s">
        <v>385</v>
      </c>
      <c r="AI1973" s="193" t="s">
        <v>452</v>
      </c>
      <c r="AJ1973" s="193" t="s">
        <v>384</v>
      </c>
      <c r="AK1973" s="194" t="s">
        <v>385</v>
      </c>
      <c r="AM1973" s="193" t="s">
        <v>452</v>
      </c>
      <c r="AN1973" s="193" t="s">
        <v>384</v>
      </c>
      <c r="AO1973" s="194" t="s">
        <v>385</v>
      </c>
      <c r="AQ1973" s="193" t="s">
        <v>452</v>
      </c>
      <c r="AR1973" s="193" t="s">
        <v>384</v>
      </c>
      <c r="AS1973" s="194" t="s">
        <v>385</v>
      </c>
      <c r="BD1973" s="157"/>
    </row>
    <row r="1974" spans="2:56">
      <c r="B1974" s="156"/>
      <c r="C1974" s="128" t="s">
        <v>396</v>
      </c>
      <c r="D1974" s="158">
        <f ca="1">IF(C1972&gt;=1,L1965,8888)</f>
        <v>8888</v>
      </c>
      <c r="E1974" s="160">
        <f ca="1">IF(C1972&gt;=1,1/2*($C$13-P1965-2*P1967)+1/2*P1965,8888)</f>
        <v>8888</v>
      </c>
      <c r="G1974" s="128" t="s">
        <v>396</v>
      </c>
      <c r="H1974" s="158">
        <f ca="1">IF(G1972&gt;=1,L1965,8888)</f>
        <v>8888</v>
      </c>
      <c r="I1974" s="160">
        <f ca="1">IF(G1972&gt;=1,E1985-P1969,8888)</f>
        <v>8888</v>
      </c>
      <c r="K1974" s="128" t="s">
        <v>396</v>
      </c>
      <c r="L1974" s="158">
        <f ca="1">IF(K1972&gt;=1,L1965,8888)</f>
        <v>8888</v>
      </c>
      <c r="M1974" s="160">
        <f ca="1">IF(K1972&gt;=1,IF(FUSELAGE_n_aisles=1,E1985-P1969,I1997-P1969),8888)</f>
        <v>8888</v>
      </c>
      <c r="O1974" s="128" t="s">
        <v>396</v>
      </c>
      <c r="P1974" s="158">
        <f ca="1">IF(O1972,$L1965,8888)</f>
        <v>8888</v>
      </c>
      <c r="Q1974" s="209">
        <f ca="1">IF(O1972,FUSELAGE_y_position_of_left_seat_YC-(FUSELAGE_nseats_right_YC-1)*(SEAT_w_cushion_YC+SEAT_w_armrest_YC)/2+T1970/2,8888)</f>
        <v>8888</v>
      </c>
      <c r="S1974" s="128" t="s">
        <v>396</v>
      </c>
      <c r="T1974" s="158">
        <f ca="1">IF(S1972,$L1965,8888)</f>
        <v>8888</v>
      </c>
      <c r="U1974" s="160">
        <f ca="1">IF(S1972,T1968/2,8888)</f>
        <v>8888</v>
      </c>
      <c r="W1974" s="128" t="s">
        <v>396</v>
      </c>
      <c r="X1974" s="158">
        <f ca="1">IF(W1972,$L1965,8888)</f>
        <v>8888</v>
      </c>
      <c r="Y1974" s="160">
        <f ca="1">IF(W1972,-FUSELAGE_y_position_of_left_seat_YC+(FUSELAGE_nseats_left_YC-1)*(SEAT_w_cushion_YC+SEAT_w_armrest_YC)/2-T1966/2,8888)</f>
        <v>8888</v>
      </c>
      <c r="AA1974" s="128" t="s">
        <v>396</v>
      </c>
      <c r="AB1974" s="158">
        <f ca="1">IF($AA1972,D1974,P1974)</f>
        <v>8888</v>
      </c>
      <c r="AC1974" s="174">
        <f ca="1">IF($AA1972,E1974,Q1974)</f>
        <v>8888</v>
      </c>
      <c r="AE1974" s="128" t="s">
        <v>396</v>
      </c>
      <c r="AF1974" s="158">
        <f ca="1">IF($AE1972,H1974,T1974)</f>
        <v>8888</v>
      </c>
      <c r="AG1974" s="174">
        <f ca="1">IF($AE1972,I1974,U1974)</f>
        <v>8888</v>
      </c>
      <c r="AI1974" s="128" t="s">
        <v>396</v>
      </c>
      <c r="AJ1974" s="158">
        <f ca="1">IF($AI1972,L1974,X1974)</f>
        <v>8888</v>
      </c>
      <c r="AK1974" s="174">
        <f ca="1">IF($AI1972,M1974,Y1974)</f>
        <v>8888</v>
      </c>
      <c r="AM1974" s="128" t="s">
        <v>396</v>
      </c>
      <c r="AN1974" s="158">
        <f ca="1">AN1943</f>
        <v>-18.624000000000006</v>
      </c>
      <c r="AO1974" s="174">
        <f ca="1">IF(AN1974&gt;-Fuselage!$D$366,(FUSELAGE_a_ellipse)*SQRT(1-((AN1974+Fuselage!$D$366)/(Fuselage!$K$364-FUSELAGE_t_fuselage))^2),IF(AN1974&gt;$L$2505+Fuselage!$K$370,FUSELAGE_a_ellipse,(FUSELAGE_a_ellipse+FUSELAGE_t_fuselage-FUSELAGE_d_fo/4)/Fuselage!$K$368*(AN1974-$L$2505-Fuselage!$K$370)+FUSELAGE_a_ellipse))</f>
        <v>1.4960570012328709</v>
      </c>
      <c r="AQ1974" s="128" t="s">
        <v>396</v>
      </c>
      <c r="AR1974" s="158">
        <f t="shared" ref="AR1974:AR1979" ca="1" si="164">AN1974</f>
        <v>-18.624000000000006</v>
      </c>
      <c r="AS1974" s="174">
        <f t="shared" ref="AS1974:AS1979" ca="1" si="165">-AO1974</f>
        <v>-1.4960570012328709</v>
      </c>
      <c r="BD1974" s="157"/>
    </row>
    <row r="1975" spans="2:56">
      <c r="B1975" s="156"/>
      <c r="C1975" s="128" t="s">
        <v>213</v>
      </c>
      <c r="D1975" s="128">
        <f ca="1">IF(X1967,D1974+P1966/4,D1974+P1966)</f>
        <v>8888</v>
      </c>
      <c r="E1975" s="139">
        <f ca="1">E1974</f>
        <v>8888</v>
      </c>
      <c r="G1975" s="128" t="s">
        <v>213</v>
      </c>
      <c r="H1975" s="128">
        <f ca="1">H1974+P1966</f>
        <v>8888</v>
      </c>
      <c r="I1975" s="139">
        <f ca="1">I1974</f>
        <v>8888</v>
      </c>
      <c r="K1975" s="128" t="s">
        <v>213</v>
      </c>
      <c r="L1975" s="128">
        <f ca="1">IF(X1967,IF(K1972=1,L1974+P1966/4,L1974+P1966),L1974+P1966)</f>
        <v>8888</v>
      </c>
      <c r="M1975" s="139">
        <f ca="1">M1974</f>
        <v>8888</v>
      </c>
      <c r="O1975" s="128" t="s">
        <v>213</v>
      </c>
      <c r="P1975" s="128">
        <f ca="1">P1974+$T1969</f>
        <v>8888</v>
      </c>
      <c r="Q1975" s="139">
        <f ca="1">Q1974</f>
        <v>8888</v>
      </c>
      <c r="S1975" s="128" t="s">
        <v>213</v>
      </c>
      <c r="T1975" s="128">
        <f ca="1">T1974+$T1967</f>
        <v>8888</v>
      </c>
      <c r="U1975" s="139">
        <f ca="1">U1974</f>
        <v>8888</v>
      </c>
      <c r="W1975" s="128" t="s">
        <v>213</v>
      </c>
      <c r="X1975" s="128">
        <f ca="1">X1974+$T1965</f>
        <v>8888</v>
      </c>
      <c r="Y1975" s="139">
        <f ca="1">Y1974</f>
        <v>8888</v>
      </c>
      <c r="AA1975" s="143" t="s">
        <v>213</v>
      </c>
      <c r="AB1975" s="128">
        <f ca="1">IF($AA1972,D1975,P1975)</f>
        <v>8888</v>
      </c>
      <c r="AC1975" s="129">
        <f ca="1">IF($AA1972,E1975,Q1975)</f>
        <v>8888</v>
      </c>
      <c r="AE1975" s="128" t="s">
        <v>213</v>
      </c>
      <c r="AF1975" s="128">
        <f ca="1">IF($AE1972,H1975,T1975)</f>
        <v>8888</v>
      </c>
      <c r="AG1975" s="129">
        <f ca="1">IF($AE1972,I1975,U1975)</f>
        <v>8888</v>
      </c>
      <c r="AI1975" s="128" t="s">
        <v>213</v>
      </c>
      <c r="AJ1975" s="128">
        <f ca="1">IF($AI1972,L1975,X1975)</f>
        <v>8888</v>
      </c>
      <c r="AK1975" s="129">
        <f ca="1">IF($AI1972,M1975,Y1975)</f>
        <v>8888</v>
      </c>
      <c r="AM1975" s="128" t="s">
        <v>213</v>
      </c>
      <c r="AN1975" s="128">
        <f ca="1">AN1974-AO1965/2</f>
        <v>-18.624000000000006</v>
      </c>
      <c r="AO1975" s="129">
        <f ca="1">IF(AN1975&gt;-Fuselage!$D$366,(FUSELAGE_a_ellipse)*SQRT(1-((AN1975+Fuselage!$D$366)/(Fuselage!$K$364-FUSELAGE_t_fuselage))^2),IF(AN1975&gt;$L$2505+Fuselage!$K$370,FUSELAGE_a_ellipse,(FUSELAGE_a_ellipse+FUSELAGE_t_fuselage-FUSELAGE_d_fo/4)/Fuselage!$K$368*(AN1975-$L$2505-Fuselage!$K$370)+FUSELAGE_a_ellipse))</f>
        <v>1.4960570012328709</v>
      </c>
      <c r="AQ1975" s="128" t="s">
        <v>213</v>
      </c>
      <c r="AR1975" s="128">
        <f t="shared" ca="1" si="164"/>
        <v>-18.624000000000006</v>
      </c>
      <c r="AS1975" s="129">
        <f t="shared" ca="1" si="165"/>
        <v>-1.4960570012328709</v>
      </c>
      <c r="BD1975" s="157"/>
    </row>
    <row r="1976" spans="2:56">
      <c r="B1976" s="156"/>
      <c r="C1976" s="128" t="s">
        <v>286</v>
      </c>
      <c r="D1976" s="128">
        <f ca="1">D1975</f>
        <v>8888</v>
      </c>
      <c r="E1976" s="139">
        <f ca="1">E1975-P1965</f>
        <v>8888</v>
      </c>
      <c r="G1976" s="128" t="s">
        <v>286</v>
      </c>
      <c r="H1976" s="128">
        <f ca="1">H1975</f>
        <v>8888</v>
      </c>
      <c r="I1976" s="139">
        <f ca="1">I1975-P1965</f>
        <v>8888</v>
      </c>
      <c r="K1976" s="128" t="s">
        <v>286</v>
      </c>
      <c r="L1976" s="128">
        <f ca="1">L1975</f>
        <v>8888</v>
      </c>
      <c r="M1976" s="139">
        <f ca="1">M1975-P1965</f>
        <v>8888</v>
      </c>
      <c r="O1976" s="128" t="s">
        <v>286</v>
      </c>
      <c r="P1976" s="128">
        <f ca="1">P1975</f>
        <v>8888</v>
      </c>
      <c r="Q1976" s="139">
        <f ca="1">Q1975-$T1970</f>
        <v>8888</v>
      </c>
      <c r="S1976" s="128" t="s">
        <v>286</v>
      </c>
      <c r="T1976" s="128">
        <f ca="1">T1975</f>
        <v>8888</v>
      </c>
      <c r="U1976" s="139">
        <f ca="1">U1975-$T1968</f>
        <v>8888</v>
      </c>
      <c r="W1976" s="128" t="s">
        <v>286</v>
      </c>
      <c r="X1976" s="128">
        <f ca="1">X1975</f>
        <v>8888</v>
      </c>
      <c r="Y1976" s="139">
        <f ca="1">Y1975+$T1966</f>
        <v>8888</v>
      </c>
      <c r="AA1976" s="143" t="s">
        <v>286</v>
      </c>
      <c r="AB1976" s="128">
        <f ca="1">IF($AA1972,D1976,P1976)</f>
        <v>8888</v>
      </c>
      <c r="AC1976" s="129">
        <f ca="1">IF($AA1972,E1976,Q1976)</f>
        <v>8888</v>
      </c>
      <c r="AE1976" s="128" t="s">
        <v>286</v>
      </c>
      <c r="AF1976" s="128">
        <f ca="1">IF($AE1972,H1976,T1976)</f>
        <v>8888</v>
      </c>
      <c r="AG1976" s="129">
        <f ca="1">IF($AE1972,I1976,U1976)</f>
        <v>8888</v>
      </c>
      <c r="AI1976" s="128" t="s">
        <v>286</v>
      </c>
      <c r="AJ1976" s="128">
        <f ca="1">IF($AI1972,L1976,X1976)</f>
        <v>8888</v>
      </c>
      <c r="AK1976" s="129">
        <f ca="1">IF($AI1972,M1976,Y1976)</f>
        <v>8888</v>
      </c>
      <c r="AM1976" s="128" t="s">
        <v>286</v>
      </c>
      <c r="AN1976" s="128">
        <f ca="1">AN1975</f>
        <v>-18.624000000000006</v>
      </c>
      <c r="AO1976" s="129">
        <f ca="1">IF(AN1976&gt;-Fuselage!$D$366,IF(AM1972,(FUSELAGE_a_ellipse+FUSELAGE_t_fuselage)*SQRT(1-((AN1976+Fuselage!$D$366)/Fuselage!$K$364)^2),(FUSELAGE_a_ellipse)*SQRT(1-((AN1976+Fuselage!$D$366)/Fuselage!$K$364)^2)),IF(AN1976&gt;$L$2505+Fuselage!$K$370,(IF(AM1972,FUSELAGE_a_ellipse+FUSELAGE_t_fuselage,FUSELAGE_a_ellipse)),IF(AM1972,(FUSELAGE_a_ellipse+FUSELAGE_t_fuselage-FUSELAGE_d_fo/4)/Fuselage!$K$368*(AN1976-$L$2505-Fuselage!$K$370)+FUSELAGE_a_ellipse+FUSELAGE_t_fuselage,(FUSELAGE_a_ellipse+FUSELAGE_t_fuselage-FUSELAGE_d_fo/4)/Fuselage!$K$368*(AN1976-$L$2505-Fuselage!$K$370)+FUSELAGE_a_ellipse)))</f>
        <v>1.4960570012328709</v>
      </c>
      <c r="AQ1976" s="128" t="s">
        <v>286</v>
      </c>
      <c r="AR1976" s="128">
        <f t="shared" ca="1" si="164"/>
        <v>-18.624000000000006</v>
      </c>
      <c r="AS1976" s="129">
        <f t="shared" ca="1" si="165"/>
        <v>-1.4960570012328709</v>
      </c>
      <c r="BD1976" s="157"/>
    </row>
    <row r="1977" spans="2:56">
      <c r="B1977" s="156"/>
      <c r="C1977" s="188" t="s">
        <v>522</v>
      </c>
      <c r="D1977" s="188">
        <f ca="1">D1974</f>
        <v>8888</v>
      </c>
      <c r="E1977" s="189">
        <f ca="1">E1976</f>
        <v>8888</v>
      </c>
      <c r="F1977" s="157"/>
      <c r="G1977" s="2" t="s">
        <v>522</v>
      </c>
      <c r="H1977" s="128">
        <f ca="1">H1974</f>
        <v>8888</v>
      </c>
      <c r="I1977" s="139">
        <f ca="1">I1976</f>
        <v>8888</v>
      </c>
      <c r="K1977" s="128" t="s">
        <v>522</v>
      </c>
      <c r="L1977" s="128">
        <f ca="1">L1974</f>
        <v>8888</v>
      </c>
      <c r="M1977" s="139">
        <f ca="1">M1976</f>
        <v>8888</v>
      </c>
      <c r="O1977" s="188" t="s">
        <v>522</v>
      </c>
      <c r="P1977" s="188">
        <f ca="1">P1974</f>
        <v>8888</v>
      </c>
      <c r="Q1977" s="189">
        <f ca="1">Q1976</f>
        <v>8888</v>
      </c>
      <c r="S1977" s="188" t="s">
        <v>522</v>
      </c>
      <c r="T1977" s="188">
        <f ca="1">T1974</f>
        <v>8888</v>
      </c>
      <c r="U1977" s="189">
        <f ca="1">U1976</f>
        <v>8888</v>
      </c>
      <c r="W1977" s="188" t="s">
        <v>522</v>
      </c>
      <c r="X1977" s="188">
        <f ca="1">X1974</f>
        <v>8888</v>
      </c>
      <c r="Y1977" s="189">
        <f ca="1">Y1976</f>
        <v>8888</v>
      </c>
      <c r="AA1977" s="195" t="s">
        <v>522</v>
      </c>
      <c r="AB1977" s="128">
        <f ca="1">IF($AA1972,D1977,P1977)</f>
        <v>8888</v>
      </c>
      <c r="AC1977" s="129">
        <f ca="1">IF($AA1972,E1977,Q1977)</f>
        <v>8888</v>
      </c>
      <c r="AD1977" s="157"/>
      <c r="AE1977" s="2" t="s">
        <v>522</v>
      </c>
      <c r="AF1977" s="188">
        <f ca="1">IF($AE1972,H1977,T1977)</f>
        <v>8888</v>
      </c>
      <c r="AG1977" s="196">
        <f ca="1">IF($AE1972,I1977,U1977)</f>
        <v>8888</v>
      </c>
      <c r="AI1977" s="128" t="s">
        <v>522</v>
      </c>
      <c r="AJ1977" s="188">
        <f ca="1">IF($AI1972,L1977,X1977)</f>
        <v>8888</v>
      </c>
      <c r="AK1977" s="196">
        <f ca="1">IF($AI1972,M1977,Y1977)</f>
        <v>8888</v>
      </c>
      <c r="AM1977" s="128" t="s">
        <v>522</v>
      </c>
      <c r="AN1977" s="128">
        <f ca="1">AN1976-X1966</f>
        <v>-18.624000000000006</v>
      </c>
      <c r="AO1977" s="129">
        <f ca="1">IF(AN1977&gt;-Fuselage!$D$366,IF(AM1972,(FUSELAGE_a_ellipse+FUSELAGE_t_fuselage)*SQRT(1-((AN1977+Fuselage!$D$366)/Fuselage!$K$364)^2),(FUSELAGE_a_ellipse)*SQRT(1-((AN1977+Fuselage!$D$366)/Fuselage!$K$364)^2)),IF(AN1977&gt;$L$2505+Fuselage!$K$370,(IF(AM1972,FUSELAGE_a_ellipse+FUSELAGE_t_fuselage,FUSELAGE_a_ellipse)),IF(AM1972,(FUSELAGE_a_ellipse+FUSELAGE_t_fuselage-FUSELAGE_d_fo/4)/Fuselage!$K$368*(AN1977-$L$2505-Fuselage!$K$370)+FUSELAGE_a_ellipse+FUSELAGE_t_fuselage,(FUSELAGE_a_ellipse+FUSELAGE_t_fuselage-FUSELAGE_d_fo/4)/Fuselage!$K$368*(AN1977-$L$2505-Fuselage!$K$370)+FUSELAGE_a_ellipse)))</f>
        <v>1.4960570012328709</v>
      </c>
      <c r="AQ1977" s="128" t="s">
        <v>522</v>
      </c>
      <c r="AR1977" s="128">
        <f t="shared" ca="1" si="164"/>
        <v>-18.624000000000006</v>
      </c>
      <c r="AS1977" s="129">
        <f t="shared" ca="1" si="165"/>
        <v>-1.4960570012328709</v>
      </c>
      <c r="BD1977" s="157"/>
    </row>
    <row r="1978" spans="2:56" ht="15" thickBot="1">
      <c r="B1978" s="156"/>
      <c r="C1978" s="128" t="s">
        <v>49</v>
      </c>
      <c r="D1978" s="128">
        <f ca="1">IF(C1972&gt;=2,D1974,D1977)</f>
        <v>8888</v>
      </c>
      <c r="E1978" s="139">
        <f ca="1">IF(C1972&gt;=2,E1977-P1967,E1977)</f>
        <v>8888</v>
      </c>
      <c r="F1978" s="157"/>
      <c r="G1978" s="192" t="s">
        <v>49</v>
      </c>
      <c r="H1978" s="190">
        <f ca="1">IF(G1972&gt;=2,H1974,H1977)</f>
        <v>8888</v>
      </c>
      <c r="I1978" s="191">
        <f ca="1">IF(G1972&gt;=2,I1977-P1967,I1977)</f>
        <v>8888</v>
      </c>
      <c r="K1978" s="190" t="s">
        <v>49</v>
      </c>
      <c r="L1978" s="190">
        <f ca="1">IF(K1972&gt;=2,L1974,L1977)</f>
        <v>8888</v>
      </c>
      <c r="M1978" s="191">
        <f ca="1">IF(K1972&gt;=2,M1977-P1967,M1977)</f>
        <v>8888</v>
      </c>
      <c r="O1978" s="130" t="s">
        <v>396</v>
      </c>
      <c r="P1978" s="130">
        <f ca="1">P1974</f>
        <v>8888</v>
      </c>
      <c r="Q1978" s="140">
        <f ca="1">Q1974</f>
        <v>8888</v>
      </c>
      <c r="S1978" s="130" t="s">
        <v>396</v>
      </c>
      <c r="T1978" s="130">
        <f ca="1">T1974</f>
        <v>8888</v>
      </c>
      <c r="U1978" s="140">
        <f ca="1">U1974</f>
        <v>8888</v>
      </c>
      <c r="W1978" s="130" t="s">
        <v>396</v>
      </c>
      <c r="X1978" s="130">
        <f ca="1">X1974</f>
        <v>8888</v>
      </c>
      <c r="Y1978" s="140">
        <f ca="1">Y1974</f>
        <v>8888</v>
      </c>
      <c r="AA1978" s="143" t="s">
        <v>49</v>
      </c>
      <c r="AB1978" s="128">
        <f ca="1">IF($AA1972,D1978,P1978)</f>
        <v>8888</v>
      </c>
      <c r="AC1978" s="129">
        <f ca="1">IF($AA1972,E1978,Q1978)</f>
        <v>8888</v>
      </c>
      <c r="AD1978" s="157"/>
      <c r="AE1978" s="192" t="s">
        <v>49</v>
      </c>
      <c r="AF1978" s="128">
        <f ca="1">IF($AE1972,H1978,T1978)</f>
        <v>8888</v>
      </c>
      <c r="AG1978" s="129">
        <f ca="1">IF($AE1972,I1978,U1978)</f>
        <v>8888</v>
      </c>
      <c r="AI1978" s="190" t="s">
        <v>49</v>
      </c>
      <c r="AJ1978" s="128">
        <f ca="1">IF($AI1972,L1978,X1978)</f>
        <v>8888</v>
      </c>
      <c r="AK1978" s="129">
        <f ca="1">IF($AI1972,M1978,Y1978)</f>
        <v>8888</v>
      </c>
      <c r="AM1978" s="128" t="s">
        <v>49</v>
      </c>
      <c r="AN1978" s="128">
        <f ca="1">AN1977</f>
        <v>-18.624000000000006</v>
      </c>
      <c r="AO1978" s="129">
        <f ca="1">IF(AN1978&gt;-Fuselage!$D$366,(FUSELAGE_a_ellipse)*SQRT(1-((AN1978+Fuselage!$D$366)/(Fuselage!$K$364-FUSELAGE_t_fuselage))^2),IF(AN1978&gt;$L$2505+Fuselage!$K$370,FUSELAGE_a_ellipse,(FUSELAGE_a_ellipse+FUSELAGE_t_fuselage-FUSELAGE_d_fo/4)/Fuselage!$K$368*(AN1978-$L$2505-Fuselage!$K$370)+FUSELAGE_a_ellipse))</f>
        <v>1.4960570012328709</v>
      </c>
      <c r="AQ1978" s="128" t="s">
        <v>49</v>
      </c>
      <c r="AR1978" s="128">
        <f t="shared" ca="1" si="164"/>
        <v>-18.624000000000006</v>
      </c>
      <c r="AS1978" s="129">
        <f t="shared" ca="1" si="165"/>
        <v>-1.4960570012328709</v>
      </c>
      <c r="BD1978" s="157"/>
    </row>
    <row r="1979" spans="2:56">
      <c r="B1979" s="156"/>
      <c r="C1979" s="128" t="s">
        <v>453</v>
      </c>
      <c r="D1979" s="128">
        <f ca="1">IF(C1972&gt;=2,D1974+P1966,D1977)</f>
        <v>8888</v>
      </c>
      <c r="E1979" s="139">
        <f ca="1">E1978</f>
        <v>8888</v>
      </c>
      <c r="F1979" s="157"/>
      <c r="G1979" s="2" t="s">
        <v>453</v>
      </c>
      <c r="H1979" s="128">
        <f ca="1">IF(G1972&gt;=2,H1975,H1977)</f>
        <v>8888</v>
      </c>
      <c r="I1979" s="139">
        <f ca="1">IF(G1972&gt;=2,I1978,I1977)</f>
        <v>8888</v>
      </c>
      <c r="K1979" s="128" t="s">
        <v>453</v>
      </c>
      <c r="L1979" s="128">
        <f ca="1">IF(K1972&gt;=2,IF(X1967,IF(K1972=2,L1974+P1966/4,L1974+P1966),L1974+P1966),L1977)</f>
        <v>8888</v>
      </c>
      <c r="M1979" s="139">
        <f ca="1">IF(K1972&gt;=2,M1978,M1977)</f>
        <v>8888</v>
      </c>
      <c r="AA1979" s="143" t="s">
        <v>453</v>
      </c>
      <c r="AB1979" s="128">
        <f ca="1">IF($AA1972,D1979,AB1978)</f>
        <v>8888</v>
      </c>
      <c r="AC1979" s="129">
        <f ca="1">IF($AA1972,E1979,AC1978)</f>
        <v>8888</v>
      </c>
      <c r="AD1979" s="157"/>
      <c r="AE1979" s="2" t="s">
        <v>453</v>
      </c>
      <c r="AF1979" s="128">
        <f ca="1">IF($AE1972,H1979,AF1978)</f>
        <v>8888</v>
      </c>
      <c r="AG1979" s="129">
        <f ca="1">IF($AE1972,I1979,AG1978)</f>
        <v>8888</v>
      </c>
      <c r="AI1979" s="128" t="s">
        <v>453</v>
      </c>
      <c r="AJ1979" s="128">
        <f ca="1">IF($AI1972,L1979,AJ1978)</f>
        <v>8888</v>
      </c>
      <c r="AK1979" s="129">
        <f ca="1">IF($AI1972,M1979,AK1978)</f>
        <v>8888</v>
      </c>
      <c r="AM1979" s="128" t="s">
        <v>453</v>
      </c>
      <c r="AN1979" s="128">
        <f ca="1">L1965</f>
        <v>-18.624000000000006</v>
      </c>
      <c r="AO1979" s="129">
        <f ca="1">IF(AN1979&gt;-Fuselage!$D$366,(FUSELAGE_a_ellipse)*SQRT(1-((AN1979+Fuselage!$D$366)/(Fuselage!$K$364-FUSELAGE_t_fuselage))^2),IF(AN1979&gt;$L$2505+Fuselage!$K$370,FUSELAGE_a_ellipse,(FUSELAGE_a_ellipse+FUSELAGE_t_fuselage-FUSELAGE_d_fo/4)/Fuselage!$K$368*(AN1979-$L$2505-Fuselage!$K$370)+FUSELAGE_a_ellipse))</f>
        <v>1.4960570012328709</v>
      </c>
      <c r="AQ1979" s="128" t="s">
        <v>453</v>
      </c>
      <c r="AR1979" s="128">
        <f t="shared" ca="1" si="164"/>
        <v>-18.624000000000006</v>
      </c>
      <c r="AS1979" s="129">
        <f t="shared" ca="1" si="165"/>
        <v>-1.4960570012328709</v>
      </c>
      <c r="BD1979" s="157"/>
    </row>
    <row r="1980" spans="2:56">
      <c r="B1980" s="156"/>
      <c r="C1980" s="128" t="s">
        <v>394</v>
      </c>
      <c r="D1980" s="128">
        <f ca="1">IF(C1972&gt;=2,D1979,D1977)</f>
        <v>8888</v>
      </c>
      <c r="E1980" s="139">
        <f ca="1">IF(C1972&gt;=2,E1978-P1965,E1977)</f>
        <v>8888</v>
      </c>
      <c r="F1980" s="157"/>
      <c r="G1980" s="2" t="s">
        <v>394</v>
      </c>
      <c r="H1980" s="128">
        <f ca="1">IF(G1972&gt;=2,H1975,H1977)</f>
        <v>8888</v>
      </c>
      <c r="I1980" s="139">
        <f ca="1">IF(G1972&gt;=2,I1979-P1965,I1977)</f>
        <v>8888</v>
      </c>
      <c r="K1980" s="128" t="s">
        <v>394</v>
      </c>
      <c r="L1980" s="128">
        <f ca="1">L1979</f>
        <v>8888</v>
      </c>
      <c r="M1980" s="139">
        <f ca="1">IF(K1972&gt;=2,M1979-P1965,M1977)</f>
        <v>8888</v>
      </c>
      <c r="AA1980" s="143" t="s">
        <v>394</v>
      </c>
      <c r="AB1980" s="128">
        <f ca="1">IF($AA1972,D1980,AB1978)</f>
        <v>8888</v>
      </c>
      <c r="AC1980" s="129">
        <f ca="1">IF($AA1972,E1980,AC1978)</f>
        <v>8888</v>
      </c>
      <c r="AD1980" s="157"/>
      <c r="AE1980" s="2" t="s">
        <v>394</v>
      </c>
      <c r="AF1980" s="128">
        <f ca="1">IF($AE1972,H1980,AF1978)</f>
        <v>8888</v>
      </c>
      <c r="AG1980" s="129">
        <f ca="1">IF($AE1972,I1980,AG1978)</f>
        <v>8888</v>
      </c>
      <c r="AI1980" s="128" t="s">
        <v>394</v>
      </c>
      <c r="AJ1980" s="128">
        <f ca="1">IF($AI1972,L1980,AJ1978)</f>
        <v>8888</v>
      </c>
      <c r="AK1980" s="129">
        <f ca="1">IF($AI1972,M1980,AK1978)</f>
        <v>8888</v>
      </c>
      <c r="BD1980" s="157"/>
    </row>
    <row r="1981" spans="2:56">
      <c r="B1981" s="156"/>
      <c r="C1981" s="188" t="s">
        <v>454</v>
      </c>
      <c r="D1981" s="188">
        <f ca="1">IF(C1972&gt;=2,D1974,D1977)</f>
        <v>8888</v>
      </c>
      <c r="E1981" s="189">
        <f ca="1">E1980</f>
        <v>8888</v>
      </c>
      <c r="F1981" s="157"/>
      <c r="G1981" s="115" t="s">
        <v>454</v>
      </c>
      <c r="H1981" s="188">
        <f ca="1">IF(G1972&gt;=2,H1974,H1977)</f>
        <v>8888</v>
      </c>
      <c r="I1981" s="189">
        <f ca="1">IF(G1972&gt;=2,I1980,I1977)</f>
        <v>8888</v>
      </c>
      <c r="K1981" s="188" t="s">
        <v>454</v>
      </c>
      <c r="L1981" s="188">
        <f ca="1">IF(K1972&gt;=2,L1974,L1977)</f>
        <v>8888</v>
      </c>
      <c r="M1981" s="189">
        <f ca="1">IF(K1972&gt;=2,M1980,M1977)</f>
        <v>8888</v>
      </c>
      <c r="AA1981" s="195" t="s">
        <v>454</v>
      </c>
      <c r="AB1981" s="128">
        <f ca="1">IF($AA1972,D1981,AB1978)</f>
        <v>8888</v>
      </c>
      <c r="AC1981" s="129">
        <f ca="1">IF($AA1972,E1981,AC1978)</f>
        <v>8888</v>
      </c>
      <c r="AD1981" s="157"/>
      <c r="AE1981" s="115" t="s">
        <v>454</v>
      </c>
      <c r="AF1981" s="188">
        <f ca="1">IF($AE1972,H1981,AF1978)</f>
        <v>8888</v>
      </c>
      <c r="AG1981" s="196">
        <f ca="1">IF($AE1972,I1981,AG1978)</f>
        <v>8888</v>
      </c>
      <c r="AI1981" s="188" t="s">
        <v>454</v>
      </c>
      <c r="AJ1981" s="188">
        <f ca="1">IF($AI1972,L1981,AJ1978)</f>
        <v>8888</v>
      </c>
      <c r="AK1981" s="196">
        <f ca="1">IF($AI1972,M1981,AK1978)</f>
        <v>8888</v>
      </c>
      <c r="BD1981" s="157"/>
    </row>
    <row r="1982" spans="2:56">
      <c r="B1982" s="156"/>
      <c r="C1982" s="128" t="s">
        <v>507</v>
      </c>
      <c r="D1982" s="128">
        <f ca="1">IF(C1972&gt;=3,D1974,D1981)</f>
        <v>8888</v>
      </c>
      <c r="E1982" s="139">
        <f ca="1">IF(C1972&gt;=3,E1981-P1967,E1981)</f>
        <v>8888</v>
      </c>
      <c r="F1982" s="157"/>
      <c r="G1982" s="2" t="s">
        <v>507</v>
      </c>
      <c r="H1982" s="128">
        <f ca="1">IF(G1972&gt;=3,H1974,H1981)</f>
        <v>8888</v>
      </c>
      <c r="I1982" s="139">
        <f ca="1">IF(G1972&gt;=3,I1981-P1967,I1981)</f>
        <v>8888</v>
      </c>
      <c r="K1982" s="128" t="s">
        <v>507</v>
      </c>
      <c r="L1982" s="128">
        <f ca="1">IF(K1972&gt;=3,L1974,L1981)</f>
        <v>8888</v>
      </c>
      <c r="M1982" s="139">
        <f ca="1">IF(K1972&gt;=3,M1981-P1967,M1981)</f>
        <v>8888</v>
      </c>
      <c r="AA1982" s="143" t="s">
        <v>507</v>
      </c>
      <c r="AB1982" s="128">
        <f ca="1">IF($AA1972,D1982,AB1978)</f>
        <v>8888</v>
      </c>
      <c r="AC1982" s="129">
        <f ca="1">IF($AA1972,E1982,AC1978)</f>
        <v>8888</v>
      </c>
      <c r="AD1982" s="157"/>
      <c r="AE1982" s="2" t="s">
        <v>507</v>
      </c>
      <c r="AF1982" s="128">
        <f ca="1">IF($AE1972,H1982,AF1978)</f>
        <v>8888</v>
      </c>
      <c r="AG1982" s="129">
        <f ca="1">IF($AE1972,I1982,AG1978)</f>
        <v>8888</v>
      </c>
      <c r="AI1982" s="128" t="s">
        <v>507</v>
      </c>
      <c r="AJ1982" s="128">
        <f ca="1">IF($AI1972,L1982,AJ1978)</f>
        <v>8888</v>
      </c>
      <c r="AK1982" s="129">
        <f ca="1">IF($AI1972,M1982,AK1978)</f>
        <v>8888</v>
      </c>
      <c r="BD1982" s="157"/>
    </row>
    <row r="1983" spans="2:56">
      <c r="B1983" s="156"/>
      <c r="C1983" s="128" t="s">
        <v>455</v>
      </c>
      <c r="D1983" s="128">
        <f ca="1">IF(C1972&gt;=3,D1979,D1981)</f>
        <v>8888</v>
      </c>
      <c r="E1983" s="139">
        <f ca="1">E1982</f>
        <v>8888</v>
      </c>
      <c r="F1983" s="157"/>
      <c r="G1983" s="2" t="s">
        <v>455</v>
      </c>
      <c r="H1983" s="128">
        <f ca="1">IF(G1972&gt;=3,H1975,H1981)</f>
        <v>8888</v>
      </c>
      <c r="I1983" s="139">
        <f ca="1">IF(G1972&gt;=3,I1982,I1981)</f>
        <v>8888</v>
      </c>
      <c r="K1983" s="128" t="s">
        <v>455</v>
      </c>
      <c r="L1983" s="128">
        <f ca="1">IF(K1972&gt;=3,IF(X1967,IF(K1972=3,L1974+P1966/4,L1974+P1966),L1974+P1966),L1977)</f>
        <v>8888</v>
      </c>
      <c r="M1983" s="139">
        <f ca="1">IF(K1972&gt;=3,M1982,M1981)</f>
        <v>8888</v>
      </c>
      <c r="AA1983" s="143" t="s">
        <v>455</v>
      </c>
      <c r="AB1983" s="128">
        <f ca="1">IF($AA1972,D1983,AB1978)</f>
        <v>8888</v>
      </c>
      <c r="AC1983" s="129">
        <f ca="1">IF($AA1972,E1983,AC1978)</f>
        <v>8888</v>
      </c>
      <c r="AD1983" s="157"/>
      <c r="AE1983" s="2" t="s">
        <v>455</v>
      </c>
      <c r="AF1983" s="128">
        <f ca="1">IF($AE1972,H1983,AF1978)</f>
        <v>8888</v>
      </c>
      <c r="AG1983" s="129">
        <f ca="1">IF($AE1972,I1983,AG1978)</f>
        <v>8888</v>
      </c>
      <c r="AI1983" s="128" t="s">
        <v>455</v>
      </c>
      <c r="AJ1983" s="128">
        <f ca="1">IF($AI1972,L1983,AJ1978)</f>
        <v>8888</v>
      </c>
      <c r="AK1983" s="129">
        <f ca="1">IF($AI1972,M1983,AK1978)</f>
        <v>8888</v>
      </c>
      <c r="AL1983" s="156"/>
      <c r="BD1983" s="157"/>
    </row>
    <row r="1984" spans="2:56">
      <c r="B1984" s="156"/>
      <c r="C1984" s="128" t="s">
        <v>311</v>
      </c>
      <c r="D1984" s="128">
        <f ca="1">IF(C1972&gt;=3,D1979,D1981)</f>
        <v>8888</v>
      </c>
      <c r="E1984" s="139">
        <f ca="1">IF(C1972&gt;=3,E1983-P1965,E1981)</f>
        <v>8888</v>
      </c>
      <c r="F1984" s="157"/>
      <c r="G1984" s="2" t="s">
        <v>311</v>
      </c>
      <c r="H1984" s="128">
        <f ca="1">IF(G1972&gt;=3,H1975,H1981)</f>
        <v>8888</v>
      </c>
      <c r="I1984" s="139">
        <f ca="1">IF(G1972&gt;=3,I1983-P1965,I1981)</f>
        <v>8888</v>
      </c>
      <c r="K1984" s="128" t="s">
        <v>311</v>
      </c>
      <c r="L1984" s="128">
        <f ca="1">L1983</f>
        <v>8888</v>
      </c>
      <c r="M1984" s="139">
        <f ca="1">IF(K1972&gt;=3,M1983-P1965,M1981)</f>
        <v>8888</v>
      </c>
      <c r="AA1984" s="143" t="s">
        <v>311</v>
      </c>
      <c r="AB1984" s="128">
        <f ca="1">IF($AA1972,D1984,AB1978)</f>
        <v>8888</v>
      </c>
      <c r="AC1984" s="129">
        <f ca="1">IF($AA1972,E1984,AC1978)</f>
        <v>8888</v>
      </c>
      <c r="AD1984" s="157"/>
      <c r="AE1984" s="2" t="s">
        <v>311</v>
      </c>
      <c r="AF1984" s="128">
        <f ca="1">IF($AE1972,H1984,AF1978)</f>
        <v>8888</v>
      </c>
      <c r="AG1984" s="129">
        <f ca="1">IF($AE1972,I1984,AG1978)</f>
        <v>8888</v>
      </c>
      <c r="AI1984" s="128" t="s">
        <v>311</v>
      </c>
      <c r="AJ1984" s="128">
        <f ca="1">IF($AI1972,L1984,AJ1978)</f>
        <v>8888</v>
      </c>
      <c r="AK1984" s="129">
        <f ca="1">IF($AI1972,M1984,AK1978)</f>
        <v>8888</v>
      </c>
      <c r="AL1984" s="156"/>
      <c r="BD1984" s="157"/>
    </row>
    <row r="1985" spans="2:56">
      <c r="B1985" s="156"/>
      <c r="C1985" s="188" t="s">
        <v>35</v>
      </c>
      <c r="D1985" s="188">
        <f ca="1">IF(C1972&gt;=3,D1974,D1981)</f>
        <v>8888</v>
      </c>
      <c r="E1985" s="189">
        <f ca="1">E1984</f>
        <v>8888</v>
      </c>
      <c r="F1985" s="157"/>
      <c r="G1985" s="2" t="s">
        <v>35</v>
      </c>
      <c r="H1985" s="188">
        <f ca="1">IF(G1972&gt;=3,H1974,H1981)</f>
        <v>8888</v>
      </c>
      <c r="I1985" s="189">
        <f ca="1">IF(G1972&gt;=3,I1984,I1981)</f>
        <v>8888</v>
      </c>
      <c r="K1985" s="188" t="s">
        <v>35</v>
      </c>
      <c r="L1985" s="188">
        <f ca="1">IF(K1972&gt;=3,L1974,L1981)</f>
        <v>8888</v>
      </c>
      <c r="M1985" s="189">
        <f ca="1">IF(K1972&gt;=3,M1984,M1981)</f>
        <v>8888</v>
      </c>
      <c r="AA1985" s="143" t="s">
        <v>35</v>
      </c>
      <c r="AB1985" s="128">
        <f ca="1">IF($AA1972,D1985,AB1978)</f>
        <v>8888</v>
      </c>
      <c r="AC1985" s="129">
        <f ca="1">IF($AA1972,E1985,AC1978)</f>
        <v>8888</v>
      </c>
      <c r="AD1985" s="157"/>
      <c r="AE1985" s="2" t="s">
        <v>35</v>
      </c>
      <c r="AF1985" s="188">
        <f ca="1">IF($AE1972,H1985,AF1978)</f>
        <v>8888</v>
      </c>
      <c r="AG1985" s="196">
        <f ca="1">IF($AE1972,I1985,AG1978)</f>
        <v>8888</v>
      </c>
      <c r="AI1985" s="128" t="s">
        <v>35</v>
      </c>
      <c r="AJ1985" s="128">
        <f ca="1">IF($AI1972,L1985,AJ1978)</f>
        <v>8888</v>
      </c>
      <c r="AK1985" s="129">
        <f ca="1">IF($AI1972,M1985,AK1978)</f>
        <v>8888</v>
      </c>
      <c r="AL1985" s="156"/>
      <c r="BD1985" s="157"/>
    </row>
    <row r="1986" spans="2:56" ht="15" thickBot="1">
      <c r="B1986" s="156"/>
      <c r="C1986" s="130" t="s">
        <v>396</v>
      </c>
      <c r="D1986" s="130">
        <f ca="1">D1974</f>
        <v>8888</v>
      </c>
      <c r="E1986" s="140">
        <f ca="1">E1974</f>
        <v>8888</v>
      </c>
      <c r="F1986" s="157"/>
      <c r="G1986" s="192" t="s">
        <v>312</v>
      </c>
      <c r="H1986" s="128">
        <f ca="1">IF(G1972&gt;=4,H1974,H1985)</f>
        <v>8888</v>
      </c>
      <c r="I1986" s="139">
        <f ca="1">IF(G1972&gt;=4,I1985-P1967,I1985)</f>
        <v>8888</v>
      </c>
      <c r="K1986" s="130" t="s">
        <v>396</v>
      </c>
      <c r="L1986" s="130">
        <f ca="1">L1974</f>
        <v>8888</v>
      </c>
      <c r="M1986" s="140">
        <f ca="1">M1974</f>
        <v>8888</v>
      </c>
      <c r="AA1986" s="144" t="s">
        <v>396</v>
      </c>
      <c r="AB1986" s="130">
        <f ca="1">IF($AA1972,D1986,AB1978)</f>
        <v>8888</v>
      </c>
      <c r="AC1986" s="132">
        <f ca="1">IF($AA1972,E1986,AC1978)</f>
        <v>8888</v>
      </c>
      <c r="AD1986" s="157"/>
      <c r="AE1986" s="192" t="s">
        <v>312</v>
      </c>
      <c r="AF1986" s="128">
        <f ca="1">IF($AE1972,H1986,AF1978)</f>
        <v>8888</v>
      </c>
      <c r="AG1986" s="129">
        <f ca="1">IF($AE1972,I1986,AG1978)</f>
        <v>8888</v>
      </c>
      <c r="AI1986" s="130" t="s">
        <v>396</v>
      </c>
      <c r="AJ1986" s="130">
        <f ca="1">IF($AI1972,L1986,AJ1978)</f>
        <v>8888</v>
      </c>
      <c r="AK1986" s="132">
        <f ca="1">IF($AI1972,M1986,AK1978)</f>
        <v>8888</v>
      </c>
      <c r="BD1986" s="157"/>
    </row>
    <row r="1987" spans="2:56">
      <c r="B1987" s="156"/>
      <c r="F1987" s="157"/>
      <c r="G1987" s="2" t="s">
        <v>313</v>
      </c>
      <c r="H1987" s="128">
        <f ca="1">IF(G1972&gt;=4,H1975,H1985)</f>
        <v>8888</v>
      </c>
      <c r="I1987" s="139">
        <f ca="1">IF(G1972&gt;=4,I1986,I1985)</f>
        <v>8888</v>
      </c>
      <c r="AD1987" s="157"/>
      <c r="AE1987" s="2" t="s">
        <v>313</v>
      </c>
      <c r="AF1987" s="128">
        <f ca="1">IF($AE1972,H1987,AF1978)</f>
        <v>8888</v>
      </c>
      <c r="AG1987" s="129">
        <f ca="1">IF($AE1972,I1987,AG1978)</f>
        <v>8888</v>
      </c>
      <c r="BD1987" s="157"/>
    </row>
    <row r="1988" spans="2:56">
      <c r="B1988" s="156"/>
      <c r="F1988" s="157"/>
      <c r="G1988" s="2" t="s">
        <v>7</v>
      </c>
      <c r="H1988" s="128">
        <f ca="1">IF(G1972&gt;=4,H1975,H1985)</f>
        <v>8888</v>
      </c>
      <c r="I1988" s="139">
        <f ca="1">IF(G1972&gt;=4,I1987-P1965,I1985)</f>
        <v>8888</v>
      </c>
      <c r="AD1988" s="157"/>
      <c r="AE1988" s="2" t="s">
        <v>7</v>
      </c>
      <c r="AF1988" s="128">
        <f ca="1">IF($AE1972,H1988,AF1978)</f>
        <v>8888</v>
      </c>
      <c r="AG1988" s="129">
        <f ca="1">IF($AE1972,I1988,AG1978)</f>
        <v>8888</v>
      </c>
      <c r="BD1988" s="157"/>
    </row>
    <row r="1989" spans="2:56">
      <c r="B1989" s="156"/>
      <c r="F1989" s="157"/>
      <c r="G1989" s="115" t="s">
        <v>8</v>
      </c>
      <c r="H1989" s="188">
        <f ca="1">IF(G1972&gt;=4,H1974,H1985)</f>
        <v>8888</v>
      </c>
      <c r="I1989" s="189">
        <f ca="1">IF(G1972&gt;=4,I1988,I1985)</f>
        <v>8888</v>
      </c>
      <c r="AD1989" s="157"/>
      <c r="AE1989" s="115" t="s">
        <v>8</v>
      </c>
      <c r="AF1989" s="188">
        <f ca="1">IF($AE1972,H1989,AF1978)</f>
        <v>8888</v>
      </c>
      <c r="AG1989" s="196">
        <f ca="1">IF($AE1972,I1989,AG1978)</f>
        <v>8888</v>
      </c>
      <c r="BD1989" s="157"/>
    </row>
    <row r="1990" spans="2:56">
      <c r="B1990" s="156"/>
      <c r="F1990" s="157"/>
      <c r="G1990" s="2" t="s">
        <v>9</v>
      </c>
      <c r="H1990" s="128">
        <f ca="1">IF(G1972&gt;=5,H1974,H1989)</f>
        <v>8888</v>
      </c>
      <c r="I1990" s="139">
        <f ca="1">IF(G1972&gt;=5,I1989-P1967,I1989)</f>
        <v>8888</v>
      </c>
      <c r="AD1990" s="157"/>
      <c r="AE1990" s="2" t="s">
        <v>9</v>
      </c>
      <c r="AF1990" s="128">
        <f ca="1">IF($AE1972,H1990,AF1978)</f>
        <v>8888</v>
      </c>
      <c r="AG1990" s="129">
        <f ca="1">IF($AE1972,I1990,AG1978)</f>
        <v>8888</v>
      </c>
      <c r="BD1990" s="157"/>
    </row>
    <row r="1991" spans="2:56">
      <c r="B1991" s="156"/>
      <c r="F1991" s="157"/>
      <c r="G1991" s="2" t="s">
        <v>196</v>
      </c>
      <c r="H1991" s="128">
        <f ca="1">IF(G1972&gt;=5,H1975,H1989)</f>
        <v>8888</v>
      </c>
      <c r="I1991" s="139">
        <f ca="1">IF(G1972&gt;=5,I1990,I1989)</f>
        <v>8888</v>
      </c>
      <c r="AD1991" s="157"/>
      <c r="AE1991" s="2" t="s">
        <v>196</v>
      </c>
      <c r="AF1991" s="128">
        <f ca="1">IF($AE1972,H1991,AF1978)</f>
        <v>8888</v>
      </c>
      <c r="AG1991" s="129">
        <f ca="1">IF($AE1972,I1991,AG1978)</f>
        <v>8888</v>
      </c>
      <c r="BD1991" s="157"/>
    </row>
    <row r="1992" spans="2:56">
      <c r="B1992" s="156"/>
      <c r="F1992" s="157"/>
      <c r="G1992" s="2" t="s">
        <v>10</v>
      </c>
      <c r="H1992" s="128">
        <f ca="1">IF(G1972&gt;=5,H1975,H1989)</f>
        <v>8888</v>
      </c>
      <c r="I1992" s="139">
        <f ca="1">IF(G1972&gt;=5,I1991-P1965,I1989)</f>
        <v>8888</v>
      </c>
      <c r="AD1992" s="157"/>
      <c r="AE1992" s="2" t="s">
        <v>10</v>
      </c>
      <c r="AF1992" s="128">
        <f ca="1">IF($AE1972,H1992,AF1978)</f>
        <v>8888</v>
      </c>
      <c r="AG1992" s="129">
        <f ca="1">IF($AE1972,I1992,AG1978)</f>
        <v>8888</v>
      </c>
      <c r="BD1992" s="157"/>
    </row>
    <row r="1993" spans="2:56">
      <c r="B1993" s="156"/>
      <c r="F1993" s="157"/>
      <c r="G1993" s="2" t="s">
        <v>161</v>
      </c>
      <c r="H1993" s="188">
        <f ca="1">IF(G1972&gt;=5,H1974,H1989)</f>
        <v>8888</v>
      </c>
      <c r="I1993" s="189">
        <f ca="1">IF(G1972&gt;=5,I1992,I1989)</f>
        <v>8888</v>
      </c>
      <c r="AD1993" s="157"/>
      <c r="AE1993" s="2" t="s">
        <v>161</v>
      </c>
      <c r="AF1993" s="188">
        <f ca="1">IF($AE1972,H1993,AF1978)</f>
        <v>8888</v>
      </c>
      <c r="AG1993" s="196">
        <f ca="1">IF($AE1972,I1993,AG1978)</f>
        <v>8888</v>
      </c>
      <c r="BD1993" s="157"/>
    </row>
    <row r="1994" spans="2:56">
      <c r="B1994" s="156"/>
      <c r="F1994" s="157"/>
      <c r="G1994" s="192" t="s">
        <v>11</v>
      </c>
      <c r="H1994" s="128">
        <f ca="1">IF(G1972&gt;=6,H1974,H1993)</f>
        <v>8888</v>
      </c>
      <c r="I1994" s="139">
        <f ca="1">IF(G1972&gt;=6,I1993-P1967,I1993)</f>
        <v>8888</v>
      </c>
      <c r="AD1994" s="157"/>
      <c r="AE1994" s="192" t="s">
        <v>11</v>
      </c>
      <c r="AF1994" s="128">
        <f ca="1">IF($AE1972,H1994,AF1978)</f>
        <v>8888</v>
      </c>
      <c r="AG1994" s="129">
        <f ca="1">IF($AE1972,I1994,AG1978)</f>
        <v>8888</v>
      </c>
      <c r="BD1994" s="157"/>
    </row>
    <row r="1995" spans="2:56">
      <c r="B1995" s="156"/>
      <c r="F1995" s="157"/>
      <c r="G1995" s="2" t="s">
        <v>12</v>
      </c>
      <c r="H1995" s="128">
        <f ca="1">IF(G1972&gt;=6,H1975,H1993)</f>
        <v>8888</v>
      </c>
      <c r="I1995" s="139">
        <f ca="1">IF(G1972&gt;=6,I1994,I1993)</f>
        <v>8888</v>
      </c>
      <c r="AD1995" s="157"/>
      <c r="AE1995" s="2" t="s">
        <v>12</v>
      </c>
      <c r="AF1995" s="128">
        <f ca="1">IF($AE1972,H1995,AF1978)</f>
        <v>8888</v>
      </c>
      <c r="AG1995" s="129">
        <f ca="1">IF($AE1972,I1995,AG1978)</f>
        <v>8888</v>
      </c>
      <c r="BD1995" s="157"/>
    </row>
    <row r="1996" spans="2:56">
      <c r="B1996" s="156"/>
      <c r="F1996" s="157"/>
      <c r="G1996" s="2" t="s">
        <v>13</v>
      </c>
      <c r="H1996" s="128">
        <f ca="1">IF(G1972&gt;=6,H1975,H1993)</f>
        <v>8888</v>
      </c>
      <c r="I1996" s="139">
        <f ca="1">IF(G1972&gt;=6,I1995-P1965,I1993)</f>
        <v>8888</v>
      </c>
      <c r="AD1996" s="157"/>
      <c r="AE1996" s="2" t="s">
        <v>13</v>
      </c>
      <c r="AF1996" s="128">
        <f ca="1">IF($AE1972,H1996,AF1978)</f>
        <v>8888</v>
      </c>
      <c r="AG1996" s="129">
        <f ca="1">IF($AE1972,I1996,AG1978)</f>
        <v>8888</v>
      </c>
      <c r="BD1996" s="157"/>
    </row>
    <row r="1997" spans="2:56">
      <c r="B1997" s="156"/>
      <c r="F1997" s="157"/>
      <c r="G1997" s="115" t="s">
        <v>14</v>
      </c>
      <c r="H1997" s="188">
        <f ca="1">IF(G1972&gt;=6,H1974,H1993)</f>
        <v>8888</v>
      </c>
      <c r="I1997" s="189">
        <f ca="1">IF(G1972&gt;=6,I1996,I1993)</f>
        <v>8888</v>
      </c>
      <c r="AD1997" s="157"/>
      <c r="AE1997" s="115" t="s">
        <v>14</v>
      </c>
      <c r="AF1997" s="188">
        <f ca="1">IF($AE1972,H1997,AF1978)</f>
        <v>8888</v>
      </c>
      <c r="AG1997" s="196">
        <f ca="1">IF($AE1972,I1997,AG1978)</f>
        <v>8888</v>
      </c>
      <c r="BD1997" s="157"/>
    </row>
    <row r="1998" spans="2:56" ht="15" thickBot="1">
      <c r="B1998" s="156"/>
      <c r="G1998" s="130" t="s">
        <v>396</v>
      </c>
      <c r="H1998" s="130">
        <f ca="1">H1974</f>
        <v>8888</v>
      </c>
      <c r="I1998" s="140">
        <f ca="1">I1974</f>
        <v>8888</v>
      </c>
      <c r="AE1998" s="130" t="s">
        <v>396</v>
      </c>
      <c r="AF1998" s="130">
        <f ca="1">IF($AE1972,H1998,AF1978)</f>
        <v>8888</v>
      </c>
      <c r="AG1998" s="132">
        <f ca="1">IF($AE1972,I1998,AG1978)</f>
        <v>8888</v>
      </c>
      <c r="BD1998" s="157"/>
    </row>
    <row r="1999" spans="2:56">
      <c r="B1999" s="156"/>
      <c r="BD1999" s="157"/>
    </row>
    <row r="2000" spans="2:56">
      <c r="B2000" s="156"/>
      <c r="BD2000" s="157"/>
    </row>
    <row r="2001" spans="2:56">
      <c r="B2001" s="156"/>
      <c r="C2001" s="200" t="s">
        <v>336</v>
      </c>
      <c r="D2001">
        <f>D1965+1</f>
        <v>51</v>
      </c>
      <c r="G2001" s="200" t="s">
        <v>638</v>
      </c>
      <c r="H2001">
        <f ca="1">LOOKUP(D2004,$C$191:$C$196,$D$191:$D$196)</f>
        <v>0</v>
      </c>
      <c r="K2001" s="200" t="s">
        <v>644</v>
      </c>
      <c r="L2001">
        <f ca="1">L1965-H2006</f>
        <v>-18.624000000000006</v>
      </c>
      <c r="O2001" s="200" t="s">
        <v>404</v>
      </c>
      <c r="P2001">
        <f ca="1">IF(D2003=1,SEAT_w_cushion_FC,IF(D2003=2,SEAT_w_cushion_BC,IF(D2003=3,SEAT_w_cushion_YC,0)))</f>
        <v>0</v>
      </c>
      <c r="S2001" s="200" t="s">
        <v>647</v>
      </c>
      <c r="T2001">
        <f ca="1">LOOKUP(D2004,$C$191:$C$196,$E$191:$E$196)</f>
        <v>0</v>
      </c>
      <c r="W2001" t="s">
        <v>130</v>
      </c>
      <c r="X2001" t="str">
        <f ca="1">OFFSET(Fuselage!$B$275,D2001,5)</f>
        <v>None</v>
      </c>
      <c r="AN2001" s="200" t="s">
        <v>135</v>
      </c>
      <c r="AO2001">
        <f ca="1">MAX(0,H2006-MAX(T2001,T2003,T2005,P2002)-X2002)</f>
        <v>0</v>
      </c>
      <c r="BD2001" s="157"/>
    </row>
    <row r="2002" spans="2:56">
      <c r="B2002" s="156"/>
      <c r="C2002" s="200" t="s">
        <v>200</v>
      </c>
      <c r="D2002" t="str">
        <f ca="1">OFFSET(Fuselage!$B$275,D2001,0)</f>
        <v/>
      </c>
      <c r="G2002" s="200" t="s">
        <v>639</v>
      </c>
      <c r="H2002">
        <f ca="1">LOOKUP(D2005,$C$191:$C$196,$D$191:$D$196)</f>
        <v>0</v>
      </c>
      <c r="O2002" s="200" t="s">
        <v>535</v>
      </c>
      <c r="P2002">
        <f ca="1">IF(D2003=1,SEAT_length_FC,IF(D2003=2,SEAT_length_BC,IF(D2003=3,SEAT_length_YC,0)))</f>
        <v>0</v>
      </c>
      <c r="S2002" s="200" t="s">
        <v>648</v>
      </c>
      <c r="T2002">
        <f ca="1">LOOKUP(D2004,$C$191:$C$196,$F$191:$F$196)</f>
        <v>0</v>
      </c>
      <c r="W2002" t="s">
        <v>131</v>
      </c>
      <c r="X2002">
        <f ca="1">LOOKUP(X2001,$I$191:$I$198,$J$191:$J$198)</f>
        <v>0</v>
      </c>
      <c r="BD2002" s="157"/>
    </row>
    <row r="2003" spans="2:56">
      <c r="B2003" s="156"/>
      <c r="C2003" s="200" t="s">
        <v>337</v>
      </c>
      <c r="D2003" t="str">
        <f ca="1">OFFSET(Fuselage!$B$275,D2001,4)</f>
        <v/>
      </c>
      <c r="G2003" s="200" t="s">
        <v>309</v>
      </c>
      <c r="H2003">
        <f ca="1">LOOKUP(D2006,$C$191:$C$196,$D$191:$D$196)</f>
        <v>0</v>
      </c>
      <c r="K2003" s="200" t="s">
        <v>645</v>
      </c>
      <c r="L2003">
        <f ca="1">IF(D2003=1,FUSELAGE_nseats_left_FC,IF(D2003=2,FUSELAGE_nseats_left_BC,IF(D2003=3,FUSELAGE_nseats_left_YC,0)))</f>
        <v>0</v>
      </c>
      <c r="O2003" s="200" t="s">
        <v>405</v>
      </c>
      <c r="P2003">
        <f ca="1">IF(D2003=1,SEAT_w_armrest_FC,IF(D2003=2,SEAT_w_armrest_BC,IF(D2003=3,SEAT_w_armrest_YC,0)))</f>
        <v>0</v>
      </c>
      <c r="S2003" s="200" t="s">
        <v>652</v>
      </c>
      <c r="T2003">
        <f ca="1">LOOKUP(D2005,$C$191:$C$196,$E$191:$E$196)</f>
        <v>0</v>
      </c>
      <c r="W2003" s="200" t="s">
        <v>393</v>
      </c>
      <c r="X2003" t="b">
        <f ca="1">IF(OFFSET(Fuselage!$B$275,D2001,6)="YES",TRUE(),FALSE())</f>
        <v>0</v>
      </c>
      <c r="BD2003" s="157"/>
    </row>
    <row r="2004" spans="2:56">
      <c r="B2004" s="156"/>
      <c r="C2004" s="200" t="s">
        <v>640</v>
      </c>
      <c r="D2004" t="str">
        <f ca="1">OFFSET(Fuselage!$B$275,D2001,1)</f>
        <v>None</v>
      </c>
      <c r="G2004" s="200" t="s">
        <v>132</v>
      </c>
      <c r="H2004">
        <f ca="1">IF(D2003=1,SEAT_pitch_FC,IF(D2003=2,SEAT_pitch_BC,IF(D2003=3,SEAT_pitch_YC,0)))</f>
        <v>0</v>
      </c>
      <c r="K2004" s="200" t="s">
        <v>646</v>
      </c>
      <c r="L2004">
        <f ca="1">IF(D2003=1,FUSELAGE_nseats_middle_FC,IF(D2003=2,FUSELAGE_nseats_middle_BC,IF(D2003=3,FUSELAGE_nseats_middle_YC,0)))</f>
        <v>0</v>
      </c>
      <c r="S2004" s="200" t="s">
        <v>653</v>
      </c>
      <c r="T2004">
        <f ca="1">LOOKUP(D2005,$C$191:$C$196,$F$191:$F$196)</f>
        <v>0</v>
      </c>
      <c r="BD2004" s="157"/>
    </row>
    <row r="2005" spans="2:56">
      <c r="B2005" s="156"/>
      <c r="C2005" s="200" t="s">
        <v>642</v>
      </c>
      <c r="D2005" t="str">
        <f ca="1">OFFSET(Fuselage!$B$275,D2001,2)</f>
        <v>None</v>
      </c>
      <c r="G2005" s="200" t="s">
        <v>129</v>
      </c>
      <c r="H2005">
        <f ca="1">IF(OR(X2001="Type A",X2001="Type B"),MAX(H2001:H2004)+42*0.0254,IF(X2001="Type C",MAX(H2001:H2004)+X2002,IF(X2001&lt;&gt;"None",24*0.0254,0)))</f>
        <v>0</v>
      </c>
      <c r="K2005" s="200" t="s">
        <v>655</v>
      </c>
      <c r="L2005">
        <f ca="1">IF(D2003=1,FUSELAGE_nseats_right_FC,IF(D2003=2,FUSELAGE_nseats_right_BC,IF(D2003=3,FUSELAGE_nseats_right_YC,0)))</f>
        <v>0</v>
      </c>
      <c r="O2005" s="200" t="s">
        <v>407</v>
      </c>
      <c r="P2005">
        <f ca="1">($C$13-(L2003+L2004+L2005)*(P2001+P2003)+(FUSELAGE_n_aisles-1)*P2003)/FUSELAGE_n_aisles</f>
        <v>2.76</v>
      </c>
      <c r="S2005" s="200" t="s">
        <v>651</v>
      </c>
      <c r="T2005">
        <f ca="1">LOOKUP(D2006,$C$191:$C$196,$E$191:$E$196)</f>
        <v>0</v>
      </c>
      <c r="BD2005" s="157"/>
    </row>
    <row r="2006" spans="2:56">
      <c r="B2006" s="156"/>
      <c r="C2006" s="200" t="s">
        <v>641</v>
      </c>
      <c r="D2006" t="str">
        <f ca="1">OFFSET(Fuselage!$B$275,D2001,3)</f>
        <v>None</v>
      </c>
      <c r="G2006" s="200" t="s">
        <v>643</v>
      </c>
      <c r="H2006">
        <f ca="1">MAX(H2001:H2005)</f>
        <v>0</v>
      </c>
      <c r="S2006" s="200" t="s">
        <v>654</v>
      </c>
      <c r="T2006">
        <f ca="1">LOOKUP(D2006,$C$191:$C$196,$F$191:$F$196)</f>
        <v>0</v>
      </c>
      <c r="BD2006" s="157"/>
    </row>
    <row r="2007" spans="2:56" ht="15" thickBot="1">
      <c r="B2007" s="156"/>
      <c r="BD2007" s="157"/>
    </row>
    <row r="2008" spans="2:56" ht="15" thickBot="1">
      <c r="B2008" s="156"/>
      <c r="C2008" s="141">
        <f ca="1">L2005</f>
        <v>0</v>
      </c>
      <c r="D2008" s="197" t="str">
        <f ca="1">IF($D2003=1,"FC",IF($D2003=2,"BC",IF($D2003=3,"YC","Nothing")))</f>
        <v>Nothing</v>
      </c>
      <c r="E2008" s="198"/>
      <c r="G2008" s="141">
        <f ca="1">L2004</f>
        <v>0</v>
      </c>
      <c r="H2008" s="197" t="str">
        <f ca="1">IF($D2003=1,"FC",IF($D2003=2,"BC",IF($D2003=3,"YC","Nothing")))</f>
        <v>Nothing</v>
      </c>
      <c r="I2008" s="198"/>
      <c r="K2008" s="141">
        <f ca="1" xml:space="preserve"> L2003</f>
        <v>0</v>
      </c>
      <c r="L2008" s="197" t="str">
        <f ca="1">IF($D2003=1,"FC",IF($D2003=2,"BC",IF($D2003=3,"YC","Nothing")))</f>
        <v>Nothing</v>
      </c>
      <c r="M2008" s="198"/>
      <c r="O2008" s="141">
        <f ca="1">IF($D2006&lt;&gt;"None",1,0)</f>
        <v>0</v>
      </c>
      <c r="P2008" s="326" t="s">
        <v>380</v>
      </c>
      <c r="Q2008" s="327"/>
      <c r="S2008" s="141">
        <f ca="1">IF($D2005&lt;&gt;"None",1,0)</f>
        <v>0</v>
      </c>
      <c r="T2008" s="326" t="s">
        <v>381</v>
      </c>
      <c r="U2008" s="327"/>
      <c r="W2008" s="141">
        <f ca="1">IF($D2004&lt;&gt;"None",1,0)</f>
        <v>0</v>
      </c>
      <c r="X2008" s="326" t="s">
        <v>382</v>
      </c>
      <c r="Y2008" s="327"/>
      <c r="AA2008" s="141">
        <f ca="1">IF($D2006="None",1,0)</f>
        <v>1</v>
      </c>
      <c r="AB2008" s="326" t="str">
        <f ca="1">IF(AA2008,D2008,$D2006)</f>
        <v>Nothing</v>
      </c>
      <c r="AC2008" s="327"/>
      <c r="AE2008" s="141">
        <f ca="1">IF($D2005="None",1,0)</f>
        <v>1</v>
      </c>
      <c r="AF2008" s="326" t="str">
        <f ca="1">IF(AE2008,H2008,$D2005)</f>
        <v>Nothing</v>
      </c>
      <c r="AG2008" s="327"/>
      <c r="AI2008" s="141">
        <f ca="1">IF($D2004="None",1,0)</f>
        <v>1</v>
      </c>
      <c r="AJ2008" s="326" t="str">
        <f ca="1">IF(AI2008,L2008,$D2004)</f>
        <v>Nothing</v>
      </c>
      <c r="AK2008" s="327"/>
      <c r="AM2008" s="141">
        <f ca="1">IF($X2001="None",0,1)</f>
        <v>0</v>
      </c>
      <c r="AN2008" s="197" t="s">
        <v>133</v>
      </c>
      <c r="AO2008" s="198"/>
      <c r="AQ2008" s="141">
        <f ca="1">IF($X2001="None",0,1)</f>
        <v>0</v>
      </c>
      <c r="AR2008" s="197" t="s">
        <v>134</v>
      </c>
      <c r="AS2008" s="198"/>
      <c r="BD2008" s="157"/>
    </row>
    <row r="2009" spans="2:56" ht="15" thickBot="1">
      <c r="B2009" s="156"/>
      <c r="C2009" s="136" t="s">
        <v>452</v>
      </c>
      <c r="D2009" s="136" t="s">
        <v>384</v>
      </c>
      <c r="E2009" s="138" t="s">
        <v>385</v>
      </c>
      <c r="G2009" s="136" t="s">
        <v>452</v>
      </c>
      <c r="H2009" s="136" t="s">
        <v>384</v>
      </c>
      <c r="I2009" s="138" t="s">
        <v>385</v>
      </c>
      <c r="K2009" s="193" t="s">
        <v>452</v>
      </c>
      <c r="L2009" s="193" t="s">
        <v>384</v>
      </c>
      <c r="M2009" s="194" t="s">
        <v>385</v>
      </c>
      <c r="O2009" s="136" t="s">
        <v>452</v>
      </c>
      <c r="P2009" s="136" t="s">
        <v>384</v>
      </c>
      <c r="Q2009" s="138" t="s">
        <v>385</v>
      </c>
      <c r="S2009" s="136" t="s">
        <v>452</v>
      </c>
      <c r="T2009" s="136" t="s">
        <v>384</v>
      </c>
      <c r="U2009" s="138" t="s">
        <v>385</v>
      </c>
      <c r="W2009" s="136" t="s">
        <v>452</v>
      </c>
      <c r="X2009" s="136" t="s">
        <v>384</v>
      </c>
      <c r="Y2009" s="138" t="s">
        <v>385</v>
      </c>
      <c r="AA2009" s="136" t="s">
        <v>452</v>
      </c>
      <c r="AB2009" s="136" t="s">
        <v>384</v>
      </c>
      <c r="AC2009" s="138" t="s">
        <v>385</v>
      </c>
      <c r="AE2009" s="136" t="s">
        <v>452</v>
      </c>
      <c r="AF2009" s="136" t="s">
        <v>384</v>
      </c>
      <c r="AG2009" s="138" t="s">
        <v>385</v>
      </c>
      <c r="AI2009" s="193" t="s">
        <v>452</v>
      </c>
      <c r="AJ2009" s="193" t="s">
        <v>384</v>
      </c>
      <c r="AK2009" s="194" t="s">
        <v>385</v>
      </c>
      <c r="AM2009" s="193" t="s">
        <v>452</v>
      </c>
      <c r="AN2009" s="193" t="s">
        <v>384</v>
      </c>
      <c r="AO2009" s="194" t="s">
        <v>385</v>
      </c>
      <c r="AQ2009" s="193" t="s">
        <v>452</v>
      </c>
      <c r="AR2009" s="193" t="s">
        <v>384</v>
      </c>
      <c r="AS2009" s="194" t="s">
        <v>385</v>
      </c>
      <c r="BD2009" s="157"/>
    </row>
    <row r="2010" spans="2:56">
      <c r="B2010" s="156"/>
      <c r="C2010" s="128" t="s">
        <v>396</v>
      </c>
      <c r="D2010" s="158">
        <f ca="1">IF(C2008&gt;=1,L2001,8888)</f>
        <v>8888</v>
      </c>
      <c r="E2010" s="160">
        <f ca="1">IF(C2008&gt;=1,1/2*($C$13-P2001-2*P2003)+1/2*P2001,8888)</f>
        <v>8888</v>
      </c>
      <c r="G2010" s="128" t="s">
        <v>396</v>
      </c>
      <c r="H2010" s="158">
        <f ca="1">IF(G2008&gt;=1,L2001,8888)</f>
        <v>8888</v>
      </c>
      <c r="I2010" s="160">
        <f ca="1">IF(G2008&gt;=1,E2021-P2005,8888)</f>
        <v>8888</v>
      </c>
      <c r="K2010" s="128" t="s">
        <v>396</v>
      </c>
      <c r="L2010" s="158">
        <f ca="1">IF(K2008&gt;=1,L2001,8888)</f>
        <v>8888</v>
      </c>
      <c r="M2010" s="160">
        <f ca="1">IF(K2008&gt;=1,IF(FUSELAGE_n_aisles=1,E2021-P2005,I2033-P2005),8888)</f>
        <v>8888</v>
      </c>
      <c r="O2010" s="128" t="s">
        <v>396</v>
      </c>
      <c r="P2010" s="158">
        <f ca="1">IF(O2008,$L2001,8888)</f>
        <v>8888</v>
      </c>
      <c r="Q2010" s="209">
        <f ca="1">IF(O2008,FUSELAGE_y_position_of_left_seat_YC-(FUSELAGE_nseats_right_YC-1)*(SEAT_w_cushion_YC+SEAT_w_armrest_YC)/2+T2006/2,8888)</f>
        <v>8888</v>
      </c>
      <c r="S2010" s="128" t="s">
        <v>396</v>
      </c>
      <c r="T2010" s="158">
        <f ca="1">IF(S2008,$L2001,8888)</f>
        <v>8888</v>
      </c>
      <c r="U2010" s="160">
        <f ca="1">IF(S2008,T2004/2,8888)</f>
        <v>8888</v>
      </c>
      <c r="W2010" s="128" t="s">
        <v>396</v>
      </c>
      <c r="X2010" s="158">
        <f ca="1">IF(W2008,$L2001,8888)</f>
        <v>8888</v>
      </c>
      <c r="Y2010" s="160">
        <f ca="1">IF(W2008,-FUSELAGE_y_position_of_left_seat_YC+(FUSELAGE_nseats_left_YC-1)*(SEAT_w_cushion_YC+SEAT_w_armrest_YC)/2-T2002/2,8888)</f>
        <v>8888</v>
      </c>
      <c r="AA2010" s="128" t="s">
        <v>396</v>
      </c>
      <c r="AB2010" s="158">
        <f ca="1">IF($AA2008,D2010,P2010)</f>
        <v>8888</v>
      </c>
      <c r="AC2010" s="174">
        <f ca="1">IF($AA2008,E2010,Q2010)</f>
        <v>8888</v>
      </c>
      <c r="AE2010" s="128" t="s">
        <v>396</v>
      </c>
      <c r="AF2010" s="158">
        <f ca="1">IF($AE2008,H2010,T2010)</f>
        <v>8888</v>
      </c>
      <c r="AG2010" s="174">
        <f ca="1">IF($AE2008,I2010,U2010)</f>
        <v>8888</v>
      </c>
      <c r="AI2010" s="128" t="s">
        <v>396</v>
      </c>
      <c r="AJ2010" s="158">
        <f ca="1">IF($AI2008,L2010,X2010)</f>
        <v>8888</v>
      </c>
      <c r="AK2010" s="174">
        <f ca="1">IF($AI2008,M2010,Y2010)</f>
        <v>8888</v>
      </c>
      <c r="AM2010" s="128" t="s">
        <v>396</v>
      </c>
      <c r="AN2010" s="158">
        <f ca="1">AN1979</f>
        <v>-18.624000000000006</v>
      </c>
      <c r="AO2010" s="174">
        <f ca="1">IF(AN2010&gt;-Fuselage!$D$366,(FUSELAGE_a_ellipse)*SQRT(1-((AN2010+Fuselage!$D$366)/(Fuselage!$K$364-FUSELAGE_t_fuselage))^2),IF(AN2010&gt;$L$2505+Fuselage!$K$370,FUSELAGE_a_ellipse,(FUSELAGE_a_ellipse+FUSELAGE_t_fuselage-FUSELAGE_d_fo/4)/Fuselage!$K$368*(AN2010-$L$2505-Fuselage!$K$370)+FUSELAGE_a_ellipse))</f>
        <v>1.4960570012328709</v>
      </c>
      <c r="AQ2010" s="128" t="s">
        <v>396</v>
      </c>
      <c r="AR2010" s="158">
        <f t="shared" ref="AR2010:AR2015" ca="1" si="166">AN2010</f>
        <v>-18.624000000000006</v>
      </c>
      <c r="AS2010" s="174">
        <f t="shared" ref="AS2010:AS2015" ca="1" si="167">-AO2010</f>
        <v>-1.4960570012328709</v>
      </c>
      <c r="BD2010" s="157"/>
    </row>
    <row r="2011" spans="2:56">
      <c r="B2011" s="156"/>
      <c r="C2011" s="128" t="s">
        <v>213</v>
      </c>
      <c r="D2011" s="128">
        <f ca="1">IF(X2003,D2010+P2002/4,D2010+P2002)</f>
        <v>8888</v>
      </c>
      <c r="E2011" s="139">
        <f ca="1">E2010</f>
        <v>8888</v>
      </c>
      <c r="G2011" s="128" t="s">
        <v>213</v>
      </c>
      <c r="H2011" s="128">
        <f ca="1">H2010+P2002</f>
        <v>8888</v>
      </c>
      <c r="I2011" s="139">
        <f ca="1">I2010</f>
        <v>8888</v>
      </c>
      <c r="K2011" s="128" t="s">
        <v>213</v>
      </c>
      <c r="L2011" s="128">
        <f ca="1">IF(X2003,IF(K2008=1,L2010+P2002/4,L2010+P2002),L2010+P2002)</f>
        <v>8888</v>
      </c>
      <c r="M2011" s="139">
        <f ca="1">M2010</f>
        <v>8888</v>
      </c>
      <c r="O2011" s="128" t="s">
        <v>213</v>
      </c>
      <c r="P2011" s="128">
        <f ca="1">P2010+$T2005</f>
        <v>8888</v>
      </c>
      <c r="Q2011" s="139">
        <f ca="1">Q2010</f>
        <v>8888</v>
      </c>
      <c r="S2011" s="128" t="s">
        <v>213</v>
      </c>
      <c r="T2011" s="128">
        <f ca="1">T2010+$T2003</f>
        <v>8888</v>
      </c>
      <c r="U2011" s="139">
        <f ca="1">U2010</f>
        <v>8888</v>
      </c>
      <c r="W2011" s="128" t="s">
        <v>213</v>
      </c>
      <c r="X2011" s="128">
        <f ca="1">X2010+$T2001</f>
        <v>8888</v>
      </c>
      <c r="Y2011" s="139">
        <f ca="1">Y2010</f>
        <v>8888</v>
      </c>
      <c r="AA2011" s="143" t="s">
        <v>213</v>
      </c>
      <c r="AB2011" s="128">
        <f ca="1">IF($AA2008,D2011,P2011)</f>
        <v>8888</v>
      </c>
      <c r="AC2011" s="129">
        <f ca="1">IF($AA2008,E2011,Q2011)</f>
        <v>8888</v>
      </c>
      <c r="AE2011" s="128" t="s">
        <v>213</v>
      </c>
      <c r="AF2011" s="128">
        <f ca="1">IF($AE2008,H2011,T2011)</f>
        <v>8888</v>
      </c>
      <c r="AG2011" s="129">
        <f ca="1">IF($AE2008,I2011,U2011)</f>
        <v>8888</v>
      </c>
      <c r="AI2011" s="128" t="s">
        <v>213</v>
      </c>
      <c r="AJ2011" s="128">
        <f ca="1">IF($AI2008,L2011,X2011)</f>
        <v>8888</v>
      </c>
      <c r="AK2011" s="129">
        <f ca="1">IF($AI2008,M2011,Y2011)</f>
        <v>8888</v>
      </c>
      <c r="AM2011" s="128" t="s">
        <v>213</v>
      </c>
      <c r="AN2011" s="128">
        <f ca="1">AN2010-AO2001/2</f>
        <v>-18.624000000000006</v>
      </c>
      <c r="AO2011" s="129">
        <f ca="1">IF(AN2011&gt;-Fuselage!$D$366,(FUSELAGE_a_ellipse)*SQRT(1-((AN2011+Fuselage!$D$366)/(Fuselage!$K$364-FUSELAGE_t_fuselage))^2),IF(AN2011&gt;$L$2505+Fuselage!$K$370,FUSELAGE_a_ellipse,(FUSELAGE_a_ellipse+FUSELAGE_t_fuselage-FUSELAGE_d_fo/4)/Fuselage!$K$368*(AN2011-$L$2505-Fuselage!$K$370)+FUSELAGE_a_ellipse))</f>
        <v>1.4960570012328709</v>
      </c>
      <c r="AQ2011" s="128" t="s">
        <v>213</v>
      </c>
      <c r="AR2011" s="128">
        <f t="shared" ca="1" si="166"/>
        <v>-18.624000000000006</v>
      </c>
      <c r="AS2011" s="129">
        <f t="shared" ca="1" si="167"/>
        <v>-1.4960570012328709</v>
      </c>
      <c r="BD2011" s="157"/>
    </row>
    <row r="2012" spans="2:56">
      <c r="B2012" s="156"/>
      <c r="C2012" s="128" t="s">
        <v>286</v>
      </c>
      <c r="D2012" s="128">
        <f ca="1">D2011</f>
        <v>8888</v>
      </c>
      <c r="E2012" s="139">
        <f ca="1">E2011-P2001</f>
        <v>8888</v>
      </c>
      <c r="G2012" s="128" t="s">
        <v>286</v>
      </c>
      <c r="H2012" s="128">
        <f ca="1">H2011</f>
        <v>8888</v>
      </c>
      <c r="I2012" s="139">
        <f ca="1">I2011-P2001</f>
        <v>8888</v>
      </c>
      <c r="K2012" s="128" t="s">
        <v>286</v>
      </c>
      <c r="L2012" s="128">
        <f ca="1">L2011</f>
        <v>8888</v>
      </c>
      <c r="M2012" s="139">
        <f ca="1">M2011-P2001</f>
        <v>8888</v>
      </c>
      <c r="O2012" s="128" t="s">
        <v>286</v>
      </c>
      <c r="P2012" s="128">
        <f ca="1">P2011</f>
        <v>8888</v>
      </c>
      <c r="Q2012" s="139">
        <f ca="1">Q2011-$T2006</f>
        <v>8888</v>
      </c>
      <c r="S2012" s="128" t="s">
        <v>286</v>
      </c>
      <c r="T2012" s="128">
        <f ca="1">T2011</f>
        <v>8888</v>
      </c>
      <c r="U2012" s="139">
        <f ca="1">U2011-$T2004</f>
        <v>8888</v>
      </c>
      <c r="W2012" s="128" t="s">
        <v>286</v>
      </c>
      <c r="X2012" s="128">
        <f ca="1">X2011</f>
        <v>8888</v>
      </c>
      <c r="Y2012" s="139">
        <f ca="1">Y2011+$T2002</f>
        <v>8888</v>
      </c>
      <c r="AA2012" s="143" t="s">
        <v>286</v>
      </c>
      <c r="AB2012" s="128">
        <f ca="1">IF($AA2008,D2012,P2012)</f>
        <v>8888</v>
      </c>
      <c r="AC2012" s="129">
        <f ca="1">IF($AA2008,E2012,Q2012)</f>
        <v>8888</v>
      </c>
      <c r="AE2012" s="128" t="s">
        <v>286</v>
      </c>
      <c r="AF2012" s="128">
        <f ca="1">IF($AE2008,H2012,T2012)</f>
        <v>8888</v>
      </c>
      <c r="AG2012" s="129">
        <f ca="1">IF($AE2008,I2012,U2012)</f>
        <v>8888</v>
      </c>
      <c r="AI2012" s="128" t="s">
        <v>286</v>
      </c>
      <c r="AJ2012" s="128">
        <f ca="1">IF($AI2008,L2012,X2012)</f>
        <v>8888</v>
      </c>
      <c r="AK2012" s="129">
        <f ca="1">IF($AI2008,M2012,Y2012)</f>
        <v>8888</v>
      </c>
      <c r="AM2012" s="128" t="s">
        <v>286</v>
      </c>
      <c r="AN2012" s="128">
        <f ca="1">AN2011</f>
        <v>-18.624000000000006</v>
      </c>
      <c r="AO2012" s="129">
        <f ca="1">IF(AN2012&gt;-Fuselage!$D$366,IF(AM2008,(FUSELAGE_a_ellipse+FUSELAGE_t_fuselage)*SQRT(1-((AN2012+Fuselage!$D$366)/Fuselage!$K$364)^2),(FUSELAGE_a_ellipse)*SQRT(1-((AN2012+Fuselage!$D$366)/Fuselage!$K$364)^2)),IF(AN2012&gt;$L$2505+Fuselage!$K$370,(IF(AM2008,FUSELAGE_a_ellipse+FUSELAGE_t_fuselage,FUSELAGE_a_ellipse)),IF(AM2008,(FUSELAGE_a_ellipse+FUSELAGE_t_fuselage-FUSELAGE_d_fo/4)/Fuselage!$K$368*(AN2012-$L$2505-Fuselage!$K$370)+FUSELAGE_a_ellipse+FUSELAGE_t_fuselage,(FUSELAGE_a_ellipse+FUSELAGE_t_fuselage-FUSELAGE_d_fo/4)/Fuselage!$K$368*(AN2012-$L$2505-Fuselage!$K$370)+FUSELAGE_a_ellipse)))</f>
        <v>1.4960570012328709</v>
      </c>
      <c r="AQ2012" s="128" t="s">
        <v>286</v>
      </c>
      <c r="AR2012" s="128">
        <f t="shared" ca="1" si="166"/>
        <v>-18.624000000000006</v>
      </c>
      <c r="AS2012" s="129">
        <f t="shared" ca="1" si="167"/>
        <v>-1.4960570012328709</v>
      </c>
      <c r="BD2012" s="157"/>
    </row>
    <row r="2013" spans="2:56">
      <c r="B2013" s="156"/>
      <c r="C2013" s="188" t="s">
        <v>522</v>
      </c>
      <c r="D2013" s="188">
        <f ca="1">D2010</f>
        <v>8888</v>
      </c>
      <c r="E2013" s="189">
        <f ca="1">E2012</f>
        <v>8888</v>
      </c>
      <c r="F2013" s="157"/>
      <c r="G2013" s="2" t="s">
        <v>522</v>
      </c>
      <c r="H2013" s="128">
        <f ca="1">H2010</f>
        <v>8888</v>
      </c>
      <c r="I2013" s="139">
        <f ca="1">I2012</f>
        <v>8888</v>
      </c>
      <c r="K2013" s="128" t="s">
        <v>522</v>
      </c>
      <c r="L2013" s="128">
        <f ca="1">L2010</f>
        <v>8888</v>
      </c>
      <c r="M2013" s="139">
        <f ca="1">M2012</f>
        <v>8888</v>
      </c>
      <c r="O2013" s="188" t="s">
        <v>522</v>
      </c>
      <c r="P2013" s="188">
        <f ca="1">P2010</f>
        <v>8888</v>
      </c>
      <c r="Q2013" s="189">
        <f ca="1">Q2012</f>
        <v>8888</v>
      </c>
      <c r="S2013" s="188" t="s">
        <v>522</v>
      </c>
      <c r="T2013" s="188">
        <f ca="1">T2010</f>
        <v>8888</v>
      </c>
      <c r="U2013" s="189">
        <f ca="1">U2012</f>
        <v>8888</v>
      </c>
      <c r="W2013" s="188" t="s">
        <v>522</v>
      </c>
      <c r="X2013" s="188">
        <f ca="1">X2010</f>
        <v>8888</v>
      </c>
      <c r="Y2013" s="189">
        <f ca="1">Y2012</f>
        <v>8888</v>
      </c>
      <c r="AA2013" s="195" t="s">
        <v>522</v>
      </c>
      <c r="AB2013" s="128">
        <f ca="1">IF($AA2008,D2013,P2013)</f>
        <v>8888</v>
      </c>
      <c r="AC2013" s="129">
        <f ca="1">IF($AA2008,E2013,Q2013)</f>
        <v>8888</v>
      </c>
      <c r="AD2013" s="157"/>
      <c r="AE2013" s="2" t="s">
        <v>522</v>
      </c>
      <c r="AF2013" s="188">
        <f ca="1">IF($AE2008,H2013,T2013)</f>
        <v>8888</v>
      </c>
      <c r="AG2013" s="196">
        <f ca="1">IF($AE2008,I2013,U2013)</f>
        <v>8888</v>
      </c>
      <c r="AI2013" s="128" t="s">
        <v>522</v>
      </c>
      <c r="AJ2013" s="188">
        <f ca="1">IF($AI2008,L2013,X2013)</f>
        <v>8888</v>
      </c>
      <c r="AK2013" s="196">
        <f ca="1">IF($AI2008,M2013,Y2013)</f>
        <v>8888</v>
      </c>
      <c r="AM2013" s="128" t="s">
        <v>522</v>
      </c>
      <c r="AN2013" s="128">
        <f ca="1">AN2012-X2002</f>
        <v>-18.624000000000006</v>
      </c>
      <c r="AO2013" s="129">
        <f ca="1">IF(AN2013&gt;-Fuselage!$D$366,IF(AM2008,(FUSELAGE_a_ellipse+FUSELAGE_t_fuselage)*SQRT(1-((AN2013+Fuselage!$D$366)/Fuselage!$K$364)^2),(FUSELAGE_a_ellipse)*SQRT(1-((AN2013+Fuselage!$D$366)/Fuselage!$K$364)^2)),IF(AN2013&gt;$L$2505+Fuselage!$K$370,(IF(AM2008,FUSELAGE_a_ellipse+FUSELAGE_t_fuselage,FUSELAGE_a_ellipse)),IF(AM2008,(FUSELAGE_a_ellipse+FUSELAGE_t_fuselage-FUSELAGE_d_fo/4)/Fuselage!$K$368*(AN2013-$L$2505-Fuselage!$K$370)+FUSELAGE_a_ellipse+FUSELAGE_t_fuselage,(FUSELAGE_a_ellipse+FUSELAGE_t_fuselage-FUSELAGE_d_fo/4)/Fuselage!$K$368*(AN2013-$L$2505-Fuselage!$K$370)+FUSELAGE_a_ellipse)))</f>
        <v>1.4960570012328709</v>
      </c>
      <c r="AQ2013" s="128" t="s">
        <v>522</v>
      </c>
      <c r="AR2013" s="128">
        <f t="shared" ca="1" si="166"/>
        <v>-18.624000000000006</v>
      </c>
      <c r="AS2013" s="129">
        <f t="shared" ca="1" si="167"/>
        <v>-1.4960570012328709</v>
      </c>
      <c r="BD2013" s="157"/>
    </row>
    <row r="2014" spans="2:56" ht="15" thickBot="1">
      <c r="B2014" s="156"/>
      <c r="C2014" s="128" t="s">
        <v>49</v>
      </c>
      <c r="D2014" s="128">
        <f ca="1">IF(C2008&gt;=2,D2010,D2013)</f>
        <v>8888</v>
      </c>
      <c r="E2014" s="139">
        <f ca="1">IF(C2008&gt;=2,E2013-P2003,E2013)</f>
        <v>8888</v>
      </c>
      <c r="F2014" s="157"/>
      <c r="G2014" s="192" t="s">
        <v>49</v>
      </c>
      <c r="H2014" s="190">
        <f ca="1">IF(G2008&gt;=2,H2010,H2013)</f>
        <v>8888</v>
      </c>
      <c r="I2014" s="191">
        <f ca="1">IF(G2008&gt;=2,I2013-P2003,I2013)</f>
        <v>8888</v>
      </c>
      <c r="K2014" s="190" t="s">
        <v>49</v>
      </c>
      <c r="L2014" s="190">
        <f ca="1">IF(K2008&gt;=2,L2010,L2013)</f>
        <v>8888</v>
      </c>
      <c r="M2014" s="191">
        <f ca="1">IF(K2008&gt;=2,M2013-P2003,M2013)</f>
        <v>8888</v>
      </c>
      <c r="O2014" s="130" t="s">
        <v>396</v>
      </c>
      <c r="P2014" s="130">
        <f ca="1">P2010</f>
        <v>8888</v>
      </c>
      <c r="Q2014" s="140">
        <f ca="1">Q2010</f>
        <v>8888</v>
      </c>
      <c r="S2014" s="130" t="s">
        <v>396</v>
      </c>
      <c r="T2014" s="130">
        <f ca="1">T2010</f>
        <v>8888</v>
      </c>
      <c r="U2014" s="140">
        <f ca="1">U2010</f>
        <v>8888</v>
      </c>
      <c r="W2014" s="130" t="s">
        <v>396</v>
      </c>
      <c r="X2014" s="130">
        <f ca="1">X2010</f>
        <v>8888</v>
      </c>
      <c r="Y2014" s="140">
        <f ca="1">Y2010</f>
        <v>8888</v>
      </c>
      <c r="AA2014" s="143" t="s">
        <v>49</v>
      </c>
      <c r="AB2014" s="128">
        <f ca="1">IF($AA2008,D2014,P2014)</f>
        <v>8888</v>
      </c>
      <c r="AC2014" s="129">
        <f ca="1">IF($AA2008,E2014,Q2014)</f>
        <v>8888</v>
      </c>
      <c r="AD2014" s="157"/>
      <c r="AE2014" s="192" t="s">
        <v>49</v>
      </c>
      <c r="AF2014" s="128">
        <f ca="1">IF($AE2008,H2014,T2014)</f>
        <v>8888</v>
      </c>
      <c r="AG2014" s="129">
        <f ca="1">IF($AE2008,I2014,U2014)</f>
        <v>8888</v>
      </c>
      <c r="AI2014" s="190" t="s">
        <v>49</v>
      </c>
      <c r="AJ2014" s="128">
        <f ca="1">IF($AI2008,L2014,X2014)</f>
        <v>8888</v>
      </c>
      <c r="AK2014" s="129">
        <f ca="1">IF($AI2008,M2014,Y2014)</f>
        <v>8888</v>
      </c>
      <c r="AM2014" s="128" t="s">
        <v>49</v>
      </c>
      <c r="AN2014" s="128">
        <f ca="1">AN2013</f>
        <v>-18.624000000000006</v>
      </c>
      <c r="AO2014" s="129">
        <f ca="1">IF(AN2014&gt;-Fuselage!$D$366,(FUSELAGE_a_ellipse)*SQRT(1-((AN2014+Fuselage!$D$366)/(Fuselage!$K$364-FUSELAGE_t_fuselage))^2),IF(AN2014&gt;$L$2505+Fuselage!$K$370,FUSELAGE_a_ellipse,(FUSELAGE_a_ellipse+FUSELAGE_t_fuselage-FUSELAGE_d_fo/4)/Fuselage!$K$368*(AN2014-$L$2505-Fuselage!$K$370)+FUSELAGE_a_ellipse))</f>
        <v>1.4960570012328709</v>
      </c>
      <c r="AQ2014" s="128" t="s">
        <v>49</v>
      </c>
      <c r="AR2014" s="128">
        <f t="shared" ca="1" si="166"/>
        <v>-18.624000000000006</v>
      </c>
      <c r="AS2014" s="129">
        <f t="shared" ca="1" si="167"/>
        <v>-1.4960570012328709</v>
      </c>
      <c r="BD2014" s="157"/>
    </row>
    <row r="2015" spans="2:56">
      <c r="B2015" s="156"/>
      <c r="C2015" s="128" t="s">
        <v>453</v>
      </c>
      <c r="D2015" s="128">
        <f ca="1">IF(C2008&gt;=2,D2010+P2002,D2013)</f>
        <v>8888</v>
      </c>
      <c r="E2015" s="139">
        <f ca="1">E2014</f>
        <v>8888</v>
      </c>
      <c r="F2015" s="157"/>
      <c r="G2015" s="2" t="s">
        <v>453</v>
      </c>
      <c r="H2015" s="128">
        <f ca="1">IF(G2008&gt;=2,H2011,H2013)</f>
        <v>8888</v>
      </c>
      <c r="I2015" s="139">
        <f ca="1">IF(G2008&gt;=2,I2014,I2013)</f>
        <v>8888</v>
      </c>
      <c r="K2015" s="128" t="s">
        <v>453</v>
      </c>
      <c r="L2015" s="128">
        <f ca="1">IF(K2008&gt;=2,IF(X2003,IF(K2008=2,L2010+P2002/4,L2010+P2002),L2010+P2002),L2013)</f>
        <v>8888</v>
      </c>
      <c r="M2015" s="139">
        <f ca="1">IF(K2008&gt;=2,M2014,M2013)</f>
        <v>8888</v>
      </c>
      <c r="AA2015" s="143" t="s">
        <v>453</v>
      </c>
      <c r="AB2015" s="128">
        <f ca="1">IF($AA2008,D2015,AB2014)</f>
        <v>8888</v>
      </c>
      <c r="AC2015" s="129">
        <f ca="1">IF($AA2008,E2015,AC2014)</f>
        <v>8888</v>
      </c>
      <c r="AD2015" s="157"/>
      <c r="AE2015" s="2" t="s">
        <v>453</v>
      </c>
      <c r="AF2015" s="128">
        <f ca="1">IF($AE2008,H2015,AF2014)</f>
        <v>8888</v>
      </c>
      <c r="AG2015" s="129">
        <f ca="1">IF($AE2008,I2015,AG2014)</f>
        <v>8888</v>
      </c>
      <c r="AI2015" s="128" t="s">
        <v>453</v>
      </c>
      <c r="AJ2015" s="128">
        <f ca="1">IF($AI2008,L2015,AJ2014)</f>
        <v>8888</v>
      </c>
      <c r="AK2015" s="129">
        <f ca="1">IF($AI2008,M2015,AK2014)</f>
        <v>8888</v>
      </c>
      <c r="AM2015" s="128" t="s">
        <v>453</v>
      </c>
      <c r="AN2015" s="128">
        <f ca="1">L2001</f>
        <v>-18.624000000000006</v>
      </c>
      <c r="AO2015" s="129">
        <f ca="1">IF(AN2015&gt;-Fuselage!$D$366,(FUSELAGE_a_ellipse)*SQRT(1-((AN2015+Fuselage!$D$366)/(Fuselage!$K$364-FUSELAGE_t_fuselage))^2),IF(AN2015&gt;$L$2505+Fuselage!$K$370,FUSELAGE_a_ellipse,(FUSELAGE_a_ellipse+FUSELAGE_t_fuselage-FUSELAGE_d_fo/4)/Fuselage!$K$368*(AN2015-$L$2505-Fuselage!$K$370)+FUSELAGE_a_ellipse))</f>
        <v>1.4960570012328709</v>
      </c>
      <c r="AQ2015" s="128" t="s">
        <v>453</v>
      </c>
      <c r="AR2015" s="128">
        <f t="shared" ca="1" si="166"/>
        <v>-18.624000000000006</v>
      </c>
      <c r="AS2015" s="129">
        <f t="shared" ca="1" si="167"/>
        <v>-1.4960570012328709</v>
      </c>
      <c r="BD2015" s="157"/>
    </row>
    <row r="2016" spans="2:56">
      <c r="B2016" s="156"/>
      <c r="C2016" s="128" t="s">
        <v>394</v>
      </c>
      <c r="D2016" s="128">
        <f ca="1">IF(C2008&gt;=2,D2015,D2013)</f>
        <v>8888</v>
      </c>
      <c r="E2016" s="139">
        <f ca="1">IF(C2008&gt;=2,E2014-P2001,E2013)</f>
        <v>8888</v>
      </c>
      <c r="F2016" s="157"/>
      <c r="G2016" s="2" t="s">
        <v>394</v>
      </c>
      <c r="H2016" s="128">
        <f ca="1">IF(G2008&gt;=2,H2011,H2013)</f>
        <v>8888</v>
      </c>
      <c r="I2016" s="139">
        <f ca="1">IF(G2008&gt;=2,I2015-P2001,I2013)</f>
        <v>8888</v>
      </c>
      <c r="K2016" s="128" t="s">
        <v>394</v>
      </c>
      <c r="L2016" s="128">
        <f ca="1">L2015</f>
        <v>8888</v>
      </c>
      <c r="M2016" s="139">
        <f ca="1">IF(K2008&gt;=2,M2015-P2001,M2013)</f>
        <v>8888</v>
      </c>
      <c r="AA2016" s="143" t="s">
        <v>394</v>
      </c>
      <c r="AB2016" s="128">
        <f ca="1">IF($AA2008,D2016,AB2014)</f>
        <v>8888</v>
      </c>
      <c r="AC2016" s="129">
        <f ca="1">IF($AA2008,E2016,AC2014)</f>
        <v>8888</v>
      </c>
      <c r="AD2016" s="157"/>
      <c r="AE2016" s="2" t="s">
        <v>394</v>
      </c>
      <c r="AF2016" s="128">
        <f ca="1">IF($AE2008,H2016,AF2014)</f>
        <v>8888</v>
      </c>
      <c r="AG2016" s="129">
        <f ca="1">IF($AE2008,I2016,AG2014)</f>
        <v>8888</v>
      </c>
      <c r="AI2016" s="128" t="s">
        <v>394</v>
      </c>
      <c r="AJ2016" s="128">
        <f ca="1">IF($AI2008,L2016,AJ2014)</f>
        <v>8888</v>
      </c>
      <c r="AK2016" s="129">
        <f ca="1">IF($AI2008,M2016,AK2014)</f>
        <v>8888</v>
      </c>
      <c r="BD2016" s="157"/>
    </row>
    <row r="2017" spans="2:56">
      <c r="B2017" s="156"/>
      <c r="C2017" s="188" t="s">
        <v>454</v>
      </c>
      <c r="D2017" s="188">
        <f ca="1">IF(C2008&gt;=2,D2010,D2013)</f>
        <v>8888</v>
      </c>
      <c r="E2017" s="189">
        <f ca="1">E2016</f>
        <v>8888</v>
      </c>
      <c r="F2017" s="157"/>
      <c r="G2017" s="115" t="s">
        <v>454</v>
      </c>
      <c r="H2017" s="188">
        <f ca="1">IF(G2008&gt;=2,H2010,H2013)</f>
        <v>8888</v>
      </c>
      <c r="I2017" s="189">
        <f ca="1">IF(G2008&gt;=2,I2016,I2013)</f>
        <v>8888</v>
      </c>
      <c r="K2017" s="188" t="s">
        <v>454</v>
      </c>
      <c r="L2017" s="188">
        <f ca="1">IF(K2008&gt;=2,L2010,L2013)</f>
        <v>8888</v>
      </c>
      <c r="M2017" s="189">
        <f ca="1">IF(K2008&gt;=2,M2016,M2013)</f>
        <v>8888</v>
      </c>
      <c r="AA2017" s="195" t="s">
        <v>454</v>
      </c>
      <c r="AB2017" s="128">
        <f ca="1">IF($AA2008,D2017,AB2014)</f>
        <v>8888</v>
      </c>
      <c r="AC2017" s="129">
        <f ca="1">IF($AA2008,E2017,AC2014)</f>
        <v>8888</v>
      </c>
      <c r="AD2017" s="157"/>
      <c r="AE2017" s="115" t="s">
        <v>454</v>
      </c>
      <c r="AF2017" s="188">
        <f ca="1">IF($AE2008,H2017,AF2014)</f>
        <v>8888</v>
      </c>
      <c r="AG2017" s="196">
        <f ca="1">IF($AE2008,I2017,AG2014)</f>
        <v>8888</v>
      </c>
      <c r="AI2017" s="188" t="s">
        <v>454</v>
      </c>
      <c r="AJ2017" s="188">
        <f ca="1">IF($AI2008,L2017,AJ2014)</f>
        <v>8888</v>
      </c>
      <c r="AK2017" s="196">
        <f ca="1">IF($AI2008,M2017,AK2014)</f>
        <v>8888</v>
      </c>
      <c r="BD2017" s="157"/>
    </row>
    <row r="2018" spans="2:56">
      <c r="B2018" s="156"/>
      <c r="C2018" s="128" t="s">
        <v>507</v>
      </c>
      <c r="D2018" s="128">
        <f ca="1">IF(C2008&gt;=3,D2010,D2017)</f>
        <v>8888</v>
      </c>
      <c r="E2018" s="139">
        <f ca="1">IF(C2008&gt;=3,E2017-P2003,E2017)</f>
        <v>8888</v>
      </c>
      <c r="F2018" s="157"/>
      <c r="G2018" s="2" t="s">
        <v>507</v>
      </c>
      <c r="H2018" s="128">
        <f ca="1">IF(G2008&gt;=3,H2010,H2017)</f>
        <v>8888</v>
      </c>
      <c r="I2018" s="139">
        <f ca="1">IF(G2008&gt;=3,I2017-P2003,I2017)</f>
        <v>8888</v>
      </c>
      <c r="K2018" s="128" t="s">
        <v>507</v>
      </c>
      <c r="L2018" s="128">
        <f ca="1">IF(K2008&gt;=3,L2010,L2017)</f>
        <v>8888</v>
      </c>
      <c r="M2018" s="139">
        <f ca="1">IF(K2008&gt;=3,M2017-P2003,M2017)</f>
        <v>8888</v>
      </c>
      <c r="AA2018" s="143" t="s">
        <v>507</v>
      </c>
      <c r="AB2018" s="128">
        <f ca="1">IF($AA2008,D2018,AB2014)</f>
        <v>8888</v>
      </c>
      <c r="AC2018" s="129">
        <f ca="1">IF($AA2008,E2018,AC2014)</f>
        <v>8888</v>
      </c>
      <c r="AD2018" s="157"/>
      <c r="AE2018" s="2" t="s">
        <v>507</v>
      </c>
      <c r="AF2018" s="128">
        <f ca="1">IF($AE2008,H2018,AF2014)</f>
        <v>8888</v>
      </c>
      <c r="AG2018" s="129">
        <f ca="1">IF($AE2008,I2018,AG2014)</f>
        <v>8888</v>
      </c>
      <c r="AI2018" s="128" t="s">
        <v>507</v>
      </c>
      <c r="AJ2018" s="128">
        <f ca="1">IF($AI2008,L2018,AJ2014)</f>
        <v>8888</v>
      </c>
      <c r="AK2018" s="129">
        <f ca="1">IF($AI2008,M2018,AK2014)</f>
        <v>8888</v>
      </c>
      <c r="BD2018" s="157"/>
    </row>
    <row r="2019" spans="2:56">
      <c r="B2019" s="156"/>
      <c r="C2019" s="128" t="s">
        <v>455</v>
      </c>
      <c r="D2019" s="128">
        <f ca="1">IF(C2008&gt;=3,D2015,D2017)</f>
        <v>8888</v>
      </c>
      <c r="E2019" s="139">
        <f ca="1">E2018</f>
        <v>8888</v>
      </c>
      <c r="F2019" s="157"/>
      <c r="G2019" s="2" t="s">
        <v>455</v>
      </c>
      <c r="H2019" s="128">
        <f ca="1">IF(G2008&gt;=3,H2011,H2017)</f>
        <v>8888</v>
      </c>
      <c r="I2019" s="139">
        <f ca="1">IF(G2008&gt;=3,I2018,I2017)</f>
        <v>8888</v>
      </c>
      <c r="K2019" s="128" t="s">
        <v>455</v>
      </c>
      <c r="L2019" s="128">
        <f ca="1">IF(K2008&gt;=3,IF(X2003,IF(K2008=3,L2010+P2002/4,L2010+P2002),L2010+P2002),L2013)</f>
        <v>8888</v>
      </c>
      <c r="M2019" s="139">
        <f ca="1">IF(K2008&gt;=3,M2018,M2017)</f>
        <v>8888</v>
      </c>
      <c r="AA2019" s="143" t="s">
        <v>455</v>
      </c>
      <c r="AB2019" s="128">
        <f ca="1">IF($AA2008,D2019,AB2014)</f>
        <v>8888</v>
      </c>
      <c r="AC2019" s="129">
        <f ca="1">IF($AA2008,E2019,AC2014)</f>
        <v>8888</v>
      </c>
      <c r="AD2019" s="157"/>
      <c r="AE2019" s="2" t="s">
        <v>455</v>
      </c>
      <c r="AF2019" s="128">
        <f ca="1">IF($AE2008,H2019,AF2014)</f>
        <v>8888</v>
      </c>
      <c r="AG2019" s="129">
        <f ca="1">IF($AE2008,I2019,AG2014)</f>
        <v>8888</v>
      </c>
      <c r="AI2019" s="128" t="s">
        <v>455</v>
      </c>
      <c r="AJ2019" s="128">
        <f ca="1">IF($AI2008,L2019,AJ2014)</f>
        <v>8888</v>
      </c>
      <c r="AK2019" s="129">
        <f ca="1">IF($AI2008,M2019,AK2014)</f>
        <v>8888</v>
      </c>
      <c r="AL2019" s="156"/>
      <c r="BD2019" s="157"/>
    </row>
    <row r="2020" spans="2:56">
      <c r="B2020" s="156"/>
      <c r="C2020" s="128" t="s">
        <v>311</v>
      </c>
      <c r="D2020" s="128">
        <f ca="1">IF(C2008&gt;=3,D2015,D2017)</f>
        <v>8888</v>
      </c>
      <c r="E2020" s="139">
        <f ca="1">IF(C2008&gt;=3,E2019-P2001,E2017)</f>
        <v>8888</v>
      </c>
      <c r="F2020" s="157"/>
      <c r="G2020" s="2" t="s">
        <v>311</v>
      </c>
      <c r="H2020" s="128">
        <f ca="1">IF(G2008&gt;=3,H2011,H2017)</f>
        <v>8888</v>
      </c>
      <c r="I2020" s="139">
        <f ca="1">IF(G2008&gt;=3,I2019-P2001,I2017)</f>
        <v>8888</v>
      </c>
      <c r="K2020" s="128" t="s">
        <v>311</v>
      </c>
      <c r="L2020" s="128">
        <f ca="1">L2019</f>
        <v>8888</v>
      </c>
      <c r="M2020" s="139">
        <f ca="1">IF(K2008&gt;=3,M2019-P2001,M2017)</f>
        <v>8888</v>
      </c>
      <c r="AA2020" s="143" t="s">
        <v>311</v>
      </c>
      <c r="AB2020" s="128">
        <f ca="1">IF($AA2008,D2020,AB2014)</f>
        <v>8888</v>
      </c>
      <c r="AC2020" s="129">
        <f ca="1">IF($AA2008,E2020,AC2014)</f>
        <v>8888</v>
      </c>
      <c r="AD2020" s="157"/>
      <c r="AE2020" s="2" t="s">
        <v>311</v>
      </c>
      <c r="AF2020" s="128">
        <f ca="1">IF($AE2008,H2020,AF2014)</f>
        <v>8888</v>
      </c>
      <c r="AG2020" s="129">
        <f ca="1">IF($AE2008,I2020,AG2014)</f>
        <v>8888</v>
      </c>
      <c r="AI2020" s="128" t="s">
        <v>311</v>
      </c>
      <c r="AJ2020" s="128">
        <f ca="1">IF($AI2008,L2020,AJ2014)</f>
        <v>8888</v>
      </c>
      <c r="AK2020" s="129">
        <f ca="1">IF($AI2008,M2020,AK2014)</f>
        <v>8888</v>
      </c>
      <c r="AL2020" s="156"/>
      <c r="BD2020" s="157"/>
    </row>
    <row r="2021" spans="2:56">
      <c r="B2021" s="156"/>
      <c r="C2021" s="188" t="s">
        <v>35</v>
      </c>
      <c r="D2021" s="188">
        <f ca="1">IF(C2008&gt;=3,D2010,D2017)</f>
        <v>8888</v>
      </c>
      <c r="E2021" s="189">
        <f ca="1">E2020</f>
        <v>8888</v>
      </c>
      <c r="F2021" s="157"/>
      <c r="G2021" s="2" t="s">
        <v>35</v>
      </c>
      <c r="H2021" s="188">
        <f ca="1">IF(G2008&gt;=3,H2010,H2017)</f>
        <v>8888</v>
      </c>
      <c r="I2021" s="189">
        <f ca="1">IF(G2008&gt;=3,I2020,I2017)</f>
        <v>8888</v>
      </c>
      <c r="K2021" s="188" t="s">
        <v>35</v>
      </c>
      <c r="L2021" s="188">
        <f ca="1">IF(K2008&gt;=3,L2010,L2017)</f>
        <v>8888</v>
      </c>
      <c r="M2021" s="189">
        <f ca="1">IF(K2008&gt;=3,M2020,M2017)</f>
        <v>8888</v>
      </c>
      <c r="AA2021" s="143" t="s">
        <v>35</v>
      </c>
      <c r="AB2021" s="128">
        <f ca="1">IF($AA2008,D2021,AB2014)</f>
        <v>8888</v>
      </c>
      <c r="AC2021" s="129">
        <f ca="1">IF($AA2008,E2021,AC2014)</f>
        <v>8888</v>
      </c>
      <c r="AD2021" s="157"/>
      <c r="AE2021" s="2" t="s">
        <v>35</v>
      </c>
      <c r="AF2021" s="188">
        <f ca="1">IF($AE2008,H2021,AF2014)</f>
        <v>8888</v>
      </c>
      <c r="AG2021" s="196">
        <f ca="1">IF($AE2008,I2021,AG2014)</f>
        <v>8888</v>
      </c>
      <c r="AI2021" s="128" t="s">
        <v>35</v>
      </c>
      <c r="AJ2021" s="128">
        <f ca="1">IF($AI2008,L2021,AJ2014)</f>
        <v>8888</v>
      </c>
      <c r="AK2021" s="129">
        <f ca="1">IF($AI2008,M2021,AK2014)</f>
        <v>8888</v>
      </c>
      <c r="AL2021" s="156"/>
      <c r="BD2021" s="157"/>
    </row>
    <row r="2022" spans="2:56" ht="15" thickBot="1">
      <c r="B2022" s="156"/>
      <c r="C2022" s="130" t="s">
        <v>396</v>
      </c>
      <c r="D2022" s="130">
        <f ca="1">D2010</f>
        <v>8888</v>
      </c>
      <c r="E2022" s="140">
        <f ca="1">E2010</f>
        <v>8888</v>
      </c>
      <c r="F2022" s="157"/>
      <c r="G2022" s="192" t="s">
        <v>312</v>
      </c>
      <c r="H2022" s="128">
        <f ca="1">IF(G2008&gt;=4,H2010,H2021)</f>
        <v>8888</v>
      </c>
      <c r="I2022" s="139">
        <f ca="1">IF(G2008&gt;=4,I2021-P2003,I2021)</f>
        <v>8888</v>
      </c>
      <c r="K2022" s="130" t="s">
        <v>396</v>
      </c>
      <c r="L2022" s="130">
        <f ca="1">L2010</f>
        <v>8888</v>
      </c>
      <c r="M2022" s="140">
        <f ca="1">M2010</f>
        <v>8888</v>
      </c>
      <c r="AA2022" s="144" t="s">
        <v>396</v>
      </c>
      <c r="AB2022" s="130">
        <f ca="1">IF($AA2008,D2022,AB2014)</f>
        <v>8888</v>
      </c>
      <c r="AC2022" s="132">
        <f ca="1">IF($AA2008,E2022,AC2014)</f>
        <v>8888</v>
      </c>
      <c r="AD2022" s="157"/>
      <c r="AE2022" s="192" t="s">
        <v>312</v>
      </c>
      <c r="AF2022" s="128">
        <f ca="1">IF($AE2008,H2022,AF2014)</f>
        <v>8888</v>
      </c>
      <c r="AG2022" s="129">
        <f ca="1">IF($AE2008,I2022,AG2014)</f>
        <v>8888</v>
      </c>
      <c r="AI2022" s="130" t="s">
        <v>396</v>
      </c>
      <c r="AJ2022" s="130">
        <f ca="1">IF($AI2008,L2022,AJ2014)</f>
        <v>8888</v>
      </c>
      <c r="AK2022" s="132">
        <f ca="1">IF($AI2008,M2022,AK2014)</f>
        <v>8888</v>
      </c>
      <c r="BD2022" s="157"/>
    </row>
    <row r="2023" spans="2:56">
      <c r="B2023" s="156"/>
      <c r="F2023" s="157"/>
      <c r="G2023" s="2" t="s">
        <v>313</v>
      </c>
      <c r="H2023" s="128">
        <f ca="1">IF(G2008&gt;=4,H2011,H2021)</f>
        <v>8888</v>
      </c>
      <c r="I2023" s="139">
        <f ca="1">IF(G2008&gt;=4,I2022,I2021)</f>
        <v>8888</v>
      </c>
      <c r="AD2023" s="157"/>
      <c r="AE2023" s="2" t="s">
        <v>313</v>
      </c>
      <c r="AF2023" s="128">
        <f ca="1">IF($AE2008,H2023,AF2014)</f>
        <v>8888</v>
      </c>
      <c r="AG2023" s="129">
        <f ca="1">IF($AE2008,I2023,AG2014)</f>
        <v>8888</v>
      </c>
      <c r="BD2023" s="157"/>
    </row>
    <row r="2024" spans="2:56">
      <c r="B2024" s="156"/>
      <c r="F2024" s="157"/>
      <c r="G2024" s="2" t="s">
        <v>7</v>
      </c>
      <c r="H2024" s="128">
        <f ca="1">IF(G2008&gt;=4,H2011,H2021)</f>
        <v>8888</v>
      </c>
      <c r="I2024" s="139">
        <f ca="1">IF(G2008&gt;=4,I2023-P2001,I2021)</f>
        <v>8888</v>
      </c>
      <c r="AD2024" s="157"/>
      <c r="AE2024" s="2" t="s">
        <v>7</v>
      </c>
      <c r="AF2024" s="128">
        <f ca="1">IF($AE2008,H2024,AF2014)</f>
        <v>8888</v>
      </c>
      <c r="AG2024" s="129">
        <f ca="1">IF($AE2008,I2024,AG2014)</f>
        <v>8888</v>
      </c>
      <c r="BD2024" s="157"/>
    </row>
    <row r="2025" spans="2:56">
      <c r="B2025" s="156"/>
      <c r="F2025" s="157"/>
      <c r="G2025" s="115" t="s">
        <v>8</v>
      </c>
      <c r="H2025" s="188">
        <f ca="1">IF(G2008&gt;=4,H2010,H2021)</f>
        <v>8888</v>
      </c>
      <c r="I2025" s="189">
        <f ca="1">IF(G2008&gt;=4,I2024,I2021)</f>
        <v>8888</v>
      </c>
      <c r="AD2025" s="157"/>
      <c r="AE2025" s="115" t="s">
        <v>8</v>
      </c>
      <c r="AF2025" s="188">
        <f ca="1">IF($AE2008,H2025,AF2014)</f>
        <v>8888</v>
      </c>
      <c r="AG2025" s="196">
        <f ca="1">IF($AE2008,I2025,AG2014)</f>
        <v>8888</v>
      </c>
      <c r="BD2025" s="157"/>
    </row>
    <row r="2026" spans="2:56">
      <c r="B2026" s="156"/>
      <c r="F2026" s="157"/>
      <c r="G2026" s="2" t="s">
        <v>9</v>
      </c>
      <c r="H2026" s="128">
        <f ca="1">IF(G2008&gt;=5,H2010,H2025)</f>
        <v>8888</v>
      </c>
      <c r="I2026" s="139">
        <f ca="1">IF(G2008&gt;=5,I2025-P2003,I2025)</f>
        <v>8888</v>
      </c>
      <c r="AD2026" s="157"/>
      <c r="AE2026" s="2" t="s">
        <v>9</v>
      </c>
      <c r="AF2026" s="128">
        <f ca="1">IF($AE2008,H2026,AF2014)</f>
        <v>8888</v>
      </c>
      <c r="AG2026" s="129">
        <f ca="1">IF($AE2008,I2026,AG2014)</f>
        <v>8888</v>
      </c>
      <c r="BD2026" s="157"/>
    </row>
    <row r="2027" spans="2:56">
      <c r="B2027" s="156"/>
      <c r="F2027" s="157"/>
      <c r="G2027" s="2" t="s">
        <v>196</v>
      </c>
      <c r="H2027" s="128">
        <f ca="1">IF(G2008&gt;=5,H2011,H2025)</f>
        <v>8888</v>
      </c>
      <c r="I2027" s="139">
        <f ca="1">IF(G2008&gt;=5,I2026,I2025)</f>
        <v>8888</v>
      </c>
      <c r="AD2027" s="157"/>
      <c r="AE2027" s="2" t="s">
        <v>196</v>
      </c>
      <c r="AF2027" s="128">
        <f ca="1">IF($AE2008,H2027,AF2014)</f>
        <v>8888</v>
      </c>
      <c r="AG2027" s="129">
        <f ca="1">IF($AE2008,I2027,AG2014)</f>
        <v>8888</v>
      </c>
      <c r="BD2027" s="157"/>
    </row>
    <row r="2028" spans="2:56">
      <c r="B2028" s="156"/>
      <c r="F2028" s="157"/>
      <c r="G2028" s="2" t="s">
        <v>10</v>
      </c>
      <c r="H2028" s="128">
        <f ca="1">IF(G2008&gt;=5,H2011,H2025)</f>
        <v>8888</v>
      </c>
      <c r="I2028" s="139">
        <f ca="1">IF(G2008&gt;=5,I2027-P2001,I2025)</f>
        <v>8888</v>
      </c>
      <c r="AD2028" s="157"/>
      <c r="AE2028" s="2" t="s">
        <v>10</v>
      </c>
      <c r="AF2028" s="128">
        <f ca="1">IF($AE2008,H2028,AF2014)</f>
        <v>8888</v>
      </c>
      <c r="AG2028" s="129">
        <f ca="1">IF($AE2008,I2028,AG2014)</f>
        <v>8888</v>
      </c>
      <c r="BD2028" s="157"/>
    </row>
    <row r="2029" spans="2:56">
      <c r="B2029" s="156"/>
      <c r="F2029" s="157"/>
      <c r="G2029" s="2" t="s">
        <v>161</v>
      </c>
      <c r="H2029" s="188">
        <f ca="1">IF(G2008&gt;=5,H2010,H2025)</f>
        <v>8888</v>
      </c>
      <c r="I2029" s="189">
        <f ca="1">IF(G2008&gt;=5,I2028,I2025)</f>
        <v>8888</v>
      </c>
      <c r="AD2029" s="157"/>
      <c r="AE2029" s="2" t="s">
        <v>161</v>
      </c>
      <c r="AF2029" s="188">
        <f ca="1">IF($AE2008,H2029,AF2014)</f>
        <v>8888</v>
      </c>
      <c r="AG2029" s="196">
        <f ca="1">IF($AE2008,I2029,AG2014)</f>
        <v>8888</v>
      </c>
      <c r="BD2029" s="157"/>
    </row>
    <row r="2030" spans="2:56">
      <c r="B2030" s="156"/>
      <c r="F2030" s="157"/>
      <c r="G2030" s="192" t="s">
        <v>11</v>
      </c>
      <c r="H2030" s="128">
        <f ca="1">IF(G2008&gt;=6,H2010,H2029)</f>
        <v>8888</v>
      </c>
      <c r="I2030" s="139">
        <f ca="1">IF(G2008&gt;=6,I2029-P2003,I2029)</f>
        <v>8888</v>
      </c>
      <c r="AD2030" s="157"/>
      <c r="AE2030" s="192" t="s">
        <v>11</v>
      </c>
      <c r="AF2030" s="128">
        <f ca="1">IF($AE2008,H2030,AF2014)</f>
        <v>8888</v>
      </c>
      <c r="AG2030" s="129">
        <f ca="1">IF($AE2008,I2030,AG2014)</f>
        <v>8888</v>
      </c>
      <c r="BD2030" s="157"/>
    </row>
    <row r="2031" spans="2:56">
      <c r="B2031" s="156"/>
      <c r="F2031" s="157"/>
      <c r="G2031" s="2" t="s">
        <v>12</v>
      </c>
      <c r="H2031" s="128">
        <f ca="1">IF(G2008&gt;=6,H2011,H2029)</f>
        <v>8888</v>
      </c>
      <c r="I2031" s="139">
        <f ca="1">IF(G2008&gt;=6,I2030,I2029)</f>
        <v>8888</v>
      </c>
      <c r="AD2031" s="157"/>
      <c r="AE2031" s="2" t="s">
        <v>12</v>
      </c>
      <c r="AF2031" s="128">
        <f ca="1">IF($AE2008,H2031,AF2014)</f>
        <v>8888</v>
      </c>
      <c r="AG2031" s="129">
        <f ca="1">IF($AE2008,I2031,AG2014)</f>
        <v>8888</v>
      </c>
      <c r="BD2031" s="157"/>
    </row>
    <row r="2032" spans="2:56">
      <c r="B2032" s="156"/>
      <c r="F2032" s="157"/>
      <c r="G2032" s="2" t="s">
        <v>13</v>
      </c>
      <c r="H2032" s="128">
        <f ca="1">IF(G2008&gt;=6,H2011,H2029)</f>
        <v>8888</v>
      </c>
      <c r="I2032" s="139">
        <f ca="1">IF(G2008&gt;=6,I2031-P2001,I2029)</f>
        <v>8888</v>
      </c>
      <c r="AD2032" s="157"/>
      <c r="AE2032" s="2" t="s">
        <v>13</v>
      </c>
      <c r="AF2032" s="128">
        <f ca="1">IF($AE2008,H2032,AF2014)</f>
        <v>8888</v>
      </c>
      <c r="AG2032" s="129">
        <f ca="1">IF($AE2008,I2032,AG2014)</f>
        <v>8888</v>
      </c>
      <c r="BD2032" s="157"/>
    </row>
    <row r="2033" spans="2:56">
      <c r="B2033" s="156"/>
      <c r="F2033" s="157"/>
      <c r="G2033" s="115" t="s">
        <v>14</v>
      </c>
      <c r="H2033" s="188">
        <f ca="1">IF(G2008&gt;=6,H2010,H2029)</f>
        <v>8888</v>
      </c>
      <c r="I2033" s="189">
        <f ca="1">IF(G2008&gt;=6,I2032,I2029)</f>
        <v>8888</v>
      </c>
      <c r="AD2033" s="157"/>
      <c r="AE2033" s="115" t="s">
        <v>14</v>
      </c>
      <c r="AF2033" s="188">
        <f ca="1">IF($AE2008,H2033,AF2014)</f>
        <v>8888</v>
      </c>
      <c r="AG2033" s="196">
        <f ca="1">IF($AE2008,I2033,AG2014)</f>
        <v>8888</v>
      </c>
      <c r="BD2033" s="157"/>
    </row>
    <row r="2034" spans="2:56" ht="15" thickBot="1">
      <c r="B2034" s="156"/>
      <c r="G2034" s="130" t="s">
        <v>396</v>
      </c>
      <c r="H2034" s="130">
        <f ca="1">H2010</f>
        <v>8888</v>
      </c>
      <c r="I2034" s="140">
        <f ca="1">I2010</f>
        <v>8888</v>
      </c>
      <c r="AE2034" s="130" t="s">
        <v>396</v>
      </c>
      <c r="AF2034" s="130">
        <f ca="1">IF($AE2008,H2034,AF2014)</f>
        <v>8888</v>
      </c>
      <c r="AG2034" s="132">
        <f ca="1">IF($AE2008,I2034,AG2014)</f>
        <v>8888</v>
      </c>
      <c r="BD2034" s="157"/>
    </row>
    <row r="2035" spans="2:56">
      <c r="B2035" s="156"/>
      <c r="BD2035" s="157"/>
    </row>
    <row r="2036" spans="2:56">
      <c r="B2036" s="156"/>
      <c r="BD2036" s="157"/>
    </row>
    <row r="2037" spans="2:56">
      <c r="B2037" s="156"/>
      <c r="C2037" s="200" t="s">
        <v>336</v>
      </c>
      <c r="D2037">
        <f>D2001+1</f>
        <v>52</v>
      </c>
      <c r="G2037" s="200" t="s">
        <v>638</v>
      </c>
      <c r="H2037">
        <f ca="1">LOOKUP(D2040,$C$191:$C$196,$D$191:$D$196)</f>
        <v>0</v>
      </c>
      <c r="K2037" s="200" t="s">
        <v>644</v>
      </c>
      <c r="L2037">
        <f ca="1">L2001-H2042</f>
        <v>-18.624000000000006</v>
      </c>
      <c r="O2037" s="200" t="s">
        <v>404</v>
      </c>
      <c r="P2037">
        <f ca="1">IF(D2039=1,SEAT_w_cushion_FC,IF(D2039=2,SEAT_w_cushion_BC,IF(D2039=3,SEAT_w_cushion_YC,0)))</f>
        <v>0</v>
      </c>
      <c r="S2037" s="200" t="s">
        <v>647</v>
      </c>
      <c r="T2037">
        <f ca="1">LOOKUP(D2040,$C$191:$C$196,$E$191:$E$196)</f>
        <v>0</v>
      </c>
      <c r="W2037" t="s">
        <v>130</v>
      </c>
      <c r="X2037" t="str">
        <f ca="1">OFFSET(Fuselage!$B$275,D2037,5)</f>
        <v>None</v>
      </c>
      <c r="AN2037" s="200" t="s">
        <v>135</v>
      </c>
      <c r="AO2037">
        <f ca="1">MAX(0,H2042-MAX(T2037,T2039,T2041,P2038)-X2038)</f>
        <v>0</v>
      </c>
      <c r="BD2037" s="157"/>
    </row>
    <row r="2038" spans="2:56">
      <c r="B2038" s="156"/>
      <c r="C2038" s="200" t="s">
        <v>200</v>
      </c>
      <c r="D2038" t="str">
        <f ca="1">OFFSET(Fuselage!$B$275,D2037,0)</f>
        <v/>
      </c>
      <c r="G2038" s="200" t="s">
        <v>639</v>
      </c>
      <c r="H2038">
        <f ca="1">LOOKUP(D2041,$C$191:$C$196,$D$191:$D$196)</f>
        <v>0</v>
      </c>
      <c r="O2038" s="200" t="s">
        <v>535</v>
      </c>
      <c r="P2038">
        <f ca="1">IF(D2039=1,SEAT_length_FC,IF(D2039=2,SEAT_length_BC,IF(D2039=3,SEAT_length_YC,0)))</f>
        <v>0</v>
      </c>
      <c r="S2038" s="200" t="s">
        <v>648</v>
      </c>
      <c r="T2038">
        <f ca="1">LOOKUP(D2040,$C$191:$C$196,$F$191:$F$196)</f>
        <v>0</v>
      </c>
      <c r="W2038" t="s">
        <v>131</v>
      </c>
      <c r="X2038">
        <f ca="1">LOOKUP(X2037,$I$191:$I$198,$J$191:$J$198)</f>
        <v>0</v>
      </c>
      <c r="BD2038" s="157"/>
    </row>
    <row r="2039" spans="2:56">
      <c r="B2039" s="156"/>
      <c r="C2039" s="200" t="s">
        <v>337</v>
      </c>
      <c r="D2039" t="str">
        <f ca="1">OFFSET(Fuselage!$B$275,D2037,4)</f>
        <v/>
      </c>
      <c r="G2039" s="200" t="s">
        <v>309</v>
      </c>
      <c r="H2039">
        <f ca="1">LOOKUP(D2042,$C$191:$C$196,$D$191:$D$196)</f>
        <v>0</v>
      </c>
      <c r="K2039" s="200" t="s">
        <v>645</v>
      </c>
      <c r="L2039">
        <f ca="1">IF(D2039=1,FUSELAGE_nseats_left_FC,IF(D2039=2,FUSELAGE_nseats_left_BC,IF(D2039=3,FUSELAGE_nseats_left_YC,0)))</f>
        <v>0</v>
      </c>
      <c r="O2039" s="200" t="s">
        <v>405</v>
      </c>
      <c r="P2039">
        <f ca="1">IF(D2039=1,SEAT_w_armrest_FC,IF(D2039=2,SEAT_w_armrest_BC,IF(D2039=3,SEAT_w_armrest_YC,0)))</f>
        <v>0</v>
      </c>
      <c r="S2039" s="200" t="s">
        <v>652</v>
      </c>
      <c r="T2039">
        <f ca="1">LOOKUP(D2041,$C$191:$C$196,$E$191:$E$196)</f>
        <v>0</v>
      </c>
      <c r="W2039" s="200" t="s">
        <v>393</v>
      </c>
      <c r="X2039" t="b">
        <f ca="1">IF(OFFSET(Fuselage!$B$275,D2037,6)="YES",TRUE(),FALSE())</f>
        <v>0</v>
      </c>
      <c r="BD2039" s="157"/>
    </row>
    <row r="2040" spans="2:56">
      <c r="B2040" s="156"/>
      <c r="C2040" s="200" t="s">
        <v>640</v>
      </c>
      <c r="D2040" t="str">
        <f ca="1">OFFSET(Fuselage!$B$275,D2037,1)</f>
        <v>None</v>
      </c>
      <c r="G2040" s="200" t="s">
        <v>132</v>
      </c>
      <c r="H2040">
        <f ca="1">IF(D2039=1,SEAT_pitch_FC,IF(D2039=2,SEAT_pitch_BC,IF(D2039=3,SEAT_pitch_YC,0)))</f>
        <v>0</v>
      </c>
      <c r="K2040" s="200" t="s">
        <v>646</v>
      </c>
      <c r="L2040">
        <f ca="1">IF(D2039=1,FUSELAGE_nseats_middle_FC,IF(D2039=2,FUSELAGE_nseats_middle_BC,IF(D2039=3,FUSELAGE_nseats_middle_YC,0)))</f>
        <v>0</v>
      </c>
      <c r="S2040" s="200" t="s">
        <v>653</v>
      </c>
      <c r="T2040">
        <f ca="1">LOOKUP(D2041,$C$191:$C$196,$F$191:$F$196)</f>
        <v>0</v>
      </c>
      <c r="BD2040" s="157"/>
    </row>
    <row r="2041" spans="2:56">
      <c r="B2041" s="156"/>
      <c r="C2041" s="200" t="s">
        <v>642</v>
      </c>
      <c r="D2041" t="str">
        <f ca="1">OFFSET(Fuselage!$B$275,D2037,2)</f>
        <v>None</v>
      </c>
      <c r="G2041" s="200" t="s">
        <v>129</v>
      </c>
      <c r="H2041">
        <f ca="1">IF(OR(X2037="Type A",X2037="Type B"),MAX(H2037:H2040)+42*0.0254,IF(X2037="Type C",MAX(H2037:H2040)+X2038,IF(X2037&lt;&gt;"None",24*0.0254,0)))</f>
        <v>0</v>
      </c>
      <c r="K2041" s="200" t="s">
        <v>655</v>
      </c>
      <c r="L2041">
        <f ca="1">IF(D2039=1,FUSELAGE_nseats_right_FC,IF(D2039=2,FUSELAGE_nseats_right_BC,IF(D2039=3,FUSELAGE_nseats_right_YC,0)))</f>
        <v>0</v>
      </c>
      <c r="O2041" s="200" t="s">
        <v>407</v>
      </c>
      <c r="P2041">
        <f ca="1">($C$13-(L2039+L2040+L2041)*(P2037+P2039)+(FUSELAGE_n_aisles-1)*P2039)/FUSELAGE_n_aisles</f>
        <v>2.76</v>
      </c>
      <c r="S2041" s="200" t="s">
        <v>651</v>
      </c>
      <c r="T2041">
        <f ca="1">LOOKUP(D2042,$C$191:$C$196,$E$191:$E$196)</f>
        <v>0</v>
      </c>
      <c r="BD2041" s="157"/>
    </row>
    <row r="2042" spans="2:56">
      <c r="B2042" s="156"/>
      <c r="C2042" s="200" t="s">
        <v>641</v>
      </c>
      <c r="D2042" t="str">
        <f ca="1">OFFSET(Fuselage!$B$275,D2037,3)</f>
        <v>None</v>
      </c>
      <c r="G2042" s="200" t="s">
        <v>643</v>
      </c>
      <c r="H2042">
        <f ca="1">MAX(H2037:H2041)</f>
        <v>0</v>
      </c>
      <c r="S2042" s="200" t="s">
        <v>654</v>
      </c>
      <c r="T2042">
        <f ca="1">LOOKUP(D2042,$C$191:$C$196,$F$191:$F$196)</f>
        <v>0</v>
      </c>
      <c r="BD2042" s="157"/>
    </row>
    <row r="2043" spans="2:56" ht="15" thickBot="1">
      <c r="B2043" s="156"/>
      <c r="BD2043" s="157"/>
    </row>
    <row r="2044" spans="2:56" ht="15" thickBot="1">
      <c r="B2044" s="156"/>
      <c r="C2044" s="141">
        <f ca="1">L2041</f>
        <v>0</v>
      </c>
      <c r="D2044" s="197" t="str">
        <f ca="1">IF($D2039=1,"FC",IF($D2039=2,"BC",IF($D2039=3,"YC","Nothing")))</f>
        <v>Nothing</v>
      </c>
      <c r="E2044" s="198"/>
      <c r="G2044" s="141">
        <f ca="1">L2040</f>
        <v>0</v>
      </c>
      <c r="H2044" s="197" t="str">
        <f ca="1">IF($D2039=1,"FC",IF($D2039=2,"BC",IF($D2039=3,"YC","Nothing")))</f>
        <v>Nothing</v>
      </c>
      <c r="I2044" s="198"/>
      <c r="K2044" s="141">
        <f ca="1" xml:space="preserve"> L2039</f>
        <v>0</v>
      </c>
      <c r="L2044" s="197" t="str">
        <f ca="1">IF($D2039=1,"FC",IF($D2039=2,"BC",IF($D2039=3,"YC","Nothing")))</f>
        <v>Nothing</v>
      </c>
      <c r="M2044" s="198"/>
      <c r="O2044" s="141">
        <f ca="1">IF($D2042&lt;&gt;"None",1,0)</f>
        <v>0</v>
      </c>
      <c r="P2044" s="326" t="s">
        <v>380</v>
      </c>
      <c r="Q2044" s="327"/>
      <c r="S2044" s="141">
        <f ca="1">IF($D2041&lt;&gt;"None",1,0)</f>
        <v>0</v>
      </c>
      <c r="T2044" s="326" t="s">
        <v>381</v>
      </c>
      <c r="U2044" s="327"/>
      <c r="W2044" s="141">
        <f ca="1">IF($D2040&lt;&gt;"None",1,0)</f>
        <v>0</v>
      </c>
      <c r="X2044" s="326" t="s">
        <v>382</v>
      </c>
      <c r="Y2044" s="327"/>
      <c r="AA2044" s="141">
        <f ca="1">IF($D2042="None",1,0)</f>
        <v>1</v>
      </c>
      <c r="AB2044" s="326" t="str">
        <f ca="1">IF(AA2044,D2044,$D2042)</f>
        <v>Nothing</v>
      </c>
      <c r="AC2044" s="327"/>
      <c r="AE2044" s="141">
        <f ca="1">IF($D2041="None",1,0)</f>
        <v>1</v>
      </c>
      <c r="AF2044" s="326" t="str">
        <f ca="1">IF(AE2044,H2044,$D2041)</f>
        <v>Nothing</v>
      </c>
      <c r="AG2044" s="327"/>
      <c r="AI2044" s="141">
        <f ca="1">IF($D2040="None",1,0)</f>
        <v>1</v>
      </c>
      <c r="AJ2044" s="326" t="str">
        <f ca="1">IF(AI2044,L2044,$D2040)</f>
        <v>Nothing</v>
      </c>
      <c r="AK2044" s="327"/>
      <c r="AM2044" s="141">
        <f ca="1">IF($X2037="None",0,1)</f>
        <v>0</v>
      </c>
      <c r="AN2044" s="197" t="s">
        <v>133</v>
      </c>
      <c r="AO2044" s="198"/>
      <c r="AQ2044" s="141">
        <f ca="1">IF($X2037="None",0,1)</f>
        <v>0</v>
      </c>
      <c r="AR2044" s="197" t="s">
        <v>134</v>
      </c>
      <c r="AS2044" s="198"/>
      <c r="BD2044" s="157"/>
    </row>
    <row r="2045" spans="2:56" ht="15" thickBot="1">
      <c r="B2045" s="156"/>
      <c r="C2045" s="136" t="s">
        <v>452</v>
      </c>
      <c r="D2045" s="136" t="s">
        <v>384</v>
      </c>
      <c r="E2045" s="138" t="s">
        <v>385</v>
      </c>
      <c r="G2045" s="136" t="s">
        <v>452</v>
      </c>
      <c r="H2045" s="136" t="s">
        <v>384</v>
      </c>
      <c r="I2045" s="138" t="s">
        <v>385</v>
      </c>
      <c r="K2045" s="193" t="s">
        <v>452</v>
      </c>
      <c r="L2045" s="193" t="s">
        <v>384</v>
      </c>
      <c r="M2045" s="194" t="s">
        <v>385</v>
      </c>
      <c r="O2045" s="136" t="s">
        <v>452</v>
      </c>
      <c r="P2045" s="136" t="s">
        <v>384</v>
      </c>
      <c r="Q2045" s="138" t="s">
        <v>385</v>
      </c>
      <c r="S2045" s="136" t="s">
        <v>452</v>
      </c>
      <c r="T2045" s="136" t="s">
        <v>384</v>
      </c>
      <c r="U2045" s="138" t="s">
        <v>385</v>
      </c>
      <c r="W2045" s="136" t="s">
        <v>452</v>
      </c>
      <c r="X2045" s="136" t="s">
        <v>384</v>
      </c>
      <c r="Y2045" s="138" t="s">
        <v>385</v>
      </c>
      <c r="AA2045" s="136" t="s">
        <v>452</v>
      </c>
      <c r="AB2045" s="136" t="s">
        <v>384</v>
      </c>
      <c r="AC2045" s="138" t="s">
        <v>385</v>
      </c>
      <c r="AE2045" s="136" t="s">
        <v>452</v>
      </c>
      <c r="AF2045" s="136" t="s">
        <v>384</v>
      </c>
      <c r="AG2045" s="138" t="s">
        <v>385</v>
      </c>
      <c r="AI2045" s="193" t="s">
        <v>452</v>
      </c>
      <c r="AJ2045" s="193" t="s">
        <v>384</v>
      </c>
      <c r="AK2045" s="194" t="s">
        <v>385</v>
      </c>
      <c r="AM2045" s="193" t="s">
        <v>452</v>
      </c>
      <c r="AN2045" s="193" t="s">
        <v>384</v>
      </c>
      <c r="AO2045" s="194" t="s">
        <v>385</v>
      </c>
      <c r="AQ2045" s="193" t="s">
        <v>452</v>
      </c>
      <c r="AR2045" s="193" t="s">
        <v>384</v>
      </c>
      <c r="AS2045" s="194" t="s">
        <v>385</v>
      </c>
      <c r="BD2045" s="157"/>
    </row>
    <row r="2046" spans="2:56">
      <c r="B2046" s="156"/>
      <c r="C2046" s="128" t="s">
        <v>396</v>
      </c>
      <c r="D2046" s="158">
        <f ca="1">IF(C2044&gt;=1,L2037,8888)</f>
        <v>8888</v>
      </c>
      <c r="E2046" s="160">
        <f ca="1">IF(C2044&gt;=1,1/2*($C$13-P2037-2*P2039)+1/2*P2037,8888)</f>
        <v>8888</v>
      </c>
      <c r="G2046" s="128" t="s">
        <v>396</v>
      </c>
      <c r="H2046" s="158">
        <f ca="1">IF(G2044&gt;=1,L2037,8888)</f>
        <v>8888</v>
      </c>
      <c r="I2046" s="160">
        <f ca="1">IF(G2044&gt;=1,E2057-P2041,8888)</f>
        <v>8888</v>
      </c>
      <c r="K2046" s="128" t="s">
        <v>396</v>
      </c>
      <c r="L2046" s="158">
        <f ca="1">IF(K2044&gt;=1,L2037,8888)</f>
        <v>8888</v>
      </c>
      <c r="M2046" s="160">
        <f ca="1">IF(K2044&gt;=1,IF(FUSELAGE_n_aisles=1,E2057-P2041,I2069-P2041),8888)</f>
        <v>8888</v>
      </c>
      <c r="O2046" s="128" t="s">
        <v>396</v>
      </c>
      <c r="P2046" s="158">
        <f ca="1">IF(O2044,$L2037,8888)</f>
        <v>8888</v>
      </c>
      <c r="Q2046" s="209">
        <f ca="1">IF(O2044,FUSELAGE_y_position_of_left_seat_YC-(FUSELAGE_nseats_right_YC-1)*(SEAT_w_cushion_YC+SEAT_w_armrest_YC)/2+T2042/2,8888)</f>
        <v>8888</v>
      </c>
      <c r="S2046" s="128" t="s">
        <v>396</v>
      </c>
      <c r="T2046" s="158">
        <f ca="1">IF(S2044,$L2037,8888)</f>
        <v>8888</v>
      </c>
      <c r="U2046" s="160">
        <f ca="1">IF(S2044,T2040/2,8888)</f>
        <v>8888</v>
      </c>
      <c r="W2046" s="128" t="s">
        <v>396</v>
      </c>
      <c r="X2046" s="158">
        <f ca="1">IF(W2044,$L2037,8888)</f>
        <v>8888</v>
      </c>
      <c r="Y2046" s="160">
        <f ca="1">IF(W2044,-FUSELAGE_y_position_of_left_seat_YC+(FUSELAGE_nseats_left_YC-1)*(SEAT_w_cushion_YC+SEAT_w_armrest_YC)/2-T2038/2,8888)</f>
        <v>8888</v>
      </c>
      <c r="AA2046" s="128" t="s">
        <v>396</v>
      </c>
      <c r="AB2046" s="158">
        <f ca="1">IF($AA2044,D2046,P2046)</f>
        <v>8888</v>
      </c>
      <c r="AC2046" s="174">
        <f ca="1">IF($AA2044,E2046,Q2046)</f>
        <v>8888</v>
      </c>
      <c r="AE2046" s="128" t="s">
        <v>396</v>
      </c>
      <c r="AF2046" s="158">
        <f ca="1">IF($AE2044,H2046,T2046)</f>
        <v>8888</v>
      </c>
      <c r="AG2046" s="174">
        <f ca="1">IF($AE2044,I2046,U2046)</f>
        <v>8888</v>
      </c>
      <c r="AI2046" s="128" t="s">
        <v>396</v>
      </c>
      <c r="AJ2046" s="158">
        <f ca="1">IF($AI2044,L2046,X2046)</f>
        <v>8888</v>
      </c>
      <c r="AK2046" s="174">
        <f ca="1">IF($AI2044,M2046,Y2046)</f>
        <v>8888</v>
      </c>
      <c r="AM2046" s="128" t="s">
        <v>396</v>
      </c>
      <c r="AN2046" s="158">
        <f ca="1">AN2015</f>
        <v>-18.624000000000006</v>
      </c>
      <c r="AO2046" s="174">
        <f ca="1">IF(AN2046&gt;-Fuselage!$D$366,(FUSELAGE_a_ellipse)*SQRT(1-((AN2046+Fuselage!$D$366)/(Fuselage!$K$364-FUSELAGE_t_fuselage))^2),IF(AN2046&gt;$L$2505+Fuselage!$K$370,FUSELAGE_a_ellipse,(FUSELAGE_a_ellipse+FUSELAGE_t_fuselage-FUSELAGE_d_fo/4)/Fuselage!$K$368*(AN2046-$L$2505-Fuselage!$K$370)+FUSELAGE_a_ellipse))</f>
        <v>1.4960570012328709</v>
      </c>
      <c r="AQ2046" s="128" t="s">
        <v>396</v>
      </c>
      <c r="AR2046" s="158">
        <f t="shared" ref="AR2046:AR2051" ca="1" si="168">AN2046</f>
        <v>-18.624000000000006</v>
      </c>
      <c r="AS2046" s="174">
        <f t="shared" ref="AS2046:AS2051" ca="1" si="169">-AO2046</f>
        <v>-1.4960570012328709</v>
      </c>
      <c r="BD2046" s="157"/>
    </row>
    <row r="2047" spans="2:56">
      <c r="B2047" s="156"/>
      <c r="C2047" s="128" t="s">
        <v>213</v>
      </c>
      <c r="D2047" s="128">
        <f ca="1">IF(X2039,D2046+P2038/4,D2046+P2038)</f>
        <v>8888</v>
      </c>
      <c r="E2047" s="139">
        <f ca="1">E2046</f>
        <v>8888</v>
      </c>
      <c r="G2047" s="128" t="s">
        <v>213</v>
      </c>
      <c r="H2047" s="128">
        <f ca="1">H2046+P2038</f>
        <v>8888</v>
      </c>
      <c r="I2047" s="139">
        <f ca="1">I2046</f>
        <v>8888</v>
      </c>
      <c r="K2047" s="128" t="s">
        <v>213</v>
      </c>
      <c r="L2047" s="128">
        <f ca="1">IF(X2039,IF(K2044=1,L2046+P2038/4,L2046+P2038),L2046+P2038)</f>
        <v>8888</v>
      </c>
      <c r="M2047" s="139">
        <f ca="1">M2046</f>
        <v>8888</v>
      </c>
      <c r="O2047" s="128" t="s">
        <v>213</v>
      </c>
      <c r="P2047" s="128">
        <f ca="1">P2046+$T2041</f>
        <v>8888</v>
      </c>
      <c r="Q2047" s="139">
        <f ca="1">Q2046</f>
        <v>8888</v>
      </c>
      <c r="S2047" s="128" t="s">
        <v>213</v>
      </c>
      <c r="T2047" s="128">
        <f ca="1">T2046+$T2039</f>
        <v>8888</v>
      </c>
      <c r="U2047" s="139">
        <f ca="1">U2046</f>
        <v>8888</v>
      </c>
      <c r="W2047" s="128" t="s">
        <v>213</v>
      </c>
      <c r="X2047" s="128">
        <f ca="1">X2046+$T2037</f>
        <v>8888</v>
      </c>
      <c r="Y2047" s="139">
        <f ca="1">Y2046</f>
        <v>8888</v>
      </c>
      <c r="AA2047" s="143" t="s">
        <v>213</v>
      </c>
      <c r="AB2047" s="128">
        <f ca="1">IF($AA2044,D2047,P2047)</f>
        <v>8888</v>
      </c>
      <c r="AC2047" s="129">
        <f ca="1">IF($AA2044,E2047,Q2047)</f>
        <v>8888</v>
      </c>
      <c r="AE2047" s="128" t="s">
        <v>213</v>
      </c>
      <c r="AF2047" s="128">
        <f ca="1">IF($AE2044,H2047,T2047)</f>
        <v>8888</v>
      </c>
      <c r="AG2047" s="129">
        <f ca="1">IF($AE2044,I2047,U2047)</f>
        <v>8888</v>
      </c>
      <c r="AI2047" s="128" t="s">
        <v>213</v>
      </c>
      <c r="AJ2047" s="128">
        <f ca="1">IF($AI2044,L2047,X2047)</f>
        <v>8888</v>
      </c>
      <c r="AK2047" s="129">
        <f ca="1">IF($AI2044,M2047,Y2047)</f>
        <v>8888</v>
      </c>
      <c r="AM2047" s="128" t="s">
        <v>213</v>
      </c>
      <c r="AN2047" s="128">
        <f ca="1">AN2046-AO2037/2</f>
        <v>-18.624000000000006</v>
      </c>
      <c r="AO2047" s="129">
        <f ca="1">IF(AN2047&gt;-Fuselage!$D$366,(FUSELAGE_a_ellipse)*SQRT(1-((AN2047+Fuselage!$D$366)/(Fuselage!$K$364-FUSELAGE_t_fuselage))^2),IF(AN2047&gt;$L$2505+Fuselage!$K$370,FUSELAGE_a_ellipse,(FUSELAGE_a_ellipse+FUSELAGE_t_fuselage-FUSELAGE_d_fo/4)/Fuselage!$K$368*(AN2047-$L$2505-Fuselage!$K$370)+FUSELAGE_a_ellipse))</f>
        <v>1.4960570012328709</v>
      </c>
      <c r="AQ2047" s="128" t="s">
        <v>213</v>
      </c>
      <c r="AR2047" s="128">
        <f t="shared" ca="1" si="168"/>
        <v>-18.624000000000006</v>
      </c>
      <c r="AS2047" s="129">
        <f t="shared" ca="1" si="169"/>
        <v>-1.4960570012328709</v>
      </c>
      <c r="BD2047" s="157"/>
    </row>
    <row r="2048" spans="2:56">
      <c r="B2048" s="156"/>
      <c r="C2048" s="128" t="s">
        <v>286</v>
      </c>
      <c r="D2048" s="128">
        <f ca="1">D2047</f>
        <v>8888</v>
      </c>
      <c r="E2048" s="139">
        <f ca="1">E2047-P2037</f>
        <v>8888</v>
      </c>
      <c r="G2048" s="128" t="s">
        <v>286</v>
      </c>
      <c r="H2048" s="128">
        <f ca="1">H2047</f>
        <v>8888</v>
      </c>
      <c r="I2048" s="139">
        <f ca="1">I2047-P2037</f>
        <v>8888</v>
      </c>
      <c r="K2048" s="128" t="s">
        <v>286</v>
      </c>
      <c r="L2048" s="128">
        <f ca="1">L2047</f>
        <v>8888</v>
      </c>
      <c r="M2048" s="139">
        <f ca="1">M2047-P2037</f>
        <v>8888</v>
      </c>
      <c r="O2048" s="128" t="s">
        <v>286</v>
      </c>
      <c r="P2048" s="128">
        <f ca="1">P2047</f>
        <v>8888</v>
      </c>
      <c r="Q2048" s="139">
        <f ca="1">Q2047-$T2042</f>
        <v>8888</v>
      </c>
      <c r="S2048" s="128" t="s">
        <v>286</v>
      </c>
      <c r="T2048" s="128">
        <f ca="1">T2047</f>
        <v>8888</v>
      </c>
      <c r="U2048" s="139">
        <f ca="1">U2047-$T2040</f>
        <v>8888</v>
      </c>
      <c r="W2048" s="128" t="s">
        <v>286</v>
      </c>
      <c r="X2048" s="128">
        <f ca="1">X2047</f>
        <v>8888</v>
      </c>
      <c r="Y2048" s="139">
        <f ca="1">Y2047+$T2038</f>
        <v>8888</v>
      </c>
      <c r="AA2048" s="143" t="s">
        <v>286</v>
      </c>
      <c r="AB2048" s="128">
        <f ca="1">IF($AA2044,D2048,P2048)</f>
        <v>8888</v>
      </c>
      <c r="AC2048" s="129">
        <f ca="1">IF($AA2044,E2048,Q2048)</f>
        <v>8888</v>
      </c>
      <c r="AE2048" s="128" t="s">
        <v>286</v>
      </c>
      <c r="AF2048" s="128">
        <f ca="1">IF($AE2044,H2048,T2048)</f>
        <v>8888</v>
      </c>
      <c r="AG2048" s="129">
        <f ca="1">IF($AE2044,I2048,U2048)</f>
        <v>8888</v>
      </c>
      <c r="AI2048" s="128" t="s">
        <v>286</v>
      </c>
      <c r="AJ2048" s="128">
        <f ca="1">IF($AI2044,L2048,X2048)</f>
        <v>8888</v>
      </c>
      <c r="AK2048" s="129">
        <f ca="1">IF($AI2044,M2048,Y2048)</f>
        <v>8888</v>
      </c>
      <c r="AM2048" s="128" t="s">
        <v>286</v>
      </c>
      <c r="AN2048" s="128">
        <f ca="1">AN2047</f>
        <v>-18.624000000000006</v>
      </c>
      <c r="AO2048" s="129">
        <f ca="1">IF(AN2048&gt;-Fuselage!$D$366,IF(AM2044,(FUSELAGE_a_ellipse+FUSELAGE_t_fuselage)*SQRT(1-((AN2048+Fuselage!$D$366)/Fuselage!$K$364)^2),(FUSELAGE_a_ellipse)*SQRT(1-((AN2048+Fuselage!$D$366)/Fuselage!$K$364)^2)),IF(AN2048&gt;$L$2505+Fuselage!$K$370,(IF(AM2044,FUSELAGE_a_ellipse+FUSELAGE_t_fuselage,FUSELAGE_a_ellipse)),IF(AM2044,(FUSELAGE_a_ellipse+FUSELAGE_t_fuselage-FUSELAGE_d_fo/4)/Fuselage!$K$368*(AN2048-$L$2505-Fuselage!$K$370)+FUSELAGE_a_ellipse+FUSELAGE_t_fuselage,(FUSELAGE_a_ellipse+FUSELAGE_t_fuselage-FUSELAGE_d_fo/4)/Fuselage!$K$368*(AN2048-$L$2505-Fuselage!$K$370)+FUSELAGE_a_ellipse)))</f>
        <v>1.4960570012328709</v>
      </c>
      <c r="AQ2048" s="128" t="s">
        <v>286</v>
      </c>
      <c r="AR2048" s="128">
        <f t="shared" ca="1" si="168"/>
        <v>-18.624000000000006</v>
      </c>
      <c r="AS2048" s="129">
        <f t="shared" ca="1" si="169"/>
        <v>-1.4960570012328709</v>
      </c>
      <c r="BD2048" s="157"/>
    </row>
    <row r="2049" spans="2:56">
      <c r="B2049" s="156"/>
      <c r="C2049" s="188" t="s">
        <v>522</v>
      </c>
      <c r="D2049" s="188">
        <f ca="1">D2046</f>
        <v>8888</v>
      </c>
      <c r="E2049" s="189">
        <f ca="1">E2048</f>
        <v>8888</v>
      </c>
      <c r="F2049" s="157"/>
      <c r="G2049" s="2" t="s">
        <v>522</v>
      </c>
      <c r="H2049" s="128">
        <f ca="1">H2046</f>
        <v>8888</v>
      </c>
      <c r="I2049" s="139">
        <f ca="1">I2048</f>
        <v>8888</v>
      </c>
      <c r="K2049" s="128" t="s">
        <v>522</v>
      </c>
      <c r="L2049" s="128">
        <f ca="1">L2046</f>
        <v>8888</v>
      </c>
      <c r="M2049" s="139">
        <f ca="1">M2048</f>
        <v>8888</v>
      </c>
      <c r="O2049" s="188" t="s">
        <v>522</v>
      </c>
      <c r="P2049" s="188">
        <f ca="1">P2046</f>
        <v>8888</v>
      </c>
      <c r="Q2049" s="189">
        <f ca="1">Q2048</f>
        <v>8888</v>
      </c>
      <c r="S2049" s="188" t="s">
        <v>522</v>
      </c>
      <c r="T2049" s="188">
        <f ca="1">T2046</f>
        <v>8888</v>
      </c>
      <c r="U2049" s="189">
        <f ca="1">U2048</f>
        <v>8888</v>
      </c>
      <c r="W2049" s="188" t="s">
        <v>522</v>
      </c>
      <c r="X2049" s="188">
        <f ca="1">X2046</f>
        <v>8888</v>
      </c>
      <c r="Y2049" s="189">
        <f ca="1">Y2048</f>
        <v>8888</v>
      </c>
      <c r="AA2049" s="195" t="s">
        <v>522</v>
      </c>
      <c r="AB2049" s="128">
        <f ca="1">IF($AA2044,D2049,P2049)</f>
        <v>8888</v>
      </c>
      <c r="AC2049" s="129">
        <f ca="1">IF($AA2044,E2049,Q2049)</f>
        <v>8888</v>
      </c>
      <c r="AD2049" s="157"/>
      <c r="AE2049" s="2" t="s">
        <v>522</v>
      </c>
      <c r="AF2049" s="188">
        <f ca="1">IF($AE2044,H2049,T2049)</f>
        <v>8888</v>
      </c>
      <c r="AG2049" s="196">
        <f ca="1">IF($AE2044,I2049,U2049)</f>
        <v>8888</v>
      </c>
      <c r="AI2049" s="128" t="s">
        <v>522</v>
      </c>
      <c r="AJ2049" s="188">
        <f ca="1">IF($AI2044,L2049,X2049)</f>
        <v>8888</v>
      </c>
      <c r="AK2049" s="196">
        <f ca="1">IF($AI2044,M2049,Y2049)</f>
        <v>8888</v>
      </c>
      <c r="AM2049" s="128" t="s">
        <v>522</v>
      </c>
      <c r="AN2049" s="128">
        <f ca="1">AN2048-X2038</f>
        <v>-18.624000000000006</v>
      </c>
      <c r="AO2049" s="129">
        <f ca="1">IF(AN2049&gt;-Fuselage!$D$366,IF(AM2044,(FUSELAGE_a_ellipse+FUSELAGE_t_fuselage)*SQRT(1-((AN2049+Fuselage!$D$366)/Fuselage!$K$364)^2),(FUSELAGE_a_ellipse)*SQRT(1-((AN2049+Fuselage!$D$366)/Fuselage!$K$364)^2)),IF(AN2049&gt;$L$2505+Fuselage!$K$370,(IF(AM2044,FUSELAGE_a_ellipse+FUSELAGE_t_fuselage,FUSELAGE_a_ellipse)),IF(AM2044,(FUSELAGE_a_ellipse+FUSELAGE_t_fuselage-FUSELAGE_d_fo/4)/Fuselage!$K$368*(AN2049-$L$2505-Fuselage!$K$370)+FUSELAGE_a_ellipse+FUSELAGE_t_fuselage,(FUSELAGE_a_ellipse+FUSELAGE_t_fuselage-FUSELAGE_d_fo/4)/Fuselage!$K$368*(AN2049-$L$2505-Fuselage!$K$370)+FUSELAGE_a_ellipse)))</f>
        <v>1.4960570012328709</v>
      </c>
      <c r="AQ2049" s="128" t="s">
        <v>522</v>
      </c>
      <c r="AR2049" s="128">
        <f t="shared" ca="1" si="168"/>
        <v>-18.624000000000006</v>
      </c>
      <c r="AS2049" s="129">
        <f t="shared" ca="1" si="169"/>
        <v>-1.4960570012328709</v>
      </c>
      <c r="BD2049" s="157"/>
    </row>
    <row r="2050" spans="2:56" ht="15" thickBot="1">
      <c r="B2050" s="156"/>
      <c r="C2050" s="128" t="s">
        <v>49</v>
      </c>
      <c r="D2050" s="128">
        <f ca="1">IF(C2044&gt;=2,D2046,D2049)</f>
        <v>8888</v>
      </c>
      <c r="E2050" s="139">
        <f ca="1">IF(C2044&gt;=2,E2049-P2039,E2049)</f>
        <v>8888</v>
      </c>
      <c r="F2050" s="157"/>
      <c r="G2050" s="192" t="s">
        <v>49</v>
      </c>
      <c r="H2050" s="190">
        <f ca="1">IF(G2044&gt;=2,H2046,H2049)</f>
        <v>8888</v>
      </c>
      <c r="I2050" s="191">
        <f ca="1">IF(G2044&gt;=2,I2049-P2039,I2049)</f>
        <v>8888</v>
      </c>
      <c r="K2050" s="190" t="s">
        <v>49</v>
      </c>
      <c r="L2050" s="190">
        <f ca="1">IF(K2044&gt;=2,L2046,L2049)</f>
        <v>8888</v>
      </c>
      <c r="M2050" s="191">
        <f ca="1">IF(K2044&gt;=2,M2049-P2039,M2049)</f>
        <v>8888</v>
      </c>
      <c r="O2050" s="130" t="s">
        <v>396</v>
      </c>
      <c r="P2050" s="130">
        <f ca="1">P2046</f>
        <v>8888</v>
      </c>
      <c r="Q2050" s="140">
        <f ca="1">Q2046</f>
        <v>8888</v>
      </c>
      <c r="S2050" s="130" t="s">
        <v>396</v>
      </c>
      <c r="T2050" s="130">
        <f ca="1">T2046</f>
        <v>8888</v>
      </c>
      <c r="U2050" s="140">
        <f ca="1">U2046</f>
        <v>8888</v>
      </c>
      <c r="W2050" s="130" t="s">
        <v>396</v>
      </c>
      <c r="X2050" s="130">
        <f ca="1">X2046</f>
        <v>8888</v>
      </c>
      <c r="Y2050" s="140">
        <f ca="1">Y2046</f>
        <v>8888</v>
      </c>
      <c r="AA2050" s="143" t="s">
        <v>49</v>
      </c>
      <c r="AB2050" s="128">
        <f ca="1">IF($AA2044,D2050,P2050)</f>
        <v>8888</v>
      </c>
      <c r="AC2050" s="129">
        <f ca="1">IF($AA2044,E2050,Q2050)</f>
        <v>8888</v>
      </c>
      <c r="AD2050" s="157"/>
      <c r="AE2050" s="192" t="s">
        <v>49</v>
      </c>
      <c r="AF2050" s="128">
        <f ca="1">IF($AE2044,H2050,T2050)</f>
        <v>8888</v>
      </c>
      <c r="AG2050" s="129">
        <f ca="1">IF($AE2044,I2050,U2050)</f>
        <v>8888</v>
      </c>
      <c r="AI2050" s="190" t="s">
        <v>49</v>
      </c>
      <c r="AJ2050" s="128">
        <f ca="1">IF($AI2044,L2050,X2050)</f>
        <v>8888</v>
      </c>
      <c r="AK2050" s="129">
        <f ca="1">IF($AI2044,M2050,Y2050)</f>
        <v>8888</v>
      </c>
      <c r="AM2050" s="128" t="s">
        <v>49</v>
      </c>
      <c r="AN2050" s="128">
        <f ca="1">AN2049</f>
        <v>-18.624000000000006</v>
      </c>
      <c r="AO2050" s="129">
        <f ca="1">IF(AN2050&gt;-Fuselage!$D$366,(FUSELAGE_a_ellipse)*SQRT(1-((AN2050+Fuselage!$D$366)/(Fuselage!$K$364-FUSELAGE_t_fuselage))^2),IF(AN2050&gt;$L$2505+Fuselage!$K$370,FUSELAGE_a_ellipse,(FUSELAGE_a_ellipse+FUSELAGE_t_fuselage-FUSELAGE_d_fo/4)/Fuselage!$K$368*(AN2050-$L$2505-Fuselage!$K$370)+FUSELAGE_a_ellipse))</f>
        <v>1.4960570012328709</v>
      </c>
      <c r="AQ2050" s="128" t="s">
        <v>49</v>
      </c>
      <c r="AR2050" s="128">
        <f t="shared" ca="1" si="168"/>
        <v>-18.624000000000006</v>
      </c>
      <c r="AS2050" s="129">
        <f t="shared" ca="1" si="169"/>
        <v>-1.4960570012328709</v>
      </c>
      <c r="BD2050" s="157"/>
    </row>
    <row r="2051" spans="2:56">
      <c r="B2051" s="156"/>
      <c r="C2051" s="128" t="s">
        <v>453</v>
      </c>
      <c r="D2051" s="128">
        <f ca="1">IF(C2044&gt;=2,D2046+P2038,D2049)</f>
        <v>8888</v>
      </c>
      <c r="E2051" s="139">
        <f ca="1">E2050</f>
        <v>8888</v>
      </c>
      <c r="F2051" s="157"/>
      <c r="G2051" s="2" t="s">
        <v>453</v>
      </c>
      <c r="H2051" s="128">
        <f ca="1">IF(G2044&gt;=2,H2047,H2049)</f>
        <v>8888</v>
      </c>
      <c r="I2051" s="139">
        <f ca="1">IF(G2044&gt;=2,I2050,I2049)</f>
        <v>8888</v>
      </c>
      <c r="K2051" s="128" t="s">
        <v>453</v>
      </c>
      <c r="L2051" s="128">
        <f ca="1">IF(K2044&gt;=2,IF(X2039,IF(K2044=2,L2046+P2038/4,L2046+P2038),L2046+P2038),L2049)</f>
        <v>8888</v>
      </c>
      <c r="M2051" s="139">
        <f ca="1">IF(K2044&gt;=2,M2050,M2049)</f>
        <v>8888</v>
      </c>
      <c r="AA2051" s="143" t="s">
        <v>453</v>
      </c>
      <c r="AB2051" s="128">
        <f ca="1">IF($AA2044,D2051,AB2050)</f>
        <v>8888</v>
      </c>
      <c r="AC2051" s="129">
        <f ca="1">IF($AA2044,E2051,AC2050)</f>
        <v>8888</v>
      </c>
      <c r="AD2051" s="157"/>
      <c r="AE2051" s="2" t="s">
        <v>453</v>
      </c>
      <c r="AF2051" s="128">
        <f ca="1">IF($AE2044,H2051,AF2050)</f>
        <v>8888</v>
      </c>
      <c r="AG2051" s="129">
        <f ca="1">IF($AE2044,I2051,AG2050)</f>
        <v>8888</v>
      </c>
      <c r="AI2051" s="128" t="s">
        <v>453</v>
      </c>
      <c r="AJ2051" s="128">
        <f ca="1">IF($AI2044,L2051,AJ2050)</f>
        <v>8888</v>
      </c>
      <c r="AK2051" s="129">
        <f ca="1">IF($AI2044,M2051,AK2050)</f>
        <v>8888</v>
      </c>
      <c r="AM2051" s="128" t="s">
        <v>453</v>
      </c>
      <c r="AN2051" s="128">
        <f ca="1">L2037</f>
        <v>-18.624000000000006</v>
      </c>
      <c r="AO2051" s="129">
        <f ca="1">IF(AN2051&gt;-Fuselage!$D$366,(FUSELAGE_a_ellipse)*SQRT(1-((AN2051+Fuselage!$D$366)/(Fuselage!$K$364-FUSELAGE_t_fuselage))^2),IF(AN2051&gt;$L$2505+Fuselage!$K$370,FUSELAGE_a_ellipse,(FUSELAGE_a_ellipse+FUSELAGE_t_fuselage-FUSELAGE_d_fo/4)/Fuselage!$K$368*(AN2051-$L$2505-Fuselage!$K$370)+FUSELAGE_a_ellipse))</f>
        <v>1.4960570012328709</v>
      </c>
      <c r="AQ2051" s="128" t="s">
        <v>453</v>
      </c>
      <c r="AR2051" s="128">
        <f t="shared" ca="1" si="168"/>
        <v>-18.624000000000006</v>
      </c>
      <c r="AS2051" s="129">
        <f t="shared" ca="1" si="169"/>
        <v>-1.4960570012328709</v>
      </c>
      <c r="BD2051" s="157"/>
    </row>
    <row r="2052" spans="2:56">
      <c r="B2052" s="156"/>
      <c r="C2052" s="128" t="s">
        <v>394</v>
      </c>
      <c r="D2052" s="128">
        <f ca="1">IF(C2044&gt;=2,D2051,D2049)</f>
        <v>8888</v>
      </c>
      <c r="E2052" s="139">
        <f ca="1">IF(C2044&gt;=2,E2050-P2037,E2049)</f>
        <v>8888</v>
      </c>
      <c r="F2052" s="157"/>
      <c r="G2052" s="2" t="s">
        <v>394</v>
      </c>
      <c r="H2052" s="128">
        <f ca="1">IF(G2044&gt;=2,H2047,H2049)</f>
        <v>8888</v>
      </c>
      <c r="I2052" s="139">
        <f ca="1">IF(G2044&gt;=2,I2051-P2037,I2049)</f>
        <v>8888</v>
      </c>
      <c r="K2052" s="128" t="s">
        <v>394</v>
      </c>
      <c r="L2052" s="128">
        <f ca="1">L2051</f>
        <v>8888</v>
      </c>
      <c r="M2052" s="139">
        <f ca="1">IF(K2044&gt;=2,M2051-P2037,M2049)</f>
        <v>8888</v>
      </c>
      <c r="AA2052" s="143" t="s">
        <v>394</v>
      </c>
      <c r="AB2052" s="128">
        <f ca="1">IF($AA2044,D2052,AB2050)</f>
        <v>8888</v>
      </c>
      <c r="AC2052" s="129">
        <f ca="1">IF($AA2044,E2052,AC2050)</f>
        <v>8888</v>
      </c>
      <c r="AD2052" s="157"/>
      <c r="AE2052" s="2" t="s">
        <v>394</v>
      </c>
      <c r="AF2052" s="128">
        <f ca="1">IF($AE2044,H2052,AF2050)</f>
        <v>8888</v>
      </c>
      <c r="AG2052" s="129">
        <f ca="1">IF($AE2044,I2052,AG2050)</f>
        <v>8888</v>
      </c>
      <c r="AI2052" s="128" t="s">
        <v>394</v>
      </c>
      <c r="AJ2052" s="128">
        <f ca="1">IF($AI2044,L2052,AJ2050)</f>
        <v>8888</v>
      </c>
      <c r="AK2052" s="129">
        <f ca="1">IF($AI2044,M2052,AK2050)</f>
        <v>8888</v>
      </c>
      <c r="BD2052" s="157"/>
    </row>
    <row r="2053" spans="2:56">
      <c r="B2053" s="156"/>
      <c r="C2053" s="188" t="s">
        <v>454</v>
      </c>
      <c r="D2053" s="188">
        <f ca="1">IF(C2044&gt;=2,D2046,D2049)</f>
        <v>8888</v>
      </c>
      <c r="E2053" s="189">
        <f ca="1">E2052</f>
        <v>8888</v>
      </c>
      <c r="F2053" s="157"/>
      <c r="G2053" s="115" t="s">
        <v>454</v>
      </c>
      <c r="H2053" s="188">
        <f ca="1">IF(G2044&gt;=2,H2046,H2049)</f>
        <v>8888</v>
      </c>
      <c r="I2053" s="189">
        <f ca="1">IF(G2044&gt;=2,I2052,I2049)</f>
        <v>8888</v>
      </c>
      <c r="K2053" s="188" t="s">
        <v>454</v>
      </c>
      <c r="L2053" s="188">
        <f ca="1">IF(K2044&gt;=2,L2046,L2049)</f>
        <v>8888</v>
      </c>
      <c r="M2053" s="189">
        <f ca="1">IF(K2044&gt;=2,M2052,M2049)</f>
        <v>8888</v>
      </c>
      <c r="AA2053" s="195" t="s">
        <v>454</v>
      </c>
      <c r="AB2053" s="128">
        <f ca="1">IF($AA2044,D2053,AB2050)</f>
        <v>8888</v>
      </c>
      <c r="AC2053" s="129">
        <f ca="1">IF($AA2044,E2053,AC2050)</f>
        <v>8888</v>
      </c>
      <c r="AD2053" s="157"/>
      <c r="AE2053" s="115" t="s">
        <v>454</v>
      </c>
      <c r="AF2053" s="188">
        <f ca="1">IF($AE2044,H2053,AF2050)</f>
        <v>8888</v>
      </c>
      <c r="AG2053" s="196">
        <f ca="1">IF($AE2044,I2053,AG2050)</f>
        <v>8888</v>
      </c>
      <c r="AI2053" s="188" t="s">
        <v>454</v>
      </c>
      <c r="AJ2053" s="188">
        <f ca="1">IF($AI2044,L2053,AJ2050)</f>
        <v>8888</v>
      </c>
      <c r="AK2053" s="196">
        <f ca="1">IF($AI2044,M2053,AK2050)</f>
        <v>8888</v>
      </c>
      <c r="BD2053" s="157"/>
    </row>
    <row r="2054" spans="2:56">
      <c r="B2054" s="156"/>
      <c r="C2054" s="128" t="s">
        <v>507</v>
      </c>
      <c r="D2054" s="128">
        <f ca="1">IF(C2044&gt;=3,D2046,D2053)</f>
        <v>8888</v>
      </c>
      <c r="E2054" s="139">
        <f ca="1">IF(C2044&gt;=3,E2053-P2039,E2053)</f>
        <v>8888</v>
      </c>
      <c r="F2054" s="157"/>
      <c r="G2054" s="2" t="s">
        <v>507</v>
      </c>
      <c r="H2054" s="128">
        <f ca="1">IF(G2044&gt;=3,H2046,H2053)</f>
        <v>8888</v>
      </c>
      <c r="I2054" s="139">
        <f ca="1">IF(G2044&gt;=3,I2053-P2039,I2053)</f>
        <v>8888</v>
      </c>
      <c r="K2054" s="128" t="s">
        <v>507</v>
      </c>
      <c r="L2054" s="128">
        <f ca="1">IF(K2044&gt;=3,L2046,L2053)</f>
        <v>8888</v>
      </c>
      <c r="M2054" s="139">
        <f ca="1">IF(K2044&gt;=3,M2053-P2039,M2053)</f>
        <v>8888</v>
      </c>
      <c r="AA2054" s="143" t="s">
        <v>507</v>
      </c>
      <c r="AB2054" s="128">
        <f ca="1">IF($AA2044,D2054,AB2050)</f>
        <v>8888</v>
      </c>
      <c r="AC2054" s="129">
        <f ca="1">IF($AA2044,E2054,AC2050)</f>
        <v>8888</v>
      </c>
      <c r="AD2054" s="157"/>
      <c r="AE2054" s="2" t="s">
        <v>507</v>
      </c>
      <c r="AF2054" s="128">
        <f ca="1">IF($AE2044,H2054,AF2050)</f>
        <v>8888</v>
      </c>
      <c r="AG2054" s="129">
        <f ca="1">IF($AE2044,I2054,AG2050)</f>
        <v>8888</v>
      </c>
      <c r="AI2054" s="128" t="s">
        <v>507</v>
      </c>
      <c r="AJ2054" s="128">
        <f ca="1">IF($AI2044,L2054,AJ2050)</f>
        <v>8888</v>
      </c>
      <c r="AK2054" s="129">
        <f ca="1">IF($AI2044,M2054,AK2050)</f>
        <v>8888</v>
      </c>
      <c r="BD2054" s="157"/>
    </row>
    <row r="2055" spans="2:56">
      <c r="B2055" s="156"/>
      <c r="C2055" s="128" t="s">
        <v>455</v>
      </c>
      <c r="D2055" s="128">
        <f ca="1">IF(C2044&gt;=3,D2051,D2053)</f>
        <v>8888</v>
      </c>
      <c r="E2055" s="139">
        <f ca="1">E2054</f>
        <v>8888</v>
      </c>
      <c r="F2055" s="157"/>
      <c r="G2055" s="2" t="s">
        <v>455</v>
      </c>
      <c r="H2055" s="128">
        <f ca="1">IF(G2044&gt;=3,H2047,H2053)</f>
        <v>8888</v>
      </c>
      <c r="I2055" s="139">
        <f ca="1">IF(G2044&gt;=3,I2054,I2053)</f>
        <v>8888</v>
      </c>
      <c r="K2055" s="128" t="s">
        <v>455</v>
      </c>
      <c r="L2055" s="128">
        <f ca="1">IF(K2044&gt;=3,IF(X2039,IF(K2044=3,L2046+P2038/4,L2046+P2038),L2046+P2038),L2049)</f>
        <v>8888</v>
      </c>
      <c r="M2055" s="139">
        <f ca="1">IF(K2044&gt;=3,M2054,M2053)</f>
        <v>8888</v>
      </c>
      <c r="AA2055" s="143" t="s">
        <v>455</v>
      </c>
      <c r="AB2055" s="128">
        <f ca="1">IF($AA2044,D2055,AB2050)</f>
        <v>8888</v>
      </c>
      <c r="AC2055" s="129">
        <f ca="1">IF($AA2044,E2055,AC2050)</f>
        <v>8888</v>
      </c>
      <c r="AD2055" s="157"/>
      <c r="AE2055" s="2" t="s">
        <v>455</v>
      </c>
      <c r="AF2055" s="128">
        <f ca="1">IF($AE2044,H2055,AF2050)</f>
        <v>8888</v>
      </c>
      <c r="AG2055" s="129">
        <f ca="1">IF($AE2044,I2055,AG2050)</f>
        <v>8888</v>
      </c>
      <c r="AI2055" s="128" t="s">
        <v>455</v>
      </c>
      <c r="AJ2055" s="128">
        <f ca="1">IF($AI2044,L2055,AJ2050)</f>
        <v>8888</v>
      </c>
      <c r="AK2055" s="129">
        <f ca="1">IF($AI2044,M2055,AK2050)</f>
        <v>8888</v>
      </c>
      <c r="AL2055" s="156"/>
      <c r="BD2055" s="157"/>
    </row>
    <row r="2056" spans="2:56">
      <c r="B2056" s="156"/>
      <c r="C2056" s="128" t="s">
        <v>311</v>
      </c>
      <c r="D2056" s="128">
        <f ca="1">IF(C2044&gt;=3,D2051,D2053)</f>
        <v>8888</v>
      </c>
      <c r="E2056" s="139">
        <f ca="1">IF(C2044&gt;=3,E2055-P2037,E2053)</f>
        <v>8888</v>
      </c>
      <c r="F2056" s="157"/>
      <c r="G2056" s="2" t="s">
        <v>311</v>
      </c>
      <c r="H2056" s="128">
        <f ca="1">IF(G2044&gt;=3,H2047,H2053)</f>
        <v>8888</v>
      </c>
      <c r="I2056" s="139">
        <f ca="1">IF(G2044&gt;=3,I2055-P2037,I2053)</f>
        <v>8888</v>
      </c>
      <c r="K2056" s="128" t="s">
        <v>311</v>
      </c>
      <c r="L2056" s="128">
        <f ca="1">L2055</f>
        <v>8888</v>
      </c>
      <c r="M2056" s="139">
        <f ca="1">IF(K2044&gt;=3,M2055-P2037,M2053)</f>
        <v>8888</v>
      </c>
      <c r="AA2056" s="143" t="s">
        <v>311</v>
      </c>
      <c r="AB2056" s="128">
        <f ca="1">IF($AA2044,D2056,AB2050)</f>
        <v>8888</v>
      </c>
      <c r="AC2056" s="129">
        <f ca="1">IF($AA2044,E2056,AC2050)</f>
        <v>8888</v>
      </c>
      <c r="AD2056" s="157"/>
      <c r="AE2056" s="2" t="s">
        <v>311</v>
      </c>
      <c r="AF2056" s="128">
        <f ca="1">IF($AE2044,H2056,AF2050)</f>
        <v>8888</v>
      </c>
      <c r="AG2056" s="129">
        <f ca="1">IF($AE2044,I2056,AG2050)</f>
        <v>8888</v>
      </c>
      <c r="AI2056" s="128" t="s">
        <v>311</v>
      </c>
      <c r="AJ2056" s="128">
        <f ca="1">IF($AI2044,L2056,AJ2050)</f>
        <v>8888</v>
      </c>
      <c r="AK2056" s="129">
        <f ca="1">IF($AI2044,M2056,AK2050)</f>
        <v>8888</v>
      </c>
      <c r="AL2056" s="156"/>
      <c r="BD2056" s="157"/>
    </row>
    <row r="2057" spans="2:56">
      <c r="B2057" s="156"/>
      <c r="C2057" s="188" t="s">
        <v>35</v>
      </c>
      <c r="D2057" s="188">
        <f ca="1">IF(C2044&gt;=3,D2046,D2053)</f>
        <v>8888</v>
      </c>
      <c r="E2057" s="189">
        <f ca="1">E2056</f>
        <v>8888</v>
      </c>
      <c r="F2057" s="157"/>
      <c r="G2057" s="2" t="s">
        <v>35</v>
      </c>
      <c r="H2057" s="188">
        <f ca="1">IF(G2044&gt;=3,H2046,H2053)</f>
        <v>8888</v>
      </c>
      <c r="I2057" s="189">
        <f ca="1">IF(G2044&gt;=3,I2056,I2053)</f>
        <v>8888</v>
      </c>
      <c r="K2057" s="188" t="s">
        <v>35</v>
      </c>
      <c r="L2057" s="188">
        <f ca="1">IF(K2044&gt;=3,L2046,L2053)</f>
        <v>8888</v>
      </c>
      <c r="M2057" s="189">
        <f ca="1">IF(K2044&gt;=3,M2056,M2053)</f>
        <v>8888</v>
      </c>
      <c r="AA2057" s="143" t="s">
        <v>35</v>
      </c>
      <c r="AB2057" s="128">
        <f ca="1">IF($AA2044,D2057,AB2050)</f>
        <v>8888</v>
      </c>
      <c r="AC2057" s="129">
        <f ca="1">IF($AA2044,E2057,AC2050)</f>
        <v>8888</v>
      </c>
      <c r="AD2057" s="157"/>
      <c r="AE2057" s="2" t="s">
        <v>35</v>
      </c>
      <c r="AF2057" s="188">
        <f ca="1">IF($AE2044,H2057,AF2050)</f>
        <v>8888</v>
      </c>
      <c r="AG2057" s="196">
        <f ca="1">IF($AE2044,I2057,AG2050)</f>
        <v>8888</v>
      </c>
      <c r="AI2057" s="128" t="s">
        <v>35</v>
      </c>
      <c r="AJ2057" s="128">
        <f ca="1">IF($AI2044,L2057,AJ2050)</f>
        <v>8888</v>
      </c>
      <c r="AK2057" s="129">
        <f ca="1">IF($AI2044,M2057,AK2050)</f>
        <v>8888</v>
      </c>
      <c r="AL2057" s="156"/>
      <c r="BD2057" s="157"/>
    </row>
    <row r="2058" spans="2:56" ht="15" thickBot="1">
      <c r="B2058" s="156"/>
      <c r="C2058" s="130" t="s">
        <v>396</v>
      </c>
      <c r="D2058" s="130">
        <f ca="1">D2046</f>
        <v>8888</v>
      </c>
      <c r="E2058" s="140">
        <f ca="1">E2046</f>
        <v>8888</v>
      </c>
      <c r="F2058" s="157"/>
      <c r="G2058" s="192" t="s">
        <v>312</v>
      </c>
      <c r="H2058" s="128">
        <f ca="1">IF(G2044&gt;=4,H2046,H2057)</f>
        <v>8888</v>
      </c>
      <c r="I2058" s="139">
        <f ca="1">IF(G2044&gt;=4,I2057-P2039,I2057)</f>
        <v>8888</v>
      </c>
      <c r="K2058" s="130" t="s">
        <v>396</v>
      </c>
      <c r="L2058" s="130">
        <f ca="1">L2046</f>
        <v>8888</v>
      </c>
      <c r="M2058" s="140">
        <f ca="1">M2046</f>
        <v>8888</v>
      </c>
      <c r="AA2058" s="144" t="s">
        <v>396</v>
      </c>
      <c r="AB2058" s="130">
        <f ca="1">IF($AA2044,D2058,AB2050)</f>
        <v>8888</v>
      </c>
      <c r="AC2058" s="132">
        <f ca="1">IF($AA2044,E2058,AC2050)</f>
        <v>8888</v>
      </c>
      <c r="AD2058" s="157"/>
      <c r="AE2058" s="192" t="s">
        <v>312</v>
      </c>
      <c r="AF2058" s="128">
        <f ca="1">IF($AE2044,H2058,AF2050)</f>
        <v>8888</v>
      </c>
      <c r="AG2058" s="129">
        <f ca="1">IF($AE2044,I2058,AG2050)</f>
        <v>8888</v>
      </c>
      <c r="AI2058" s="130" t="s">
        <v>396</v>
      </c>
      <c r="AJ2058" s="130">
        <f ca="1">IF($AI2044,L2058,AJ2050)</f>
        <v>8888</v>
      </c>
      <c r="AK2058" s="132">
        <f ca="1">IF($AI2044,M2058,AK2050)</f>
        <v>8888</v>
      </c>
      <c r="BD2058" s="157"/>
    </row>
    <row r="2059" spans="2:56">
      <c r="B2059" s="156"/>
      <c r="F2059" s="157"/>
      <c r="G2059" s="2" t="s">
        <v>313</v>
      </c>
      <c r="H2059" s="128">
        <f ca="1">IF(G2044&gt;=4,H2047,H2057)</f>
        <v>8888</v>
      </c>
      <c r="I2059" s="139">
        <f ca="1">IF(G2044&gt;=4,I2058,I2057)</f>
        <v>8888</v>
      </c>
      <c r="AD2059" s="157"/>
      <c r="AE2059" s="2" t="s">
        <v>313</v>
      </c>
      <c r="AF2059" s="128">
        <f ca="1">IF($AE2044,H2059,AF2050)</f>
        <v>8888</v>
      </c>
      <c r="AG2059" s="129">
        <f ca="1">IF($AE2044,I2059,AG2050)</f>
        <v>8888</v>
      </c>
      <c r="BD2059" s="157"/>
    </row>
    <row r="2060" spans="2:56">
      <c r="B2060" s="156"/>
      <c r="F2060" s="157"/>
      <c r="G2060" s="2" t="s">
        <v>7</v>
      </c>
      <c r="H2060" s="128">
        <f ca="1">IF(G2044&gt;=4,H2047,H2057)</f>
        <v>8888</v>
      </c>
      <c r="I2060" s="139">
        <f ca="1">IF(G2044&gt;=4,I2059-P2037,I2057)</f>
        <v>8888</v>
      </c>
      <c r="AD2060" s="157"/>
      <c r="AE2060" s="2" t="s">
        <v>7</v>
      </c>
      <c r="AF2060" s="128">
        <f ca="1">IF($AE2044,H2060,AF2050)</f>
        <v>8888</v>
      </c>
      <c r="AG2060" s="129">
        <f ca="1">IF($AE2044,I2060,AG2050)</f>
        <v>8888</v>
      </c>
      <c r="BD2060" s="157"/>
    </row>
    <row r="2061" spans="2:56">
      <c r="B2061" s="156"/>
      <c r="F2061" s="157"/>
      <c r="G2061" s="115" t="s">
        <v>8</v>
      </c>
      <c r="H2061" s="188">
        <f ca="1">IF(G2044&gt;=4,H2046,H2057)</f>
        <v>8888</v>
      </c>
      <c r="I2061" s="189">
        <f ca="1">IF(G2044&gt;=4,I2060,I2057)</f>
        <v>8888</v>
      </c>
      <c r="AD2061" s="157"/>
      <c r="AE2061" s="115" t="s">
        <v>8</v>
      </c>
      <c r="AF2061" s="188">
        <f ca="1">IF($AE2044,H2061,AF2050)</f>
        <v>8888</v>
      </c>
      <c r="AG2061" s="196">
        <f ca="1">IF($AE2044,I2061,AG2050)</f>
        <v>8888</v>
      </c>
      <c r="BD2061" s="157"/>
    </row>
    <row r="2062" spans="2:56">
      <c r="B2062" s="156"/>
      <c r="F2062" s="157"/>
      <c r="G2062" s="2" t="s">
        <v>9</v>
      </c>
      <c r="H2062" s="128">
        <f ca="1">IF(G2044&gt;=5,H2046,H2061)</f>
        <v>8888</v>
      </c>
      <c r="I2062" s="139">
        <f ca="1">IF(G2044&gt;=5,I2061-P2039,I2061)</f>
        <v>8888</v>
      </c>
      <c r="AD2062" s="157"/>
      <c r="AE2062" s="2" t="s">
        <v>9</v>
      </c>
      <c r="AF2062" s="128">
        <f ca="1">IF($AE2044,H2062,AF2050)</f>
        <v>8888</v>
      </c>
      <c r="AG2062" s="129">
        <f ca="1">IF($AE2044,I2062,AG2050)</f>
        <v>8888</v>
      </c>
      <c r="BD2062" s="157"/>
    </row>
    <row r="2063" spans="2:56">
      <c r="B2063" s="156"/>
      <c r="F2063" s="157"/>
      <c r="G2063" s="2" t="s">
        <v>196</v>
      </c>
      <c r="H2063" s="128">
        <f ca="1">IF(G2044&gt;=5,H2047,H2061)</f>
        <v>8888</v>
      </c>
      <c r="I2063" s="139">
        <f ca="1">IF(G2044&gt;=5,I2062,I2061)</f>
        <v>8888</v>
      </c>
      <c r="AD2063" s="157"/>
      <c r="AE2063" s="2" t="s">
        <v>196</v>
      </c>
      <c r="AF2063" s="128">
        <f ca="1">IF($AE2044,H2063,AF2050)</f>
        <v>8888</v>
      </c>
      <c r="AG2063" s="129">
        <f ca="1">IF($AE2044,I2063,AG2050)</f>
        <v>8888</v>
      </c>
      <c r="BD2063" s="157"/>
    </row>
    <row r="2064" spans="2:56">
      <c r="B2064" s="156"/>
      <c r="F2064" s="157"/>
      <c r="G2064" s="2" t="s">
        <v>10</v>
      </c>
      <c r="H2064" s="128">
        <f ca="1">IF(G2044&gt;=5,H2047,H2061)</f>
        <v>8888</v>
      </c>
      <c r="I2064" s="139">
        <f ca="1">IF(G2044&gt;=5,I2063-P2037,I2061)</f>
        <v>8888</v>
      </c>
      <c r="AD2064" s="157"/>
      <c r="AE2064" s="2" t="s">
        <v>10</v>
      </c>
      <c r="AF2064" s="128">
        <f ca="1">IF($AE2044,H2064,AF2050)</f>
        <v>8888</v>
      </c>
      <c r="AG2064" s="129">
        <f ca="1">IF($AE2044,I2064,AG2050)</f>
        <v>8888</v>
      </c>
      <c r="BD2064" s="157"/>
    </row>
    <row r="2065" spans="2:56">
      <c r="B2065" s="156"/>
      <c r="F2065" s="157"/>
      <c r="G2065" s="2" t="s">
        <v>161</v>
      </c>
      <c r="H2065" s="188">
        <f ca="1">IF(G2044&gt;=5,H2046,H2061)</f>
        <v>8888</v>
      </c>
      <c r="I2065" s="189">
        <f ca="1">IF(G2044&gt;=5,I2064,I2061)</f>
        <v>8888</v>
      </c>
      <c r="AD2065" s="157"/>
      <c r="AE2065" s="2" t="s">
        <v>161</v>
      </c>
      <c r="AF2065" s="188">
        <f ca="1">IF($AE2044,H2065,AF2050)</f>
        <v>8888</v>
      </c>
      <c r="AG2065" s="196">
        <f ca="1">IF($AE2044,I2065,AG2050)</f>
        <v>8888</v>
      </c>
      <c r="BD2065" s="157"/>
    </row>
    <row r="2066" spans="2:56">
      <c r="B2066" s="156"/>
      <c r="F2066" s="157"/>
      <c r="G2066" s="192" t="s">
        <v>11</v>
      </c>
      <c r="H2066" s="128">
        <f ca="1">IF(G2044&gt;=6,H2046,H2065)</f>
        <v>8888</v>
      </c>
      <c r="I2066" s="139">
        <f ca="1">IF(G2044&gt;=6,I2065-P2039,I2065)</f>
        <v>8888</v>
      </c>
      <c r="AD2066" s="157"/>
      <c r="AE2066" s="192" t="s">
        <v>11</v>
      </c>
      <c r="AF2066" s="128">
        <f ca="1">IF($AE2044,H2066,AF2050)</f>
        <v>8888</v>
      </c>
      <c r="AG2066" s="129">
        <f ca="1">IF($AE2044,I2066,AG2050)</f>
        <v>8888</v>
      </c>
      <c r="BD2066" s="157"/>
    </row>
    <row r="2067" spans="2:56">
      <c r="B2067" s="156"/>
      <c r="F2067" s="157"/>
      <c r="G2067" s="2" t="s">
        <v>12</v>
      </c>
      <c r="H2067" s="128">
        <f ca="1">IF(G2044&gt;=6,H2047,H2065)</f>
        <v>8888</v>
      </c>
      <c r="I2067" s="139">
        <f ca="1">IF(G2044&gt;=6,I2066,I2065)</f>
        <v>8888</v>
      </c>
      <c r="AD2067" s="157"/>
      <c r="AE2067" s="2" t="s">
        <v>12</v>
      </c>
      <c r="AF2067" s="128">
        <f ca="1">IF($AE2044,H2067,AF2050)</f>
        <v>8888</v>
      </c>
      <c r="AG2067" s="129">
        <f ca="1">IF($AE2044,I2067,AG2050)</f>
        <v>8888</v>
      </c>
      <c r="BD2067" s="157"/>
    </row>
    <row r="2068" spans="2:56">
      <c r="B2068" s="156"/>
      <c r="F2068" s="157"/>
      <c r="G2068" s="2" t="s">
        <v>13</v>
      </c>
      <c r="H2068" s="128">
        <f ca="1">IF(G2044&gt;=6,H2047,H2065)</f>
        <v>8888</v>
      </c>
      <c r="I2068" s="139">
        <f ca="1">IF(G2044&gt;=6,I2067-P2037,I2065)</f>
        <v>8888</v>
      </c>
      <c r="AD2068" s="157"/>
      <c r="AE2068" s="2" t="s">
        <v>13</v>
      </c>
      <c r="AF2068" s="128">
        <f ca="1">IF($AE2044,H2068,AF2050)</f>
        <v>8888</v>
      </c>
      <c r="AG2068" s="129">
        <f ca="1">IF($AE2044,I2068,AG2050)</f>
        <v>8888</v>
      </c>
      <c r="BD2068" s="157"/>
    </row>
    <row r="2069" spans="2:56">
      <c r="B2069" s="156"/>
      <c r="F2069" s="157"/>
      <c r="G2069" s="115" t="s">
        <v>14</v>
      </c>
      <c r="H2069" s="188">
        <f ca="1">IF(G2044&gt;=6,H2046,H2065)</f>
        <v>8888</v>
      </c>
      <c r="I2069" s="189">
        <f ca="1">IF(G2044&gt;=6,I2068,I2065)</f>
        <v>8888</v>
      </c>
      <c r="AD2069" s="157"/>
      <c r="AE2069" s="115" t="s">
        <v>14</v>
      </c>
      <c r="AF2069" s="188">
        <f ca="1">IF($AE2044,H2069,AF2050)</f>
        <v>8888</v>
      </c>
      <c r="AG2069" s="196">
        <f ca="1">IF($AE2044,I2069,AG2050)</f>
        <v>8888</v>
      </c>
      <c r="BD2069" s="157"/>
    </row>
    <row r="2070" spans="2:56" ht="15" thickBot="1">
      <c r="B2070" s="156"/>
      <c r="G2070" s="130" t="s">
        <v>396</v>
      </c>
      <c r="H2070" s="130">
        <f ca="1">H2046</f>
        <v>8888</v>
      </c>
      <c r="I2070" s="140">
        <f ca="1">I2046</f>
        <v>8888</v>
      </c>
      <c r="AE2070" s="130" t="s">
        <v>396</v>
      </c>
      <c r="AF2070" s="130">
        <f ca="1">IF($AE2044,H2070,AF2050)</f>
        <v>8888</v>
      </c>
      <c r="AG2070" s="132">
        <f ca="1">IF($AE2044,I2070,AG2050)</f>
        <v>8888</v>
      </c>
      <c r="BD2070" s="157"/>
    </row>
    <row r="2071" spans="2:56">
      <c r="B2071" s="156"/>
      <c r="BD2071" s="157"/>
    </row>
    <row r="2072" spans="2:56">
      <c r="B2072" s="156"/>
      <c r="BD2072" s="157"/>
    </row>
    <row r="2073" spans="2:56">
      <c r="B2073" s="156"/>
      <c r="C2073" s="200" t="s">
        <v>336</v>
      </c>
      <c r="D2073">
        <f>D2037+1</f>
        <v>53</v>
      </c>
      <c r="G2073" s="200" t="s">
        <v>638</v>
      </c>
      <c r="H2073">
        <f ca="1">LOOKUP(D2076,$C$191:$C$196,$D$191:$D$196)</f>
        <v>0</v>
      </c>
      <c r="K2073" s="200" t="s">
        <v>644</v>
      </c>
      <c r="L2073">
        <f ca="1">L2037-H2078</f>
        <v>-18.624000000000006</v>
      </c>
      <c r="O2073" s="200" t="s">
        <v>404</v>
      </c>
      <c r="P2073">
        <f ca="1">IF(D2075=1,SEAT_w_cushion_FC,IF(D2075=2,SEAT_w_cushion_BC,IF(D2075=3,SEAT_w_cushion_YC,0)))</f>
        <v>0</v>
      </c>
      <c r="S2073" s="200" t="s">
        <v>647</v>
      </c>
      <c r="T2073">
        <f ca="1">LOOKUP(D2076,$C$191:$C$196,$E$191:$E$196)</f>
        <v>0</v>
      </c>
      <c r="W2073" t="s">
        <v>130</v>
      </c>
      <c r="X2073" t="str">
        <f ca="1">OFFSET(Fuselage!$B$275,D2073,5)</f>
        <v>None</v>
      </c>
      <c r="AN2073" s="200" t="s">
        <v>135</v>
      </c>
      <c r="AO2073">
        <f ca="1">MAX(0,H2078-MAX(T2073,T2075,T2077,P2074)-X2074)</f>
        <v>0</v>
      </c>
      <c r="BD2073" s="157"/>
    </row>
    <row r="2074" spans="2:56">
      <c r="B2074" s="156"/>
      <c r="C2074" s="200" t="s">
        <v>200</v>
      </c>
      <c r="D2074" t="str">
        <f ca="1">OFFSET(Fuselage!$B$275,D2073,0)</f>
        <v/>
      </c>
      <c r="G2074" s="200" t="s">
        <v>639</v>
      </c>
      <c r="H2074">
        <f ca="1">LOOKUP(D2077,$C$191:$C$196,$D$191:$D$196)</f>
        <v>0</v>
      </c>
      <c r="O2074" s="200" t="s">
        <v>535</v>
      </c>
      <c r="P2074">
        <f ca="1">IF(D2075=1,SEAT_length_FC,IF(D2075=2,SEAT_length_BC,IF(D2075=3,SEAT_length_YC,0)))</f>
        <v>0</v>
      </c>
      <c r="S2074" s="200" t="s">
        <v>648</v>
      </c>
      <c r="T2074">
        <f ca="1">LOOKUP(D2076,$C$191:$C$196,$F$191:$F$196)</f>
        <v>0</v>
      </c>
      <c r="W2074" t="s">
        <v>131</v>
      </c>
      <c r="X2074">
        <f ca="1">LOOKUP(X2073,$I$191:$I$198,$J$191:$J$198)</f>
        <v>0</v>
      </c>
      <c r="BD2074" s="157"/>
    </row>
    <row r="2075" spans="2:56">
      <c r="B2075" s="156"/>
      <c r="C2075" s="200" t="s">
        <v>337</v>
      </c>
      <c r="D2075" t="str">
        <f ca="1">OFFSET(Fuselage!$B$275,D2073,4)</f>
        <v/>
      </c>
      <c r="G2075" s="200" t="s">
        <v>309</v>
      </c>
      <c r="H2075">
        <f ca="1">LOOKUP(D2078,$C$191:$C$196,$D$191:$D$196)</f>
        <v>0</v>
      </c>
      <c r="K2075" s="200" t="s">
        <v>645</v>
      </c>
      <c r="L2075">
        <f ca="1">IF(D2075=1,FUSELAGE_nseats_left_FC,IF(D2075=2,FUSELAGE_nseats_left_BC,IF(D2075=3,FUSELAGE_nseats_left_YC,0)))</f>
        <v>0</v>
      </c>
      <c r="O2075" s="200" t="s">
        <v>405</v>
      </c>
      <c r="P2075">
        <f ca="1">IF(D2075=1,SEAT_w_armrest_FC,IF(D2075=2,SEAT_w_armrest_BC,IF(D2075=3,SEAT_w_armrest_YC,0)))</f>
        <v>0</v>
      </c>
      <c r="S2075" s="200" t="s">
        <v>652</v>
      </c>
      <c r="T2075">
        <f ca="1">LOOKUP(D2077,$C$191:$C$196,$E$191:$E$196)</f>
        <v>0</v>
      </c>
      <c r="W2075" s="200" t="s">
        <v>393</v>
      </c>
      <c r="X2075" t="b">
        <f ca="1">IF(OFFSET(Fuselage!$B$275,D2073,6)="YES",TRUE(),FALSE())</f>
        <v>0</v>
      </c>
      <c r="BD2075" s="157"/>
    </row>
    <row r="2076" spans="2:56">
      <c r="B2076" s="156"/>
      <c r="C2076" s="200" t="s">
        <v>640</v>
      </c>
      <c r="D2076" t="str">
        <f ca="1">OFFSET(Fuselage!$B$275,D2073,1)</f>
        <v>None</v>
      </c>
      <c r="G2076" s="200" t="s">
        <v>132</v>
      </c>
      <c r="H2076">
        <f ca="1">IF(D2075=1,SEAT_pitch_FC,IF(D2075=2,SEAT_pitch_BC,IF(D2075=3,SEAT_pitch_YC,0)))</f>
        <v>0</v>
      </c>
      <c r="K2076" s="200" t="s">
        <v>646</v>
      </c>
      <c r="L2076">
        <f ca="1">IF(D2075=1,FUSELAGE_nseats_middle_FC,IF(D2075=2,FUSELAGE_nseats_middle_BC,IF(D2075=3,FUSELAGE_nseats_middle_YC,0)))</f>
        <v>0</v>
      </c>
      <c r="S2076" s="200" t="s">
        <v>653</v>
      </c>
      <c r="T2076">
        <f ca="1">LOOKUP(D2077,$C$191:$C$196,$F$191:$F$196)</f>
        <v>0</v>
      </c>
      <c r="BD2076" s="157"/>
    </row>
    <row r="2077" spans="2:56">
      <c r="B2077" s="156"/>
      <c r="C2077" s="200" t="s">
        <v>642</v>
      </c>
      <c r="D2077" t="str">
        <f ca="1">OFFSET(Fuselage!$B$275,D2073,2)</f>
        <v>None</v>
      </c>
      <c r="G2077" s="200" t="s">
        <v>129</v>
      </c>
      <c r="H2077">
        <f ca="1">IF(OR(X2073="Type A",X2073="Type B"),MAX(H2073:H2076)+42*0.0254,IF(X2073="Type C",MAX(H2073:H2076)+X2074,IF(X2073&lt;&gt;"None",24*0.0254,0)))</f>
        <v>0</v>
      </c>
      <c r="K2077" s="200" t="s">
        <v>655</v>
      </c>
      <c r="L2077">
        <f ca="1">IF(D2075=1,FUSELAGE_nseats_right_FC,IF(D2075=2,FUSELAGE_nseats_right_BC,IF(D2075=3,FUSELAGE_nseats_right_YC,0)))</f>
        <v>0</v>
      </c>
      <c r="O2077" s="200" t="s">
        <v>407</v>
      </c>
      <c r="P2077">
        <f ca="1">($C$13-(L2075+L2076+L2077)*(P2073+P2075)+(FUSELAGE_n_aisles-1)*P2075)/FUSELAGE_n_aisles</f>
        <v>2.76</v>
      </c>
      <c r="S2077" s="200" t="s">
        <v>651</v>
      </c>
      <c r="T2077">
        <f ca="1">LOOKUP(D2078,$C$191:$C$196,$E$191:$E$196)</f>
        <v>0</v>
      </c>
      <c r="BD2077" s="157"/>
    </row>
    <row r="2078" spans="2:56">
      <c r="B2078" s="156"/>
      <c r="C2078" s="200" t="s">
        <v>641</v>
      </c>
      <c r="D2078" t="str">
        <f ca="1">OFFSET(Fuselage!$B$275,D2073,3)</f>
        <v>None</v>
      </c>
      <c r="G2078" s="200" t="s">
        <v>643</v>
      </c>
      <c r="H2078">
        <f ca="1">MAX(H2073:H2077)</f>
        <v>0</v>
      </c>
      <c r="S2078" s="200" t="s">
        <v>654</v>
      </c>
      <c r="T2078">
        <f ca="1">LOOKUP(D2078,$C$191:$C$196,$F$191:$F$196)</f>
        <v>0</v>
      </c>
      <c r="BD2078" s="157"/>
    </row>
    <row r="2079" spans="2:56" ht="15" thickBot="1">
      <c r="B2079" s="156"/>
      <c r="BD2079" s="157"/>
    </row>
    <row r="2080" spans="2:56" ht="15" thickBot="1">
      <c r="B2080" s="156"/>
      <c r="C2080" s="141">
        <f ca="1">L2077</f>
        <v>0</v>
      </c>
      <c r="D2080" s="197" t="str">
        <f ca="1">IF($D2075=1,"FC",IF($D2075=2,"BC",IF($D2075=3,"YC","Nothing")))</f>
        <v>Nothing</v>
      </c>
      <c r="E2080" s="198"/>
      <c r="G2080" s="141">
        <f ca="1">L2076</f>
        <v>0</v>
      </c>
      <c r="H2080" s="197" t="str">
        <f ca="1">IF($D2075=1,"FC",IF($D2075=2,"BC",IF($D2075=3,"YC","Nothing")))</f>
        <v>Nothing</v>
      </c>
      <c r="I2080" s="198"/>
      <c r="K2080" s="141">
        <f ca="1" xml:space="preserve"> L2075</f>
        <v>0</v>
      </c>
      <c r="L2080" s="197" t="str">
        <f ca="1">IF($D2075=1,"FC",IF($D2075=2,"BC",IF($D2075=3,"YC","Nothing")))</f>
        <v>Nothing</v>
      </c>
      <c r="M2080" s="198"/>
      <c r="O2080" s="141">
        <f ca="1">IF($D2078&lt;&gt;"None",1,0)</f>
        <v>0</v>
      </c>
      <c r="P2080" s="326" t="s">
        <v>380</v>
      </c>
      <c r="Q2080" s="327"/>
      <c r="S2080" s="141">
        <f ca="1">IF($D2077&lt;&gt;"None",1,0)</f>
        <v>0</v>
      </c>
      <c r="T2080" s="326" t="s">
        <v>381</v>
      </c>
      <c r="U2080" s="327"/>
      <c r="W2080" s="141">
        <f ca="1">IF($D2076&lt;&gt;"None",1,0)</f>
        <v>0</v>
      </c>
      <c r="X2080" s="326" t="s">
        <v>382</v>
      </c>
      <c r="Y2080" s="327"/>
      <c r="AA2080" s="141">
        <f ca="1">IF($D2078="None",1,0)</f>
        <v>1</v>
      </c>
      <c r="AB2080" s="326" t="str">
        <f ca="1">IF(AA2080,D2080,$D2078)</f>
        <v>Nothing</v>
      </c>
      <c r="AC2080" s="327"/>
      <c r="AE2080" s="141">
        <f ca="1">IF($D2077="None",1,0)</f>
        <v>1</v>
      </c>
      <c r="AF2080" s="326" t="str">
        <f ca="1">IF(AE2080,H2080,$D2077)</f>
        <v>Nothing</v>
      </c>
      <c r="AG2080" s="327"/>
      <c r="AI2080" s="141">
        <f ca="1">IF($D2076="None",1,0)</f>
        <v>1</v>
      </c>
      <c r="AJ2080" s="326" t="str">
        <f ca="1">IF(AI2080,L2080,$D2076)</f>
        <v>Nothing</v>
      </c>
      <c r="AK2080" s="327"/>
      <c r="AM2080" s="141">
        <f ca="1">IF($X2073="None",0,1)</f>
        <v>0</v>
      </c>
      <c r="AN2080" s="197" t="s">
        <v>133</v>
      </c>
      <c r="AO2080" s="198"/>
      <c r="AQ2080" s="141">
        <f ca="1">IF($X2073="None",0,1)</f>
        <v>0</v>
      </c>
      <c r="AR2080" s="197" t="s">
        <v>134</v>
      </c>
      <c r="AS2080" s="198"/>
      <c r="BD2080" s="157"/>
    </row>
    <row r="2081" spans="2:56" ht="15" thickBot="1">
      <c r="B2081" s="156"/>
      <c r="C2081" s="136" t="s">
        <v>452</v>
      </c>
      <c r="D2081" s="136" t="s">
        <v>384</v>
      </c>
      <c r="E2081" s="138" t="s">
        <v>385</v>
      </c>
      <c r="G2081" s="136" t="s">
        <v>452</v>
      </c>
      <c r="H2081" s="136" t="s">
        <v>384</v>
      </c>
      <c r="I2081" s="138" t="s">
        <v>385</v>
      </c>
      <c r="K2081" s="193" t="s">
        <v>452</v>
      </c>
      <c r="L2081" s="193" t="s">
        <v>384</v>
      </c>
      <c r="M2081" s="194" t="s">
        <v>385</v>
      </c>
      <c r="O2081" s="136" t="s">
        <v>452</v>
      </c>
      <c r="P2081" s="136" t="s">
        <v>384</v>
      </c>
      <c r="Q2081" s="138" t="s">
        <v>385</v>
      </c>
      <c r="S2081" s="136" t="s">
        <v>452</v>
      </c>
      <c r="T2081" s="136" t="s">
        <v>384</v>
      </c>
      <c r="U2081" s="138" t="s">
        <v>385</v>
      </c>
      <c r="W2081" s="136" t="s">
        <v>452</v>
      </c>
      <c r="X2081" s="136" t="s">
        <v>384</v>
      </c>
      <c r="Y2081" s="138" t="s">
        <v>385</v>
      </c>
      <c r="AA2081" s="136" t="s">
        <v>452</v>
      </c>
      <c r="AB2081" s="136" t="s">
        <v>384</v>
      </c>
      <c r="AC2081" s="138" t="s">
        <v>385</v>
      </c>
      <c r="AE2081" s="136" t="s">
        <v>452</v>
      </c>
      <c r="AF2081" s="136" t="s">
        <v>384</v>
      </c>
      <c r="AG2081" s="138" t="s">
        <v>385</v>
      </c>
      <c r="AI2081" s="193" t="s">
        <v>452</v>
      </c>
      <c r="AJ2081" s="193" t="s">
        <v>384</v>
      </c>
      <c r="AK2081" s="194" t="s">
        <v>385</v>
      </c>
      <c r="AM2081" s="193" t="s">
        <v>452</v>
      </c>
      <c r="AN2081" s="193" t="s">
        <v>384</v>
      </c>
      <c r="AO2081" s="194" t="s">
        <v>385</v>
      </c>
      <c r="AQ2081" s="193" t="s">
        <v>452</v>
      </c>
      <c r="AR2081" s="193" t="s">
        <v>384</v>
      </c>
      <c r="AS2081" s="194" t="s">
        <v>385</v>
      </c>
      <c r="BD2081" s="157"/>
    </row>
    <row r="2082" spans="2:56">
      <c r="B2082" s="156"/>
      <c r="C2082" s="128" t="s">
        <v>396</v>
      </c>
      <c r="D2082" s="158">
        <f ca="1">IF(C2080&gt;=1,L2073,8888)</f>
        <v>8888</v>
      </c>
      <c r="E2082" s="160">
        <f ca="1">IF(C2080&gt;=1,1/2*($C$13-P2073-2*P2075)+1/2*P2073,8888)</f>
        <v>8888</v>
      </c>
      <c r="G2082" s="128" t="s">
        <v>396</v>
      </c>
      <c r="H2082" s="158">
        <f ca="1">IF(G2080&gt;=1,L2073,8888)</f>
        <v>8888</v>
      </c>
      <c r="I2082" s="160">
        <f ca="1">IF(G2080&gt;=1,E2093-P2077,8888)</f>
        <v>8888</v>
      </c>
      <c r="K2082" s="128" t="s">
        <v>396</v>
      </c>
      <c r="L2082" s="158">
        <f ca="1">IF(K2080&gt;=1,L2073,8888)</f>
        <v>8888</v>
      </c>
      <c r="M2082" s="160">
        <f ca="1">IF(K2080&gt;=1,IF(FUSELAGE_n_aisles=1,E2093-P2077,I2105-P2077),8888)</f>
        <v>8888</v>
      </c>
      <c r="O2082" s="128" t="s">
        <v>396</v>
      </c>
      <c r="P2082" s="158">
        <f ca="1">IF(O2080,$L2073,8888)</f>
        <v>8888</v>
      </c>
      <c r="Q2082" s="209">
        <f ca="1">IF(O2080,FUSELAGE_y_position_of_left_seat_YC-(FUSELAGE_nseats_right_YC-1)*(SEAT_w_cushion_YC+SEAT_w_armrest_YC)/2+T2078/2,8888)</f>
        <v>8888</v>
      </c>
      <c r="S2082" s="128" t="s">
        <v>396</v>
      </c>
      <c r="T2082" s="158">
        <f ca="1">IF(S2080,$L2073,8888)</f>
        <v>8888</v>
      </c>
      <c r="U2082" s="160">
        <f ca="1">IF(S2080,T2076/2,8888)</f>
        <v>8888</v>
      </c>
      <c r="W2082" s="128" t="s">
        <v>396</v>
      </c>
      <c r="X2082" s="158">
        <f ca="1">IF(W2080,$L2073,8888)</f>
        <v>8888</v>
      </c>
      <c r="Y2082" s="160">
        <f ca="1">IF(W2080,-FUSELAGE_y_position_of_left_seat_YC+(FUSELAGE_nseats_left_YC-1)*(SEAT_w_cushion_YC+SEAT_w_armrest_YC)/2-T2074/2,8888)</f>
        <v>8888</v>
      </c>
      <c r="AA2082" s="128" t="s">
        <v>396</v>
      </c>
      <c r="AB2082" s="158">
        <f ca="1">IF($AA2080,D2082,P2082)</f>
        <v>8888</v>
      </c>
      <c r="AC2082" s="174">
        <f ca="1">IF($AA2080,E2082,Q2082)</f>
        <v>8888</v>
      </c>
      <c r="AE2082" s="128" t="s">
        <v>396</v>
      </c>
      <c r="AF2082" s="158">
        <f ca="1">IF($AE2080,H2082,T2082)</f>
        <v>8888</v>
      </c>
      <c r="AG2082" s="174">
        <f ca="1">IF($AE2080,I2082,U2082)</f>
        <v>8888</v>
      </c>
      <c r="AI2082" s="128" t="s">
        <v>396</v>
      </c>
      <c r="AJ2082" s="158">
        <f ca="1">IF($AI2080,L2082,X2082)</f>
        <v>8888</v>
      </c>
      <c r="AK2082" s="174">
        <f ca="1">IF($AI2080,M2082,Y2082)</f>
        <v>8888</v>
      </c>
      <c r="AM2082" s="128" t="s">
        <v>396</v>
      </c>
      <c r="AN2082" s="158">
        <f ca="1">AN2051</f>
        <v>-18.624000000000006</v>
      </c>
      <c r="AO2082" s="174">
        <f ca="1">IF(AN2082&gt;-Fuselage!$D$366,(FUSELAGE_a_ellipse)*SQRT(1-((AN2082+Fuselage!$D$366)/(Fuselage!$K$364-FUSELAGE_t_fuselage))^2),IF(AN2082&gt;$L$2505+Fuselage!$K$370,FUSELAGE_a_ellipse,(FUSELAGE_a_ellipse+FUSELAGE_t_fuselage-FUSELAGE_d_fo/4)/Fuselage!$K$368*(AN2082-$L$2505-Fuselage!$K$370)+FUSELAGE_a_ellipse))</f>
        <v>1.4960570012328709</v>
      </c>
      <c r="AQ2082" s="128" t="s">
        <v>396</v>
      </c>
      <c r="AR2082" s="158">
        <f t="shared" ref="AR2082:AR2087" ca="1" si="170">AN2082</f>
        <v>-18.624000000000006</v>
      </c>
      <c r="AS2082" s="174">
        <f t="shared" ref="AS2082:AS2087" ca="1" si="171">-AO2082</f>
        <v>-1.4960570012328709</v>
      </c>
      <c r="BD2082" s="157"/>
    </row>
    <row r="2083" spans="2:56">
      <c r="B2083" s="156"/>
      <c r="C2083" s="128" t="s">
        <v>213</v>
      </c>
      <c r="D2083" s="128">
        <f ca="1">IF(X2075,D2082+P2074/4,D2082+P2074)</f>
        <v>8888</v>
      </c>
      <c r="E2083" s="139">
        <f ca="1">E2082</f>
        <v>8888</v>
      </c>
      <c r="G2083" s="128" t="s">
        <v>213</v>
      </c>
      <c r="H2083" s="128">
        <f ca="1">H2082+P2074</f>
        <v>8888</v>
      </c>
      <c r="I2083" s="139">
        <f ca="1">I2082</f>
        <v>8888</v>
      </c>
      <c r="K2083" s="128" t="s">
        <v>213</v>
      </c>
      <c r="L2083" s="128">
        <f ca="1">IF(X2075,IF(K2080=1,L2082+P2074/4,L2082+P2074),L2082+P2074)</f>
        <v>8888</v>
      </c>
      <c r="M2083" s="139">
        <f ca="1">M2082</f>
        <v>8888</v>
      </c>
      <c r="O2083" s="128" t="s">
        <v>213</v>
      </c>
      <c r="P2083" s="128">
        <f ca="1">P2082+$T2077</f>
        <v>8888</v>
      </c>
      <c r="Q2083" s="139">
        <f ca="1">Q2082</f>
        <v>8888</v>
      </c>
      <c r="S2083" s="128" t="s">
        <v>213</v>
      </c>
      <c r="T2083" s="128">
        <f ca="1">T2082+$T2075</f>
        <v>8888</v>
      </c>
      <c r="U2083" s="139">
        <f ca="1">U2082</f>
        <v>8888</v>
      </c>
      <c r="W2083" s="128" t="s">
        <v>213</v>
      </c>
      <c r="X2083" s="128">
        <f ca="1">X2082+$T2073</f>
        <v>8888</v>
      </c>
      <c r="Y2083" s="139">
        <f ca="1">Y2082</f>
        <v>8888</v>
      </c>
      <c r="AA2083" s="143" t="s">
        <v>213</v>
      </c>
      <c r="AB2083" s="128">
        <f ca="1">IF($AA2080,D2083,P2083)</f>
        <v>8888</v>
      </c>
      <c r="AC2083" s="129">
        <f ca="1">IF($AA2080,E2083,Q2083)</f>
        <v>8888</v>
      </c>
      <c r="AE2083" s="128" t="s">
        <v>213</v>
      </c>
      <c r="AF2083" s="128">
        <f ca="1">IF($AE2080,H2083,T2083)</f>
        <v>8888</v>
      </c>
      <c r="AG2083" s="129">
        <f ca="1">IF($AE2080,I2083,U2083)</f>
        <v>8888</v>
      </c>
      <c r="AI2083" s="128" t="s">
        <v>213</v>
      </c>
      <c r="AJ2083" s="128">
        <f ca="1">IF($AI2080,L2083,X2083)</f>
        <v>8888</v>
      </c>
      <c r="AK2083" s="129">
        <f ca="1">IF($AI2080,M2083,Y2083)</f>
        <v>8888</v>
      </c>
      <c r="AM2083" s="128" t="s">
        <v>213</v>
      </c>
      <c r="AN2083" s="128">
        <f ca="1">AN2082-AO2073/2</f>
        <v>-18.624000000000006</v>
      </c>
      <c r="AO2083" s="129">
        <f ca="1">IF(AN2083&gt;-Fuselage!$D$366,(FUSELAGE_a_ellipse)*SQRT(1-((AN2083+Fuselage!$D$366)/(Fuselage!$K$364-FUSELAGE_t_fuselage))^2),IF(AN2083&gt;$L$2505+Fuselage!$K$370,FUSELAGE_a_ellipse,(FUSELAGE_a_ellipse+FUSELAGE_t_fuselage-FUSELAGE_d_fo/4)/Fuselage!$K$368*(AN2083-$L$2505-Fuselage!$K$370)+FUSELAGE_a_ellipse))</f>
        <v>1.4960570012328709</v>
      </c>
      <c r="AQ2083" s="128" t="s">
        <v>213</v>
      </c>
      <c r="AR2083" s="128">
        <f t="shared" ca="1" si="170"/>
        <v>-18.624000000000006</v>
      </c>
      <c r="AS2083" s="129">
        <f t="shared" ca="1" si="171"/>
        <v>-1.4960570012328709</v>
      </c>
      <c r="BD2083" s="157"/>
    </row>
    <row r="2084" spans="2:56">
      <c r="B2084" s="156"/>
      <c r="C2084" s="128" t="s">
        <v>286</v>
      </c>
      <c r="D2084" s="128">
        <f ca="1">D2083</f>
        <v>8888</v>
      </c>
      <c r="E2084" s="139">
        <f ca="1">E2083-P2073</f>
        <v>8888</v>
      </c>
      <c r="G2084" s="128" t="s">
        <v>286</v>
      </c>
      <c r="H2084" s="128">
        <f ca="1">H2083</f>
        <v>8888</v>
      </c>
      <c r="I2084" s="139">
        <f ca="1">I2083-P2073</f>
        <v>8888</v>
      </c>
      <c r="K2084" s="128" t="s">
        <v>286</v>
      </c>
      <c r="L2084" s="128">
        <f ca="1">L2083</f>
        <v>8888</v>
      </c>
      <c r="M2084" s="139">
        <f ca="1">M2083-P2073</f>
        <v>8888</v>
      </c>
      <c r="O2084" s="128" t="s">
        <v>286</v>
      </c>
      <c r="P2084" s="128">
        <f ca="1">P2083</f>
        <v>8888</v>
      </c>
      <c r="Q2084" s="139">
        <f ca="1">Q2083-$T2078</f>
        <v>8888</v>
      </c>
      <c r="S2084" s="128" t="s">
        <v>286</v>
      </c>
      <c r="T2084" s="128">
        <f ca="1">T2083</f>
        <v>8888</v>
      </c>
      <c r="U2084" s="139">
        <f ca="1">U2083-$T2076</f>
        <v>8888</v>
      </c>
      <c r="W2084" s="128" t="s">
        <v>286</v>
      </c>
      <c r="X2084" s="128">
        <f ca="1">X2083</f>
        <v>8888</v>
      </c>
      <c r="Y2084" s="139">
        <f ca="1">Y2083+$T2074</f>
        <v>8888</v>
      </c>
      <c r="AA2084" s="143" t="s">
        <v>286</v>
      </c>
      <c r="AB2084" s="128">
        <f ca="1">IF($AA2080,D2084,P2084)</f>
        <v>8888</v>
      </c>
      <c r="AC2084" s="129">
        <f ca="1">IF($AA2080,E2084,Q2084)</f>
        <v>8888</v>
      </c>
      <c r="AE2084" s="128" t="s">
        <v>286</v>
      </c>
      <c r="AF2084" s="128">
        <f ca="1">IF($AE2080,H2084,T2084)</f>
        <v>8888</v>
      </c>
      <c r="AG2084" s="129">
        <f ca="1">IF($AE2080,I2084,U2084)</f>
        <v>8888</v>
      </c>
      <c r="AI2084" s="128" t="s">
        <v>286</v>
      </c>
      <c r="AJ2084" s="128">
        <f ca="1">IF($AI2080,L2084,X2084)</f>
        <v>8888</v>
      </c>
      <c r="AK2084" s="129">
        <f ca="1">IF($AI2080,M2084,Y2084)</f>
        <v>8888</v>
      </c>
      <c r="AM2084" s="128" t="s">
        <v>286</v>
      </c>
      <c r="AN2084" s="128">
        <f ca="1">AN2083</f>
        <v>-18.624000000000006</v>
      </c>
      <c r="AO2084" s="129">
        <f ca="1">IF(AN2084&gt;-Fuselage!$D$366,IF(AM2080,(FUSELAGE_a_ellipse+FUSELAGE_t_fuselage)*SQRT(1-((AN2084+Fuselage!$D$366)/Fuselage!$K$364)^2),(FUSELAGE_a_ellipse)*SQRT(1-((AN2084+Fuselage!$D$366)/Fuselage!$K$364)^2)),IF(AN2084&gt;$L$2505+Fuselage!$K$370,(IF(AM2080,FUSELAGE_a_ellipse+FUSELAGE_t_fuselage,FUSELAGE_a_ellipse)),IF(AM2080,(FUSELAGE_a_ellipse+FUSELAGE_t_fuselage-FUSELAGE_d_fo/4)/Fuselage!$K$368*(AN2084-$L$2505-Fuselage!$K$370)+FUSELAGE_a_ellipse+FUSELAGE_t_fuselage,(FUSELAGE_a_ellipse+FUSELAGE_t_fuselage-FUSELAGE_d_fo/4)/Fuselage!$K$368*(AN2084-$L$2505-Fuselage!$K$370)+FUSELAGE_a_ellipse)))</f>
        <v>1.4960570012328709</v>
      </c>
      <c r="AQ2084" s="128" t="s">
        <v>286</v>
      </c>
      <c r="AR2084" s="128">
        <f t="shared" ca="1" si="170"/>
        <v>-18.624000000000006</v>
      </c>
      <c r="AS2084" s="129">
        <f t="shared" ca="1" si="171"/>
        <v>-1.4960570012328709</v>
      </c>
      <c r="BD2084" s="157"/>
    </row>
    <row r="2085" spans="2:56">
      <c r="B2085" s="156"/>
      <c r="C2085" s="188" t="s">
        <v>522</v>
      </c>
      <c r="D2085" s="188">
        <f ca="1">D2082</f>
        <v>8888</v>
      </c>
      <c r="E2085" s="189">
        <f ca="1">E2084</f>
        <v>8888</v>
      </c>
      <c r="F2085" s="157"/>
      <c r="G2085" s="2" t="s">
        <v>522</v>
      </c>
      <c r="H2085" s="128">
        <f ca="1">H2082</f>
        <v>8888</v>
      </c>
      <c r="I2085" s="139">
        <f ca="1">I2084</f>
        <v>8888</v>
      </c>
      <c r="K2085" s="128" t="s">
        <v>522</v>
      </c>
      <c r="L2085" s="128">
        <f ca="1">L2082</f>
        <v>8888</v>
      </c>
      <c r="M2085" s="139">
        <f ca="1">M2084</f>
        <v>8888</v>
      </c>
      <c r="O2085" s="188" t="s">
        <v>522</v>
      </c>
      <c r="P2085" s="188">
        <f ca="1">P2082</f>
        <v>8888</v>
      </c>
      <c r="Q2085" s="189">
        <f ca="1">Q2084</f>
        <v>8888</v>
      </c>
      <c r="S2085" s="188" t="s">
        <v>522</v>
      </c>
      <c r="T2085" s="188">
        <f ca="1">T2082</f>
        <v>8888</v>
      </c>
      <c r="U2085" s="189">
        <f ca="1">U2084</f>
        <v>8888</v>
      </c>
      <c r="W2085" s="188" t="s">
        <v>522</v>
      </c>
      <c r="X2085" s="188">
        <f ca="1">X2082</f>
        <v>8888</v>
      </c>
      <c r="Y2085" s="189">
        <f ca="1">Y2084</f>
        <v>8888</v>
      </c>
      <c r="AA2085" s="195" t="s">
        <v>522</v>
      </c>
      <c r="AB2085" s="128">
        <f ca="1">IF($AA2080,D2085,P2085)</f>
        <v>8888</v>
      </c>
      <c r="AC2085" s="129">
        <f ca="1">IF($AA2080,E2085,Q2085)</f>
        <v>8888</v>
      </c>
      <c r="AD2085" s="157"/>
      <c r="AE2085" s="2" t="s">
        <v>522</v>
      </c>
      <c r="AF2085" s="188">
        <f ca="1">IF($AE2080,H2085,T2085)</f>
        <v>8888</v>
      </c>
      <c r="AG2085" s="196">
        <f ca="1">IF($AE2080,I2085,U2085)</f>
        <v>8888</v>
      </c>
      <c r="AI2085" s="128" t="s">
        <v>522</v>
      </c>
      <c r="AJ2085" s="188">
        <f ca="1">IF($AI2080,L2085,X2085)</f>
        <v>8888</v>
      </c>
      <c r="AK2085" s="196">
        <f ca="1">IF($AI2080,M2085,Y2085)</f>
        <v>8888</v>
      </c>
      <c r="AM2085" s="128" t="s">
        <v>522</v>
      </c>
      <c r="AN2085" s="128">
        <f ca="1">AN2084-X2074</f>
        <v>-18.624000000000006</v>
      </c>
      <c r="AO2085" s="129">
        <f ca="1">IF(AN2085&gt;-Fuselage!$D$366,IF(AM2080,(FUSELAGE_a_ellipse+FUSELAGE_t_fuselage)*SQRT(1-((AN2085+Fuselage!$D$366)/Fuselage!$K$364)^2),(FUSELAGE_a_ellipse)*SQRT(1-((AN2085+Fuselage!$D$366)/Fuselage!$K$364)^2)),IF(AN2085&gt;$L$2505+Fuselage!$K$370,(IF(AM2080,FUSELAGE_a_ellipse+FUSELAGE_t_fuselage,FUSELAGE_a_ellipse)),IF(AM2080,(FUSELAGE_a_ellipse+FUSELAGE_t_fuselage-FUSELAGE_d_fo/4)/Fuselage!$K$368*(AN2085-$L$2505-Fuselage!$K$370)+FUSELAGE_a_ellipse+FUSELAGE_t_fuselage,(FUSELAGE_a_ellipse+FUSELAGE_t_fuselage-FUSELAGE_d_fo/4)/Fuselage!$K$368*(AN2085-$L$2505-Fuselage!$K$370)+FUSELAGE_a_ellipse)))</f>
        <v>1.4960570012328709</v>
      </c>
      <c r="AQ2085" s="128" t="s">
        <v>522</v>
      </c>
      <c r="AR2085" s="128">
        <f t="shared" ca="1" si="170"/>
        <v>-18.624000000000006</v>
      </c>
      <c r="AS2085" s="129">
        <f t="shared" ca="1" si="171"/>
        <v>-1.4960570012328709</v>
      </c>
      <c r="BD2085" s="157"/>
    </row>
    <row r="2086" spans="2:56" ht="15" thickBot="1">
      <c r="B2086" s="156"/>
      <c r="C2086" s="128" t="s">
        <v>49</v>
      </c>
      <c r="D2086" s="128">
        <f ca="1">IF(C2080&gt;=2,D2082,D2085)</f>
        <v>8888</v>
      </c>
      <c r="E2086" s="139">
        <f ca="1">IF(C2080&gt;=2,E2085-P2075,E2085)</f>
        <v>8888</v>
      </c>
      <c r="F2086" s="157"/>
      <c r="G2086" s="192" t="s">
        <v>49</v>
      </c>
      <c r="H2086" s="190">
        <f ca="1">IF(G2080&gt;=2,H2082,H2085)</f>
        <v>8888</v>
      </c>
      <c r="I2086" s="191">
        <f ca="1">IF(G2080&gt;=2,I2085-P2075,I2085)</f>
        <v>8888</v>
      </c>
      <c r="K2086" s="190" t="s">
        <v>49</v>
      </c>
      <c r="L2086" s="190">
        <f ca="1">IF(K2080&gt;=2,L2082,L2085)</f>
        <v>8888</v>
      </c>
      <c r="M2086" s="191">
        <f ca="1">IF(K2080&gt;=2,M2085-P2075,M2085)</f>
        <v>8888</v>
      </c>
      <c r="O2086" s="130" t="s">
        <v>396</v>
      </c>
      <c r="P2086" s="130">
        <f ca="1">P2082</f>
        <v>8888</v>
      </c>
      <c r="Q2086" s="140">
        <f ca="1">Q2082</f>
        <v>8888</v>
      </c>
      <c r="S2086" s="130" t="s">
        <v>396</v>
      </c>
      <c r="T2086" s="130">
        <f ca="1">T2082</f>
        <v>8888</v>
      </c>
      <c r="U2086" s="140">
        <f ca="1">U2082</f>
        <v>8888</v>
      </c>
      <c r="W2086" s="130" t="s">
        <v>396</v>
      </c>
      <c r="X2086" s="130">
        <f ca="1">X2082</f>
        <v>8888</v>
      </c>
      <c r="Y2086" s="140">
        <f ca="1">Y2082</f>
        <v>8888</v>
      </c>
      <c r="AA2086" s="143" t="s">
        <v>49</v>
      </c>
      <c r="AB2086" s="128">
        <f ca="1">IF($AA2080,D2086,P2086)</f>
        <v>8888</v>
      </c>
      <c r="AC2086" s="129">
        <f ca="1">IF($AA2080,E2086,Q2086)</f>
        <v>8888</v>
      </c>
      <c r="AD2086" s="157"/>
      <c r="AE2086" s="192" t="s">
        <v>49</v>
      </c>
      <c r="AF2086" s="128">
        <f ca="1">IF($AE2080,H2086,T2086)</f>
        <v>8888</v>
      </c>
      <c r="AG2086" s="129">
        <f ca="1">IF($AE2080,I2086,U2086)</f>
        <v>8888</v>
      </c>
      <c r="AI2086" s="190" t="s">
        <v>49</v>
      </c>
      <c r="AJ2086" s="128">
        <f ca="1">IF($AI2080,L2086,X2086)</f>
        <v>8888</v>
      </c>
      <c r="AK2086" s="129">
        <f ca="1">IF($AI2080,M2086,Y2086)</f>
        <v>8888</v>
      </c>
      <c r="AM2086" s="128" t="s">
        <v>49</v>
      </c>
      <c r="AN2086" s="128">
        <f ca="1">AN2085</f>
        <v>-18.624000000000006</v>
      </c>
      <c r="AO2086" s="129">
        <f ca="1">IF(AN2086&gt;-Fuselage!$D$366,(FUSELAGE_a_ellipse)*SQRT(1-((AN2086+Fuselage!$D$366)/(Fuselage!$K$364-FUSELAGE_t_fuselage))^2),IF(AN2086&gt;$L$2505+Fuselage!$K$370,FUSELAGE_a_ellipse,(FUSELAGE_a_ellipse+FUSELAGE_t_fuselage-FUSELAGE_d_fo/4)/Fuselage!$K$368*(AN2086-$L$2505-Fuselage!$K$370)+FUSELAGE_a_ellipse))</f>
        <v>1.4960570012328709</v>
      </c>
      <c r="AQ2086" s="128" t="s">
        <v>49</v>
      </c>
      <c r="AR2086" s="128">
        <f t="shared" ca="1" si="170"/>
        <v>-18.624000000000006</v>
      </c>
      <c r="AS2086" s="129">
        <f t="shared" ca="1" si="171"/>
        <v>-1.4960570012328709</v>
      </c>
      <c r="BD2086" s="157"/>
    </row>
    <row r="2087" spans="2:56">
      <c r="B2087" s="156"/>
      <c r="C2087" s="128" t="s">
        <v>453</v>
      </c>
      <c r="D2087" s="128">
        <f ca="1">IF(C2080&gt;=2,D2082+P2074,D2085)</f>
        <v>8888</v>
      </c>
      <c r="E2087" s="139">
        <f ca="1">E2086</f>
        <v>8888</v>
      </c>
      <c r="F2087" s="157"/>
      <c r="G2087" s="2" t="s">
        <v>453</v>
      </c>
      <c r="H2087" s="128">
        <f ca="1">IF(G2080&gt;=2,H2083,H2085)</f>
        <v>8888</v>
      </c>
      <c r="I2087" s="139">
        <f ca="1">IF(G2080&gt;=2,I2086,I2085)</f>
        <v>8888</v>
      </c>
      <c r="K2087" s="128" t="s">
        <v>453</v>
      </c>
      <c r="L2087" s="128">
        <f ca="1">IF(K2080&gt;=2,IF(X2075,IF(K2080=2,L2082+P2074/4,L2082+P2074),L2082+P2074),L2085)</f>
        <v>8888</v>
      </c>
      <c r="M2087" s="139">
        <f ca="1">IF(K2080&gt;=2,M2086,M2085)</f>
        <v>8888</v>
      </c>
      <c r="AA2087" s="143" t="s">
        <v>453</v>
      </c>
      <c r="AB2087" s="128">
        <f ca="1">IF($AA2080,D2087,AB2086)</f>
        <v>8888</v>
      </c>
      <c r="AC2087" s="129">
        <f ca="1">IF($AA2080,E2087,AC2086)</f>
        <v>8888</v>
      </c>
      <c r="AD2087" s="157"/>
      <c r="AE2087" s="2" t="s">
        <v>453</v>
      </c>
      <c r="AF2087" s="128">
        <f ca="1">IF($AE2080,H2087,AF2086)</f>
        <v>8888</v>
      </c>
      <c r="AG2087" s="129">
        <f ca="1">IF($AE2080,I2087,AG2086)</f>
        <v>8888</v>
      </c>
      <c r="AI2087" s="128" t="s">
        <v>453</v>
      </c>
      <c r="AJ2087" s="128">
        <f ca="1">IF($AI2080,L2087,AJ2086)</f>
        <v>8888</v>
      </c>
      <c r="AK2087" s="129">
        <f ca="1">IF($AI2080,M2087,AK2086)</f>
        <v>8888</v>
      </c>
      <c r="AM2087" s="128" t="s">
        <v>453</v>
      </c>
      <c r="AN2087" s="128">
        <f ca="1">L2073</f>
        <v>-18.624000000000006</v>
      </c>
      <c r="AO2087" s="129">
        <f ca="1">IF(AN2087&gt;-Fuselage!$D$366,(FUSELAGE_a_ellipse)*SQRT(1-((AN2087+Fuselage!$D$366)/(Fuselage!$K$364-FUSELAGE_t_fuselage))^2),IF(AN2087&gt;$L$2505+Fuselage!$K$370,FUSELAGE_a_ellipse,(FUSELAGE_a_ellipse+FUSELAGE_t_fuselage-FUSELAGE_d_fo/4)/Fuselage!$K$368*(AN2087-$L$2505-Fuselage!$K$370)+FUSELAGE_a_ellipse))</f>
        <v>1.4960570012328709</v>
      </c>
      <c r="AQ2087" s="128" t="s">
        <v>453</v>
      </c>
      <c r="AR2087" s="128">
        <f t="shared" ca="1" si="170"/>
        <v>-18.624000000000006</v>
      </c>
      <c r="AS2087" s="129">
        <f t="shared" ca="1" si="171"/>
        <v>-1.4960570012328709</v>
      </c>
      <c r="BD2087" s="157"/>
    </row>
    <row r="2088" spans="2:56">
      <c r="B2088" s="156"/>
      <c r="C2088" s="128" t="s">
        <v>394</v>
      </c>
      <c r="D2088" s="128">
        <f ca="1">IF(C2080&gt;=2,D2087,D2085)</f>
        <v>8888</v>
      </c>
      <c r="E2088" s="139">
        <f ca="1">IF(C2080&gt;=2,E2086-P2073,E2085)</f>
        <v>8888</v>
      </c>
      <c r="F2088" s="157"/>
      <c r="G2088" s="2" t="s">
        <v>394</v>
      </c>
      <c r="H2088" s="128">
        <f ca="1">IF(G2080&gt;=2,H2083,H2085)</f>
        <v>8888</v>
      </c>
      <c r="I2088" s="139">
        <f ca="1">IF(G2080&gt;=2,I2087-P2073,I2085)</f>
        <v>8888</v>
      </c>
      <c r="K2088" s="128" t="s">
        <v>394</v>
      </c>
      <c r="L2088" s="128">
        <f ca="1">L2087</f>
        <v>8888</v>
      </c>
      <c r="M2088" s="139">
        <f ca="1">IF(K2080&gt;=2,M2087-P2073,M2085)</f>
        <v>8888</v>
      </c>
      <c r="AA2088" s="143" t="s">
        <v>394</v>
      </c>
      <c r="AB2088" s="128">
        <f ca="1">IF($AA2080,D2088,AB2086)</f>
        <v>8888</v>
      </c>
      <c r="AC2088" s="129">
        <f ca="1">IF($AA2080,E2088,AC2086)</f>
        <v>8888</v>
      </c>
      <c r="AD2088" s="157"/>
      <c r="AE2088" s="2" t="s">
        <v>394</v>
      </c>
      <c r="AF2088" s="128">
        <f ca="1">IF($AE2080,H2088,AF2086)</f>
        <v>8888</v>
      </c>
      <c r="AG2088" s="129">
        <f ca="1">IF($AE2080,I2088,AG2086)</f>
        <v>8888</v>
      </c>
      <c r="AI2088" s="128" t="s">
        <v>394</v>
      </c>
      <c r="AJ2088" s="128">
        <f ca="1">IF($AI2080,L2088,AJ2086)</f>
        <v>8888</v>
      </c>
      <c r="AK2088" s="129">
        <f ca="1">IF($AI2080,M2088,AK2086)</f>
        <v>8888</v>
      </c>
      <c r="BD2088" s="157"/>
    </row>
    <row r="2089" spans="2:56">
      <c r="B2089" s="156"/>
      <c r="C2089" s="188" t="s">
        <v>454</v>
      </c>
      <c r="D2089" s="188">
        <f ca="1">IF(C2080&gt;=2,D2082,D2085)</f>
        <v>8888</v>
      </c>
      <c r="E2089" s="189">
        <f ca="1">E2088</f>
        <v>8888</v>
      </c>
      <c r="F2089" s="157"/>
      <c r="G2089" s="115" t="s">
        <v>454</v>
      </c>
      <c r="H2089" s="188">
        <f ca="1">IF(G2080&gt;=2,H2082,H2085)</f>
        <v>8888</v>
      </c>
      <c r="I2089" s="189">
        <f ca="1">IF(G2080&gt;=2,I2088,I2085)</f>
        <v>8888</v>
      </c>
      <c r="K2089" s="188" t="s">
        <v>454</v>
      </c>
      <c r="L2089" s="188">
        <f ca="1">IF(K2080&gt;=2,L2082,L2085)</f>
        <v>8888</v>
      </c>
      <c r="M2089" s="189">
        <f ca="1">IF(K2080&gt;=2,M2088,M2085)</f>
        <v>8888</v>
      </c>
      <c r="AA2089" s="195" t="s">
        <v>454</v>
      </c>
      <c r="AB2089" s="128">
        <f ca="1">IF($AA2080,D2089,AB2086)</f>
        <v>8888</v>
      </c>
      <c r="AC2089" s="129">
        <f ca="1">IF($AA2080,E2089,AC2086)</f>
        <v>8888</v>
      </c>
      <c r="AD2089" s="157"/>
      <c r="AE2089" s="115" t="s">
        <v>454</v>
      </c>
      <c r="AF2089" s="188">
        <f ca="1">IF($AE2080,H2089,AF2086)</f>
        <v>8888</v>
      </c>
      <c r="AG2089" s="196">
        <f ca="1">IF($AE2080,I2089,AG2086)</f>
        <v>8888</v>
      </c>
      <c r="AI2089" s="188" t="s">
        <v>454</v>
      </c>
      <c r="AJ2089" s="188">
        <f ca="1">IF($AI2080,L2089,AJ2086)</f>
        <v>8888</v>
      </c>
      <c r="AK2089" s="196">
        <f ca="1">IF($AI2080,M2089,AK2086)</f>
        <v>8888</v>
      </c>
      <c r="BD2089" s="157"/>
    </row>
    <row r="2090" spans="2:56">
      <c r="B2090" s="156"/>
      <c r="C2090" s="128" t="s">
        <v>507</v>
      </c>
      <c r="D2090" s="128">
        <f ca="1">IF(C2080&gt;=3,D2082,D2089)</f>
        <v>8888</v>
      </c>
      <c r="E2090" s="139">
        <f ca="1">IF(C2080&gt;=3,E2089-P2075,E2089)</f>
        <v>8888</v>
      </c>
      <c r="F2090" s="157"/>
      <c r="G2090" s="2" t="s">
        <v>507</v>
      </c>
      <c r="H2090" s="128">
        <f ca="1">IF(G2080&gt;=3,H2082,H2089)</f>
        <v>8888</v>
      </c>
      <c r="I2090" s="139">
        <f ca="1">IF(G2080&gt;=3,I2089-P2075,I2089)</f>
        <v>8888</v>
      </c>
      <c r="K2090" s="128" t="s">
        <v>507</v>
      </c>
      <c r="L2090" s="128">
        <f ca="1">IF(K2080&gt;=3,L2082,L2089)</f>
        <v>8888</v>
      </c>
      <c r="M2090" s="139">
        <f ca="1">IF(K2080&gt;=3,M2089-P2075,M2089)</f>
        <v>8888</v>
      </c>
      <c r="AA2090" s="143" t="s">
        <v>507</v>
      </c>
      <c r="AB2090" s="128">
        <f ca="1">IF($AA2080,D2090,AB2086)</f>
        <v>8888</v>
      </c>
      <c r="AC2090" s="129">
        <f ca="1">IF($AA2080,E2090,AC2086)</f>
        <v>8888</v>
      </c>
      <c r="AD2090" s="157"/>
      <c r="AE2090" s="2" t="s">
        <v>507</v>
      </c>
      <c r="AF2090" s="128">
        <f ca="1">IF($AE2080,H2090,AF2086)</f>
        <v>8888</v>
      </c>
      <c r="AG2090" s="129">
        <f ca="1">IF($AE2080,I2090,AG2086)</f>
        <v>8888</v>
      </c>
      <c r="AI2090" s="128" t="s">
        <v>507</v>
      </c>
      <c r="AJ2090" s="128">
        <f ca="1">IF($AI2080,L2090,AJ2086)</f>
        <v>8888</v>
      </c>
      <c r="AK2090" s="129">
        <f ca="1">IF($AI2080,M2090,AK2086)</f>
        <v>8888</v>
      </c>
      <c r="BD2090" s="157"/>
    </row>
    <row r="2091" spans="2:56">
      <c r="B2091" s="156"/>
      <c r="C2091" s="128" t="s">
        <v>455</v>
      </c>
      <c r="D2091" s="128">
        <f ca="1">IF(C2080&gt;=3,D2087,D2089)</f>
        <v>8888</v>
      </c>
      <c r="E2091" s="139">
        <f ca="1">E2090</f>
        <v>8888</v>
      </c>
      <c r="F2091" s="157"/>
      <c r="G2091" s="2" t="s">
        <v>455</v>
      </c>
      <c r="H2091" s="128">
        <f ca="1">IF(G2080&gt;=3,H2083,H2089)</f>
        <v>8888</v>
      </c>
      <c r="I2091" s="139">
        <f ca="1">IF(G2080&gt;=3,I2090,I2089)</f>
        <v>8888</v>
      </c>
      <c r="K2091" s="128" t="s">
        <v>455</v>
      </c>
      <c r="L2091" s="128">
        <f ca="1">IF(K2080&gt;=3,IF(X2075,IF(K2080=3,L2082+P2074/4,L2082+P2074),L2082+P2074),L2085)</f>
        <v>8888</v>
      </c>
      <c r="M2091" s="139">
        <f ca="1">IF(K2080&gt;=3,M2090,M2089)</f>
        <v>8888</v>
      </c>
      <c r="AA2091" s="143" t="s">
        <v>455</v>
      </c>
      <c r="AB2091" s="128">
        <f ca="1">IF($AA2080,D2091,AB2086)</f>
        <v>8888</v>
      </c>
      <c r="AC2091" s="129">
        <f ca="1">IF($AA2080,E2091,AC2086)</f>
        <v>8888</v>
      </c>
      <c r="AD2091" s="157"/>
      <c r="AE2091" s="2" t="s">
        <v>455</v>
      </c>
      <c r="AF2091" s="128">
        <f ca="1">IF($AE2080,H2091,AF2086)</f>
        <v>8888</v>
      </c>
      <c r="AG2091" s="129">
        <f ca="1">IF($AE2080,I2091,AG2086)</f>
        <v>8888</v>
      </c>
      <c r="AI2091" s="128" t="s">
        <v>455</v>
      </c>
      <c r="AJ2091" s="128">
        <f ca="1">IF($AI2080,L2091,AJ2086)</f>
        <v>8888</v>
      </c>
      <c r="AK2091" s="129">
        <f ca="1">IF($AI2080,M2091,AK2086)</f>
        <v>8888</v>
      </c>
      <c r="AL2091" s="156"/>
      <c r="BD2091" s="157"/>
    </row>
    <row r="2092" spans="2:56">
      <c r="B2092" s="156"/>
      <c r="C2092" s="128" t="s">
        <v>311</v>
      </c>
      <c r="D2092" s="128">
        <f ca="1">IF(C2080&gt;=3,D2087,D2089)</f>
        <v>8888</v>
      </c>
      <c r="E2092" s="139">
        <f ca="1">IF(C2080&gt;=3,E2091-P2073,E2089)</f>
        <v>8888</v>
      </c>
      <c r="F2092" s="157"/>
      <c r="G2092" s="2" t="s">
        <v>311</v>
      </c>
      <c r="H2092" s="128">
        <f ca="1">IF(G2080&gt;=3,H2083,H2089)</f>
        <v>8888</v>
      </c>
      <c r="I2092" s="139">
        <f ca="1">IF(G2080&gt;=3,I2091-P2073,I2089)</f>
        <v>8888</v>
      </c>
      <c r="K2092" s="128" t="s">
        <v>311</v>
      </c>
      <c r="L2092" s="128">
        <f ca="1">L2091</f>
        <v>8888</v>
      </c>
      <c r="M2092" s="139">
        <f ca="1">IF(K2080&gt;=3,M2091-P2073,M2089)</f>
        <v>8888</v>
      </c>
      <c r="AA2092" s="143" t="s">
        <v>311</v>
      </c>
      <c r="AB2092" s="128">
        <f ca="1">IF($AA2080,D2092,AB2086)</f>
        <v>8888</v>
      </c>
      <c r="AC2092" s="129">
        <f ca="1">IF($AA2080,E2092,AC2086)</f>
        <v>8888</v>
      </c>
      <c r="AD2092" s="157"/>
      <c r="AE2092" s="2" t="s">
        <v>311</v>
      </c>
      <c r="AF2092" s="128">
        <f ca="1">IF($AE2080,H2092,AF2086)</f>
        <v>8888</v>
      </c>
      <c r="AG2092" s="129">
        <f ca="1">IF($AE2080,I2092,AG2086)</f>
        <v>8888</v>
      </c>
      <c r="AI2092" s="128" t="s">
        <v>311</v>
      </c>
      <c r="AJ2092" s="128">
        <f ca="1">IF($AI2080,L2092,AJ2086)</f>
        <v>8888</v>
      </c>
      <c r="AK2092" s="129">
        <f ca="1">IF($AI2080,M2092,AK2086)</f>
        <v>8888</v>
      </c>
      <c r="AL2092" s="156"/>
      <c r="BD2092" s="157"/>
    </row>
    <row r="2093" spans="2:56">
      <c r="B2093" s="156"/>
      <c r="C2093" s="188" t="s">
        <v>35</v>
      </c>
      <c r="D2093" s="188">
        <f ca="1">IF(C2080&gt;=3,D2082,D2089)</f>
        <v>8888</v>
      </c>
      <c r="E2093" s="189">
        <f ca="1">E2092</f>
        <v>8888</v>
      </c>
      <c r="F2093" s="157"/>
      <c r="G2093" s="2" t="s">
        <v>35</v>
      </c>
      <c r="H2093" s="188">
        <f ca="1">IF(G2080&gt;=3,H2082,H2089)</f>
        <v>8888</v>
      </c>
      <c r="I2093" s="189">
        <f ca="1">IF(G2080&gt;=3,I2092,I2089)</f>
        <v>8888</v>
      </c>
      <c r="K2093" s="188" t="s">
        <v>35</v>
      </c>
      <c r="L2093" s="188">
        <f ca="1">IF(K2080&gt;=3,L2082,L2089)</f>
        <v>8888</v>
      </c>
      <c r="M2093" s="189">
        <f ca="1">IF(K2080&gt;=3,M2092,M2089)</f>
        <v>8888</v>
      </c>
      <c r="AA2093" s="143" t="s">
        <v>35</v>
      </c>
      <c r="AB2093" s="128">
        <f ca="1">IF($AA2080,D2093,AB2086)</f>
        <v>8888</v>
      </c>
      <c r="AC2093" s="129">
        <f ca="1">IF($AA2080,E2093,AC2086)</f>
        <v>8888</v>
      </c>
      <c r="AD2093" s="157"/>
      <c r="AE2093" s="2" t="s">
        <v>35</v>
      </c>
      <c r="AF2093" s="188">
        <f ca="1">IF($AE2080,H2093,AF2086)</f>
        <v>8888</v>
      </c>
      <c r="AG2093" s="196">
        <f ca="1">IF($AE2080,I2093,AG2086)</f>
        <v>8888</v>
      </c>
      <c r="AI2093" s="128" t="s">
        <v>35</v>
      </c>
      <c r="AJ2093" s="128">
        <f ca="1">IF($AI2080,L2093,AJ2086)</f>
        <v>8888</v>
      </c>
      <c r="AK2093" s="129">
        <f ca="1">IF($AI2080,M2093,AK2086)</f>
        <v>8888</v>
      </c>
      <c r="AL2093" s="156"/>
      <c r="BD2093" s="157"/>
    </row>
    <row r="2094" spans="2:56" ht="15" thickBot="1">
      <c r="B2094" s="156"/>
      <c r="C2094" s="130" t="s">
        <v>396</v>
      </c>
      <c r="D2094" s="130">
        <f ca="1">D2082</f>
        <v>8888</v>
      </c>
      <c r="E2094" s="140">
        <f ca="1">E2082</f>
        <v>8888</v>
      </c>
      <c r="F2094" s="157"/>
      <c r="G2094" s="192" t="s">
        <v>312</v>
      </c>
      <c r="H2094" s="128">
        <f ca="1">IF(G2080&gt;=4,H2082,H2093)</f>
        <v>8888</v>
      </c>
      <c r="I2094" s="139">
        <f ca="1">IF(G2080&gt;=4,I2093-P2075,I2093)</f>
        <v>8888</v>
      </c>
      <c r="K2094" s="130" t="s">
        <v>396</v>
      </c>
      <c r="L2094" s="130">
        <f ca="1">L2082</f>
        <v>8888</v>
      </c>
      <c r="M2094" s="140">
        <f ca="1">M2082</f>
        <v>8888</v>
      </c>
      <c r="AA2094" s="144" t="s">
        <v>396</v>
      </c>
      <c r="AB2094" s="130">
        <f ca="1">IF($AA2080,D2094,AB2086)</f>
        <v>8888</v>
      </c>
      <c r="AC2094" s="132">
        <f ca="1">IF($AA2080,E2094,AC2086)</f>
        <v>8888</v>
      </c>
      <c r="AD2094" s="157"/>
      <c r="AE2094" s="192" t="s">
        <v>312</v>
      </c>
      <c r="AF2094" s="128">
        <f ca="1">IF($AE2080,H2094,AF2086)</f>
        <v>8888</v>
      </c>
      <c r="AG2094" s="129">
        <f ca="1">IF($AE2080,I2094,AG2086)</f>
        <v>8888</v>
      </c>
      <c r="AI2094" s="130" t="s">
        <v>396</v>
      </c>
      <c r="AJ2094" s="130">
        <f ca="1">IF($AI2080,L2094,AJ2086)</f>
        <v>8888</v>
      </c>
      <c r="AK2094" s="132">
        <f ca="1">IF($AI2080,M2094,AK2086)</f>
        <v>8888</v>
      </c>
      <c r="BD2094" s="157"/>
    </row>
    <row r="2095" spans="2:56">
      <c r="B2095" s="156"/>
      <c r="F2095" s="157"/>
      <c r="G2095" s="2" t="s">
        <v>313</v>
      </c>
      <c r="H2095" s="128">
        <f ca="1">IF(G2080&gt;=4,H2083,H2093)</f>
        <v>8888</v>
      </c>
      <c r="I2095" s="139">
        <f ca="1">IF(G2080&gt;=4,I2094,I2093)</f>
        <v>8888</v>
      </c>
      <c r="AD2095" s="157"/>
      <c r="AE2095" s="2" t="s">
        <v>313</v>
      </c>
      <c r="AF2095" s="128">
        <f ca="1">IF($AE2080,H2095,AF2086)</f>
        <v>8888</v>
      </c>
      <c r="AG2095" s="129">
        <f ca="1">IF($AE2080,I2095,AG2086)</f>
        <v>8888</v>
      </c>
      <c r="BD2095" s="157"/>
    </row>
    <row r="2096" spans="2:56">
      <c r="B2096" s="156"/>
      <c r="F2096" s="157"/>
      <c r="G2096" s="2" t="s">
        <v>7</v>
      </c>
      <c r="H2096" s="128">
        <f ca="1">IF(G2080&gt;=4,H2083,H2093)</f>
        <v>8888</v>
      </c>
      <c r="I2096" s="139">
        <f ca="1">IF(G2080&gt;=4,I2095-P2073,I2093)</f>
        <v>8888</v>
      </c>
      <c r="AD2096" s="157"/>
      <c r="AE2096" s="2" t="s">
        <v>7</v>
      </c>
      <c r="AF2096" s="128">
        <f ca="1">IF($AE2080,H2096,AF2086)</f>
        <v>8888</v>
      </c>
      <c r="AG2096" s="129">
        <f ca="1">IF($AE2080,I2096,AG2086)</f>
        <v>8888</v>
      </c>
      <c r="BD2096" s="157"/>
    </row>
    <row r="2097" spans="2:56">
      <c r="B2097" s="156"/>
      <c r="F2097" s="157"/>
      <c r="G2097" s="115" t="s">
        <v>8</v>
      </c>
      <c r="H2097" s="188">
        <f ca="1">IF(G2080&gt;=4,H2082,H2093)</f>
        <v>8888</v>
      </c>
      <c r="I2097" s="189">
        <f ca="1">IF(G2080&gt;=4,I2096,I2093)</f>
        <v>8888</v>
      </c>
      <c r="AD2097" s="157"/>
      <c r="AE2097" s="115" t="s">
        <v>8</v>
      </c>
      <c r="AF2097" s="188">
        <f ca="1">IF($AE2080,H2097,AF2086)</f>
        <v>8888</v>
      </c>
      <c r="AG2097" s="196">
        <f ca="1">IF($AE2080,I2097,AG2086)</f>
        <v>8888</v>
      </c>
      <c r="BD2097" s="157"/>
    </row>
    <row r="2098" spans="2:56">
      <c r="B2098" s="156"/>
      <c r="F2098" s="157"/>
      <c r="G2098" s="2" t="s">
        <v>9</v>
      </c>
      <c r="H2098" s="128">
        <f ca="1">IF(G2080&gt;=5,H2082,H2097)</f>
        <v>8888</v>
      </c>
      <c r="I2098" s="139">
        <f ca="1">IF(G2080&gt;=5,I2097-P2075,I2097)</f>
        <v>8888</v>
      </c>
      <c r="AD2098" s="157"/>
      <c r="AE2098" s="2" t="s">
        <v>9</v>
      </c>
      <c r="AF2098" s="128">
        <f ca="1">IF($AE2080,H2098,AF2086)</f>
        <v>8888</v>
      </c>
      <c r="AG2098" s="129">
        <f ca="1">IF($AE2080,I2098,AG2086)</f>
        <v>8888</v>
      </c>
      <c r="BD2098" s="157"/>
    </row>
    <row r="2099" spans="2:56">
      <c r="B2099" s="156"/>
      <c r="F2099" s="157"/>
      <c r="G2099" s="2" t="s">
        <v>196</v>
      </c>
      <c r="H2099" s="128">
        <f ca="1">IF(G2080&gt;=5,H2083,H2097)</f>
        <v>8888</v>
      </c>
      <c r="I2099" s="139">
        <f ca="1">IF(G2080&gt;=5,I2098,I2097)</f>
        <v>8888</v>
      </c>
      <c r="AD2099" s="157"/>
      <c r="AE2099" s="2" t="s">
        <v>196</v>
      </c>
      <c r="AF2099" s="128">
        <f ca="1">IF($AE2080,H2099,AF2086)</f>
        <v>8888</v>
      </c>
      <c r="AG2099" s="129">
        <f ca="1">IF($AE2080,I2099,AG2086)</f>
        <v>8888</v>
      </c>
      <c r="BD2099" s="157"/>
    </row>
    <row r="2100" spans="2:56">
      <c r="B2100" s="156"/>
      <c r="F2100" s="157"/>
      <c r="G2100" s="2" t="s">
        <v>10</v>
      </c>
      <c r="H2100" s="128">
        <f ca="1">IF(G2080&gt;=5,H2083,H2097)</f>
        <v>8888</v>
      </c>
      <c r="I2100" s="139">
        <f ca="1">IF(G2080&gt;=5,I2099-P2073,I2097)</f>
        <v>8888</v>
      </c>
      <c r="AD2100" s="157"/>
      <c r="AE2100" s="2" t="s">
        <v>10</v>
      </c>
      <c r="AF2100" s="128">
        <f ca="1">IF($AE2080,H2100,AF2086)</f>
        <v>8888</v>
      </c>
      <c r="AG2100" s="129">
        <f ca="1">IF($AE2080,I2100,AG2086)</f>
        <v>8888</v>
      </c>
      <c r="BD2100" s="157"/>
    </row>
    <row r="2101" spans="2:56">
      <c r="B2101" s="156"/>
      <c r="F2101" s="157"/>
      <c r="G2101" s="2" t="s">
        <v>161</v>
      </c>
      <c r="H2101" s="188">
        <f ca="1">IF(G2080&gt;=5,H2082,H2097)</f>
        <v>8888</v>
      </c>
      <c r="I2101" s="189">
        <f ca="1">IF(G2080&gt;=5,I2100,I2097)</f>
        <v>8888</v>
      </c>
      <c r="AD2101" s="157"/>
      <c r="AE2101" s="2" t="s">
        <v>161</v>
      </c>
      <c r="AF2101" s="188">
        <f ca="1">IF($AE2080,H2101,AF2086)</f>
        <v>8888</v>
      </c>
      <c r="AG2101" s="196">
        <f ca="1">IF($AE2080,I2101,AG2086)</f>
        <v>8888</v>
      </c>
      <c r="BD2101" s="157"/>
    </row>
    <row r="2102" spans="2:56">
      <c r="B2102" s="156"/>
      <c r="F2102" s="157"/>
      <c r="G2102" s="192" t="s">
        <v>11</v>
      </c>
      <c r="H2102" s="128">
        <f ca="1">IF(G2080&gt;=6,H2082,H2101)</f>
        <v>8888</v>
      </c>
      <c r="I2102" s="139">
        <f ca="1">IF(G2080&gt;=6,I2101-P2075,I2101)</f>
        <v>8888</v>
      </c>
      <c r="AD2102" s="157"/>
      <c r="AE2102" s="192" t="s">
        <v>11</v>
      </c>
      <c r="AF2102" s="128">
        <f ca="1">IF($AE2080,H2102,AF2086)</f>
        <v>8888</v>
      </c>
      <c r="AG2102" s="129">
        <f ca="1">IF($AE2080,I2102,AG2086)</f>
        <v>8888</v>
      </c>
      <c r="BD2102" s="157"/>
    </row>
    <row r="2103" spans="2:56">
      <c r="B2103" s="156"/>
      <c r="F2103" s="157"/>
      <c r="G2103" s="2" t="s">
        <v>12</v>
      </c>
      <c r="H2103" s="128">
        <f ca="1">IF(G2080&gt;=6,H2083,H2101)</f>
        <v>8888</v>
      </c>
      <c r="I2103" s="139">
        <f ca="1">IF(G2080&gt;=6,I2102,I2101)</f>
        <v>8888</v>
      </c>
      <c r="AD2103" s="157"/>
      <c r="AE2103" s="2" t="s">
        <v>12</v>
      </c>
      <c r="AF2103" s="128">
        <f ca="1">IF($AE2080,H2103,AF2086)</f>
        <v>8888</v>
      </c>
      <c r="AG2103" s="129">
        <f ca="1">IF($AE2080,I2103,AG2086)</f>
        <v>8888</v>
      </c>
      <c r="BD2103" s="157"/>
    </row>
    <row r="2104" spans="2:56">
      <c r="B2104" s="156"/>
      <c r="F2104" s="157"/>
      <c r="G2104" s="2" t="s">
        <v>13</v>
      </c>
      <c r="H2104" s="128">
        <f ca="1">IF(G2080&gt;=6,H2083,H2101)</f>
        <v>8888</v>
      </c>
      <c r="I2104" s="139">
        <f ca="1">IF(G2080&gt;=6,I2103-P2073,I2101)</f>
        <v>8888</v>
      </c>
      <c r="AD2104" s="157"/>
      <c r="AE2104" s="2" t="s">
        <v>13</v>
      </c>
      <c r="AF2104" s="128">
        <f ca="1">IF($AE2080,H2104,AF2086)</f>
        <v>8888</v>
      </c>
      <c r="AG2104" s="129">
        <f ca="1">IF($AE2080,I2104,AG2086)</f>
        <v>8888</v>
      </c>
      <c r="BD2104" s="157"/>
    </row>
    <row r="2105" spans="2:56">
      <c r="B2105" s="156"/>
      <c r="F2105" s="157"/>
      <c r="G2105" s="115" t="s">
        <v>14</v>
      </c>
      <c r="H2105" s="188">
        <f ca="1">IF(G2080&gt;=6,H2082,H2101)</f>
        <v>8888</v>
      </c>
      <c r="I2105" s="189">
        <f ca="1">IF(G2080&gt;=6,I2104,I2101)</f>
        <v>8888</v>
      </c>
      <c r="AD2105" s="157"/>
      <c r="AE2105" s="115" t="s">
        <v>14</v>
      </c>
      <c r="AF2105" s="188">
        <f ca="1">IF($AE2080,H2105,AF2086)</f>
        <v>8888</v>
      </c>
      <c r="AG2105" s="196">
        <f ca="1">IF($AE2080,I2105,AG2086)</f>
        <v>8888</v>
      </c>
      <c r="BD2105" s="157"/>
    </row>
    <row r="2106" spans="2:56" ht="15" thickBot="1">
      <c r="B2106" s="156"/>
      <c r="G2106" s="130" t="s">
        <v>396</v>
      </c>
      <c r="H2106" s="130">
        <f ca="1">H2082</f>
        <v>8888</v>
      </c>
      <c r="I2106" s="140">
        <f ca="1">I2082</f>
        <v>8888</v>
      </c>
      <c r="AE2106" s="130" t="s">
        <v>396</v>
      </c>
      <c r="AF2106" s="130">
        <f ca="1">IF($AE2080,H2106,AF2086)</f>
        <v>8888</v>
      </c>
      <c r="AG2106" s="132">
        <f ca="1">IF($AE2080,I2106,AG2086)</f>
        <v>8888</v>
      </c>
      <c r="BD2106" s="157"/>
    </row>
    <row r="2107" spans="2:56">
      <c r="B2107" s="156"/>
      <c r="BD2107" s="157"/>
    </row>
    <row r="2108" spans="2:56">
      <c r="B2108" s="156"/>
      <c r="BD2108" s="157"/>
    </row>
    <row r="2109" spans="2:56">
      <c r="B2109" s="156"/>
      <c r="C2109" s="200" t="s">
        <v>336</v>
      </c>
      <c r="D2109">
        <f>D2073+1</f>
        <v>54</v>
      </c>
      <c r="G2109" s="200" t="s">
        <v>638</v>
      </c>
      <c r="H2109">
        <f ca="1">LOOKUP(D2112,$C$191:$C$196,$D$191:$D$196)</f>
        <v>0</v>
      </c>
      <c r="K2109" s="200" t="s">
        <v>644</v>
      </c>
      <c r="L2109">
        <f ca="1">L2073-H2114</f>
        <v>-18.624000000000006</v>
      </c>
      <c r="O2109" s="200" t="s">
        <v>404</v>
      </c>
      <c r="P2109">
        <f ca="1">IF(D2111=1,SEAT_w_cushion_FC,IF(D2111=2,SEAT_w_cushion_BC,IF(D2111=3,SEAT_w_cushion_YC,0)))</f>
        <v>0</v>
      </c>
      <c r="S2109" s="200" t="s">
        <v>647</v>
      </c>
      <c r="T2109">
        <f ca="1">LOOKUP(D2112,$C$191:$C$196,$E$191:$E$196)</f>
        <v>0</v>
      </c>
      <c r="W2109" t="s">
        <v>130</v>
      </c>
      <c r="X2109" t="str">
        <f ca="1">OFFSET(Fuselage!$B$275,D2109,5)</f>
        <v>None</v>
      </c>
      <c r="AN2109" s="200" t="s">
        <v>135</v>
      </c>
      <c r="AO2109">
        <f ca="1">MAX(0,H2114-MAX(T2109,T2111,T2113,P2110)-X2110)</f>
        <v>0</v>
      </c>
      <c r="BD2109" s="157"/>
    </row>
    <row r="2110" spans="2:56">
      <c r="B2110" s="156"/>
      <c r="C2110" s="200" t="s">
        <v>200</v>
      </c>
      <c r="D2110" t="str">
        <f ca="1">OFFSET(Fuselage!$B$275,D2109,0)</f>
        <v/>
      </c>
      <c r="G2110" s="200" t="s">
        <v>639</v>
      </c>
      <c r="H2110">
        <f ca="1">LOOKUP(D2113,$C$191:$C$196,$D$191:$D$196)</f>
        <v>0</v>
      </c>
      <c r="O2110" s="200" t="s">
        <v>535</v>
      </c>
      <c r="P2110">
        <f ca="1">IF(D2111=1,SEAT_length_FC,IF(D2111=2,SEAT_length_BC,IF(D2111=3,SEAT_length_YC,0)))</f>
        <v>0</v>
      </c>
      <c r="S2110" s="200" t="s">
        <v>648</v>
      </c>
      <c r="T2110">
        <f ca="1">LOOKUP(D2112,$C$191:$C$196,$F$191:$F$196)</f>
        <v>0</v>
      </c>
      <c r="W2110" t="s">
        <v>131</v>
      </c>
      <c r="X2110">
        <f ca="1">LOOKUP(X2109,$I$191:$I$198,$J$191:$J$198)</f>
        <v>0</v>
      </c>
      <c r="BD2110" s="157"/>
    </row>
    <row r="2111" spans="2:56">
      <c r="B2111" s="156"/>
      <c r="C2111" s="200" t="s">
        <v>337</v>
      </c>
      <c r="D2111" t="str">
        <f ca="1">OFFSET(Fuselage!$B$275,D2109,4)</f>
        <v/>
      </c>
      <c r="G2111" s="200" t="s">
        <v>309</v>
      </c>
      <c r="H2111">
        <f ca="1">LOOKUP(D2114,$C$191:$C$196,$D$191:$D$196)</f>
        <v>0</v>
      </c>
      <c r="K2111" s="200" t="s">
        <v>645</v>
      </c>
      <c r="L2111">
        <f ca="1">IF(D2111=1,FUSELAGE_nseats_left_FC,IF(D2111=2,FUSELAGE_nseats_left_BC,IF(D2111=3,FUSELAGE_nseats_left_YC,0)))</f>
        <v>0</v>
      </c>
      <c r="O2111" s="200" t="s">
        <v>405</v>
      </c>
      <c r="P2111">
        <f ca="1">IF(D2111=1,SEAT_w_armrest_FC,IF(D2111=2,SEAT_w_armrest_BC,IF(D2111=3,SEAT_w_armrest_YC,0)))</f>
        <v>0</v>
      </c>
      <c r="S2111" s="200" t="s">
        <v>652</v>
      </c>
      <c r="T2111">
        <f ca="1">LOOKUP(D2113,$C$191:$C$196,$E$191:$E$196)</f>
        <v>0</v>
      </c>
      <c r="W2111" s="200" t="s">
        <v>393</v>
      </c>
      <c r="X2111" t="b">
        <f ca="1">IF(OFFSET(Fuselage!$B$275,D2109,6)="YES",TRUE(),FALSE())</f>
        <v>0</v>
      </c>
      <c r="BD2111" s="157"/>
    </row>
    <row r="2112" spans="2:56">
      <c r="B2112" s="156"/>
      <c r="C2112" s="200" t="s">
        <v>640</v>
      </c>
      <c r="D2112" t="str">
        <f ca="1">OFFSET(Fuselage!$B$275,D2109,1)</f>
        <v>None</v>
      </c>
      <c r="G2112" s="200" t="s">
        <v>132</v>
      </c>
      <c r="H2112">
        <f ca="1">IF(D2111=1,SEAT_pitch_FC,IF(D2111=2,SEAT_pitch_BC,IF(D2111=3,SEAT_pitch_YC,0)))</f>
        <v>0</v>
      </c>
      <c r="K2112" s="200" t="s">
        <v>646</v>
      </c>
      <c r="L2112">
        <f ca="1">IF(D2111=1,FUSELAGE_nseats_middle_FC,IF(D2111=2,FUSELAGE_nseats_middle_BC,IF(D2111=3,FUSELAGE_nseats_middle_YC,0)))</f>
        <v>0</v>
      </c>
      <c r="S2112" s="200" t="s">
        <v>653</v>
      </c>
      <c r="T2112">
        <f ca="1">LOOKUP(D2113,$C$191:$C$196,$F$191:$F$196)</f>
        <v>0</v>
      </c>
      <c r="BD2112" s="157"/>
    </row>
    <row r="2113" spans="2:56">
      <c r="B2113" s="156"/>
      <c r="C2113" s="200" t="s">
        <v>642</v>
      </c>
      <c r="D2113" t="str">
        <f ca="1">OFFSET(Fuselage!$B$275,D2109,2)</f>
        <v>None</v>
      </c>
      <c r="G2113" s="200" t="s">
        <v>129</v>
      </c>
      <c r="H2113">
        <f ca="1">IF(OR(X2109="Type A",X2109="Type B"),MAX(H2109:H2112)+42*0.0254,IF(X2109="Type C",MAX(H2109:H2112)+X2110,IF(X2109&lt;&gt;"None",24*0.0254,0)))</f>
        <v>0</v>
      </c>
      <c r="K2113" s="200" t="s">
        <v>655</v>
      </c>
      <c r="L2113">
        <f ca="1">IF(D2111=1,FUSELAGE_nseats_right_FC,IF(D2111=2,FUSELAGE_nseats_right_BC,IF(D2111=3,FUSELAGE_nseats_right_YC,0)))</f>
        <v>0</v>
      </c>
      <c r="O2113" s="200" t="s">
        <v>407</v>
      </c>
      <c r="P2113">
        <f ca="1">($C$13-(L2111+L2112+L2113)*(P2109+P2111)+(FUSELAGE_n_aisles-1)*P2111)/FUSELAGE_n_aisles</f>
        <v>2.76</v>
      </c>
      <c r="S2113" s="200" t="s">
        <v>651</v>
      </c>
      <c r="T2113">
        <f ca="1">LOOKUP(D2114,$C$191:$C$196,$E$191:$E$196)</f>
        <v>0</v>
      </c>
      <c r="BD2113" s="157"/>
    </row>
    <row r="2114" spans="2:56">
      <c r="B2114" s="156"/>
      <c r="C2114" s="200" t="s">
        <v>641</v>
      </c>
      <c r="D2114" t="str">
        <f ca="1">OFFSET(Fuselage!$B$275,D2109,3)</f>
        <v>None</v>
      </c>
      <c r="G2114" s="200" t="s">
        <v>643</v>
      </c>
      <c r="H2114">
        <f ca="1">MAX(H2109:H2113)</f>
        <v>0</v>
      </c>
      <c r="S2114" s="200" t="s">
        <v>654</v>
      </c>
      <c r="T2114">
        <f ca="1">LOOKUP(D2114,$C$191:$C$196,$F$191:$F$196)</f>
        <v>0</v>
      </c>
      <c r="BD2114" s="157"/>
    </row>
    <row r="2115" spans="2:56" ht="15" thickBot="1">
      <c r="B2115" s="156"/>
      <c r="BD2115" s="157"/>
    </row>
    <row r="2116" spans="2:56" ht="15" thickBot="1">
      <c r="B2116" s="156"/>
      <c r="C2116" s="141">
        <f ca="1">L2113</f>
        <v>0</v>
      </c>
      <c r="D2116" s="197" t="str">
        <f ca="1">IF($D2111=1,"FC",IF($D2111=2,"BC",IF($D2111=3,"YC","Nothing")))</f>
        <v>Nothing</v>
      </c>
      <c r="E2116" s="198"/>
      <c r="G2116" s="141">
        <f ca="1">L2112</f>
        <v>0</v>
      </c>
      <c r="H2116" s="197" t="str">
        <f ca="1">IF($D2111=1,"FC",IF($D2111=2,"BC",IF($D2111=3,"YC","Nothing")))</f>
        <v>Nothing</v>
      </c>
      <c r="I2116" s="198"/>
      <c r="K2116" s="141">
        <f ca="1" xml:space="preserve"> L2111</f>
        <v>0</v>
      </c>
      <c r="L2116" s="197" t="str">
        <f ca="1">IF($D2111=1,"FC",IF($D2111=2,"BC",IF($D2111=3,"YC","Nothing")))</f>
        <v>Nothing</v>
      </c>
      <c r="M2116" s="198"/>
      <c r="O2116" s="141">
        <f ca="1">IF($D2114&lt;&gt;"None",1,0)</f>
        <v>0</v>
      </c>
      <c r="P2116" s="326" t="s">
        <v>380</v>
      </c>
      <c r="Q2116" s="327"/>
      <c r="S2116" s="141">
        <f ca="1">IF($D2113&lt;&gt;"None",1,0)</f>
        <v>0</v>
      </c>
      <c r="T2116" s="326" t="s">
        <v>381</v>
      </c>
      <c r="U2116" s="327"/>
      <c r="W2116" s="141">
        <f ca="1">IF($D2112&lt;&gt;"None",1,0)</f>
        <v>0</v>
      </c>
      <c r="X2116" s="326" t="s">
        <v>382</v>
      </c>
      <c r="Y2116" s="327"/>
      <c r="AA2116" s="141">
        <f ca="1">IF($D2114="None",1,0)</f>
        <v>1</v>
      </c>
      <c r="AB2116" s="326" t="str">
        <f ca="1">IF(AA2116,D2116,$D2114)</f>
        <v>Nothing</v>
      </c>
      <c r="AC2116" s="327"/>
      <c r="AE2116" s="141">
        <f ca="1">IF($D2113="None",1,0)</f>
        <v>1</v>
      </c>
      <c r="AF2116" s="326" t="str">
        <f ca="1">IF(AE2116,H2116,$D2113)</f>
        <v>Nothing</v>
      </c>
      <c r="AG2116" s="327"/>
      <c r="AI2116" s="141">
        <f ca="1">IF($D2112="None",1,0)</f>
        <v>1</v>
      </c>
      <c r="AJ2116" s="326" t="str">
        <f ca="1">IF(AI2116,L2116,$D2112)</f>
        <v>Nothing</v>
      </c>
      <c r="AK2116" s="327"/>
      <c r="AM2116" s="141">
        <f ca="1">IF($X2109="None",0,1)</f>
        <v>0</v>
      </c>
      <c r="AN2116" s="197" t="s">
        <v>133</v>
      </c>
      <c r="AO2116" s="198"/>
      <c r="AQ2116" s="141">
        <f ca="1">IF($X2109="None",0,1)</f>
        <v>0</v>
      </c>
      <c r="AR2116" s="197" t="s">
        <v>134</v>
      </c>
      <c r="AS2116" s="198"/>
      <c r="BD2116" s="157"/>
    </row>
    <row r="2117" spans="2:56" ht="15" thickBot="1">
      <c r="B2117" s="156"/>
      <c r="C2117" s="136" t="s">
        <v>452</v>
      </c>
      <c r="D2117" s="136" t="s">
        <v>384</v>
      </c>
      <c r="E2117" s="138" t="s">
        <v>385</v>
      </c>
      <c r="G2117" s="136" t="s">
        <v>452</v>
      </c>
      <c r="H2117" s="136" t="s">
        <v>384</v>
      </c>
      <c r="I2117" s="138" t="s">
        <v>385</v>
      </c>
      <c r="K2117" s="193" t="s">
        <v>452</v>
      </c>
      <c r="L2117" s="193" t="s">
        <v>384</v>
      </c>
      <c r="M2117" s="194" t="s">
        <v>385</v>
      </c>
      <c r="O2117" s="136" t="s">
        <v>452</v>
      </c>
      <c r="P2117" s="136" t="s">
        <v>384</v>
      </c>
      <c r="Q2117" s="138" t="s">
        <v>385</v>
      </c>
      <c r="S2117" s="136" t="s">
        <v>452</v>
      </c>
      <c r="T2117" s="136" t="s">
        <v>384</v>
      </c>
      <c r="U2117" s="138" t="s">
        <v>385</v>
      </c>
      <c r="W2117" s="136" t="s">
        <v>452</v>
      </c>
      <c r="X2117" s="136" t="s">
        <v>384</v>
      </c>
      <c r="Y2117" s="138" t="s">
        <v>385</v>
      </c>
      <c r="AA2117" s="136" t="s">
        <v>452</v>
      </c>
      <c r="AB2117" s="136" t="s">
        <v>384</v>
      </c>
      <c r="AC2117" s="138" t="s">
        <v>385</v>
      </c>
      <c r="AE2117" s="136" t="s">
        <v>452</v>
      </c>
      <c r="AF2117" s="136" t="s">
        <v>384</v>
      </c>
      <c r="AG2117" s="138" t="s">
        <v>385</v>
      </c>
      <c r="AI2117" s="193" t="s">
        <v>452</v>
      </c>
      <c r="AJ2117" s="193" t="s">
        <v>384</v>
      </c>
      <c r="AK2117" s="194" t="s">
        <v>385</v>
      </c>
      <c r="AM2117" s="193" t="s">
        <v>452</v>
      </c>
      <c r="AN2117" s="193" t="s">
        <v>384</v>
      </c>
      <c r="AO2117" s="194" t="s">
        <v>385</v>
      </c>
      <c r="AQ2117" s="193" t="s">
        <v>452</v>
      </c>
      <c r="AR2117" s="193" t="s">
        <v>384</v>
      </c>
      <c r="AS2117" s="194" t="s">
        <v>385</v>
      </c>
      <c r="BD2117" s="157"/>
    </row>
    <row r="2118" spans="2:56">
      <c r="B2118" s="156"/>
      <c r="C2118" s="128" t="s">
        <v>396</v>
      </c>
      <c r="D2118" s="158">
        <f ca="1">IF(C2116&gt;=1,L2109,8888)</f>
        <v>8888</v>
      </c>
      <c r="E2118" s="160">
        <f ca="1">IF(C2116&gt;=1,1/2*($C$13-P2109-2*P2111)+1/2*P2109,8888)</f>
        <v>8888</v>
      </c>
      <c r="G2118" s="128" t="s">
        <v>396</v>
      </c>
      <c r="H2118" s="158">
        <f ca="1">IF(G2116&gt;=1,L2109,8888)</f>
        <v>8888</v>
      </c>
      <c r="I2118" s="160">
        <f ca="1">IF(G2116&gt;=1,E2129-P2113,8888)</f>
        <v>8888</v>
      </c>
      <c r="K2118" s="128" t="s">
        <v>396</v>
      </c>
      <c r="L2118" s="158">
        <f ca="1">IF(K2116&gt;=1,L2109,8888)</f>
        <v>8888</v>
      </c>
      <c r="M2118" s="160">
        <f ca="1">IF(K2116&gt;=1,IF(FUSELAGE_n_aisles=1,E2129-P2113,I2141-P2113),8888)</f>
        <v>8888</v>
      </c>
      <c r="O2118" s="128" t="s">
        <v>396</v>
      </c>
      <c r="P2118" s="158">
        <f ca="1">IF(O2116,$L2109,8888)</f>
        <v>8888</v>
      </c>
      <c r="Q2118" s="209">
        <f ca="1">IF(O2116,FUSELAGE_y_position_of_left_seat_YC-(FUSELAGE_nseats_right_YC-1)*(SEAT_w_cushion_YC+SEAT_w_armrest_YC)/2+T2114/2,8888)</f>
        <v>8888</v>
      </c>
      <c r="S2118" s="128" t="s">
        <v>396</v>
      </c>
      <c r="T2118" s="158">
        <f ca="1">IF(S2116,$L2109,8888)</f>
        <v>8888</v>
      </c>
      <c r="U2118" s="160">
        <f ca="1">IF(S2116,T2112/2,8888)</f>
        <v>8888</v>
      </c>
      <c r="W2118" s="128" t="s">
        <v>396</v>
      </c>
      <c r="X2118" s="158">
        <f ca="1">IF(W2116,$L2109,8888)</f>
        <v>8888</v>
      </c>
      <c r="Y2118" s="160">
        <f ca="1">IF(W2116,-FUSELAGE_y_position_of_left_seat_YC+(FUSELAGE_nseats_left_YC-1)*(SEAT_w_cushion_YC+SEAT_w_armrest_YC)/2-T2110/2,8888)</f>
        <v>8888</v>
      </c>
      <c r="AA2118" s="128" t="s">
        <v>396</v>
      </c>
      <c r="AB2118" s="158">
        <f ca="1">IF($AA2116,D2118,P2118)</f>
        <v>8888</v>
      </c>
      <c r="AC2118" s="174">
        <f ca="1">IF($AA2116,E2118,Q2118)</f>
        <v>8888</v>
      </c>
      <c r="AE2118" s="128" t="s">
        <v>396</v>
      </c>
      <c r="AF2118" s="158">
        <f ca="1">IF($AE2116,H2118,T2118)</f>
        <v>8888</v>
      </c>
      <c r="AG2118" s="174">
        <f ca="1">IF($AE2116,I2118,U2118)</f>
        <v>8888</v>
      </c>
      <c r="AI2118" s="128" t="s">
        <v>396</v>
      </c>
      <c r="AJ2118" s="158">
        <f ca="1">IF($AI2116,L2118,X2118)</f>
        <v>8888</v>
      </c>
      <c r="AK2118" s="174">
        <f ca="1">IF($AI2116,M2118,Y2118)</f>
        <v>8888</v>
      </c>
      <c r="AM2118" s="128" t="s">
        <v>396</v>
      </c>
      <c r="AN2118" s="158">
        <f ca="1">AN2087</f>
        <v>-18.624000000000006</v>
      </c>
      <c r="AO2118" s="174">
        <f ca="1">IF(AN2118&gt;-Fuselage!$D$366,(FUSELAGE_a_ellipse)*SQRT(1-((AN2118+Fuselage!$D$366)/(Fuselage!$K$364-FUSELAGE_t_fuselage))^2),IF(AN2118&gt;$L$2505+Fuselage!$K$370,FUSELAGE_a_ellipse,(FUSELAGE_a_ellipse+FUSELAGE_t_fuselage-FUSELAGE_d_fo/4)/Fuselage!$K$368*(AN2118-$L$2505-Fuselage!$K$370)+FUSELAGE_a_ellipse))</f>
        <v>1.4960570012328709</v>
      </c>
      <c r="AQ2118" s="128" t="s">
        <v>396</v>
      </c>
      <c r="AR2118" s="158">
        <f t="shared" ref="AR2118:AR2123" ca="1" si="172">AN2118</f>
        <v>-18.624000000000006</v>
      </c>
      <c r="AS2118" s="174">
        <f t="shared" ref="AS2118:AS2123" ca="1" si="173">-AO2118</f>
        <v>-1.4960570012328709</v>
      </c>
      <c r="BD2118" s="157"/>
    </row>
    <row r="2119" spans="2:56">
      <c r="B2119" s="156"/>
      <c r="C2119" s="128" t="s">
        <v>213</v>
      </c>
      <c r="D2119" s="128">
        <f ca="1">IF(X2111,D2118+P2110/4,D2118+P2110)</f>
        <v>8888</v>
      </c>
      <c r="E2119" s="139">
        <f ca="1">E2118</f>
        <v>8888</v>
      </c>
      <c r="G2119" s="128" t="s">
        <v>213</v>
      </c>
      <c r="H2119" s="128">
        <f ca="1">H2118+P2110</f>
        <v>8888</v>
      </c>
      <c r="I2119" s="139">
        <f ca="1">I2118</f>
        <v>8888</v>
      </c>
      <c r="K2119" s="128" t="s">
        <v>213</v>
      </c>
      <c r="L2119" s="128">
        <f ca="1">IF(X2111,IF(K2116=1,L2118+P2110/4,L2118+P2110),L2118+P2110)</f>
        <v>8888</v>
      </c>
      <c r="M2119" s="139">
        <f ca="1">M2118</f>
        <v>8888</v>
      </c>
      <c r="O2119" s="128" t="s">
        <v>213</v>
      </c>
      <c r="P2119" s="128">
        <f ca="1">P2118+$T2113</f>
        <v>8888</v>
      </c>
      <c r="Q2119" s="139">
        <f ca="1">Q2118</f>
        <v>8888</v>
      </c>
      <c r="S2119" s="128" t="s">
        <v>213</v>
      </c>
      <c r="T2119" s="128">
        <f ca="1">T2118+$T2111</f>
        <v>8888</v>
      </c>
      <c r="U2119" s="139">
        <f ca="1">U2118</f>
        <v>8888</v>
      </c>
      <c r="W2119" s="128" t="s">
        <v>213</v>
      </c>
      <c r="X2119" s="128">
        <f ca="1">X2118+$T2109</f>
        <v>8888</v>
      </c>
      <c r="Y2119" s="139">
        <f ca="1">Y2118</f>
        <v>8888</v>
      </c>
      <c r="AA2119" s="143" t="s">
        <v>213</v>
      </c>
      <c r="AB2119" s="128">
        <f ca="1">IF($AA2116,D2119,P2119)</f>
        <v>8888</v>
      </c>
      <c r="AC2119" s="129">
        <f ca="1">IF($AA2116,E2119,Q2119)</f>
        <v>8888</v>
      </c>
      <c r="AE2119" s="128" t="s">
        <v>213</v>
      </c>
      <c r="AF2119" s="128">
        <f ca="1">IF($AE2116,H2119,T2119)</f>
        <v>8888</v>
      </c>
      <c r="AG2119" s="129">
        <f ca="1">IF($AE2116,I2119,U2119)</f>
        <v>8888</v>
      </c>
      <c r="AI2119" s="128" t="s">
        <v>213</v>
      </c>
      <c r="AJ2119" s="128">
        <f ca="1">IF($AI2116,L2119,X2119)</f>
        <v>8888</v>
      </c>
      <c r="AK2119" s="129">
        <f ca="1">IF($AI2116,M2119,Y2119)</f>
        <v>8888</v>
      </c>
      <c r="AM2119" s="128" t="s">
        <v>213</v>
      </c>
      <c r="AN2119" s="128">
        <f ca="1">AN2118-AO2109/2</f>
        <v>-18.624000000000006</v>
      </c>
      <c r="AO2119" s="129">
        <f ca="1">IF(AN2119&gt;-Fuselage!$D$366,(FUSELAGE_a_ellipse)*SQRT(1-((AN2119+Fuselage!$D$366)/(Fuselage!$K$364-FUSELAGE_t_fuselage))^2),IF(AN2119&gt;$L$2505+Fuselage!$K$370,FUSELAGE_a_ellipse,(FUSELAGE_a_ellipse+FUSELAGE_t_fuselage-FUSELAGE_d_fo/4)/Fuselage!$K$368*(AN2119-$L$2505-Fuselage!$K$370)+FUSELAGE_a_ellipse))</f>
        <v>1.4960570012328709</v>
      </c>
      <c r="AQ2119" s="128" t="s">
        <v>213</v>
      </c>
      <c r="AR2119" s="128">
        <f t="shared" ca="1" si="172"/>
        <v>-18.624000000000006</v>
      </c>
      <c r="AS2119" s="129">
        <f t="shared" ca="1" si="173"/>
        <v>-1.4960570012328709</v>
      </c>
      <c r="BD2119" s="157"/>
    </row>
    <row r="2120" spans="2:56">
      <c r="B2120" s="156"/>
      <c r="C2120" s="128" t="s">
        <v>286</v>
      </c>
      <c r="D2120" s="128">
        <f ca="1">D2119</f>
        <v>8888</v>
      </c>
      <c r="E2120" s="139">
        <f ca="1">E2119-P2109</f>
        <v>8888</v>
      </c>
      <c r="G2120" s="128" t="s">
        <v>286</v>
      </c>
      <c r="H2120" s="128">
        <f ca="1">H2119</f>
        <v>8888</v>
      </c>
      <c r="I2120" s="139">
        <f ca="1">I2119-P2109</f>
        <v>8888</v>
      </c>
      <c r="K2120" s="128" t="s">
        <v>286</v>
      </c>
      <c r="L2120" s="128">
        <f ca="1">L2119</f>
        <v>8888</v>
      </c>
      <c r="M2120" s="139">
        <f ca="1">M2119-P2109</f>
        <v>8888</v>
      </c>
      <c r="O2120" s="128" t="s">
        <v>286</v>
      </c>
      <c r="P2120" s="128">
        <f ca="1">P2119</f>
        <v>8888</v>
      </c>
      <c r="Q2120" s="139">
        <f ca="1">Q2119-$T2114</f>
        <v>8888</v>
      </c>
      <c r="S2120" s="128" t="s">
        <v>286</v>
      </c>
      <c r="T2120" s="128">
        <f ca="1">T2119</f>
        <v>8888</v>
      </c>
      <c r="U2120" s="139">
        <f ca="1">U2119-$T2112</f>
        <v>8888</v>
      </c>
      <c r="W2120" s="128" t="s">
        <v>286</v>
      </c>
      <c r="X2120" s="128">
        <f ca="1">X2119</f>
        <v>8888</v>
      </c>
      <c r="Y2120" s="139">
        <f ca="1">Y2119+$T2110</f>
        <v>8888</v>
      </c>
      <c r="AA2120" s="143" t="s">
        <v>286</v>
      </c>
      <c r="AB2120" s="128">
        <f ca="1">IF($AA2116,D2120,P2120)</f>
        <v>8888</v>
      </c>
      <c r="AC2120" s="129">
        <f ca="1">IF($AA2116,E2120,Q2120)</f>
        <v>8888</v>
      </c>
      <c r="AE2120" s="128" t="s">
        <v>286</v>
      </c>
      <c r="AF2120" s="128">
        <f ca="1">IF($AE2116,H2120,T2120)</f>
        <v>8888</v>
      </c>
      <c r="AG2120" s="129">
        <f ca="1">IF($AE2116,I2120,U2120)</f>
        <v>8888</v>
      </c>
      <c r="AI2120" s="128" t="s">
        <v>286</v>
      </c>
      <c r="AJ2120" s="128">
        <f ca="1">IF($AI2116,L2120,X2120)</f>
        <v>8888</v>
      </c>
      <c r="AK2120" s="129">
        <f ca="1">IF($AI2116,M2120,Y2120)</f>
        <v>8888</v>
      </c>
      <c r="AM2120" s="128" t="s">
        <v>286</v>
      </c>
      <c r="AN2120" s="128">
        <f ca="1">AN2119</f>
        <v>-18.624000000000006</v>
      </c>
      <c r="AO2120" s="129">
        <f ca="1">IF(AN2120&gt;-Fuselage!$D$366,IF(AM2116,(FUSELAGE_a_ellipse+FUSELAGE_t_fuselage)*SQRT(1-((AN2120+Fuselage!$D$366)/Fuselage!$K$364)^2),(FUSELAGE_a_ellipse)*SQRT(1-((AN2120+Fuselage!$D$366)/Fuselage!$K$364)^2)),IF(AN2120&gt;$L$2505+Fuselage!$K$370,(IF(AM2116,FUSELAGE_a_ellipse+FUSELAGE_t_fuselage,FUSELAGE_a_ellipse)),IF(AM2116,(FUSELAGE_a_ellipse+FUSELAGE_t_fuselage-FUSELAGE_d_fo/4)/Fuselage!$K$368*(AN2120-$L$2505-Fuselage!$K$370)+FUSELAGE_a_ellipse+FUSELAGE_t_fuselage,(FUSELAGE_a_ellipse+FUSELAGE_t_fuselage-FUSELAGE_d_fo/4)/Fuselage!$K$368*(AN2120-$L$2505-Fuselage!$K$370)+FUSELAGE_a_ellipse)))</f>
        <v>1.4960570012328709</v>
      </c>
      <c r="AQ2120" s="128" t="s">
        <v>286</v>
      </c>
      <c r="AR2120" s="128">
        <f t="shared" ca="1" si="172"/>
        <v>-18.624000000000006</v>
      </c>
      <c r="AS2120" s="129">
        <f t="shared" ca="1" si="173"/>
        <v>-1.4960570012328709</v>
      </c>
      <c r="BD2120" s="157"/>
    </row>
    <row r="2121" spans="2:56">
      <c r="B2121" s="156"/>
      <c r="C2121" s="188" t="s">
        <v>522</v>
      </c>
      <c r="D2121" s="188">
        <f ca="1">D2118</f>
        <v>8888</v>
      </c>
      <c r="E2121" s="189">
        <f ca="1">E2120</f>
        <v>8888</v>
      </c>
      <c r="F2121" s="157"/>
      <c r="G2121" s="2" t="s">
        <v>522</v>
      </c>
      <c r="H2121" s="128">
        <f ca="1">H2118</f>
        <v>8888</v>
      </c>
      <c r="I2121" s="139">
        <f ca="1">I2120</f>
        <v>8888</v>
      </c>
      <c r="K2121" s="128" t="s">
        <v>522</v>
      </c>
      <c r="L2121" s="128">
        <f ca="1">L2118</f>
        <v>8888</v>
      </c>
      <c r="M2121" s="139">
        <f ca="1">M2120</f>
        <v>8888</v>
      </c>
      <c r="O2121" s="188" t="s">
        <v>522</v>
      </c>
      <c r="P2121" s="188">
        <f ca="1">P2118</f>
        <v>8888</v>
      </c>
      <c r="Q2121" s="189">
        <f ca="1">Q2120</f>
        <v>8888</v>
      </c>
      <c r="S2121" s="188" t="s">
        <v>522</v>
      </c>
      <c r="T2121" s="188">
        <f ca="1">T2118</f>
        <v>8888</v>
      </c>
      <c r="U2121" s="189">
        <f ca="1">U2120</f>
        <v>8888</v>
      </c>
      <c r="W2121" s="188" t="s">
        <v>522</v>
      </c>
      <c r="X2121" s="188">
        <f ca="1">X2118</f>
        <v>8888</v>
      </c>
      <c r="Y2121" s="189">
        <f ca="1">Y2120</f>
        <v>8888</v>
      </c>
      <c r="AA2121" s="195" t="s">
        <v>522</v>
      </c>
      <c r="AB2121" s="128">
        <f ca="1">IF($AA2116,D2121,P2121)</f>
        <v>8888</v>
      </c>
      <c r="AC2121" s="129">
        <f ca="1">IF($AA2116,E2121,Q2121)</f>
        <v>8888</v>
      </c>
      <c r="AD2121" s="157"/>
      <c r="AE2121" s="2" t="s">
        <v>522</v>
      </c>
      <c r="AF2121" s="188">
        <f ca="1">IF($AE2116,H2121,T2121)</f>
        <v>8888</v>
      </c>
      <c r="AG2121" s="196">
        <f ca="1">IF($AE2116,I2121,U2121)</f>
        <v>8888</v>
      </c>
      <c r="AI2121" s="128" t="s">
        <v>522</v>
      </c>
      <c r="AJ2121" s="188">
        <f ca="1">IF($AI2116,L2121,X2121)</f>
        <v>8888</v>
      </c>
      <c r="AK2121" s="196">
        <f ca="1">IF($AI2116,M2121,Y2121)</f>
        <v>8888</v>
      </c>
      <c r="AM2121" s="128" t="s">
        <v>522</v>
      </c>
      <c r="AN2121" s="128">
        <f ca="1">AN2120-X2110</f>
        <v>-18.624000000000006</v>
      </c>
      <c r="AO2121" s="129">
        <f ca="1">IF(AN2121&gt;-Fuselage!$D$366,IF(AM2116,(FUSELAGE_a_ellipse+FUSELAGE_t_fuselage)*SQRT(1-((AN2121+Fuselage!$D$366)/Fuselage!$K$364)^2),(FUSELAGE_a_ellipse)*SQRT(1-((AN2121+Fuselage!$D$366)/Fuselage!$K$364)^2)),IF(AN2121&gt;$L$2505+Fuselage!$K$370,(IF(AM2116,FUSELAGE_a_ellipse+FUSELAGE_t_fuselage,FUSELAGE_a_ellipse)),IF(AM2116,(FUSELAGE_a_ellipse+FUSELAGE_t_fuselage-FUSELAGE_d_fo/4)/Fuselage!$K$368*(AN2121-$L$2505-Fuselage!$K$370)+FUSELAGE_a_ellipse+FUSELAGE_t_fuselage,(FUSELAGE_a_ellipse+FUSELAGE_t_fuselage-FUSELAGE_d_fo/4)/Fuselage!$K$368*(AN2121-$L$2505-Fuselage!$K$370)+FUSELAGE_a_ellipse)))</f>
        <v>1.4960570012328709</v>
      </c>
      <c r="AQ2121" s="128" t="s">
        <v>522</v>
      </c>
      <c r="AR2121" s="128">
        <f t="shared" ca="1" si="172"/>
        <v>-18.624000000000006</v>
      </c>
      <c r="AS2121" s="129">
        <f t="shared" ca="1" si="173"/>
        <v>-1.4960570012328709</v>
      </c>
      <c r="BD2121" s="157"/>
    </row>
    <row r="2122" spans="2:56" ht="15" thickBot="1">
      <c r="B2122" s="156"/>
      <c r="C2122" s="128" t="s">
        <v>49</v>
      </c>
      <c r="D2122" s="128">
        <f ca="1">IF(C2116&gt;=2,D2118,D2121)</f>
        <v>8888</v>
      </c>
      <c r="E2122" s="139">
        <f ca="1">IF(C2116&gt;=2,E2121-P2111,E2121)</f>
        <v>8888</v>
      </c>
      <c r="F2122" s="157"/>
      <c r="G2122" s="192" t="s">
        <v>49</v>
      </c>
      <c r="H2122" s="190">
        <f ca="1">IF(G2116&gt;=2,H2118,H2121)</f>
        <v>8888</v>
      </c>
      <c r="I2122" s="191">
        <f ca="1">IF(G2116&gt;=2,I2121-P2111,I2121)</f>
        <v>8888</v>
      </c>
      <c r="K2122" s="190" t="s">
        <v>49</v>
      </c>
      <c r="L2122" s="190">
        <f ca="1">IF(K2116&gt;=2,L2118,L2121)</f>
        <v>8888</v>
      </c>
      <c r="M2122" s="191">
        <f ca="1">IF(K2116&gt;=2,M2121-P2111,M2121)</f>
        <v>8888</v>
      </c>
      <c r="O2122" s="130" t="s">
        <v>396</v>
      </c>
      <c r="P2122" s="130">
        <f ca="1">P2118</f>
        <v>8888</v>
      </c>
      <c r="Q2122" s="140">
        <f ca="1">Q2118</f>
        <v>8888</v>
      </c>
      <c r="S2122" s="130" t="s">
        <v>396</v>
      </c>
      <c r="T2122" s="130">
        <f ca="1">T2118</f>
        <v>8888</v>
      </c>
      <c r="U2122" s="140">
        <f ca="1">U2118</f>
        <v>8888</v>
      </c>
      <c r="W2122" s="130" t="s">
        <v>396</v>
      </c>
      <c r="X2122" s="130">
        <f ca="1">X2118</f>
        <v>8888</v>
      </c>
      <c r="Y2122" s="140">
        <f ca="1">Y2118</f>
        <v>8888</v>
      </c>
      <c r="AA2122" s="143" t="s">
        <v>49</v>
      </c>
      <c r="AB2122" s="128">
        <f ca="1">IF($AA2116,D2122,P2122)</f>
        <v>8888</v>
      </c>
      <c r="AC2122" s="129">
        <f ca="1">IF($AA2116,E2122,Q2122)</f>
        <v>8888</v>
      </c>
      <c r="AD2122" s="157"/>
      <c r="AE2122" s="192" t="s">
        <v>49</v>
      </c>
      <c r="AF2122" s="128">
        <f ca="1">IF($AE2116,H2122,T2122)</f>
        <v>8888</v>
      </c>
      <c r="AG2122" s="129">
        <f ca="1">IF($AE2116,I2122,U2122)</f>
        <v>8888</v>
      </c>
      <c r="AI2122" s="190" t="s">
        <v>49</v>
      </c>
      <c r="AJ2122" s="128">
        <f ca="1">IF($AI2116,L2122,X2122)</f>
        <v>8888</v>
      </c>
      <c r="AK2122" s="129">
        <f ca="1">IF($AI2116,M2122,Y2122)</f>
        <v>8888</v>
      </c>
      <c r="AM2122" s="128" t="s">
        <v>49</v>
      </c>
      <c r="AN2122" s="128">
        <f ca="1">AN2121</f>
        <v>-18.624000000000006</v>
      </c>
      <c r="AO2122" s="129">
        <f ca="1">IF(AN2122&gt;-Fuselage!$D$366,(FUSELAGE_a_ellipse)*SQRT(1-((AN2122+Fuselage!$D$366)/(Fuselage!$K$364-FUSELAGE_t_fuselage))^2),IF(AN2122&gt;$L$2505+Fuselage!$K$370,FUSELAGE_a_ellipse,(FUSELAGE_a_ellipse+FUSELAGE_t_fuselage-FUSELAGE_d_fo/4)/Fuselage!$K$368*(AN2122-$L$2505-Fuselage!$K$370)+FUSELAGE_a_ellipse))</f>
        <v>1.4960570012328709</v>
      </c>
      <c r="AQ2122" s="128" t="s">
        <v>49</v>
      </c>
      <c r="AR2122" s="128">
        <f t="shared" ca="1" si="172"/>
        <v>-18.624000000000006</v>
      </c>
      <c r="AS2122" s="129">
        <f t="shared" ca="1" si="173"/>
        <v>-1.4960570012328709</v>
      </c>
      <c r="BD2122" s="157"/>
    </row>
    <row r="2123" spans="2:56">
      <c r="B2123" s="156"/>
      <c r="C2123" s="128" t="s">
        <v>453</v>
      </c>
      <c r="D2123" s="128">
        <f ca="1">IF(C2116&gt;=2,D2118+P2110,D2121)</f>
        <v>8888</v>
      </c>
      <c r="E2123" s="139">
        <f ca="1">E2122</f>
        <v>8888</v>
      </c>
      <c r="F2123" s="157"/>
      <c r="G2123" s="2" t="s">
        <v>453</v>
      </c>
      <c r="H2123" s="128">
        <f ca="1">IF(G2116&gt;=2,H2119,H2121)</f>
        <v>8888</v>
      </c>
      <c r="I2123" s="139">
        <f ca="1">IF(G2116&gt;=2,I2122,I2121)</f>
        <v>8888</v>
      </c>
      <c r="K2123" s="128" t="s">
        <v>453</v>
      </c>
      <c r="L2123" s="128">
        <f ca="1">IF(K2116&gt;=2,IF(X2111,IF(K2116=2,L2118+P2110/4,L2118+P2110),L2118+P2110),L2121)</f>
        <v>8888</v>
      </c>
      <c r="M2123" s="139">
        <f ca="1">IF(K2116&gt;=2,M2122,M2121)</f>
        <v>8888</v>
      </c>
      <c r="AA2123" s="143" t="s">
        <v>453</v>
      </c>
      <c r="AB2123" s="128">
        <f ca="1">IF($AA2116,D2123,AB2122)</f>
        <v>8888</v>
      </c>
      <c r="AC2123" s="129">
        <f ca="1">IF($AA2116,E2123,AC2122)</f>
        <v>8888</v>
      </c>
      <c r="AD2123" s="157"/>
      <c r="AE2123" s="2" t="s">
        <v>453</v>
      </c>
      <c r="AF2123" s="128">
        <f ca="1">IF($AE2116,H2123,AF2122)</f>
        <v>8888</v>
      </c>
      <c r="AG2123" s="129">
        <f ca="1">IF($AE2116,I2123,AG2122)</f>
        <v>8888</v>
      </c>
      <c r="AI2123" s="128" t="s">
        <v>453</v>
      </c>
      <c r="AJ2123" s="128">
        <f ca="1">IF($AI2116,L2123,AJ2122)</f>
        <v>8888</v>
      </c>
      <c r="AK2123" s="129">
        <f ca="1">IF($AI2116,M2123,AK2122)</f>
        <v>8888</v>
      </c>
      <c r="AM2123" s="128" t="s">
        <v>453</v>
      </c>
      <c r="AN2123" s="128">
        <f ca="1">L2109</f>
        <v>-18.624000000000006</v>
      </c>
      <c r="AO2123" s="129">
        <f ca="1">IF(AN2123&gt;-Fuselage!$D$366,(FUSELAGE_a_ellipse)*SQRT(1-((AN2123+Fuselage!$D$366)/(Fuselage!$K$364-FUSELAGE_t_fuselage))^2),IF(AN2123&gt;$L$2505+Fuselage!$K$370,FUSELAGE_a_ellipse,(FUSELAGE_a_ellipse+FUSELAGE_t_fuselage-FUSELAGE_d_fo/4)/Fuselage!$K$368*(AN2123-$L$2505-Fuselage!$K$370)+FUSELAGE_a_ellipse))</f>
        <v>1.4960570012328709</v>
      </c>
      <c r="AQ2123" s="128" t="s">
        <v>453</v>
      </c>
      <c r="AR2123" s="128">
        <f t="shared" ca="1" si="172"/>
        <v>-18.624000000000006</v>
      </c>
      <c r="AS2123" s="129">
        <f t="shared" ca="1" si="173"/>
        <v>-1.4960570012328709</v>
      </c>
      <c r="BD2123" s="157"/>
    </row>
    <row r="2124" spans="2:56">
      <c r="B2124" s="156"/>
      <c r="C2124" s="128" t="s">
        <v>394</v>
      </c>
      <c r="D2124" s="128">
        <f ca="1">IF(C2116&gt;=2,D2123,D2121)</f>
        <v>8888</v>
      </c>
      <c r="E2124" s="139">
        <f ca="1">IF(C2116&gt;=2,E2122-P2109,E2121)</f>
        <v>8888</v>
      </c>
      <c r="F2124" s="157"/>
      <c r="G2124" s="2" t="s">
        <v>394</v>
      </c>
      <c r="H2124" s="128">
        <f ca="1">IF(G2116&gt;=2,H2119,H2121)</f>
        <v>8888</v>
      </c>
      <c r="I2124" s="139">
        <f ca="1">IF(G2116&gt;=2,I2123-P2109,I2121)</f>
        <v>8888</v>
      </c>
      <c r="K2124" s="128" t="s">
        <v>394</v>
      </c>
      <c r="L2124" s="128">
        <f ca="1">L2123</f>
        <v>8888</v>
      </c>
      <c r="M2124" s="139">
        <f ca="1">IF(K2116&gt;=2,M2123-P2109,M2121)</f>
        <v>8888</v>
      </c>
      <c r="AA2124" s="143" t="s">
        <v>394</v>
      </c>
      <c r="AB2124" s="128">
        <f ca="1">IF($AA2116,D2124,AB2122)</f>
        <v>8888</v>
      </c>
      <c r="AC2124" s="129">
        <f ca="1">IF($AA2116,E2124,AC2122)</f>
        <v>8888</v>
      </c>
      <c r="AD2124" s="157"/>
      <c r="AE2124" s="2" t="s">
        <v>394</v>
      </c>
      <c r="AF2124" s="128">
        <f ca="1">IF($AE2116,H2124,AF2122)</f>
        <v>8888</v>
      </c>
      <c r="AG2124" s="129">
        <f ca="1">IF($AE2116,I2124,AG2122)</f>
        <v>8888</v>
      </c>
      <c r="AI2124" s="128" t="s">
        <v>394</v>
      </c>
      <c r="AJ2124" s="128">
        <f ca="1">IF($AI2116,L2124,AJ2122)</f>
        <v>8888</v>
      </c>
      <c r="AK2124" s="129">
        <f ca="1">IF($AI2116,M2124,AK2122)</f>
        <v>8888</v>
      </c>
      <c r="BD2124" s="157"/>
    </row>
    <row r="2125" spans="2:56">
      <c r="B2125" s="156"/>
      <c r="C2125" s="188" t="s">
        <v>454</v>
      </c>
      <c r="D2125" s="188">
        <f ca="1">IF(C2116&gt;=2,D2118,D2121)</f>
        <v>8888</v>
      </c>
      <c r="E2125" s="189">
        <f ca="1">E2124</f>
        <v>8888</v>
      </c>
      <c r="F2125" s="157"/>
      <c r="G2125" s="115" t="s">
        <v>454</v>
      </c>
      <c r="H2125" s="188">
        <f ca="1">IF(G2116&gt;=2,H2118,H2121)</f>
        <v>8888</v>
      </c>
      <c r="I2125" s="189">
        <f ca="1">IF(G2116&gt;=2,I2124,I2121)</f>
        <v>8888</v>
      </c>
      <c r="K2125" s="188" t="s">
        <v>454</v>
      </c>
      <c r="L2125" s="188">
        <f ca="1">IF(K2116&gt;=2,L2118,L2121)</f>
        <v>8888</v>
      </c>
      <c r="M2125" s="189">
        <f ca="1">IF(K2116&gt;=2,M2124,M2121)</f>
        <v>8888</v>
      </c>
      <c r="AA2125" s="195" t="s">
        <v>454</v>
      </c>
      <c r="AB2125" s="128">
        <f ca="1">IF($AA2116,D2125,AB2122)</f>
        <v>8888</v>
      </c>
      <c r="AC2125" s="129">
        <f ca="1">IF($AA2116,E2125,AC2122)</f>
        <v>8888</v>
      </c>
      <c r="AD2125" s="157"/>
      <c r="AE2125" s="115" t="s">
        <v>454</v>
      </c>
      <c r="AF2125" s="188">
        <f ca="1">IF($AE2116,H2125,AF2122)</f>
        <v>8888</v>
      </c>
      <c r="AG2125" s="196">
        <f ca="1">IF($AE2116,I2125,AG2122)</f>
        <v>8888</v>
      </c>
      <c r="AI2125" s="188" t="s">
        <v>454</v>
      </c>
      <c r="AJ2125" s="188">
        <f ca="1">IF($AI2116,L2125,AJ2122)</f>
        <v>8888</v>
      </c>
      <c r="AK2125" s="196">
        <f ca="1">IF($AI2116,M2125,AK2122)</f>
        <v>8888</v>
      </c>
      <c r="BD2125" s="157"/>
    </row>
    <row r="2126" spans="2:56">
      <c r="B2126" s="156"/>
      <c r="C2126" s="128" t="s">
        <v>507</v>
      </c>
      <c r="D2126" s="128">
        <f ca="1">IF(C2116&gt;=3,D2118,D2125)</f>
        <v>8888</v>
      </c>
      <c r="E2126" s="139">
        <f ca="1">IF(C2116&gt;=3,E2125-P2111,E2125)</f>
        <v>8888</v>
      </c>
      <c r="F2126" s="157"/>
      <c r="G2126" s="2" t="s">
        <v>507</v>
      </c>
      <c r="H2126" s="128">
        <f ca="1">IF(G2116&gt;=3,H2118,H2125)</f>
        <v>8888</v>
      </c>
      <c r="I2126" s="139">
        <f ca="1">IF(G2116&gt;=3,I2125-P2111,I2125)</f>
        <v>8888</v>
      </c>
      <c r="K2126" s="128" t="s">
        <v>507</v>
      </c>
      <c r="L2126" s="128">
        <f ca="1">IF(K2116&gt;=3,L2118,L2125)</f>
        <v>8888</v>
      </c>
      <c r="M2126" s="139">
        <f ca="1">IF(K2116&gt;=3,M2125-P2111,M2125)</f>
        <v>8888</v>
      </c>
      <c r="AA2126" s="143" t="s">
        <v>507</v>
      </c>
      <c r="AB2126" s="128">
        <f ca="1">IF($AA2116,D2126,AB2122)</f>
        <v>8888</v>
      </c>
      <c r="AC2126" s="129">
        <f ca="1">IF($AA2116,E2126,AC2122)</f>
        <v>8888</v>
      </c>
      <c r="AD2126" s="157"/>
      <c r="AE2126" s="2" t="s">
        <v>507</v>
      </c>
      <c r="AF2126" s="128">
        <f ca="1">IF($AE2116,H2126,AF2122)</f>
        <v>8888</v>
      </c>
      <c r="AG2126" s="129">
        <f ca="1">IF($AE2116,I2126,AG2122)</f>
        <v>8888</v>
      </c>
      <c r="AI2126" s="128" t="s">
        <v>507</v>
      </c>
      <c r="AJ2126" s="128">
        <f ca="1">IF($AI2116,L2126,AJ2122)</f>
        <v>8888</v>
      </c>
      <c r="AK2126" s="129">
        <f ca="1">IF($AI2116,M2126,AK2122)</f>
        <v>8888</v>
      </c>
      <c r="BD2126" s="157"/>
    </row>
    <row r="2127" spans="2:56">
      <c r="B2127" s="156"/>
      <c r="C2127" s="128" t="s">
        <v>455</v>
      </c>
      <c r="D2127" s="128">
        <f ca="1">IF(C2116&gt;=3,D2123,D2125)</f>
        <v>8888</v>
      </c>
      <c r="E2127" s="139">
        <f ca="1">E2126</f>
        <v>8888</v>
      </c>
      <c r="F2127" s="157"/>
      <c r="G2127" s="2" t="s">
        <v>455</v>
      </c>
      <c r="H2127" s="128">
        <f ca="1">IF(G2116&gt;=3,H2119,H2125)</f>
        <v>8888</v>
      </c>
      <c r="I2127" s="139">
        <f ca="1">IF(G2116&gt;=3,I2126,I2125)</f>
        <v>8888</v>
      </c>
      <c r="K2127" s="128" t="s">
        <v>455</v>
      </c>
      <c r="L2127" s="128">
        <f ca="1">IF(K2116&gt;=3,IF(X2111,IF(K2116=3,L2118+P2110/4,L2118+P2110),L2118+P2110),L2121)</f>
        <v>8888</v>
      </c>
      <c r="M2127" s="139">
        <f ca="1">IF(K2116&gt;=3,M2126,M2125)</f>
        <v>8888</v>
      </c>
      <c r="AA2127" s="143" t="s">
        <v>455</v>
      </c>
      <c r="AB2127" s="128">
        <f ca="1">IF($AA2116,D2127,AB2122)</f>
        <v>8888</v>
      </c>
      <c r="AC2127" s="129">
        <f ca="1">IF($AA2116,E2127,AC2122)</f>
        <v>8888</v>
      </c>
      <c r="AD2127" s="157"/>
      <c r="AE2127" s="2" t="s">
        <v>455</v>
      </c>
      <c r="AF2127" s="128">
        <f ca="1">IF($AE2116,H2127,AF2122)</f>
        <v>8888</v>
      </c>
      <c r="AG2127" s="129">
        <f ca="1">IF($AE2116,I2127,AG2122)</f>
        <v>8888</v>
      </c>
      <c r="AI2127" s="128" t="s">
        <v>455</v>
      </c>
      <c r="AJ2127" s="128">
        <f ca="1">IF($AI2116,L2127,AJ2122)</f>
        <v>8888</v>
      </c>
      <c r="AK2127" s="129">
        <f ca="1">IF($AI2116,M2127,AK2122)</f>
        <v>8888</v>
      </c>
      <c r="AL2127" s="156"/>
      <c r="BD2127" s="157"/>
    </row>
    <row r="2128" spans="2:56">
      <c r="B2128" s="156"/>
      <c r="C2128" s="128" t="s">
        <v>311</v>
      </c>
      <c r="D2128" s="128">
        <f ca="1">IF(C2116&gt;=3,D2123,D2125)</f>
        <v>8888</v>
      </c>
      <c r="E2128" s="139">
        <f ca="1">IF(C2116&gt;=3,E2127-P2109,E2125)</f>
        <v>8888</v>
      </c>
      <c r="F2128" s="157"/>
      <c r="G2128" s="2" t="s">
        <v>311</v>
      </c>
      <c r="H2128" s="128">
        <f ca="1">IF(G2116&gt;=3,H2119,H2125)</f>
        <v>8888</v>
      </c>
      <c r="I2128" s="139">
        <f ca="1">IF(G2116&gt;=3,I2127-P2109,I2125)</f>
        <v>8888</v>
      </c>
      <c r="K2128" s="128" t="s">
        <v>311</v>
      </c>
      <c r="L2128" s="128">
        <f ca="1">L2127</f>
        <v>8888</v>
      </c>
      <c r="M2128" s="139">
        <f ca="1">IF(K2116&gt;=3,M2127-P2109,M2125)</f>
        <v>8888</v>
      </c>
      <c r="AA2128" s="143" t="s">
        <v>311</v>
      </c>
      <c r="AB2128" s="128">
        <f ca="1">IF($AA2116,D2128,AB2122)</f>
        <v>8888</v>
      </c>
      <c r="AC2128" s="129">
        <f ca="1">IF($AA2116,E2128,AC2122)</f>
        <v>8888</v>
      </c>
      <c r="AD2128" s="157"/>
      <c r="AE2128" s="2" t="s">
        <v>311</v>
      </c>
      <c r="AF2128" s="128">
        <f ca="1">IF($AE2116,H2128,AF2122)</f>
        <v>8888</v>
      </c>
      <c r="AG2128" s="129">
        <f ca="1">IF($AE2116,I2128,AG2122)</f>
        <v>8888</v>
      </c>
      <c r="AI2128" s="128" t="s">
        <v>311</v>
      </c>
      <c r="AJ2128" s="128">
        <f ca="1">IF($AI2116,L2128,AJ2122)</f>
        <v>8888</v>
      </c>
      <c r="AK2128" s="129">
        <f ca="1">IF($AI2116,M2128,AK2122)</f>
        <v>8888</v>
      </c>
      <c r="AL2128" s="156"/>
      <c r="BD2128" s="157"/>
    </row>
    <row r="2129" spans="2:56">
      <c r="B2129" s="156"/>
      <c r="C2129" s="188" t="s">
        <v>35</v>
      </c>
      <c r="D2129" s="188">
        <f ca="1">IF(C2116&gt;=3,D2118,D2125)</f>
        <v>8888</v>
      </c>
      <c r="E2129" s="189">
        <f ca="1">E2128</f>
        <v>8888</v>
      </c>
      <c r="F2129" s="157"/>
      <c r="G2129" s="2" t="s">
        <v>35</v>
      </c>
      <c r="H2129" s="188">
        <f ca="1">IF(G2116&gt;=3,H2118,H2125)</f>
        <v>8888</v>
      </c>
      <c r="I2129" s="189">
        <f ca="1">IF(G2116&gt;=3,I2128,I2125)</f>
        <v>8888</v>
      </c>
      <c r="K2129" s="188" t="s">
        <v>35</v>
      </c>
      <c r="L2129" s="188">
        <f ca="1">IF(K2116&gt;=3,L2118,L2125)</f>
        <v>8888</v>
      </c>
      <c r="M2129" s="189">
        <f ca="1">IF(K2116&gt;=3,M2128,M2125)</f>
        <v>8888</v>
      </c>
      <c r="AA2129" s="143" t="s">
        <v>35</v>
      </c>
      <c r="AB2129" s="128">
        <f ca="1">IF($AA2116,D2129,AB2122)</f>
        <v>8888</v>
      </c>
      <c r="AC2129" s="129">
        <f ca="1">IF($AA2116,E2129,AC2122)</f>
        <v>8888</v>
      </c>
      <c r="AD2129" s="157"/>
      <c r="AE2129" s="2" t="s">
        <v>35</v>
      </c>
      <c r="AF2129" s="188">
        <f ca="1">IF($AE2116,H2129,AF2122)</f>
        <v>8888</v>
      </c>
      <c r="AG2129" s="196">
        <f ca="1">IF($AE2116,I2129,AG2122)</f>
        <v>8888</v>
      </c>
      <c r="AI2129" s="128" t="s">
        <v>35</v>
      </c>
      <c r="AJ2129" s="128">
        <f ca="1">IF($AI2116,L2129,AJ2122)</f>
        <v>8888</v>
      </c>
      <c r="AK2129" s="129">
        <f ca="1">IF($AI2116,M2129,AK2122)</f>
        <v>8888</v>
      </c>
      <c r="AL2129" s="156"/>
      <c r="BD2129" s="157"/>
    </row>
    <row r="2130" spans="2:56" ht="15" thickBot="1">
      <c r="B2130" s="156"/>
      <c r="C2130" s="130" t="s">
        <v>396</v>
      </c>
      <c r="D2130" s="130">
        <f ca="1">D2118</f>
        <v>8888</v>
      </c>
      <c r="E2130" s="140">
        <f ca="1">E2118</f>
        <v>8888</v>
      </c>
      <c r="F2130" s="157"/>
      <c r="G2130" s="192" t="s">
        <v>312</v>
      </c>
      <c r="H2130" s="128">
        <f ca="1">IF(G2116&gt;=4,H2118,H2129)</f>
        <v>8888</v>
      </c>
      <c r="I2130" s="139">
        <f ca="1">IF(G2116&gt;=4,I2129-P2111,I2129)</f>
        <v>8888</v>
      </c>
      <c r="K2130" s="130" t="s">
        <v>396</v>
      </c>
      <c r="L2130" s="130">
        <f ca="1">L2118</f>
        <v>8888</v>
      </c>
      <c r="M2130" s="140">
        <f ca="1">M2118</f>
        <v>8888</v>
      </c>
      <c r="AA2130" s="144" t="s">
        <v>396</v>
      </c>
      <c r="AB2130" s="130">
        <f ca="1">IF($AA2116,D2130,AB2122)</f>
        <v>8888</v>
      </c>
      <c r="AC2130" s="132">
        <f ca="1">IF($AA2116,E2130,AC2122)</f>
        <v>8888</v>
      </c>
      <c r="AD2130" s="157"/>
      <c r="AE2130" s="192" t="s">
        <v>312</v>
      </c>
      <c r="AF2130" s="128">
        <f ca="1">IF($AE2116,H2130,AF2122)</f>
        <v>8888</v>
      </c>
      <c r="AG2130" s="129">
        <f ca="1">IF($AE2116,I2130,AG2122)</f>
        <v>8888</v>
      </c>
      <c r="AI2130" s="130" t="s">
        <v>396</v>
      </c>
      <c r="AJ2130" s="130">
        <f ca="1">IF($AI2116,L2130,AJ2122)</f>
        <v>8888</v>
      </c>
      <c r="AK2130" s="132">
        <f ca="1">IF($AI2116,M2130,AK2122)</f>
        <v>8888</v>
      </c>
      <c r="BD2130" s="157"/>
    </row>
    <row r="2131" spans="2:56">
      <c r="B2131" s="156"/>
      <c r="F2131" s="157"/>
      <c r="G2131" s="2" t="s">
        <v>313</v>
      </c>
      <c r="H2131" s="128">
        <f ca="1">IF(G2116&gt;=4,H2119,H2129)</f>
        <v>8888</v>
      </c>
      <c r="I2131" s="139">
        <f ca="1">IF(G2116&gt;=4,I2130,I2129)</f>
        <v>8888</v>
      </c>
      <c r="AD2131" s="157"/>
      <c r="AE2131" s="2" t="s">
        <v>313</v>
      </c>
      <c r="AF2131" s="128">
        <f ca="1">IF($AE2116,H2131,AF2122)</f>
        <v>8888</v>
      </c>
      <c r="AG2131" s="129">
        <f ca="1">IF($AE2116,I2131,AG2122)</f>
        <v>8888</v>
      </c>
      <c r="BD2131" s="157"/>
    </row>
    <row r="2132" spans="2:56">
      <c r="B2132" s="156"/>
      <c r="F2132" s="157"/>
      <c r="G2132" s="2" t="s">
        <v>7</v>
      </c>
      <c r="H2132" s="128">
        <f ca="1">IF(G2116&gt;=4,H2119,H2129)</f>
        <v>8888</v>
      </c>
      <c r="I2132" s="139">
        <f ca="1">IF(G2116&gt;=4,I2131-P2109,I2129)</f>
        <v>8888</v>
      </c>
      <c r="AD2132" s="157"/>
      <c r="AE2132" s="2" t="s">
        <v>7</v>
      </c>
      <c r="AF2132" s="128">
        <f ca="1">IF($AE2116,H2132,AF2122)</f>
        <v>8888</v>
      </c>
      <c r="AG2132" s="129">
        <f ca="1">IF($AE2116,I2132,AG2122)</f>
        <v>8888</v>
      </c>
      <c r="BD2132" s="157"/>
    </row>
    <row r="2133" spans="2:56">
      <c r="B2133" s="156"/>
      <c r="F2133" s="157"/>
      <c r="G2133" s="115" t="s">
        <v>8</v>
      </c>
      <c r="H2133" s="188">
        <f ca="1">IF(G2116&gt;=4,H2118,H2129)</f>
        <v>8888</v>
      </c>
      <c r="I2133" s="189">
        <f ca="1">IF(G2116&gt;=4,I2132,I2129)</f>
        <v>8888</v>
      </c>
      <c r="AD2133" s="157"/>
      <c r="AE2133" s="115" t="s">
        <v>8</v>
      </c>
      <c r="AF2133" s="188">
        <f ca="1">IF($AE2116,H2133,AF2122)</f>
        <v>8888</v>
      </c>
      <c r="AG2133" s="196">
        <f ca="1">IF($AE2116,I2133,AG2122)</f>
        <v>8888</v>
      </c>
      <c r="BD2133" s="157"/>
    </row>
    <row r="2134" spans="2:56">
      <c r="B2134" s="156"/>
      <c r="F2134" s="157"/>
      <c r="G2134" s="2" t="s">
        <v>9</v>
      </c>
      <c r="H2134" s="128">
        <f ca="1">IF(G2116&gt;=5,H2118,H2133)</f>
        <v>8888</v>
      </c>
      <c r="I2134" s="139">
        <f ca="1">IF(G2116&gt;=5,I2133-P2111,I2133)</f>
        <v>8888</v>
      </c>
      <c r="AD2134" s="157"/>
      <c r="AE2134" s="2" t="s">
        <v>9</v>
      </c>
      <c r="AF2134" s="128">
        <f ca="1">IF($AE2116,H2134,AF2122)</f>
        <v>8888</v>
      </c>
      <c r="AG2134" s="129">
        <f ca="1">IF($AE2116,I2134,AG2122)</f>
        <v>8888</v>
      </c>
      <c r="BD2134" s="157"/>
    </row>
    <row r="2135" spans="2:56">
      <c r="B2135" s="156"/>
      <c r="F2135" s="157"/>
      <c r="G2135" s="2" t="s">
        <v>196</v>
      </c>
      <c r="H2135" s="128">
        <f ca="1">IF(G2116&gt;=5,H2119,H2133)</f>
        <v>8888</v>
      </c>
      <c r="I2135" s="139">
        <f ca="1">IF(G2116&gt;=5,I2134,I2133)</f>
        <v>8888</v>
      </c>
      <c r="AD2135" s="157"/>
      <c r="AE2135" s="2" t="s">
        <v>196</v>
      </c>
      <c r="AF2135" s="128">
        <f ca="1">IF($AE2116,H2135,AF2122)</f>
        <v>8888</v>
      </c>
      <c r="AG2135" s="129">
        <f ca="1">IF($AE2116,I2135,AG2122)</f>
        <v>8888</v>
      </c>
      <c r="BD2135" s="157"/>
    </row>
    <row r="2136" spans="2:56">
      <c r="B2136" s="156"/>
      <c r="F2136" s="157"/>
      <c r="G2136" s="2" t="s">
        <v>10</v>
      </c>
      <c r="H2136" s="128">
        <f ca="1">IF(G2116&gt;=5,H2119,H2133)</f>
        <v>8888</v>
      </c>
      <c r="I2136" s="139">
        <f ca="1">IF(G2116&gt;=5,I2135-P2109,I2133)</f>
        <v>8888</v>
      </c>
      <c r="AD2136" s="157"/>
      <c r="AE2136" s="2" t="s">
        <v>10</v>
      </c>
      <c r="AF2136" s="128">
        <f ca="1">IF($AE2116,H2136,AF2122)</f>
        <v>8888</v>
      </c>
      <c r="AG2136" s="129">
        <f ca="1">IF($AE2116,I2136,AG2122)</f>
        <v>8888</v>
      </c>
      <c r="BD2136" s="157"/>
    </row>
    <row r="2137" spans="2:56">
      <c r="B2137" s="156"/>
      <c r="F2137" s="157"/>
      <c r="G2137" s="2" t="s">
        <v>161</v>
      </c>
      <c r="H2137" s="188">
        <f ca="1">IF(G2116&gt;=5,H2118,H2133)</f>
        <v>8888</v>
      </c>
      <c r="I2137" s="189">
        <f ca="1">IF(G2116&gt;=5,I2136,I2133)</f>
        <v>8888</v>
      </c>
      <c r="AD2137" s="157"/>
      <c r="AE2137" s="2" t="s">
        <v>161</v>
      </c>
      <c r="AF2137" s="188">
        <f ca="1">IF($AE2116,H2137,AF2122)</f>
        <v>8888</v>
      </c>
      <c r="AG2137" s="196">
        <f ca="1">IF($AE2116,I2137,AG2122)</f>
        <v>8888</v>
      </c>
      <c r="BD2137" s="157"/>
    </row>
    <row r="2138" spans="2:56">
      <c r="B2138" s="156"/>
      <c r="F2138" s="157"/>
      <c r="G2138" s="192" t="s">
        <v>11</v>
      </c>
      <c r="H2138" s="128">
        <f ca="1">IF(G2116&gt;=6,H2118,H2137)</f>
        <v>8888</v>
      </c>
      <c r="I2138" s="139">
        <f ca="1">IF(G2116&gt;=6,I2137-P2111,I2137)</f>
        <v>8888</v>
      </c>
      <c r="AD2138" s="157"/>
      <c r="AE2138" s="192" t="s">
        <v>11</v>
      </c>
      <c r="AF2138" s="128">
        <f ca="1">IF($AE2116,H2138,AF2122)</f>
        <v>8888</v>
      </c>
      <c r="AG2138" s="129">
        <f ca="1">IF($AE2116,I2138,AG2122)</f>
        <v>8888</v>
      </c>
      <c r="BD2138" s="157"/>
    </row>
    <row r="2139" spans="2:56">
      <c r="B2139" s="156"/>
      <c r="F2139" s="157"/>
      <c r="G2139" s="2" t="s">
        <v>12</v>
      </c>
      <c r="H2139" s="128">
        <f ca="1">IF(G2116&gt;=6,H2119,H2137)</f>
        <v>8888</v>
      </c>
      <c r="I2139" s="139">
        <f ca="1">IF(G2116&gt;=6,I2138,I2137)</f>
        <v>8888</v>
      </c>
      <c r="AD2139" s="157"/>
      <c r="AE2139" s="2" t="s">
        <v>12</v>
      </c>
      <c r="AF2139" s="128">
        <f ca="1">IF($AE2116,H2139,AF2122)</f>
        <v>8888</v>
      </c>
      <c r="AG2139" s="129">
        <f ca="1">IF($AE2116,I2139,AG2122)</f>
        <v>8888</v>
      </c>
      <c r="BD2139" s="157"/>
    </row>
    <row r="2140" spans="2:56">
      <c r="B2140" s="156"/>
      <c r="F2140" s="157"/>
      <c r="G2140" s="2" t="s">
        <v>13</v>
      </c>
      <c r="H2140" s="128">
        <f ca="1">IF(G2116&gt;=6,H2119,H2137)</f>
        <v>8888</v>
      </c>
      <c r="I2140" s="139">
        <f ca="1">IF(G2116&gt;=6,I2139-P2109,I2137)</f>
        <v>8888</v>
      </c>
      <c r="AD2140" s="157"/>
      <c r="AE2140" s="2" t="s">
        <v>13</v>
      </c>
      <c r="AF2140" s="128">
        <f ca="1">IF($AE2116,H2140,AF2122)</f>
        <v>8888</v>
      </c>
      <c r="AG2140" s="129">
        <f ca="1">IF($AE2116,I2140,AG2122)</f>
        <v>8888</v>
      </c>
      <c r="BD2140" s="157"/>
    </row>
    <row r="2141" spans="2:56">
      <c r="B2141" s="156"/>
      <c r="F2141" s="157"/>
      <c r="G2141" s="115" t="s">
        <v>14</v>
      </c>
      <c r="H2141" s="188">
        <f ca="1">IF(G2116&gt;=6,H2118,H2137)</f>
        <v>8888</v>
      </c>
      <c r="I2141" s="189">
        <f ca="1">IF(G2116&gt;=6,I2140,I2137)</f>
        <v>8888</v>
      </c>
      <c r="AD2141" s="157"/>
      <c r="AE2141" s="115" t="s">
        <v>14</v>
      </c>
      <c r="AF2141" s="188">
        <f ca="1">IF($AE2116,H2141,AF2122)</f>
        <v>8888</v>
      </c>
      <c r="AG2141" s="196">
        <f ca="1">IF($AE2116,I2141,AG2122)</f>
        <v>8888</v>
      </c>
      <c r="BD2141" s="157"/>
    </row>
    <row r="2142" spans="2:56" ht="15" thickBot="1">
      <c r="B2142" s="156"/>
      <c r="G2142" s="130" t="s">
        <v>396</v>
      </c>
      <c r="H2142" s="130">
        <f ca="1">H2118</f>
        <v>8888</v>
      </c>
      <c r="I2142" s="140">
        <f ca="1">I2118</f>
        <v>8888</v>
      </c>
      <c r="AE2142" s="130" t="s">
        <v>396</v>
      </c>
      <c r="AF2142" s="130">
        <f ca="1">IF($AE2116,H2142,AF2122)</f>
        <v>8888</v>
      </c>
      <c r="AG2142" s="132">
        <f ca="1">IF($AE2116,I2142,AG2122)</f>
        <v>8888</v>
      </c>
      <c r="BD2142" s="157"/>
    </row>
    <row r="2143" spans="2:56">
      <c r="B2143" s="156"/>
      <c r="BD2143" s="157"/>
    </row>
    <row r="2144" spans="2:56">
      <c r="B2144" s="156"/>
      <c r="BD2144" s="157"/>
    </row>
    <row r="2145" spans="2:56">
      <c r="B2145" s="156"/>
      <c r="C2145" s="200" t="s">
        <v>336</v>
      </c>
      <c r="D2145">
        <f>D2109+1</f>
        <v>55</v>
      </c>
      <c r="G2145" s="200" t="s">
        <v>638</v>
      </c>
      <c r="H2145">
        <f ca="1">LOOKUP(D2148,$C$191:$C$196,$D$191:$D$196)</f>
        <v>0</v>
      </c>
      <c r="K2145" s="200" t="s">
        <v>644</v>
      </c>
      <c r="L2145">
        <f ca="1">L2109-H2150</f>
        <v>-18.624000000000006</v>
      </c>
      <c r="O2145" s="200" t="s">
        <v>404</v>
      </c>
      <c r="P2145">
        <f ca="1">IF(D2147=1,SEAT_w_cushion_FC,IF(D2147=2,SEAT_w_cushion_BC,IF(D2147=3,SEAT_w_cushion_YC,0)))</f>
        <v>0</v>
      </c>
      <c r="S2145" s="200" t="s">
        <v>647</v>
      </c>
      <c r="T2145">
        <f ca="1">LOOKUP(D2148,$C$191:$C$196,$E$191:$E$196)</f>
        <v>0</v>
      </c>
      <c r="W2145" t="s">
        <v>130</v>
      </c>
      <c r="X2145" t="str">
        <f ca="1">OFFSET(Fuselage!$B$275,D2145,5)</f>
        <v>None</v>
      </c>
      <c r="AN2145" s="200" t="s">
        <v>135</v>
      </c>
      <c r="AO2145">
        <f ca="1">MAX(0,H2150-MAX(T2145,T2147,T2149,P2146)-X2146)</f>
        <v>0</v>
      </c>
      <c r="BD2145" s="157"/>
    </row>
    <row r="2146" spans="2:56">
      <c r="B2146" s="156"/>
      <c r="C2146" s="200" t="s">
        <v>200</v>
      </c>
      <c r="D2146" t="str">
        <f ca="1">OFFSET(Fuselage!$B$275,D2145,0)</f>
        <v/>
      </c>
      <c r="G2146" s="200" t="s">
        <v>639</v>
      </c>
      <c r="H2146">
        <f ca="1">LOOKUP(D2149,$C$191:$C$196,$D$191:$D$196)</f>
        <v>0</v>
      </c>
      <c r="O2146" s="200" t="s">
        <v>535</v>
      </c>
      <c r="P2146">
        <f ca="1">IF(D2147=1,SEAT_length_FC,IF(D2147=2,SEAT_length_BC,IF(D2147=3,SEAT_length_YC,0)))</f>
        <v>0</v>
      </c>
      <c r="S2146" s="200" t="s">
        <v>648</v>
      </c>
      <c r="T2146">
        <f ca="1">LOOKUP(D2148,$C$191:$C$196,$F$191:$F$196)</f>
        <v>0</v>
      </c>
      <c r="W2146" t="s">
        <v>131</v>
      </c>
      <c r="X2146">
        <f ca="1">LOOKUP(X2145,$I$191:$I$198,$J$191:$J$198)</f>
        <v>0</v>
      </c>
      <c r="BD2146" s="157"/>
    </row>
    <row r="2147" spans="2:56">
      <c r="B2147" s="156"/>
      <c r="C2147" s="200" t="s">
        <v>337</v>
      </c>
      <c r="D2147" t="str">
        <f ca="1">OFFSET(Fuselage!$B$275,D2145,4)</f>
        <v/>
      </c>
      <c r="G2147" s="200" t="s">
        <v>309</v>
      </c>
      <c r="H2147">
        <f ca="1">LOOKUP(D2150,$C$191:$C$196,$D$191:$D$196)</f>
        <v>0</v>
      </c>
      <c r="K2147" s="200" t="s">
        <v>645</v>
      </c>
      <c r="L2147">
        <f ca="1">IF(D2147=1,FUSELAGE_nseats_left_FC,IF(D2147=2,FUSELAGE_nseats_left_BC,IF(D2147=3,FUSELAGE_nseats_left_YC,0)))</f>
        <v>0</v>
      </c>
      <c r="O2147" s="200" t="s">
        <v>405</v>
      </c>
      <c r="P2147">
        <f ca="1">IF(D2147=1,SEAT_w_armrest_FC,IF(D2147=2,SEAT_w_armrest_BC,IF(D2147=3,SEAT_w_armrest_YC,0)))</f>
        <v>0</v>
      </c>
      <c r="S2147" s="200" t="s">
        <v>652</v>
      </c>
      <c r="T2147">
        <f ca="1">LOOKUP(D2149,$C$191:$C$196,$E$191:$E$196)</f>
        <v>0</v>
      </c>
      <c r="W2147" s="200" t="s">
        <v>393</v>
      </c>
      <c r="X2147" t="b">
        <f ca="1">IF(OFFSET(Fuselage!$B$275,D2145,6)="YES",TRUE(),FALSE())</f>
        <v>0</v>
      </c>
      <c r="BD2147" s="157"/>
    </row>
    <row r="2148" spans="2:56">
      <c r="B2148" s="156"/>
      <c r="C2148" s="200" t="s">
        <v>640</v>
      </c>
      <c r="D2148" t="str">
        <f ca="1">OFFSET(Fuselage!$B$275,D2145,1)</f>
        <v>None</v>
      </c>
      <c r="G2148" s="200" t="s">
        <v>132</v>
      </c>
      <c r="H2148">
        <f ca="1">IF(D2147=1,SEAT_pitch_FC,IF(D2147=2,SEAT_pitch_BC,IF(D2147=3,SEAT_pitch_YC,0)))</f>
        <v>0</v>
      </c>
      <c r="K2148" s="200" t="s">
        <v>646</v>
      </c>
      <c r="L2148">
        <f ca="1">IF(D2147=1,FUSELAGE_nseats_middle_FC,IF(D2147=2,FUSELAGE_nseats_middle_BC,IF(D2147=3,FUSELAGE_nseats_middle_YC,0)))</f>
        <v>0</v>
      </c>
      <c r="S2148" s="200" t="s">
        <v>653</v>
      </c>
      <c r="T2148">
        <f ca="1">LOOKUP(D2149,$C$191:$C$196,$F$191:$F$196)</f>
        <v>0</v>
      </c>
      <c r="BD2148" s="157"/>
    </row>
    <row r="2149" spans="2:56">
      <c r="B2149" s="156"/>
      <c r="C2149" s="200" t="s">
        <v>642</v>
      </c>
      <c r="D2149" t="str">
        <f ca="1">OFFSET(Fuselage!$B$275,D2145,2)</f>
        <v>None</v>
      </c>
      <c r="G2149" s="200" t="s">
        <v>129</v>
      </c>
      <c r="H2149">
        <f ca="1">IF(OR(X2145="Type A",X2145="Type B"),MAX(H2145:H2148)+42*0.0254,IF(X2145="Type C",MAX(H2145:H2148)+X2146,IF(X2145&lt;&gt;"None",24*0.0254,0)))</f>
        <v>0</v>
      </c>
      <c r="K2149" s="200" t="s">
        <v>655</v>
      </c>
      <c r="L2149">
        <f ca="1">IF(D2147=1,FUSELAGE_nseats_right_FC,IF(D2147=2,FUSELAGE_nseats_right_BC,IF(D2147=3,FUSELAGE_nseats_right_YC,0)))</f>
        <v>0</v>
      </c>
      <c r="O2149" s="200" t="s">
        <v>407</v>
      </c>
      <c r="P2149">
        <f ca="1">($C$13-(L2147+L2148+L2149)*(P2145+P2147)+(FUSELAGE_n_aisles-1)*P2147)/FUSELAGE_n_aisles</f>
        <v>2.76</v>
      </c>
      <c r="S2149" s="200" t="s">
        <v>651</v>
      </c>
      <c r="T2149">
        <f ca="1">LOOKUP(D2150,$C$191:$C$196,$E$191:$E$196)</f>
        <v>0</v>
      </c>
      <c r="BD2149" s="157"/>
    </row>
    <row r="2150" spans="2:56">
      <c r="B2150" s="156"/>
      <c r="C2150" s="200" t="s">
        <v>641</v>
      </c>
      <c r="D2150" t="str">
        <f ca="1">OFFSET(Fuselage!$B$275,D2145,3)</f>
        <v>None</v>
      </c>
      <c r="G2150" s="200" t="s">
        <v>643</v>
      </c>
      <c r="H2150">
        <f ca="1">MAX(H2145:H2149)</f>
        <v>0</v>
      </c>
      <c r="S2150" s="200" t="s">
        <v>654</v>
      </c>
      <c r="T2150">
        <f ca="1">LOOKUP(D2150,$C$191:$C$196,$F$191:$F$196)</f>
        <v>0</v>
      </c>
      <c r="BD2150" s="157"/>
    </row>
    <row r="2151" spans="2:56" ht="15" thickBot="1">
      <c r="B2151" s="156"/>
      <c r="BD2151" s="157"/>
    </row>
    <row r="2152" spans="2:56" ht="15" thickBot="1">
      <c r="B2152" s="156"/>
      <c r="C2152" s="141">
        <f ca="1">L2149</f>
        <v>0</v>
      </c>
      <c r="D2152" s="197" t="str">
        <f ca="1">IF($D2147=1,"FC",IF($D2147=2,"BC",IF($D2147=3,"YC","Nothing")))</f>
        <v>Nothing</v>
      </c>
      <c r="E2152" s="198"/>
      <c r="G2152" s="141">
        <f ca="1">L2148</f>
        <v>0</v>
      </c>
      <c r="H2152" s="197" t="str">
        <f ca="1">IF($D2147=1,"FC",IF($D2147=2,"BC",IF($D2147=3,"YC","Nothing")))</f>
        <v>Nothing</v>
      </c>
      <c r="I2152" s="198"/>
      <c r="K2152" s="141">
        <f ca="1" xml:space="preserve"> L2147</f>
        <v>0</v>
      </c>
      <c r="L2152" s="197" t="str">
        <f ca="1">IF($D2147=1,"FC",IF($D2147=2,"BC",IF($D2147=3,"YC","Nothing")))</f>
        <v>Nothing</v>
      </c>
      <c r="M2152" s="198"/>
      <c r="O2152" s="141">
        <f ca="1">IF($D2150&lt;&gt;"None",1,0)</f>
        <v>0</v>
      </c>
      <c r="P2152" s="326" t="s">
        <v>380</v>
      </c>
      <c r="Q2152" s="327"/>
      <c r="S2152" s="141">
        <f ca="1">IF($D2149&lt;&gt;"None",1,0)</f>
        <v>0</v>
      </c>
      <c r="T2152" s="326" t="s">
        <v>381</v>
      </c>
      <c r="U2152" s="327"/>
      <c r="W2152" s="141">
        <f ca="1">IF($D2148&lt;&gt;"None",1,0)</f>
        <v>0</v>
      </c>
      <c r="X2152" s="326" t="s">
        <v>382</v>
      </c>
      <c r="Y2152" s="327"/>
      <c r="AA2152" s="141">
        <f ca="1">IF($D2150="None",1,0)</f>
        <v>1</v>
      </c>
      <c r="AB2152" s="326" t="str">
        <f ca="1">IF(AA2152,D2152,$D2150)</f>
        <v>Nothing</v>
      </c>
      <c r="AC2152" s="327"/>
      <c r="AE2152" s="141">
        <f ca="1">IF($D2149="None",1,0)</f>
        <v>1</v>
      </c>
      <c r="AF2152" s="326" t="str">
        <f ca="1">IF(AE2152,H2152,$D2149)</f>
        <v>Nothing</v>
      </c>
      <c r="AG2152" s="327"/>
      <c r="AI2152" s="141">
        <f ca="1">IF($D2148="None",1,0)</f>
        <v>1</v>
      </c>
      <c r="AJ2152" s="326" t="str">
        <f ca="1">IF(AI2152,L2152,$D2148)</f>
        <v>Nothing</v>
      </c>
      <c r="AK2152" s="327"/>
      <c r="AM2152" s="141">
        <f ca="1">IF($X2145="None",0,1)</f>
        <v>0</v>
      </c>
      <c r="AN2152" s="197" t="s">
        <v>133</v>
      </c>
      <c r="AO2152" s="198"/>
      <c r="AQ2152" s="141">
        <f ca="1">IF($X2145="None",0,1)</f>
        <v>0</v>
      </c>
      <c r="AR2152" s="197" t="s">
        <v>134</v>
      </c>
      <c r="AS2152" s="198"/>
      <c r="BD2152" s="157"/>
    </row>
    <row r="2153" spans="2:56" ht="15" thickBot="1">
      <c r="B2153" s="156"/>
      <c r="C2153" s="136" t="s">
        <v>452</v>
      </c>
      <c r="D2153" s="136" t="s">
        <v>384</v>
      </c>
      <c r="E2153" s="138" t="s">
        <v>385</v>
      </c>
      <c r="G2153" s="136" t="s">
        <v>452</v>
      </c>
      <c r="H2153" s="136" t="s">
        <v>384</v>
      </c>
      <c r="I2153" s="138" t="s">
        <v>385</v>
      </c>
      <c r="K2153" s="193" t="s">
        <v>452</v>
      </c>
      <c r="L2153" s="193" t="s">
        <v>384</v>
      </c>
      <c r="M2153" s="194" t="s">
        <v>385</v>
      </c>
      <c r="O2153" s="136" t="s">
        <v>452</v>
      </c>
      <c r="P2153" s="136" t="s">
        <v>384</v>
      </c>
      <c r="Q2153" s="138" t="s">
        <v>385</v>
      </c>
      <c r="S2153" s="136" t="s">
        <v>452</v>
      </c>
      <c r="T2153" s="136" t="s">
        <v>384</v>
      </c>
      <c r="U2153" s="138" t="s">
        <v>385</v>
      </c>
      <c r="W2153" s="136" t="s">
        <v>452</v>
      </c>
      <c r="X2153" s="136" t="s">
        <v>384</v>
      </c>
      <c r="Y2153" s="138" t="s">
        <v>385</v>
      </c>
      <c r="AA2153" s="136" t="s">
        <v>452</v>
      </c>
      <c r="AB2153" s="136" t="s">
        <v>384</v>
      </c>
      <c r="AC2153" s="138" t="s">
        <v>385</v>
      </c>
      <c r="AE2153" s="136" t="s">
        <v>452</v>
      </c>
      <c r="AF2153" s="136" t="s">
        <v>384</v>
      </c>
      <c r="AG2153" s="138" t="s">
        <v>385</v>
      </c>
      <c r="AI2153" s="193" t="s">
        <v>452</v>
      </c>
      <c r="AJ2153" s="193" t="s">
        <v>384</v>
      </c>
      <c r="AK2153" s="194" t="s">
        <v>385</v>
      </c>
      <c r="AM2153" s="193" t="s">
        <v>452</v>
      </c>
      <c r="AN2153" s="193" t="s">
        <v>384</v>
      </c>
      <c r="AO2153" s="194" t="s">
        <v>385</v>
      </c>
      <c r="AQ2153" s="193" t="s">
        <v>452</v>
      </c>
      <c r="AR2153" s="193" t="s">
        <v>384</v>
      </c>
      <c r="AS2153" s="194" t="s">
        <v>385</v>
      </c>
      <c r="BD2153" s="157"/>
    </row>
    <row r="2154" spans="2:56">
      <c r="B2154" s="156"/>
      <c r="C2154" s="128" t="s">
        <v>396</v>
      </c>
      <c r="D2154" s="158">
        <f ca="1">IF(C2152&gt;=1,L2145,8888)</f>
        <v>8888</v>
      </c>
      <c r="E2154" s="160">
        <f ca="1">IF(C2152&gt;=1,1/2*($C$13-P2145-2*P2147)+1/2*P2145,8888)</f>
        <v>8888</v>
      </c>
      <c r="G2154" s="128" t="s">
        <v>396</v>
      </c>
      <c r="H2154" s="158">
        <f ca="1">IF(G2152&gt;=1,L2145,8888)</f>
        <v>8888</v>
      </c>
      <c r="I2154" s="160">
        <f ca="1">IF(G2152&gt;=1,E2165-P2149,8888)</f>
        <v>8888</v>
      </c>
      <c r="K2154" s="128" t="s">
        <v>396</v>
      </c>
      <c r="L2154" s="158">
        <f ca="1">IF(K2152&gt;=1,L2145,8888)</f>
        <v>8888</v>
      </c>
      <c r="M2154" s="160">
        <f ca="1">IF(K2152&gt;=1,IF(FUSELAGE_n_aisles=1,E2165-P2149,I2177-P2149),8888)</f>
        <v>8888</v>
      </c>
      <c r="O2154" s="128" t="s">
        <v>396</v>
      </c>
      <c r="P2154" s="158">
        <f ca="1">IF(O2152,$L2145,8888)</f>
        <v>8888</v>
      </c>
      <c r="Q2154" s="209">
        <f ca="1">IF(O2152,FUSELAGE_y_position_of_left_seat_YC-(FUSELAGE_nseats_right_YC-1)*(SEAT_w_cushion_YC+SEAT_w_armrest_YC)/2+T2150/2,8888)</f>
        <v>8888</v>
      </c>
      <c r="S2154" s="128" t="s">
        <v>396</v>
      </c>
      <c r="T2154" s="158">
        <f ca="1">IF(S2152,$L2145,8888)</f>
        <v>8888</v>
      </c>
      <c r="U2154" s="160">
        <f ca="1">IF(S2152,T2148/2,8888)</f>
        <v>8888</v>
      </c>
      <c r="W2154" s="128" t="s">
        <v>396</v>
      </c>
      <c r="X2154" s="158">
        <f ca="1">IF(W2152,$L2145,8888)</f>
        <v>8888</v>
      </c>
      <c r="Y2154" s="160">
        <f ca="1">IF(W2152,-FUSELAGE_y_position_of_left_seat_YC+(FUSELAGE_nseats_left_YC-1)*(SEAT_w_cushion_YC+SEAT_w_armrest_YC)/2-T2146/2,8888)</f>
        <v>8888</v>
      </c>
      <c r="AA2154" s="128" t="s">
        <v>396</v>
      </c>
      <c r="AB2154" s="158">
        <f ca="1">IF($AA2152,D2154,P2154)</f>
        <v>8888</v>
      </c>
      <c r="AC2154" s="174">
        <f ca="1">IF($AA2152,E2154,Q2154)</f>
        <v>8888</v>
      </c>
      <c r="AE2154" s="128" t="s">
        <v>396</v>
      </c>
      <c r="AF2154" s="158">
        <f ca="1">IF($AE2152,H2154,T2154)</f>
        <v>8888</v>
      </c>
      <c r="AG2154" s="174">
        <f ca="1">IF($AE2152,I2154,U2154)</f>
        <v>8888</v>
      </c>
      <c r="AI2154" s="128" t="s">
        <v>396</v>
      </c>
      <c r="AJ2154" s="158">
        <f ca="1">IF($AI2152,L2154,X2154)</f>
        <v>8888</v>
      </c>
      <c r="AK2154" s="174">
        <f ca="1">IF($AI2152,M2154,Y2154)</f>
        <v>8888</v>
      </c>
      <c r="AM2154" s="128" t="s">
        <v>396</v>
      </c>
      <c r="AN2154" s="158">
        <f ca="1">AN2123</f>
        <v>-18.624000000000006</v>
      </c>
      <c r="AO2154" s="174">
        <f ca="1">IF(AN2154&gt;-Fuselage!$D$366,(FUSELAGE_a_ellipse)*SQRT(1-((AN2154+Fuselage!$D$366)/(Fuselage!$K$364-FUSELAGE_t_fuselage))^2),IF(AN2154&gt;$L$2505+Fuselage!$K$370,FUSELAGE_a_ellipse,(FUSELAGE_a_ellipse+FUSELAGE_t_fuselage-FUSELAGE_d_fo/4)/Fuselage!$K$368*(AN2154-$L$2505-Fuselage!$K$370)+FUSELAGE_a_ellipse))</f>
        <v>1.4960570012328709</v>
      </c>
      <c r="AQ2154" s="128" t="s">
        <v>396</v>
      </c>
      <c r="AR2154" s="158">
        <f t="shared" ref="AR2154:AR2159" ca="1" si="174">AN2154</f>
        <v>-18.624000000000006</v>
      </c>
      <c r="AS2154" s="174">
        <f t="shared" ref="AS2154:AS2159" ca="1" si="175">-AO2154</f>
        <v>-1.4960570012328709</v>
      </c>
      <c r="BD2154" s="157"/>
    </row>
    <row r="2155" spans="2:56">
      <c r="B2155" s="156"/>
      <c r="C2155" s="128" t="s">
        <v>213</v>
      </c>
      <c r="D2155" s="128">
        <f ca="1">IF(X2147,D2154+P2146/4,D2154+P2146)</f>
        <v>8888</v>
      </c>
      <c r="E2155" s="139">
        <f ca="1">E2154</f>
        <v>8888</v>
      </c>
      <c r="G2155" s="128" t="s">
        <v>213</v>
      </c>
      <c r="H2155" s="128">
        <f ca="1">H2154+P2146</f>
        <v>8888</v>
      </c>
      <c r="I2155" s="139">
        <f ca="1">I2154</f>
        <v>8888</v>
      </c>
      <c r="K2155" s="128" t="s">
        <v>213</v>
      </c>
      <c r="L2155" s="128">
        <f ca="1">IF(X2147,IF(K2152=1,L2154+P2146/4,L2154+P2146),L2154+P2146)</f>
        <v>8888</v>
      </c>
      <c r="M2155" s="139">
        <f ca="1">M2154</f>
        <v>8888</v>
      </c>
      <c r="O2155" s="128" t="s">
        <v>213</v>
      </c>
      <c r="P2155" s="128">
        <f ca="1">P2154+$T2149</f>
        <v>8888</v>
      </c>
      <c r="Q2155" s="139">
        <f ca="1">Q2154</f>
        <v>8888</v>
      </c>
      <c r="S2155" s="128" t="s">
        <v>213</v>
      </c>
      <c r="T2155" s="128">
        <f ca="1">T2154+$T2147</f>
        <v>8888</v>
      </c>
      <c r="U2155" s="139">
        <f ca="1">U2154</f>
        <v>8888</v>
      </c>
      <c r="W2155" s="128" t="s">
        <v>213</v>
      </c>
      <c r="X2155" s="128">
        <f ca="1">X2154+$T2145</f>
        <v>8888</v>
      </c>
      <c r="Y2155" s="139">
        <f ca="1">Y2154</f>
        <v>8888</v>
      </c>
      <c r="AA2155" s="143" t="s">
        <v>213</v>
      </c>
      <c r="AB2155" s="128">
        <f ca="1">IF($AA2152,D2155,P2155)</f>
        <v>8888</v>
      </c>
      <c r="AC2155" s="129">
        <f ca="1">IF($AA2152,E2155,Q2155)</f>
        <v>8888</v>
      </c>
      <c r="AE2155" s="128" t="s">
        <v>213</v>
      </c>
      <c r="AF2155" s="128">
        <f ca="1">IF($AE2152,H2155,T2155)</f>
        <v>8888</v>
      </c>
      <c r="AG2155" s="129">
        <f ca="1">IF($AE2152,I2155,U2155)</f>
        <v>8888</v>
      </c>
      <c r="AI2155" s="128" t="s">
        <v>213</v>
      </c>
      <c r="AJ2155" s="128">
        <f ca="1">IF($AI2152,L2155,X2155)</f>
        <v>8888</v>
      </c>
      <c r="AK2155" s="129">
        <f ca="1">IF($AI2152,M2155,Y2155)</f>
        <v>8888</v>
      </c>
      <c r="AM2155" s="128" t="s">
        <v>213</v>
      </c>
      <c r="AN2155" s="128">
        <f ca="1">AN2154-AO2145/2</f>
        <v>-18.624000000000006</v>
      </c>
      <c r="AO2155" s="129">
        <f ca="1">IF(AN2155&gt;-Fuselage!$D$366,(FUSELAGE_a_ellipse)*SQRT(1-((AN2155+Fuselage!$D$366)/(Fuselage!$K$364-FUSELAGE_t_fuselage))^2),IF(AN2155&gt;$L$2505+Fuselage!$K$370,FUSELAGE_a_ellipse,(FUSELAGE_a_ellipse+FUSELAGE_t_fuselage-FUSELAGE_d_fo/4)/Fuselage!$K$368*(AN2155-$L$2505-Fuselage!$K$370)+FUSELAGE_a_ellipse))</f>
        <v>1.4960570012328709</v>
      </c>
      <c r="AQ2155" s="128" t="s">
        <v>213</v>
      </c>
      <c r="AR2155" s="128">
        <f t="shared" ca="1" si="174"/>
        <v>-18.624000000000006</v>
      </c>
      <c r="AS2155" s="129">
        <f t="shared" ca="1" si="175"/>
        <v>-1.4960570012328709</v>
      </c>
      <c r="BD2155" s="157"/>
    </row>
    <row r="2156" spans="2:56">
      <c r="B2156" s="156"/>
      <c r="C2156" s="128" t="s">
        <v>286</v>
      </c>
      <c r="D2156" s="128">
        <f ca="1">D2155</f>
        <v>8888</v>
      </c>
      <c r="E2156" s="139">
        <f ca="1">E2155-P2145</f>
        <v>8888</v>
      </c>
      <c r="G2156" s="128" t="s">
        <v>286</v>
      </c>
      <c r="H2156" s="128">
        <f ca="1">H2155</f>
        <v>8888</v>
      </c>
      <c r="I2156" s="139">
        <f ca="1">I2155-P2145</f>
        <v>8888</v>
      </c>
      <c r="K2156" s="128" t="s">
        <v>286</v>
      </c>
      <c r="L2156" s="128">
        <f ca="1">L2155</f>
        <v>8888</v>
      </c>
      <c r="M2156" s="139">
        <f ca="1">M2155-P2145</f>
        <v>8888</v>
      </c>
      <c r="O2156" s="128" t="s">
        <v>286</v>
      </c>
      <c r="P2156" s="128">
        <f ca="1">P2155</f>
        <v>8888</v>
      </c>
      <c r="Q2156" s="139">
        <f ca="1">Q2155-$T2150</f>
        <v>8888</v>
      </c>
      <c r="S2156" s="128" t="s">
        <v>286</v>
      </c>
      <c r="T2156" s="128">
        <f ca="1">T2155</f>
        <v>8888</v>
      </c>
      <c r="U2156" s="139">
        <f ca="1">U2155-$T2148</f>
        <v>8888</v>
      </c>
      <c r="W2156" s="128" t="s">
        <v>286</v>
      </c>
      <c r="X2156" s="128">
        <f ca="1">X2155</f>
        <v>8888</v>
      </c>
      <c r="Y2156" s="139">
        <f ca="1">Y2155+$T2146</f>
        <v>8888</v>
      </c>
      <c r="AA2156" s="143" t="s">
        <v>286</v>
      </c>
      <c r="AB2156" s="128">
        <f ca="1">IF($AA2152,D2156,P2156)</f>
        <v>8888</v>
      </c>
      <c r="AC2156" s="129">
        <f ca="1">IF($AA2152,E2156,Q2156)</f>
        <v>8888</v>
      </c>
      <c r="AE2156" s="128" t="s">
        <v>286</v>
      </c>
      <c r="AF2156" s="128">
        <f ca="1">IF($AE2152,H2156,T2156)</f>
        <v>8888</v>
      </c>
      <c r="AG2156" s="129">
        <f ca="1">IF($AE2152,I2156,U2156)</f>
        <v>8888</v>
      </c>
      <c r="AI2156" s="128" t="s">
        <v>286</v>
      </c>
      <c r="AJ2156" s="128">
        <f ca="1">IF($AI2152,L2156,X2156)</f>
        <v>8888</v>
      </c>
      <c r="AK2156" s="129">
        <f ca="1">IF($AI2152,M2156,Y2156)</f>
        <v>8888</v>
      </c>
      <c r="AM2156" s="128" t="s">
        <v>286</v>
      </c>
      <c r="AN2156" s="128">
        <f ca="1">AN2155</f>
        <v>-18.624000000000006</v>
      </c>
      <c r="AO2156" s="129">
        <f ca="1">IF(AN2156&gt;-Fuselage!$D$366,IF(AM2152,(FUSELAGE_a_ellipse+FUSELAGE_t_fuselage)*SQRT(1-((AN2156+Fuselage!$D$366)/Fuselage!$K$364)^2),(FUSELAGE_a_ellipse)*SQRT(1-((AN2156+Fuselage!$D$366)/Fuselage!$K$364)^2)),IF(AN2156&gt;$L$2505+Fuselage!$K$370,(IF(AM2152,FUSELAGE_a_ellipse+FUSELAGE_t_fuselage,FUSELAGE_a_ellipse)),IF(AM2152,(FUSELAGE_a_ellipse+FUSELAGE_t_fuselage-FUSELAGE_d_fo/4)/Fuselage!$K$368*(AN2156-$L$2505-Fuselage!$K$370)+FUSELAGE_a_ellipse+FUSELAGE_t_fuselage,(FUSELAGE_a_ellipse+FUSELAGE_t_fuselage-FUSELAGE_d_fo/4)/Fuselage!$K$368*(AN2156-$L$2505-Fuselage!$K$370)+FUSELAGE_a_ellipse)))</f>
        <v>1.4960570012328709</v>
      </c>
      <c r="AQ2156" s="128" t="s">
        <v>286</v>
      </c>
      <c r="AR2156" s="128">
        <f t="shared" ca="1" si="174"/>
        <v>-18.624000000000006</v>
      </c>
      <c r="AS2156" s="129">
        <f t="shared" ca="1" si="175"/>
        <v>-1.4960570012328709</v>
      </c>
      <c r="BD2156" s="157"/>
    </row>
    <row r="2157" spans="2:56">
      <c r="B2157" s="156"/>
      <c r="C2157" s="188" t="s">
        <v>522</v>
      </c>
      <c r="D2157" s="188">
        <f ca="1">D2154</f>
        <v>8888</v>
      </c>
      <c r="E2157" s="189">
        <f ca="1">E2156</f>
        <v>8888</v>
      </c>
      <c r="F2157" s="157"/>
      <c r="G2157" s="2" t="s">
        <v>522</v>
      </c>
      <c r="H2157" s="128">
        <f ca="1">H2154</f>
        <v>8888</v>
      </c>
      <c r="I2157" s="139">
        <f ca="1">I2156</f>
        <v>8888</v>
      </c>
      <c r="K2157" s="128" t="s">
        <v>522</v>
      </c>
      <c r="L2157" s="128">
        <f ca="1">L2154</f>
        <v>8888</v>
      </c>
      <c r="M2157" s="139">
        <f ca="1">M2156</f>
        <v>8888</v>
      </c>
      <c r="O2157" s="188" t="s">
        <v>522</v>
      </c>
      <c r="P2157" s="188">
        <f ca="1">P2154</f>
        <v>8888</v>
      </c>
      <c r="Q2157" s="189">
        <f ca="1">Q2156</f>
        <v>8888</v>
      </c>
      <c r="S2157" s="188" t="s">
        <v>522</v>
      </c>
      <c r="T2157" s="188">
        <f ca="1">T2154</f>
        <v>8888</v>
      </c>
      <c r="U2157" s="189">
        <f ca="1">U2156</f>
        <v>8888</v>
      </c>
      <c r="W2157" s="188" t="s">
        <v>522</v>
      </c>
      <c r="X2157" s="188">
        <f ca="1">X2154</f>
        <v>8888</v>
      </c>
      <c r="Y2157" s="189">
        <f ca="1">Y2156</f>
        <v>8888</v>
      </c>
      <c r="AA2157" s="195" t="s">
        <v>522</v>
      </c>
      <c r="AB2157" s="128">
        <f ca="1">IF($AA2152,D2157,P2157)</f>
        <v>8888</v>
      </c>
      <c r="AC2157" s="129">
        <f ca="1">IF($AA2152,E2157,Q2157)</f>
        <v>8888</v>
      </c>
      <c r="AD2157" s="157"/>
      <c r="AE2157" s="2" t="s">
        <v>522</v>
      </c>
      <c r="AF2157" s="188">
        <f ca="1">IF($AE2152,H2157,T2157)</f>
        <v>8888</v>
      </c>
      <c r="AG2157" s="196">
        <f ca="1">IF($AE2152,I2157,U2157)</f>
        <v>8888</v>
      </c>
      <c r="AI2157" s="128" t="s">
        <v>522</v>
      </c>
      <c r="AJ2157" s="188">
        <f ca="1">IF($AI2152,L2157,X2157)</f>
        <v>8888</v>
      </c>
      <c r="AK2157" s="196">
        <f ca="1">IF($AI2152,M2157,Y2157)</f>
        <v>8888</v>
      </c>
      <c r="AM2157" s="128" t="s">
        <v>522</v>
      </c>
      <c r="AN2157" s="128">
        <f ca="1">AN2156-X2146</f>
        <v>-18.624000000000006</v>
      </c>
      <c r="AO2157" s="129">
        <f ca="1">IF(AN2157&gt;-Fuselage!$D$366,IF(AM2152,(FUSELAGE_a_ellipse+FUSELAGE_t_fuselage)*SQRT(1-((AN2157+Fuselage!$D$366)/Fuselage!$K$364)^2),(FUSELAGE_a_ellipse)*SQRT(1-((AN2157+Fuselage!$D$366)/Fuselage!$K$364)^2)),IF(AN2157&gt;$L$2505+Fuselage!$K$370,(IF(AM2152,FUSELAGE_a_ellipse+FUSELAGE_t_fuselage,FUSELAGE_a_ellipse)),IF(AM2152,(FUSELAGE_a_ellipse+FUSELAGE_t_fuselage-FUSELAGE_d_fo/4)/Fuselage!$K$368*(AN2157-$L$2505-Fuselage!$K$370)+FUSELAGE_a_ellipse+FUSELAGE_t_fuselage,(FUSELAGE_a_ellipse+FUSELAGE_t_fuselage-FUSELAGE_d_fo/4)/Fuselage!$K$368*(AN2157-$L$2505-Fuselage!$K$370)+FUSELAGE_a_ellipse)))</f>
        <v>1.4960570012328709</v>
      </c>
      <c r="AQ2157" s="128" t="s">
        <v>522</v>
      </c>
      <c r="AR2157" s="128">
        <f t="shared" ca="1" si="174"/>
        <v>-18.624000000000006</v>
      </c>
      <c r="AS2157" s="129">
        <f t="shared" ca="1" si="175"/>
        <v>-1.4960570012328709</v>
      </c>
      <c r="BD2157" s="157"/>
    </row>
    <row r="2158" spans="2:56" ht="15" thickBot="1">
      <c r="B2158" s="156"/>
      <c r="C2158" s="128" t="s">
        <v>49</v>
      </c>
      <c r="D2158" s="128">
        <f ca="1">IF(C2152&gt;=2,D2154,D2157)</f>
        <v>8888</v>
      </c>
      <c r="E2158" s="139">
        <f ca="1">IF(C2152&gt;=2,E2157-P2147,E2157)</f>
        <v>8888</v>
      </c>
      <c r="F2158" s="157"/>
      <c r="G2158" s="192" t="s">
        <v>49</v>
      </c>
      <c r="H2158" s="190">
        <f ca="1">IF(G2152&gt;=2,H2154,H2157)</f>
        <v>8888</v>
      </c>
      <c r="I2158" s="191">
        <f ca="1">IF(G2152&gt;=2,I2157-P2147,I2157)</f>
        <v>8888</v>
      </c>
      <c r="K2158" s="190" t="s">
        <v>49</v>
      </c>
      <c r="L2158" s="190">
        <f ca="1">IF(K2152&gt;=2,L2154,L2157)</f>
        <v>8888</v>
      </c>
      <c r="M2158" s="191">
        <f ca="1">IF(K2152&gt;=2,M2157-P2147,M2157)</f>
        <v>8888</v>
      </c>
      <c r="O2158" s="130" t="s">
        <v>396</v>
      </c>
      <c r="P2158" s="130">
        <f ca="1">P2154</f>
        <v>8888</v>
      </c>
      <c r="Q2158" s="140">
        <f ca="1">Q2154</f>
        <v>8888</v>
      </c>
      <c r="S2158" s="130" t="s">
        <v>396</v>
      </c>
      <c r="T2158" s="130">
        <f ca="1">T2154</f>
        <v>8888</v>
      </c>
      <c r="U2158" s="140">
        <f ca="1">U2154</f>
        <v>8888</v>
      </c>
      <c r="W2158" s="130" t="s">
        <v>396</v>
      </c>
      <c r="X2158" s="130">
        <f ca="1">X2154</f>
        <v>8888</v>
      </c>
      <c r="Y2158" s="140">
        <f ca="1">Y2154</f>
        <v>8888</v>
      </c>
      <c r="AA2158" s="143" t="s">
        <v>49</v>
      </c>
      <c r="AB2158" s="128">
        <f ca="1">IF($AA2152,D2158,P2158)</f>
        <v>8888</v>
      </c>
      <c r="AC2158" s="129">
        <f ca="1">IF($AA2152,E2158,Q2158)</f>
        <v>8888</v>
      </c>
      <c r="AD2158" s="157"/>
      <c r="AE2158" s="192" t="s">
        <v>49</v>
      </c>
      <c r="AF2158" s="128">
        <f ca="1">IF($AE2152,H2158,T2158)</f>
        <v>8888</v>
      </c>
      <c r="AG2158" s="129">
        <f ca="1">IF($AE2152,I2158,U2158)</f>
        <v>8888</v>
      </c>
      <c r="AI2158" s="190" t="s">
        <v>49</v>
      </c>
      <c r="AJ2158" s="128">
        <f ca="1">IF($AI2152,L2158,X2158)</f>
        <v>8888</v>
      </c>
      <c r="AK2158" s="129">
        <f ca="1">IF($AI2152,M2158,Y2158)</f>
        <v>8888</v>
      </c>
      <c r="AM2158" s="128" t="s">
        <v>49</v>
      </c>
      <c r="AN2158" s="128">
        <f ca="1">AN2157</f>
        <v>-18.624000000000006</v>
      </c>
      <c r="AO2158" s="129">
        <f ca="1">IF(AN2158&gt;-Fuselage!$D$366,(FUSELAGE_a_ellipse)*SQRT(1-((AN2158+Fuselage!$D$366)/(Fuselage!$K$364-FUSELAGE_t_fuselage))^2),IF(AN2158&gt;$L$2505+Fuselage!$K$370,FUSELAGE_a_ellipse,(FUSELAGE_a_ellipse+FUSELAGE_t_fuselage-FUSELAGE_d_fo/4)/Fuselage!$K$368*(AN2158-$L$2505-Fuselage!$K$370)+FUSELAGE_a_ellipse))</f>
        <v>1.4960570012328709</v>
      </c>
      <c r="AQ2158" s="128" t="s">
        <v>49</v>
      </c>
      <c r="AR2158" s="128">
        <f t="shared" ca="1" si="174"/>
        <v>-18.624000000000006</v>
      </c>
      <c r="AS2158" s="129">
        <f t="shared" ca="1" si="175"/>
        <v>-1.4960570012328709</v>
      </c>
      <c r="BD2158" s="157"/>
    </row>
    <row r="2159" spans="2:56">
      <c r="B2159" s="156"/>
      <c r="C2159" s="128" t="s">
        <v>453</v>
      </c>
      <c r="D2159" s="128">
        <f ca="1">IF(C2152&gt;=2,D2154+P2146,D2157)</f>
        <v>8888</v>
      </c>
      <c r="E2159" s="139">
        <f ca="1">E2158</f>
        <v>8888</v>
      </c>
      <c r="F2159" s="157"/>
      <c r="G2159" s="2" t="s">
        <v>453</v>
      </c>
      <c r="H2159" s="128">
        <f ca="1">IF(G2152&gt;=2,H2155,H2157)</f>
        <v>8888</v>
      </c>
      <c r="I2159" s="139">
        <f ca="1">IF(G2152&gt;=2,I2158,I2157)</f>
        <v>8888</v>
      </c>
      <c r="K2159" s="128" t="s">
        <v>453</v>
      </c>
      <c r="L2159" s="128">
        <f ca="1">IF(K2152&gt;=2,IF(X2147,IF(K2152=2,L2154+P2146/4,L2154+P2146),L2154+P2146),L2157)</f>
        <v>8888</v>
      </c>
      <c r="M2159" s="139">
        <f ca="1">IF(K2152&gt;=2,M2158,M2157)</f>
        <v>8888</v>
      </c>
      <c r="AA2159" s="143" t="s">
        <v>453</v>
      </c>
      <c r="AB2159" s="128">
        <f ca="1">IF($AA2152,D2159,AB2158)</f>
        <v>8888</v>
      </c>
      <c r="AC2159" s="129">
        <f ca="1">IF($AA2152,E2159,AC2158)</f>
        <v>8888</v>
      </c>
      <c r="AD2159" s="157"/>
      <c r="AE2159" s="2" t="s">
        <v>453</v>
      </c>
      <c r="AF2159" s="128">
        <f ca="1">IF($AE2152,H2159,AF2158)</f>
        <v>8888</v>
      </c>
      <c r="AG2159" s="129">
        <f ca="1">IF($AE2152,I2159,AG2158)</f>
        <v>8888</v>
      </c>
      <c r="AI2159" s="128" t="s">
        <v>453</v>
      </c>
      <c r="AJ2159" s="128">
        <f ca="1">IF($AI2152,L2159,AJ2158)</f>
        <v>8888</v>
      </c>
      <c r="AK2159" s="129">
        <f ca="1">IF($AI2152,M2159,AK2158)</f>
        <v>8888</v>
      </c>
      <c r="AM2159" s="128" t="s">
        <v>453</v>
      </c>
      <c r="AN2159" s="128">
        <f ca="1">L2145</f>
        <v>-18.624000000000006</v>
      </c>
      <c r="AO2159" s="129">
        <f ca="1">IF(AN2159&gt;-Fuselage!$D$366,(FUSELAGE_a_ellipse)*SQRT(1-((AN2159+Fuselage!$D$366)/(Fuselage!$K$364-FUSELAGE_t_fuselage))^2),IF(AN2159&gt;$L$2505+Fuselage!$K$370,FUSELAGE_a_ellipse,(FUSELAGE_a_ellipse+FUSELAGE_t_fuselage-FUSELAGE_d_fo/4)/Fuselage!$K$368*(AN2159-$L$2505-Fuselage!$K$370)+FUSELAGE_a_ellipse))</f>
        <v>1.4960570012328709</v>
      </c>
      <c r="AQ2159" s="128" t="s">
        <v>453</v>
      </c>
      <c r="AR2159" s="128">
        <f t="shared" ca="1" si="174"/>
        <v>-18.624000000000006</v>
      </c>
      <c r="AS2159" s="129">
        <f t="shared" ca="1" si="175"/>
        <v>-1.4960570012328709</v>
      </c>
      <c r="BD2159" s="157"/>
    </row>
    <row r="2160" spans="2:56">
      <c r="B2160" s="156"/>
      <c r="C2160" s="128" t="s">
        <v>394</v>
      </c>
      <c r="D2160" s="128">
        <f ca="1">IF(C2152&gt;=2,D2159,D2157)</f>
        <v>8888</v>
      </c>
      <c r="E2160" s="139">
        <f ca="1">IF(C2152&gt;=2,E2158-P2145,E2157)</f>
        <v>8888</v>
      </c>
      <c r="F2160" s="157"/>
      <c r="G2160" s="2" t="s">
        <v>394</v>
      </c>
      <c r="H2160" s="128">
        <f ca="1">IF(G2152&gt;=2,H2155,H2157)</f>
        <v>8888</v>
      </c>
      <c r="I2160" s="139">
        <f ca="1">IF(G2152&gt;=2,I2159-P2145,I2157)</f>
        <v>8888</v>
      </c>
      <c r="K2160" s="128" t="s">
        <v>394</v>
      </c>
      <c r="L2160" s="128">
        <f ca="1">L2159</f>
        <v>8888</v>
      </c>
      <c r="M2160" s="139">
        <f ca="1">IF(K2152&gt;=2,M2159-P2145,M2157)</f>
        <v>8888</v>
      </c>
      <c r="AA2160" s="143" t="s">
        <v>394</v>
      </c>
      <c r="AB2160" s="128">
        <f ca="1">IF($AA2152,D2160,AB2158)</f>
        <v>8888</v>
      </c>
      <c r="AC2160" s="129">
        <f ca="1">IF($AA2152,E2160,AC2158)</f>
        <v>8888</v>
      </c>
      <c r="AD2160" s="157"/>
      <c r="AE2160" s="2" t="s">
        <v>394</v>
      </c>
      <c r="AF2160" s="128">
        <f ca="1">IF($AE2152,H2160,AF2158)</f>
        <v>8888</v>
      </c>
      <c r="AG2160" s="129">
        <f ca="1">IF($AE2152,I2160,AG2158)</f>
        <v>8888</v>
      </c>
      <c r="AI2160" s="128" t="s">
        <v>394</v>
      </c>
      <c r="AJ2160" s="128">
        <f ca="1">IF($AI2152,L2160,AJ2158)</f>
        <v>8888</v>
      </c>
      <c r="AK2160" s="129">
        <f ca="1">IF($AI2152,M2160,AK2158)</f>
        <v>8888</v>
      </c>
      <c r="BD2160" s="157"/>
    </row>
    <row r="2161" spans="2:56">
      <c r="B2161" s="156"/>
      <c r="C2161" s="188" t="s">
        <v>454</v>
      </c>
      <c r="D2161" s="188">
        <f ca="1">IF(C2152&gt;=2,D2154,D2157)</f>
        <v>8888</v>
      </c>
      <c r="E2161" s="189">
        <f ca="1">E2160</f>
        <v>8888</v>
      </c>
      <c r="F2161" s="157"/>
      <c r="G2161" s="115" t="s">
        <v>454</v>
      </c>
      <c r="H2161" s="188">
        <f ca="1">IF(G2152&gt;=2,H2154,H2157)</f>
        <v>8888</v>
      </c>
      <c r="I2161" s="189">
        <f ca="1">IF(G2152&gt;=2,I2160,I2157)</f>
        <v>8888</v>
      </c>
      <c r="K2161" s="188" t="s">
        <v>454</v>
      </c>
      <c r="L2161" s="188">
        <f ca="1">IF(K2152&gt;=2,L2154,L2157)</f>
        <v>8888</v>
      </c>
      <c r="M2161" s="189">
        <f ca="1">IF(K2152&gt;=2,M2160,M2157)</f>
        <v>8888</v>
      </c>
      <c r="AA2161" s="195" t="s">
        <v>454</v>
      </c>
      <c r="AB2161" s="128">
        <f ca="1">IF($AA2152,D2161,AB2158)</f>
        <v>8888</v>
      </c>
      <c r="AC2161" s="129">
        <f ca="1">IF($AA2152,E2161,AC2158)</f>
        <v>8888</v>
      </c>
      <c r="AD2161" s="157"/>
      <c r="AE2161" s="115" t="s">
        <v>454</v>
      </c>
      <c r="AF2161" s="188">
        <f ca="1">IF($AE2152,H2161,AF2158)</f>
        <v>8888</v>
      </c>
      <c r="AG2161" s="196">
        <f ca="1">IF($AE2152,I2161,AG2158)</f>
        <v>8888</v>
      </c>
      <c r="AI2161" s="188" t="s">
        <v>454</v>
      </c>
      <c r="AJ2161" s="188">
        <f ca="1">IF($AI2152,L2161,AJ2158)</f>
        <v>8888</v>
      </c>
      <c r="AK2161" s="196">
        <f ca="1">IF($AI2152,M2161,AK2158)</f>
        <v>8888</v>
      </c>
      <c r="BD2161" s="157"/>
    </row>
    <row r="2162" spans="2:56">
      <c r="B2162" s="156"/>
      <c r="C2162" s="128" t="s">
        <v>507</v>
      </c>
      <c r="D2162" s="128">
        <f ca="1">IF(C2152&gt;=3,D2154,D2161)</f>
        <v>8888</v>
      </c>
      <c r="E2162" s="139">
        <f ca="1">IF(C2152&gt;=3,E2161-P2147,E2161)</f>
        <v>8888</v>
      </c>
      <c r="F2162" s="157"/>
      <c r="G2162" s="2" t="s">
        <v>507</v>
      </c>
      <c r="H2162" s="128">
        <f ca="1">IF(G2152&gt;=3,H2154,H2161)</f>
        <v>8888</v>
      </c>
      <c r="I2162" s="139">
        <f ca="1">IF(G2152&gt;=3,I2161-P2147,I2161)</f>
        <v>8888</v>
      </c>
      <c r="K2162" s="128" t="s">
        <v>507</v>
      </c>
      <c r="L2162" s="128">
        <f ca="1">IF(K2152&gt;=3,L2154,L2161)</f>
        <v>8888</v>
      </c>
      <c r="M2162" s="139">
        <f ca="1">IF(K2152&gt;=3,M2161-P2147,M2161)</f>
        <v>8888</v>
      </c>
      <c r="AA2162" s="143" t="s">
        <v>507</v>
      </c>
      <c r="AB2162" s="128">
        <f ca="1">IF($AA2152,D2162,AB2158)</f>
        <v>8888</v>
      </c>
      <c r="AC2162" s="129">
        <f ca="1">IF($AA2152,E2162,AC2158)</f>
        <v>8888</v>
      </c>
      <c r="AD2162" s="157"/>
      <c r="AE2162" s="2" t="s">
        <v>507</v>
      </c>
      <c r="AF2162" s="128">
        <f ca="1">IF($AE2152,H2162,AF2158)</f>
        <v>8888</v>
      </c>
      <c r="AG2162" s="129">
        <f ca="1">IF($AE2152,I2162,AG2158)</f>
        <v>8888</v>
      </c>
      <c r="AI2162" s="128" t="s">
        <v>507</v>
      </c>
      <c r="AJ2162" s="128">
        <f ca="1">IF($AI2152,L2162,AJ2158)</f>
        <v>8888</v>
      </c>
      <c r="AK2162" s="129">
        <f ca="1">IF($AI2152,M2162,AK2158)</f>
        <v>8888</v>
      </c>
      <c r="BD2162" s="157"/>
    </row>
    <row r="2163" spans="2:56">
      <c r="B2163" s="156"/>
      <c r="C2163" s="128" t="s">
        <v>455</v>
      </c>
      <c r="D2163" s="128">
        <f ca="1">IF(C2152&gt;=3,D2159,D2161)</f>
        <v>8888</v>
      </c>
      <c r="E2163" s="139">
        <f ca="1">E2162</f>
        <v>8888</v>
      </c>
      <c r="F2163" s="157"/>
      <c r="G2163" s="2" t="s">
        <v>455</v>
      </c>
      <c r="H2163" s="128">
        <f ca="1">IF(G2152&gt;=3,H2155,H2161)</f>
        <v>8888</v>
      </c>
      <c r="I2163" s="139">
        <f ca="1">IF(G2152&gt;=3,I2162,I2161)</f>
        <v>8888</v>
      </c>
      <c r="K2163" s="128" t="s">
        <v>455</v>
      </c>
      <c r="L2163" s="128">
        <f ca="1">IF(K2152&gt;=3,IF(X2147,IF(K2152=3,L2154+P2146/4,L2154+P2146),L2154+P2146),L2157)</f>
        <v>8888</v>
      </c>
      <c r="M2163" s="139">
        <f ca="1">IF(K2152&gt;=3,M2162,M2161)</f>
        <v>8888</v>
      </c>
      <c r="AA2163" s="143" t="s">
        <v>455</v>
      </c>
      <c r="AB2163" s="128">
        <f ca="1">IF($AA2152,D2163,AB2158)</f>
        <v>8888</v>
      </c>
      <c r="AC2163" s="129">
        <f ca="1">IF($AA2152,E2163,AC2158)</f>
        <v>8888</v>
      </c>
      <c r="AD2163" s="157"/>
      <c r="AE2163" s="2" t="s">
        <v>455</v>
      </c>
      <c r="AF2163" s="128">
        <f ca="1">IF($AE2152,H2163,AF2158)</f>
        <v>8888</v>
      </c>
      <c r="AG2163" s="129">
        <f ca="1">IF($AE2152,I2163,AG2158)</f>
        <v>8888</v>
      </c>
      <c r="AI2163" s="128" t="s">
        <v>455</v>
      </c>
      <c r="AJ2163" s="128">
        <f ca="1">IF($AI2152,L2163,AJ2158)</f>
        <v>8888</v>
      </c>
      <c r="AK2163" s="129">
        <f ca="1">IF($AI2152,M2163,AK2158)</f>
        <v>8888</v>
      </c>
      <c r="AL2163" s="156"/>
      <c r="BD2163" s="157"/>
    </row>
    <row r="2164" spans="2:56">
      <c r="B2164" s="156"/>
      <c r="C2164" s="128" t="s">
        <v>311</v>
      </c>
      <c r="D2164" s="128">
        <f ca="1">IF(C2152&gt;=3,D2159,D2161)</f>
        <v>8888</v>
      </c>
      <c r="E2164" s="139">
        <f ca="1">IF(C2152&gt;=3,E2163-P2145,E2161)</f>
        <v>8888</v>
      </c>
      <c r="F2164" s="157"/>
      <c r="G2164" s="2" t="s">
        <v>311</v>
      </c>
      <c r="H2164" s="128">
        <f ca="1">IF(G2152&gt;=3,H2155,H2161)</f>
        <v>8888</v>
      </c>
      <c r="I2164" s="139">
        <f ca="1">IF(G2152&gt;=3,I2163-P2145,I2161)</f>
        <v>8888</v>
      </c>
      <c r="K2164" s="128" t="s">
        <v>311</v>
      </c>
      <c r="L2164" s="128">
        <f ca="1">L2163</f>
        <v>8888</v>
      </c>
      <c r="M2164" s="139">
        <f ca="1">IF(K2152&gt;=3,M2163-P2145,M2161)</f>
        <v>8888</v>
      </c>
      <c r="AA2164" s="143" t="s">
        <v>311</v>
      </c>
      <c r="AB2164" s="128">
        <f ca="1">IF($AA2152,D2164,AB2158)</f>
        <v>8888</v>
      </c>
      <c r="AC2164" s="129">
        <f ca="1">IF($AA2152,E2164,AC2158)</f>
        <v>8888</v>
      </c>
      <c r="AD2164" s="157"/>
      <c r="AE2164" s="2" t="s">
        <v>311</v>
      </c>
      <c r="AF2164" s="128">
        <f ca="1">IF($AE2152,H2164,AF2158)</f>
        <v>8888</v>
      </c>
      <c r="AG2164" s="129">
        <f ca="1">IF($AE2152,I2164,AG2158)</f>
        <v>8888</v>
      </c>
      <c r="AI2164" s="128" t="s">
        <v>311</v>
      </c>
      <c r="AJ2164" s="128">
        <f ca="1">IF($AI2152,L2164,AJ2158)</f>
        <v>8888</v>
      </c>
      <c r="AK2164" s="129">
        <f ca="1">IF($AI2152,M2164,AK2158)</f>
        <v>8888</v>
      </c>
      <c r="AL2164" s="156"/>
      <c r="BD2164" s="157"/>
    </row>
    <row r="2165" spans="2:56">
      <c r="B2165" s="156"/>
      <c r="C2165" s="188" t="s">
        <v>35</v>
      </c>
      <c r="D2165" s="188">
        <f ca="1">IF(C2152&gt;=3,D2154,D2161)</f>
        <v>8888</v>
      </c>
      <c r="E2165" s="189">
        <f ca="1">E2164</f>
        <v>8888</v>
      </c>
      <c r="F2165" s="157"/>
      <c r="G2165" s="2" t="s">
        <v>35</v>
      </c>
      <c r="H2165" s="188">
        <f ca="1">IF(G2152&gt;=3,H2154,H2161)</f>
        <v>8888</v>
      </c>
      <c r="I2165" s="189">
        <f ca="1">IF(G2152&gt;=3,I2164,I2161)</f>
        <v>8888</v>
      </c>
      <c r="K2165" s="188" t="s">
        <v>35</v>
      </c>
      <c r="L2165" s="188">
        <f ca="1">IF(K2152&gt;=3,L2154,L2161)</f>
        <v>8888</v>
      </c>
      <c r="M2165" s="189">
        <f ca="1">IF(K2152&gt;=3,M2164,M2161)</f>
        <v>8888</v>
      </c>
      <c r="AA2165" s="143" t="s">
        <v>35</v>
      </c>
      <c r="AB2165" s="128">
        <f ca="1">IF($AA2152,D2165,AB2158)</f>
        <v>8888</v>
      </c>
      <c r="AC2165" s="129">
        <f ca="1">IF($AA2152,E2165,AC2158)</f>
        <v>8888</v>
      </c>
      <c r="AD2165" s="157"/>
      <c r="AE2165" s="2" t="s">
        <v>35</v>
      </c>
      <c r="AF2165" s="188">
        <f ca="1">IF($AE2152,H2165,AF2158)</f>
        <v>8888</v>
      </c>
      <c r="AG2165" s="196">
        <f ca="1">IF($AE2152,I2165,AG2158)</f>
        <v>8888</v>
      </c>
      <c r="AI2165" s="128" t="s">
        <v>35</v>
      </c>
      <c r="AJ2165" s="128">
        <f ca="1">IF($AI2152,L2165,AJ2158)</f>
        <v>8888</v>
      </c>
      <c r="AK2165" s="129">
        <f ca="1">IF($AI2152,M2165,AK2158)</f>
        <v>8888</v>
      </c>
      <c r="AL2165" s="156"/>
      <c r="BD2165" s="157"/>
    </row>
    <row r="2166" spans="2:56" ht="15" thickBot="1">
      <c r="B2166" s="156"/>
      <c r="C2166" s="130" t="s">
        <v>396</v>
      </c>
      <c r="D2166" s="130">
        <f ca="1">D2154</f>
        <v>8888</v>
      </c>
      <c r="E2166" s="140">
        <f ca="1">E2154</f>
        <v>8888</v>
      </c>
      <c r="F2166" s="157"/>
      <c r="G2166" s="192" t="s">
        <v>312</v>
      </c>
      <c r="H2166" s="128">
        <f ca="1">IF(G2152&gt;=4,H2154,H2165)</f>
        <v>8888</v>
      </c>
      <c r="I2166" s="139">
        <f ca="1">IF(G2152&gt;=4,I2165-P2147,I2165)</f>
        <v>8888</v>
      </c>
      <c r="K2166" s="130" t="s">
        <v>396</v>
      </c>
      <c r="L2166" s="130">
        <f ca="1">L2154</f>
        <v>8888</v>
      </c>
      <c r="M2166" s="140">
        <f ca="1">M2154</f>
        <v>8888</v>
      </c>
      <c r="AA2166" s="144" t="s">
        <v>396</v>
      </c>
      <c r="AB2166" s="130">
        <f ca="1">IF($AA2152,D2166,AB2158)</f>
        <v>8888</v>
      </c>
      <c r="AC2166" s="132">
        <f ca="1">IF($AA2152,E2166,AC2158)</f>
        <v>8888</v>
      </c>
      <c r="AD2166" s="157"/>
      <c r="AE2166" s="192" t="s">
        <v>312</v>
      </c>
      <c r="AF2166" s="128">
        <f ca="1">IF($AE2152,H2166,AF2158)</f>
        <v>8888</v>
      </c>
      <c r="AG2166" s="129">
        <f ca="1">IF($AE2152,I2166,AG2158)</f>
        <v>8888</v>
      </c>
      <c r="AI2166" s="130" t="s">
        <v>396</v>
      </c>
      <c r="AJ2166" s="130">
        <f ca="1">IF($AI2152,L2166,AJ2158)</f>
        <v>8888</v>
      </c>
      <c r="AK2166" s="132">
        <f ca="1">IF($AI2152,M2166,AK2158)</f>
        <v>8888</v>
      </c>
      <c r="BD2166" s="157"/>
    </row>
    <row r="2167" spans="2:56">
      <c r="B2167" s="156"/>
      <c r="F2167" s="157"/>
      <c r="G2167" s="2" t="s">
        <v>313</v>
      </c>
      <c r="H2167" s="128">
        <f ca="1">IF(G2152&gt;=4,H2155,H2165)</f>
        <v>8888</v>
      </c>
      <c r="I2167" s="139">
        <f ca="1">IF(G2152&gt;=4,I2166,I2165)</f>
        <v>8888</v>
      </c>
      <c r="AD2167" s="157"/>
      <c r="AE2167" s="2" t="s">
        <v>313</v>
      </c>
      <c r="AF2167" s="128">
        <f ca="1">IF($AE2152,H2167,AF2158)</f>
        <v>8888</v>
      </c>
      <c r="AG2167" s="129">
        <f ca="1">IF($AE2152,I2167,AG2158)</f>
        <v>8888</v>
      </c>
      <c r="BD2167" s="157"/>
    </row>
    <row r="2168" spans="2:56">
      <c r="B2168" s="156"/>
      <c r="F2168" s="157"/>
      <c r="G2168" s="2" t="s">
        <v>7</v>
      </c>
      <c r="H2168" s="128">
        <f ca="1">IF(G2152&gt;=4,H2155,H2165)</f>
        <v>8888</v>
      </c>
      <c r="I2168" s="139">
        <f ca="1">IF(G2152&gt;=4,I2167-P2145,I2165)</f>
        <v>8888</v>
      </c>
      <c r="AD2168" s="157"/>
      <c r="AE2168" s="2" t="s">
        <v>7</v>
      </c>
      <c r="AF2168" s="128">
        <f ca="1">IF($AE2152,H2168,AF2158)</f>
        <v>8888</v>
      </c>
      <c r="AG2168" s="129">
        <f ca="1">IF($AE2152,I2168,AG2158)</f>
        <v>8888</v>
      </c>
      <c r="BD2168" s="157"/>
    </row>
    <row r="2169" spans="2:56">
      <c r="B2169" s="156"/>
      <c r="F2169" s="157"/>
      <c r="G2169" s="115" t="s">
        <v>8</v>
      </c>
      <c r="H2169" s="188">
        <f ca="1">IF(G2152&gt;=4,H2154,H2165)</f>
        <v>8888</v>
      </c>
      <c r="I2169" s="189">
        <f ca="1">IF(G2152&gt;=4,I2168,I2165)</f>
        <v>8888</v>
      </c>
      <c r="AD2169" s="157"/>
      <c r="AE2169" s="115" t="s">
        <v>8</v>
      </c>
      <c r="AF2169" s="188">
        <f ca="1">IF($AE2152,H2169,AF2158)</f>
        <v>8888</v>
      </c>
      <c r="AG2169" s="196">
        <f ca="1">IF($AE2152,I2169,AG2158)</f>
        <v>8888</v>
      </c>
      <c r="BD2169" s="157"/>
    </row>
    <row r="2170" spans="2:56">
      <c r="B2170" s="156"/>
      <c r="F2170" s="157"/>
      <c r="G2170" s="2" t="s">
        <v>9</v>
      </c>
      <c r="H2170" s="128">
        <f ca="1">IF(G2152&gt;=5,H2154,H2169)</f>
        <v>8888</v>
      </c>
      <c r="I2170" s="139">
        <f ca="1">IF(G2152&gt;=5,I2169-P2147,I2169)</f>
        <v>8888</v>
      </c>
      <c r="AD2170" s="157"/>
      <c r="AE2170" s="2" t="s">
        <v>9</v>
      </c>
      <c r="AF2170" s="128">
        <f ca="1">IF($AE2152,H2170,AF2158)</f>
        <v>8888</v>
      </c>
      <c r="AG2170" s="129">
        <f ca="1">IF($AE2152,I2170,AG2158)</f>
        <v>8888</v>
      </c>
      <c r="BD2170" s="157"/>
    </row>
    <row r="2171" spans="2:56">
      <c r="B2171" s="156"/>
      <c r="F2171" s="157"/>
      <c r="G2171" s="2" t="s">
        <v>196</v>
      </c>
      <c r="H2171" s="128">
        <f ca="1">IF(G2152&gt;=5,H2155,H2169)</f>
        <v>8888</v>
      </c>
      <c r="I2171" s="139">
        <f ca="1">IF(G2152&gt;=5,I2170,I2169)</f>
        <v>8888</v>
      </c>
      <c r="AD2171" s="157"/>
      <c r="AE2171" s="2" t="s">
        <v>196</v>
      </c>
      <c r="AF2171" s="128">
        <f ca="1">IF($AE2152,H2171,AF2158)</f>
        <v>8888</v>
      </c>
      <c r="AG2171" s="129">
        <f ca="1">IF($AE2152,I2171,AG2158)</f>
        <v>8888</v>
      </c>
      <c r="BD2171" s="157"/>
    </row>
    <row r="2172" spans="2:56">
      <c r="B2172" s="156"/>
      <c r="F2172" s="157"/>
      <c r="G2172" s="2" t="s">
        <v>10</v>
      </c>
      <c r="H2172" s="128">
        <f ca="1">IF(G2152&gt;=5,H2155,H2169)</f>
        <v>8888</v>
      </c>
      <c r="I2172" s="139">
        <f ca="1">IF(G2152&gt;=5,I2171-P2145,I2169)</f>
        <v>8888</v>
      </c>
      <c r="AD2172" s="157"/>
      <c r="AE2172" s="2" t="s">
        <v>10</v>
      </c>
      <c r="AF2172" s="128">
        <f ca="1">IF($AE2152,H2172,AF2158)</f>
        <v>8888</v>
      </c>
      <c r="AG2172" s="129">
        <f ca="1">IF($AE2152,I2172,AG2158)</f>
        <v>8888</v>
      </c>
      <c r="BD2172" s="157"/>
    </row>
    <row r="2173" spans="2:56">
      <c r="B2173" s="156"/>
      <c r="F2173" s="157"/>
      <c r="G2173" s="2" t="s">
        <v>161</v>
      </c>
      <c r="H2173" s="188">
        <f ca="1">IF(G2152&gt;=5,H2154,H2169)</f>
        <v>8888</v>
      </c>
      <c r="I2173" s="189">
        <f ca="1">IF(G2152&gt;=5,I2172,I2169)</f>
        <v>8888</v>
      </c>
      <c r="AD2173" s="157"/>
      <c r="AE2173" s="2" t="s">
        <v>161</v>
      </c>
      <c r="AF2173" s="188">
        <f ca="1">IF($AE2152,H2173,AF2158)</f>
        <v>8888</v>
      </c>
      <c r="AG2173" s="196">
        <f ca="1">IF($AE2152,I2173,AG2158)</f>
        <v>8888</v>
      </c>
      <c r="BD2173" s="157"/>
    </row>
    <row r="2174" spans="2:56">
      <c r="B2174" s="156"/>
      <c r="F2174" s="157"/>
      <c r="G2174" s="192" t="s">
        <v>11</v>
      </c>
      <c r="H2174" s="128">
        <f ca="1">IF(G2152&gt;=6,H2154,H2173)</f>
        <v>8888</v>
      </c>
      <c r="I2174" s="139">
        <f ca="1">IF(G2152&gt;=6,I2173-P2147,I2173)</f>
        <v>8888</v>
      </c>
      <c r="AD2174" s="157"/>
      <c r="AE2174" s="192" t="s">
        <v>11</v>
      </c>
      <c r="AF2174" s="128">
        <f ca="1">IF($AE2152,H2174,AF2158)</f>
        <v>8888</v>
      </c>
      <c r="AG2174" s="129">
        <f ca="1">IF($AE2152,I2174,AG2158)</f>
        <v>8888</v>
      </c>
      <c r="BD2174" s="157"/>
    </row>
    <row r="2175" spans="2:56">
      <c r="B2175" s="156"/>
      <c r="F2175" s="157"/>
      <c r="G2175" s="2" t="s">
        <v>12</v>
      </c>
      <c r="H2175" s="128">
        <f ca="1">IF(G2152&gt;=6,H2155,H2173)</f>
        <v>8888</v>
      </c>
      <c r="I2175" s="139">
        <f ca="1">IF(G2152&gt;=6,I2174,I2173)</f>
        <v>8888</v>
      </c>
      <c r="AD2175" s="157"/>
      <c r="AE2175" s="2" t="s">
        <v>12</v>
      </c>
      <c r="AF2175" s="128">
        <f ca="1">IF($AE2152,H2175,AF2158)</f>
        <v>8888</v>
      </c>
      <c r="AG2175" s="129">
        <f ca="1">IF($AE2152,I2175,AG2158)</f>
        <v>8888</v>
      </c>
      <c r="BD2175" s="157"/>
    </row>
    <row r="2176" spans="2:56">
      <c r="B2176" s="156"/>
      <c r="F2176" s="157"/>
      <c r="G2176" s="2" t="s">
        <v>13</v>
      </c>
      <c r="H2176" s="128">
        <f ca="1">IF(G2152&gt;=6,H2155,H2173)</f>
        <v>8888</v>
      </c>
      <c r="I2176" s="139">
        <f ca="1">IF(G2152&gt;=6,I2175-P2145,I2173)</f>
        <v>8888</v>
      </c>
      <c r="AD2176" s="157"/>
      <c r="AE2176" s="2" t="s">
        <v>13</v>
      </c>
      <c r="AF2176" s="128">
        <f ca="1">IF($AE2152,H2176,AF2158)</f>
        <v>8888</v>
      </c>
      <c r="AG2176" s="129">
        <f ca="1">IF($AE2152,I2176,AG2158)</f>
        <v>8888</v>
      </c>
      <c r="BD2176" s="157"/>
    </row>
    <row r="2177" spans="2:56">
      <c r="B2177" s="156"/>
      <c r="F2177" s="157"/>
      <c r="G2177" s="115" t="s">
        <v>14</v>
      </c>
      <c r="H2177" s="188">
        <f ca="1">IF(G2152&gt;=6,H2154,H2173)</f>
        <v>8888</v>
      </c>
      <c r="I2177" s="189">
        <f ca="1">IF(G2152&gt;=6,I2176,I2173)</f>
        <v>8888</v>
      </c>
      <c r="AD2177" s="157"/>
      <c r="AE2177" s="115" t="s">
        <v>14</v>
      </c>
      <c r="AF2177" s="188">
        <f ca="1">IF($AE2152,H2177,AF2158)</f>
        <v>8888</v>
      </c>
      <c r="AG2177" s="196">
        <f ca="1">IF($AE2152,I2177,AG2158)</f>
        <v>8888</v>
      </c>
      <c r="BD2177" s="157"/>
    </row>
    <row r="2178" spans="2:56" ht="15" thickBot="1">
      <c r="B2178" s="156"/>
      <c r="G2178" s="130" t="s">
        <v>396</v>
      </c>
      <c r="H2178" s="130">
        <f ca="1">H2154</f>
        <v>8888</v>
      </c>
      <c r="I2178" s="140">
        <f ca="1">I2154</f>
        <v>8888</v>
      </c>
      <c r="AE2178" s="130" t="s">
        <v>396</v>
      </c>
      <c r="AF2178" s="130">
        <f ca="1">IF($AE2152,H2178,AF2158)</f>
        <v>8888</v>
      </c>
      <c r="AG2178" s="132">
        <f ca="1">IF($AE2152,I2178,AG2158)</f>
        <v>8888</v>
      </c>
      <c r="BD2178" s="157"/>
    </row>
    <row r="2179" spans="2:56">
      <c r="B2179" s="156"/>
      <c r="BD2179" s="157"/>
    </row>
    <row r="2180" spans="2:56">
      <c r="B2180" s="156"/>
      <c r="BD2180" s="157"/>
    </row>
    <row r="2181" spans="2:56">
      <c r="B2181" s="156"/>
      <c r="C2181" s="200" t="s">
        <v>336</v>
      </c>
      <c r="D2181">
        <f>D2145+1</f>
        <v>56</v>
      </c>
      <c r="G2181" s="200" t="s">
        <v>638</v>
      </c>
      <c r="H2181">
        <f ca="1">LOOKUP(D2184,$C$191:$C$196,$D$191:$D$196)</f>
        <v>0</v>
      </c>
      <c r="K2181" s="200" t="s">
        <v>644</v>
      </c>
      <c r="L2181">
        <f ca="1">L2145-H2186</f>
        <v>-18.624000000000006</v>
      </c>
      <c r="O2181" s="200" t="s">
        <v>404</v>
      </c>
      <c r="P2181">
        <f ca="1">IF(D2183=1,SEAT_w_cushion_FC,IF(D2183=2,SEAT_w_cushion_BC,IF(D2183=3,SEAT_w_cushion_YC,0)))</f>
        <v>0</v>
      </c>
      <c r="S2181" s="200" t="s">
        <v>647</v>
      </c>
      <c r="T2181">
        <f ca="1">LOOKUP(D2184,$C$191:$C$196,$E$191:$E$196)</f>
        <v>0</v>
      </c>
      <c r="W2181" t="s">
        <v>130</v>
      </c>
      <c r="X2181" t="str">
        <f ca="1">OFFSET(Fuselage!$B$275,D2181,5)</f>
        <v>None</v>
      </c>
      <c r="AN2181" s="200" t="s">
        <v>135</v>
      </c>
      <c r="AO2181">
        <f ca="1">MAX(0,H2186-MAX(T2181,T2183,T2185,P2182)-X2182)</f>
        <v>0</v>
      </c>
      <c r="BD2181" s="157"/>
    </row>
    <row r="2182" spans="2:56">
      <c r="B2182" s="156"/>
      <c r="C2182" s="200" t="s">
        <v>200</v>
      </c>
      <c r="D2182" t="str">
        <f ca="1">OFFSET(Fuselage!$B$275,D2181,0)</f>
        <v/>
      </c>
      <c r="G2182" s="200" t="s">
        <v>639</v>
      </c>
      <c r="H2182">
        <f ca="1">LOOKUP(D2185,$C$191:$C$196,$D$191:$D$196)</f>
        <v>0</v>
      </c>
      <c r="O2182" s="200" t="s">
        <v>535</v>
      </c>
      <c r="P2182">
        <f ca="1">IF(D2183=1,SEAT_length_FC,IF(D2183=2,SEAT_length_BC,IF(D2183=3,SEAT_length_YC,0)))</f>
        <v>0</v>
      </c>
      <c r="S2182" s="200" t="s">
        <v>648</v>
      </c>
      <c r="T2182">
        <f ca="1">LOOKUP(D2184,$C$191:$C$196,$F$191:$F$196)</f>
        <v>0</v>
      </c>
      <c r="W2182" t="s">
        <v>131</v>
      </c>
      <c r="X2182">
        <f ca="1">LOOKUP(X2181,$I$191:$I$198,$J$191:$J$198)</f>
        <v>0</v>
      </c>
      <c r="BD2182" s="157"/>
    </row>
    <row r="2183" spans="2:56">
      <c r="B2183" s="156"/>
      <c r="C2183" s="200" t="s">
        <v>337</v>
      </c>
      <c r="D2183" t="str">
        <f ca="1">OFFSET(Fuselage!$B$275,D2181,4)</f>
        <v/>
      </c>
      <c r="G2183" s="200" t="s">
        <v>309</v>
      </c>
      <c r="H2183">
        <f ca="1">LOOKUP(D2186,$C$191:$C$196,$D$191:$D$196)</f>
        <v>0</v>
      </c>
      <c r="K2183" s="200" t="s">
        <v>645</v>
      </c>
      <c r="L2183">
        <f ca="1">IF(D2183=1,FUSELAGE_nseats_left_FC,IF(D2183=2,FUSELAGE_nseats_left_BC,IF(D2183=3,FUSELAGE_nseats_left_YC,0)))</f>
        <v>0</v>
      </c>
      <c r="O2183" s="200" t="s">
        <v>405</v>
      </c>
      <c r="P2183">
        <f ca="1">IF(D2183=1,SEAT_w_armrest_FC,IF(D2183=2,SEAT_w_armrest_BC,IF(D2183=3,SEAT_w_armrest_YC,0)))</f>
        <v>0</v>
      </c>
      <c r="S2183" s="200" t="s">
        <v>652</v>
      </c>
      <c r="T2183">
        <f ca="1">LOOKUP(D2185,$C$191:$C$196,$E$191:$E$196)</f>
        <v>0</v>
      </c>
      <c r="W2183" s="200" t="s">
        <v>393</v>
      </c>
      <c r="X2183" t="b">
        <f ca="1">IF(OFFSET(Fuselage!$B$275,D2181,6)="YES",TRUE(),FALSE())</f>
        <v>0</v>
      </c>
      <c r="BD2183" s="157"/>
    </row>
    <row r="2184" spans="2:56">
      <c r="B2184" s="156"/>
      <c r="C2184" s="200" t="s">
        <v>640</v>
      </c>
      <c r="D2184" t="str">
        <f ca="1">OFFSET(Fuselage!$B$275,D2181,1)</f>
        <v>None</v>
      </c>
      <c r="G2184" s="200" t="s">
        <v>132</v>
      </c>
      <c r="H2184">
        <f ca="1">IF(D2183=1,SEAT_pitch_FC,IF(D2183=2,SEAT_pitch_BC,IF(D2183=3,SEAT_pitch_YC,0)))</f>
        <v>0</v>
      </c>
      <c r="K2184" s="200" t="s">
        <v>646</v>
      </c>
      <c r="L2184">
        <f ca="1">IF(D2183=1,FUSELAGE_nseats_middle_FC,IF(D2183=2,FUSELAGE_nseats_middle_BC,IF(D2183=3,FUSELAGE_nseats_middle_YC,0)))</f>
        <v>0</v>
      </c>
      <c r="S2184" s="200" t="s">
        <v>653</v>
      </c>
      <c r="T2184">
        <f ca="1">LOOKUP(D2185,$C$191:$C$196,$F$191:$F$196)</f>
        <v>0</v>
      </c>
      <c r="BD2184" s="157"/>
    </row>
    <row r="2185" spans="2:56">
      <c r="B2185" s="156"/>
      <c r="C2185" s="200" t="s">
        <v>642</v>
      </c>
      <c r="D2185" t="str">
        <f ca="1">OFFSET(Fuselage!$B$275,D2181,2)</f>
        <v>None</v>
      </c>
      <c r="G2185" s="200" t="s">
        <v>129</v>
      </c>
      <c r="H2185">
        <f ca="1">IF(OR(X2181="Type A",X2181="Type B"),MAX(H2181:H2184)+42*0.0254,IF(X2181="Type C",MAX(H2181:H2184)+X2182,IF(X2181&lt;&gt;"None",24*0.0254,0)))</f>
        <v>0</v>
      </c>
      <c r="K2185" s="200" t="s">
        <v>655</v>
      </c>
      <c r="L2185">
        <f ca="1">IF(D2183=1,FUSELAGE_nseats_right_FC,IF(D2183=2,FUSELAGE_nseats_right_BC,IF(D2183=3,FUSELAGE_nseats_right_YC,0)))</f>
        <v>0</v>
      </c>
      <c r="O2185" s="200" t="s">
        <v>407</v>
      </c>
      <c r="P2185">
        <f ca="1">($C$13-(L2183+L2184+L2185)*(P2181+P2183)+(FUSELAGE_n_aisles-1)*P2183)/FUSELAGE_n_aisles</f>
        <v>2.76</v>
      </c>
      <c r="S2185" s="200" t="s">
        <v>651</v>
      </c>
      <c r="T2185">
        <f ca="1">LOOKUP(D2186,$C$191:$C$196,$E$191:$E$196)</f>
        <v>0</v>
      </c>
      <c r="BD2185" s="157"/>
    </row>
    <row r="2186" spans="2:56">
      <c r="B2186" s="156"/>
      <c r="C2186" s="200" t="s">
        <v>641</v>
      </c>
      <c r="D2186" t="str">
        <f ca="1">OFFSET(Fuselage!$B$275,D2181,3)</f>
        <v>None</v>
      </c>
      <c r="G2186" s="200" t="s">
        <v>643</v>
      </c>
      <c r="H2186">
        <f ca="1">MAX(H2181:H2185)</f>
        <v>0</v>
      </c>
      <c r="S2186" s="200" t="s">
        <v>654</v>
      </c>
      <c r="T2186">
        <f ca="1">LOOKUP(D2186,$C$191:$C$196,$F$191:$F$196)</f>
        <v>0</v>
      </c>
      <c r="BD2186" s="157"/>
    </row>
    <row r="2187" spans="2:56" ht="15" thickBot="1">
      <c r="B2187" s="156"/>
      <c r="BD2187" s="157"/>
    </row>
    <row r="2188" spans="2:56" ht="15" thickBot="1">
      <c r="B2188" s="156"/>
      <c r="C2188" s="141">
        <f ca="1">L2185</f>
        <v>0</v>
      </c>
      <c r="D2188" s="197" t="str">
        <f ca="1">IF($D2183=1,"FC",IF($D2183=2,"BC",IF($D2183=3,"YC","Nothing")))</f>
        <v>Nothing</v>
      </c>
      <c r="E2188" s="198"/>
      <c r="G2188" s="141">
        <f ca="1">L2184</f>
        <v>0</v>
      </c>
      <c r="H2188" s="197" t="str">
        <f ca="1">IF($D2183=1,"FC",IF($D2183=2,"BC",IF($D2183=3,"YC","Nothing")))</f>
        <v>Nothing</v>
      </c>
      <c r="I2188" s="198"/>
      <c r="K2188" s="141">
        <f ca="1" xml:space="preserve"> L2183</f>
        <v>0</v>
      </c>
      <c r="L2188" s="197" t="str">
        <f ca="1">IF($D2183=1,"FC",IF($D2183=2,"BC",IF($D2183=3,"YC","Nothing")))</f>
        <v>Nothing</v>
      </c>
      <c r="M2188" s="198"/>
      <c r="O2188" s="141">
        <f ca="1">IF($D2186&lt;&gt;"None",1,0)</f>
        <v>0</v>
      </c>
      <c r="P2188" s="326" t="s">
        <v>380</v>
      </c>
      <c r="Q2188" s="327"/>
      <c r="S2188" s="141">
        <f ca="1">IF($D2185&lt;&gt;"None",1,0)</f>
        <v>0</v>
      </c>
      <c r="T2188" s="326" t="s">
        <v>381</v>
      </c>
      <c r="U2188" s="327"/>
      <c r="W2188" s="141">
        <f ca="1">IF($D2184&lt;&gt;"None",1,0)</f>
        <v>0</v>
      </c>
      <c r="X2188" s="326" t="s">
        <v>382</v>
      </c>
      <c r="Y2188" s="327"/>
      <c r="AA2188" s="141">
        <f ca="1">IF($D2186="None",1,0)</f>
        <v>1</v>
      </c>
      <c r="AB2188" s="326" t="str">
        <f ca="1">IF(AA2188,D2188,$D2186)</f>
        <v>Nothing</v>
      </c>
      <c r="AC2188" s="327"/>
      <c r="AE2188" s="141">
        <f ca="1">IF($D2185="None",1,0)</f>
        <v>1</v>
      </c>
      <c r="AF2188" s="326" t="str">
        <f ca="1">IF(AE2188,H2188,$D2185)</f>
        <v>Nothing</v>
      </c>
      <c r="AG2188" s="327"/>
      <c r="AI2188" s="141">
        <f ca="1">IF($D2184="None",1,0)</f>
        <v>1</v>
      </c>
      <c r="AJ2188" s="326" t="str">
        <f ca="1">IF(AI2188,L2188,$D2184)</f>
        <v>Nothing</v>
      </c>
      <c r="AK2188" s="327"/>
      <c r="AM2188" s="141">
        <f ca="1">IF($X2181="None",0,1)</f>
        <v>0</v>
      </c>
      <c r="AN2188" s="197" t="s">
        <v>133</v>
      </c>
      <c r="AO2188" s="198"/>
      <c r="AQ2188" s="141">
        <f ca="1">IF($X2181="None",0,1)</f>
        <v>0</v>
      </c>
      <c r="AR2188" s="197" t="s">
        <v>134</v>
      </c>
      <c r="AS2188" s="198"/>
      <c r="BD2188" s="157"/>
    </row>
    <row r="2189" spans="2:56" ht="15" thickBot="1">
      <c r="B2189" s="156"/>
      <c r="C2189" s="136" t="s">
        <v>452</v>
      </c>
      <c r="D2189" s="136" t="s">
        <v>384</v>
      </c>
      <c r="E2189" s="138" t="s">
        <v>385</v>
      </c>
      <c r="G2189" s="136" t="s">
        <v>452</v>
      </c>
      <c r="H2189" s="136" t="s">
        <v>384</v>
      </c>
      <c r="I2189" s="138" t="s">
        <v>385</v>
      </c>
      <c r="K2189" s="193" t="s">
        <v>452</v>
      </c>
      <c r="L2189" s="193" t="s">
        <v>384</v>
      </c>
      <c r="M2189" s="194" t="s">
        <v>385</v>
      </c>
      <c r="O2189" s="136" t="s">
        <v>452</v>
      </c>
      <c r="P2189" s="136" t="s">
        <v>384</v>
      </c>
      <c r="Q2189" s="138" t="s">
        <v>385</v>
      </c>
      <c r="S2189" s="136" t="s">
        <v>452</v>
      </c>
      <c r="T2189" s="136" t="s">
        <v>384</v>
      </c>
      <c r="U2189" s="138" t="s">
        <v>385</v>
      </c>
      <c r="W2189" s="136" t="s">
        <v>452</v>
      </c>
      <c r="X2189" s="136" t="s">
        <v>384</v>
      </c>
      <c r="Y2189" s="138" t="s">
        <v>385</v>
      </c>
      <c r="AA2189" s="136" t="s">
        <v>452</v>
      </c>
      <c r="AB2189" s="136" t="s">
        <v>384</v>
      </c>
      <c r="AC2189" s="138" t="s">
        <v>385</v>
      </c>
      <c r="AE2189" s="136" t="s">
        <v>452</v>
      </c>
      <c r="AF2189" s="136" t="s">
        <v>384</v>
      </c>
      <c r="AG2189" s="138" t="s">
        <v>385</v>
      </c>
      <c r="AI2189" s="193" t="s">
        <v>452</v>
      </c>
      <c r="AJ2189" s="193" t="s">
        <v>384</v>
      </c>
      <c r="AK2189" s="194" t="s">
        <v>385</v>
      </c>
      <c r="AM2189" s="193" t="s">
        <v>452</v>
      </c>
      <c r="AN2189" s="193" t="s">
        <v>384</v>
      </c>
      <c r="AO2189" s="194" t="s">
        <v>385</v>
      </c>
      <c r="AQ2189" s="193" t="s">
        <v>452</v>
      </c>
      <c r="AR2189" s="193" t="s">
        <v>384</v>
      </c>
      <c r="AS2189" s="194" t="s">
        <v>385</v>
      </c>
      <c r="BD2189" s="157"/>
    </row>
    <row r="2190" spans="2:56">
      <c r="B2190" s="156"/>
      <c r="C2190" s="128" t="s">
        <v>396</v>
      </c>
      <c r="D2190" s="158">
        <f ca="1">IF(C2188&gt;=1,L2181,8888)</f>
        <v>8888</v>
      </c>
      <c r="E2190" s="160">
        <f ca="1">IF(C2188&gt;=1,1/2*($C$13-P2181-2*P2183)+1/2*P2181,8888)</f>
        <v>8888</v>
      </c>
      <c r="G2190" s="128" t="s">
        <v>396</v>
      </c>
      <c r="H2190" s="158">
        <f ca="1">IF(G2188&gt;=1,L2181,8888)</f>
        <v>8888</v>
      </c>
      <c r="I2190" s="160">
        <f ca="1">IF(G2188&gt;=1,E2201-P2185,8888)</f>
        <v>8888</v>
      </c>
      <c r="K2190" s="128" t="s">
        <v>396</v>
      </c>
      <c r="L2190" s="158">
        <f ca="1">IF(K2188&gt;=1,L2181,8888)</f>
        <v>8888</v>
      </c>
      <c r="M2190" s="160">
        <f ca="1">IF(K2188&gt;=1,IF(FUSELAGE_n_aisles=1,E2201-P2185,I2213-P2185),8888)</f>
        <v>8888</v>
      </c>
      <c r="O2190" s="128" t="s">
        <v>396</v>
      </c>
      <c r="P2190" s="158">
        <f ca="1">IF(O2188,$L2181,8888)</f>
        <v>8888</v>
      </c>
      <c r="Q2190" s="209">
        <f ca="1">IF(O2188,FUSELAGE_y_position_of_left_seat_YC-(FUSELAGE_nseats_right_YC-1)*(SEAT_w_cushion_YC+SEAT_w_armrest_YC)/2+T2186/2,8888)</f>
        <v>8888</v>
      </c>
      <c r="S2190" s="128" t="s">
        <v>396</v>
      </c>
      <c r="T2190" s="158">
        <f ca="1">IF(S2188,$L2181,8888)</f>
        <v>8888</v>
      </c>
      <c r="U2190" s="160">
        <f ca="1">IF(S2188,T2184/2,8888)</f>
        <v>8888</v>
      </c>
      <c r="W2190" s="128" t="s">
        <v>396</v>
      </c>
      <c r="X2190" s="158">
        <f ca="1">IF(W2188,$L2181,8888)</f>
        <v>8888</v>
      </c>
      <c r="Y2190" s="160">
        <f ca="1">IF(W2188,-FUSELAGE_y_position_of_left_seat_YC+(FUSELAGE_nseats_left_YC-1)*(SEAT_w_cushion_YC+SEAT_w_armrest_YC)/2-T2182/2,8888)</f>
        <v>8888</v>
      </c>
      <c r="AA2190" s="128" t="s">
        <v>396</v>
      </c>
      <c r="AB2190" s="158">
        <f ca="1">IF($AA2188,D2190,P2190)</f>
        <v>8888</v>
      </c>
      <c r="AC2190" s="174">
        <f ca="1">IF($AA2188,E2190,Q2190)</f>
        <v>8888</v>
      </c>
      <c r="AE2190" s="128" t="s">
        <v>396</v>
      </c>
      <c r="AF2190" s="158">
        <f ca="1">IF($AE2188,H2190,T2190)</f>
        <v>8888</v>
      </c>
      <c r="AG2190" s="174">
        <f ca="1">IF($AE2188,I2190,U2190)</f>
        <v>8888</v>
      </c>
      <c r="AI2190" s="128" t="s">
        <v>396</v>
      </c>
      <c r="AJ2190" s="158">
        <f ca="1">IF($AI2188,L2190,X2190)</f>
        <v>8888</v>
      </c>
      <c r="AK2190" s="174">
        <f ca="1">IF($AI2188,M2190,Y2190)</f>
        <v>8888</v>
      </c>
      <c r="AM2190" s="128" t="s">
        <v>396</v>
      </c>
      <c r="AN2190" s="158">
        <f ca="1">AN2159</f>
        <v>-18.624000000000006</v>
      </c>
      <c r="AO2190" s="174">
        <f ca="1">IF(AN2190&gt;-Fuselage!$D$366,(FUSELAGE_a_ellipse)*SQRT(1-((AN2190+Fuselage!$D$366)/(Fuselage!$K$364-FUSELAGE_t_fuselage))^2),IF(AN2190&gt;$L$2505+Fuselage!$K$370,FUSELAGE_a_ellipse,(FUSELAGE_a_ellipse+FUSELAGE_t_fuselage-FUSELAGE_d_fo/4)/Fuselage!$K$368*(AN2190-$L$2505-Fuselage!$K$370)+FUSELAGE_a_ellipse))</f>
        <v>1.4960570012328709</v>
      </c>
      <c r="AQ2190" s="128" t="s">
        <v>396</v>
      </c>
      <c r="AR2190" s="158">
        <f t="shared" ref="AR2190:AR2195" ca="1" si="176">AN2190</f>
        <v>-18.624000000000006</v>
      </c>
      <c r="AS2190" s="174">
        <f t="shared" ref="AS2190:AS2195" ca="1" si="177">-AO2190</f>
        <v>-1.4960570012328709</v>
      </c>
      <c r="BD2190" s="157"/>
    </row>
    <row r="2191" spans="2:56">
      <c r="B2191" s="156"/>
      <c r="C2191" s="128" t="s">
        <v>213</v>
      </c>
      <c r="D2191" s="128">
        <f ca="1">IF(X2183,D2190+P2182/4,D2190+P2182)</f>
        <v>8888</v>
      </c>
      <c r="E2191" s="139">
        <f ca="1">E2190</f>
        <v>8888</v>
      </c>
      <c r="G2191" s="128" t="s">
        <v>213</v>
      </c>
      <c r="H2191" s="128">
        <f ca="1">H2190+P2182</f>
        <v>8888</v>
      </c>
      <c r="I2191" s="139">
        <f ca="1">I2190</f>
        <v>8888</v>
      </c>
      <c r="K2191" s="128" t="s">
        <v>213</v>
      </c>
      <c r="L2191" s="128">
        <f ca="1">IF(X2183,IF(K2188=1,L2190+P2182/4,L2190+P2182),L2190+P2182)</f>
        <v>8888</v>
      </c>
      <c r="M2191" s="139">
        <f ca="1">M2190</f>
        <v>8888</v>
      </c>
      <c r="O2191" s="128" t="s">
        <v>213</v>
      </c>
      <c r="P2191" s="128">
        <f ca="1">P2190+$T2185</f>
        <v>8888</v>
      </c>
      <c r="Q2191" s="139">
        <f ca="1">Q2190</f>
        <v>8888</v>
      </c>
      <c r="S2191" s="128" t="s">
        <v>213</v>
      </c>
      <c r="T2191" s="128">
        <f ca="1">T2190+$T2183</f>
        <v>8888</v>
      </c>
      <c r="U2191" s="139">
        <f ca="1">U2190</f>
        <v>8888</v>
      </c>
      <c r="W2191" s="128" t="s">
        <v>213</v>
      </c>
      <c r="X2191" s="128">
        <f ca="1">X2190+$T2181</f>
        <v>8888</v>
      </c>
      <c r="Y2191" s="139">
        <f ca="1">Y2190</f>
        <v>8888</v>
      </c>
      <c r="AA2191" s="143" t="s">
        <v>213</v>
      </c>
      <c r="AB2191" s="128">
        <f ca="1">IF($AA2188,D2191,P2191)</f>
        <v>8888</v>
      </c>
      <c r="AC2191" s="129">
        <f ca="1">IF($AA2188,E2191,Q2191)</f>
        <v>8888</v>
      </c>
      <c r="AE2191" s="128" t="s">
        <v>213</v>
      </c>
      <c r="AF2191" s="128">
        <f ca="1">IF($AE2188,H2191,T2191)</f>
        <v>8888</v>
      </c>
      <c r="AG2191" s="129">
        <f ca="1">IF($AE2188,I2191,U2191)</f>
        <v>8888</v>
      </c>
      <c r="AI2191" s="128" t="s">
        <v>213</v>
      </c>
      <c r="AJ2191" s="128">
        <f ca="1">IF($AI2188,L2191,X2191)</f>
        <v>8888</v>
      </c>
      <c r="AK2191" s="129">
        <f ca="1">IF($AI2188,M2191,Y2191)</f>
        <v>8888</v>
      </c>
      <c r="AM2191" s="128" t="s">
        <v>213</v>
      </c>
      <c r="AN2191" s="128">
        <f ca="1">AN2190-AO2181/2</f>
        <v>-18.624000000000006</v>
      </c>
      <c r="AO2191" s="129">
        <f ca="1">IF(AN2191&gt;-Fuselage!$D$366,(FUSELAGE_a_ellipse)*SQRT(1-((AN2191+Fuselage!$D$366)/(Fuselage!$K$364-FUSELAGE_t_fuselage))^2),IF(AN2191&gt;$L$2505+Fuselage!$K$370,FUSELAGE_a_ellipse,(FUSELAGE_a_ellipse+FUSELAGE_t_fuselage-FUSELAGE_d_fo/4)/Fuselage!$K$368*(AN2191-$L$2505-Fuselage!$K$370)+FUSELAGE_a_ellipse))</f>
        <v>1.4960570012328709</v>
      </c>
      <c r="AQ2191" s="128" t="s">
        <v>213</v>
      </c>
      <c r="AR2191" s="128">
        <f t="shared" ca="1" si="176"/>
        <v>-18.624000000000006</v>
      </c>
      <c r="AS2191" s="129">
        <f t="shared" ca="1" si="177"/>
        <v>-1.4960570012328709</v>
      </c>
      <c r="BD2191" s="157"/>
    </row>
    <row r="2192" spans="2:56">
      <c r="B2192" s="156"/>
      <c r="C2192" s="128" t="s">
        <v>286</v>
      </c>
      <c r="D2192" s="128">
        <f ca="1">D2191</f>
        <v>8888</v>
      </c>
      <c r="E2192" s="139">
        <f ca="1">E2191-P2181</f>
        <v>8888</v>
      </c>
      <c r="G2192" s="128" t="s">
        <v>286</v>
      </c>
      <c r="H2192" s="128">
        <f ca="1">H2191</f>
        <v>8888</v>
      </c>
      <c r="I2192" s="139">
        <f ca="1">I2191-P2181</f>
        <v>8888</v>
      </c>
      <c r="K2192" s="128" t="s">
        <v>286</v>
      </c>
      <c r="L2192" s="128">
        <f ca="1">L2191</f>
        <v>8888</v>
      </c>
      <c r="M2192" s="139">
        <f ca="1">M2191-P2181</f>
        <v>8888</v>
      </c>
      <c r="O2192" s="128" t="s">
        <v>286</v>
      </c>
      <c r="P2192" s="128">
        <f ca="1">P2191</f>
        <v>8888</v>
      </c>
      <c r="Q2192" s="139">
        <f ca="1">Q2191-$T2186</f>
        <v>8888</v>
      </c>
      <c r="S2192" s="128" t="s">
        <v>286</v>
      </c>
      <c r="T2192" s="128">
        <f ca="1">T2191</f>
        <v>8888</v>
      </c>
      <c r="U2192" s="139">
        <f ca="1">U2191-$T2184</f>
        <v>8888</v>
      </c>
      <c r="W2192" s="128" t="s">
        <v>286</v>
      </c>
      <c r="X2192" s="128">
        <f ca="1">X2191</f>
        <v>8888</v>
      </c>
      <c r="Y2192" s="139">
        <f ca="1">Y2191+$T2182</f>
        <v>8888</v>
      </c>
      <c r="AA2192" s="143" t="s">
        <v>286</v>
      </c>
      <c r="AB2192" s="128">
        <f ca="1">IF($AA2188,D2192,P2192)</f>
        <v>8888</v>
      </c>
      <c r="AC2192" s="129">
        <f ca="1">IF($AA2188,E2192,Q2192)</f>
        <v>8888</v>
      </c>
      <c r="AE2192" s="128" t="s">
        <v>286</v>
      </c>
      <c r="AF2192" s="128">
        <f ca="1">IF($AE2188,H2192,T2192)</f>
        <v>8888</v>
      </c>
      <c r="AG2192" s="129">
        <f ca="1">IF($AE2188,I2192,U2192)</f>
        <v>8888</v>
      </c>
      <c r="AI2192" s="128" t="s">
        <v>286</v>
      </c>
      <c r="AJ2192" s="128">
        <f ca="1">IF($AI2188,L2192,X2192)</f>
        <v>8888</v>
      </c>
      <c r="AK2192" s="129">
        <f ca="1">IF($AI2188,M2192,Y2192)</f>
        <v>8888</v>
      </c>
      <c r="AM2192" s="128" t="s">
        <v>286</v>
      </c>
      <c r="AN2192" s="128">
        <f ca="1">AN2191</f>
        <v>-18.624000000000006</v>
      </c>
      <c r="AO2192" s="129">
        <f ca="1">IF(AN2192&gt;-Fuselage!$D$366,IF(AM2188,(FUSELAGE_a_ellipse+FUSELAGE_t_fuselage)*SQRT(1-((AN2192+Fuselage!$D$366)/Fuselage!$K$364)^2),(FUSELAGE_a_ellipse)*SQRT(1-((AN2192+Fuselage!$D$366)/Fuselage!$K$364)^2)),IF(AN2192&gt;$L$2505+Fuselage!$K$370,(IF(AM2188,FUSELAGE_a_ellipse+FUSELAGE_t_fuselage,FUSELAGE_a_ellipse)),IF(AM2188,(FUSELAGE_a_ellipse+FUSELAGE_t_fuselage-FUSELAGE_d_fo/4)/Fuselage!$K$368*(AN2192-$L$2505-Fuselage!$K$370)+FUSELAGE_a_ellipse+FUSELAGE_t_fuselage,(FUSELAGE_a_ellipse+FUSELAGE_t_fuselage-FUSELAGE_d_fo/4)/Fuselage!$K$368*(AN2192-$L$2505-Fuselage!$K$370)+FUSELAGE_a_ellipse)))</f>
        <v>1.4960570012328709</v>
      </c>
      <c r="AQ2192" s="128" t="s">
        <v>286</v>
      </c>
      <c r="AR2192" s="128">
        <f t="shared" ca="1" si="176"/>
        <v>-18.624000000000006</v>
      </c>
      <c r="AS2192" s="129">
        <f t="shared" ca="1" si="177"/>
        <v>-1.4960570012328709</v>
      </c>
      <c r="BD2192" s="157"/>
    </row>
    <row r="2193" spans="2:56">
      <c r="B2193" s="156"/>
      <c r="C2193" s="188" t="s">
        <v>522</v>
      </c>
      <c r="D2193" s="188">
        <f ca="1">D2190</f>
        <v>8888</v>
      </c>
      <c r="E2193" s="189">
        <f ca="1">E2192</f>
        <v>8888</v>
      </c>
      <c r="F2193" s="157"/>
      <c r="G2193" s="2" t="s">
        <v>522</v>
      </c>
      <c r="H2193" s="128">
        <f ca="1">H2190</f>
        <v>8888</v>
      </c>
      <c r="I2193" s="139">
        <f ca="1">I2192</f>
        <v>8888</v>
      </c>
      <c r="K2193" s="128" t="s">
        <v>522</v>
      </c>
      <c r="L2193" s="128">
        <f ca="1">L2190</f>
        <v>8888</v>
      </c>
      <c r="M2193" s="139">
        <f ca="1">M2192</f>
        <v>8888</v>
      </c>
      <c r="O2193" s="188" t="s">
        <v>522</v>
      </c>
      <c r="P2193" s="188">
        <f ca="1">P2190</f>
        <v>8888</v>
      </c>
      <c r="Q2193" s="189">
        <f ca="1">Q2192</f>
        <v>8888</v>
      </c>
      <c r="S2193" s="188" t="s">
        <v>522</v>
      </c>
      <c r="T2193" s="188">
        <f ca="1">T2190</f>
        <v>8888</v>
      </c>
      <c r="U2193" s="189">
        <f ca="1">U2192</f>
        <v>8888</v>
      </c>
      <c r="W2193" s="188" t="s">
        <v>522</v>
      </c>
      <c r="X2193" s="188">
        <f ca="1">X2190</f>
        <v>8888</v>
      </c>
      <c r="Y2193" s="189">
        <f ca="1">Y2192</f>
        <v>8888</v>
      </c>
      <c r="AA2193" s="195" t="s">
        <v>522</v>
      </c>
      <c r="AB2193" s="128">
        <f ca="1">IF($AA2188,D2193,P2193)</f>
        <v>8888</v>
      </c>
      <c r="AC2193" s="129">
        <f ca="1">IF($AA2188,E2193,Q2193)</f>
        <v>8888</v>
      </c>
      <c r="AD2193" s="157"/>
      <c r="AE2193" s="2" t="s">
        <v>522</v>
      </c>
      <c r="AF2193" s="188">
        <f ca="1">IF($AE2188,H2193,T2193)</f>
        <v>8888</v>
      </c>
      <c r="AG2193" s="196">
        <f ca="1">IF($AE2188,I2193,U2193)</f>
        <v>8888</v>
      </c>
      <c r="AI2193" s="128" t="s">
        <v>522</v>
      </c>
      <c r="AJ2193" s="188">
        <f ca="1">IF($AI2188,L2193,X2193)</f>
        <v>8888</v>
      </c>
      <c r="AK2193" s="196">
        <f ca="1">IF($AI2188,M2193,Y2193)</f>
        <v>8888</v>
      </c>
      <c r="AM2193" s="128" t="s">
        <v>522</v>
      </c>
      <c r="AN2193" s="128">
        <f ca="1">AN2192-X2182</f>
        <v>-18.624000000000006</v>
      </c>
      <c r="AO2193" s="129">
        <f ca="1">IF(AN2193&gt;-Fuselage!$D$366,IF(AM2188,(FUSELAGE_a_ellipse+FUSELAGE_t_fuselage)*SQRT(1-((AN2193+Fuselage!$D$366)/Fuselage!$K$364)^2),(FUSELAGE_a_ellipse)*SQRT(1-((AN2193+Fuselage!$D$366)/Fuselage!$K$364)^2)),IF(AN2193&gt;$L$2505+Fuselage!$K$370,(IF(AM2188,FUSELAGE_a_ellipse+FUSELAGE_t_fuselage,FUSELAGE_a_ellipse)),IF(AM2188,(FUSELAGE_a_ellipse+FUSELAGE_t_fuselage-FUSELAGE_d_fo/4)/Fuselage!$K$368*(AN2193-$L$2505-Fuselage!$K$370)+FUSELAGE_a_ellipse+FUSELAGE_t_fuselage,(FUSELAGE_a_ellipse+FUSELAGE_t_fuselage-FUSELAGE_d_fo/4)/Fuselage!$K$368*(AN2193-$L$2505-Fuselage!$K$370)+FUSELAGE_a_ellipse)))</f>
        <v>1.4960570012328709</v>
      </c>
      <c r="AQ2193" s="128" t="s">
        <v>522</v>
      </c>
      <c r="AR2193" s="128">
        <f t="shared" ca="1" si="176"/>
        <v>-18.624000000000006</v>
      </c>
      <c r="AS2193" s="129">
        <f t="shared" ca="1" si="177"/>
        <v>-1.4960570012328709</v>
      </c>
      <c r="BD2193" s="157"/>
    </row>
    <row r="2194" spans="2:56" ht="15" thickBot="1">
      <c r="B2194" s="156"/>
      <c r="C2194" s="128" t="s">
        <v>49</v>
      </c>
      <c r="D2194" s="128">
        <f ca="1">IF(C2188&gt;=2,D2190,D2193)</f>
        <v>8888</v>
      </c>
      <c r="E2194" s="139">
        <f ca="1">IF(C2188&gt;=2,E2193-P2183,E2193)</f>
        <v>8888</v>
      </c>
      <c r="F2194" s="157"/>
      <c r="G2194" s="192" t="s">
        <v>49</v>
      </c>
      <c r="H2194" s="190">
        <f ca="1">IF(G2188&gt;=2,H2190,H2193)</f>
        <v>8888</v>
      </c>
      <c r="I2194" s="191">
        <f ca="1">IF(G2188&gt;=2,I2193-P2183,I2193)</f>
        <v>8888</v>
      </c>
      <c r="K2194" s="190" t="s">
        <v>49</v>
      </c>
      <c r="L2194" s="190">
        <f ca="1">IF(K2188&gt;=2,L2190,L2193)</f>
        <v>8888</v>
      </c>
      <c r="M2194" s="191">
        <f ca="1">IF(K2188&gt;=2,M2193-P2183,M2193)</f>
        <v>8888</v>
      </c>
      <c r="O2194" s="130" t="s">
        <v>396</v>
      </c>
      <c r="P2194" s="130">
        <f ca="1">P2190</f>
        <v>8888</v>
      </c>
      <c r="Q2194" s="140">
        <f ca="1">Q2190</f>
        <v>8888</v>
      </c>
      <c r="S2194" s="130" t="s">
        <v>396</v>
      </c>
      <c r="T2194" s="130">
        <f ca="1">T2190</f>
        <v>8888</v>
      </c>
      <c r="U2194" s="140">
        <f ca="1">U2190</f>
        <v>8888</v>
      </c>
      <c r="W2194" s="130" t="s">
        <v>396</v>
      </c>
      <c r="X2194" s="130">
        <f ca="1">X2190</f>
        <v>8888</v>
      </c>
      <c r="Y2194" s="140">
        <f ca="1">Y2190</f>
        <v>8888</v>
      </c>
      <c r="AA2194" s="143" t="s">
        <v>49</v>
      </c>
      <c r="AB2194" s="128">
        <f ca="1">IF($AA2188,D2194,P2194)</f>
        <v>8888</v>
      </c>
      <c r="AC2194" s="129">
        <f ca="1">IF($AA2188,E2194,Q2194)</f>
        <v>8888</v>
      </c>
      <c r="AD2194" s="157"/>
      <c r="AE2194" s="192" t="s">
        <v>49</v>
      </c>
      <c r="AF2194" s="128">
        <f ca="1">IF($AE2188,H2194,T2194)</f>
        <v>8888</v>
      </c>
      <c r="AG2194" s="129">
        <f ca="1">IF($AE2188,I2194,U2194)</f>
        <v>8888</v>
      </c>
      <c r="AI2194" s="190" t="s">
        <v>49</v>
      </c>
      <c r="AJ2194" s="128">
        <f ca="1">IF($AI2188,L2194,X2194)</f>
        <v>8888</v>
      </c>
      <c r="AK2194" s="129">
        <f ca="1">IF($AI2188,M2194,Y2194)</f>
        <v>8888</v>
      </c>
      <c r="AM2194" s="128" t="s">
        <v>49</v>
      </c>
      <c r="AN2194" s="128">
        <f ca="1">AN2193</f>
        <v>-18.624000000000006</v>
      </c>
      <c r="AO2194" s="129">
        <f ca="1">IF(AN2194&gt;-Fuselage!$D$366,(FUSELAGE_a_ellipse)*SQRT(1-((AN2194+Fuselage!$D$366)/(Fuselage!$K$364-FUSELAGE_t_fuselage))^2),IF(AN2194&gt;$L$2505+Fuselage!$K$370,FUSELAGE_a_ellipse,(FUSELAGE_a_ellipse+FUSELAGE_t_fuselage-FUSELAGE_d_fo/4)/Fuselage!$K$368*(AN2194-$L$2505-Fuselage!$K$370)+FUSELAGE_a_ellipse))</f>
        <v>1.4960570012328709</v>
      </c>
      <c r="AQ2194" s="128" t="s">
        <v>49</v>
      </c>
      <c r="AR2194" s="128">
        <f t="shared" ca="1" si="176"/>
        <v>-18.624000000000006</v>
      </c>
      <c r="AS2194" s="129">
        <f t="shared" ca="1" si="177"/>
        <v>-1.4960570012328709</v>
      </c>
      <c r="BD2194" s="157"/>
    </row>
    <row r="2195" spans="2:56">
      <c r="B2195" s="156"/>
      <c r="C2195" s="128" t="s">
        <v>453</v>
      </c>
      <c r="D2195" s="128">
        <f ca="1">IF(C2188&gt;=2,D2190+P2182,D2193)</f>
        <v>8888</v>
      </c>
      <c r="E2195" s="139">
        <f ca="1">E2194</f>
        <v>8888</v>
      </c>
      <c r="F2195" s="157"/>
      <c r="G2195" s="2" t="s">
        <v>453</v>
      </c>
      <c r="H2195" s="128">
        <f ca="1">IF(G2188&gt;=2,H2191,H2193)</f>
        <v>8888</v>
      </c>
      <c r="I2195" s="139">
        <f ca="1">IF(G2188&gt;=2,I2194,I2193)</f>
        <v>8888</v>
      </c>
      <c r="K2195" s="128" t="s">
        <v>453</v>
      </c>
      <c r="L2195" s="128">
        <f ca="1">IF(K2188&gt;=2,IF(X2183,IF(K2188=2,L2190+P2182/4,L2190+P2182),L2190+P2182),L2193)</f>
        <v>8888</v>
      </c>
      <c r="M2195" s="139">
        <f ca="1">IF(K2188&gt;=2,M2194,M2193)</f>
        <v>8888</v>
      </c>
      <c r="AA2195" s="143" t="s">
        <v>453</v>
      </c>
      <c r="AB2195" s="128">
        <f ca="1">IF($AA2188,D2195,AB2194)</f>
        <v>8888</v>
      </c>
      <c r="AC2195" s="129">
        <f ca="1">IF($AA2188,E2195,AC2194)</f>
        <v>8888</v>
      </c>
      <c r="AD2195" s="157"/>
      <c r="AE2195" s="2" t="s">
        <v>453</v>
      </c>
      <c r="AF2195" s="128">
        <f ca="1">IF($AE2188,H2195,AF2194)</f>
        <v>8888</v>
      </c>
      <c r="AG2195" s="129">
        <f ca="1">IF($AE2188,I2195,AG2194)</f>
        <v>8888</v>
      </c>
      <c r="AI2195" s="128" t="s">
        <v>453</v>
      </c>
      <c r="AJ2195" s="128">
        <f ca="1">IF($AI2188,L2195,AJ2194)</f>
        <v>8888</v>
      </c>
      <c r="AK2195" s="129">
        <f ca="1">IF($AI2188,M2195,AK2194)</f>
        <v>8888</v>
      </c>
      <c r="AM2195" s="128" t="s">
        <v>453</v>
      </c>
      <c r="AN2195" s="128">
        <f ca="1">L2181</f>
        <v>-18.624000000000006</v>
      </c>
      <c r="AO2195" s="129">
        <f ca="1">IF(AN2195&gt;-Fuselage!$D$366,(FUSELAGE_a_ellipse)*SQRT(1-((AN2195+Fuselage!$D$366)/(Fuselage!$K$364-FUSELAGE_t_fuselage))^2),IF(AN2195&gt;$L$2505+Fuselage!$K$370,FUSELAGE_a_ellipse,(FUSELAGE_a_ellipse+FUSELAGE_t_fuselage-FUSELAGE_d_fo/4)/Fuselage!$K$368*(AN2195-$L$2505-Fuselage!$K$370)+FUSELAGE_a_ellipse))</f>
        <v>1.4960570012328709</v>
      </c>
      <c r="AQ2195" s="128" t="s">
        <v>453</v>
      </c>
      <c r="AR2195" s="128">
        <f t="shared" ca="1" si="176"/>
        <v>-18.624000000000006</v>
      </c>
      <c r="AS2195" s="129">
        <f t="shared" ca="1" si="177"/>
        <v>-1.4960570012328709</v>
      </c>
      <c r="BD2195" s="157"/>
    </row>
    <row r="2196" spans="2:56">
      <c r="B2196" s="156"/>
      <c r="C2196" s="128" t="s">
        <v>394</v>
      </c>
      <c r="D2196" s="128">
        <f ca="1">IF(C2188&gt;=2,D2195,D2193)</f>
        <v>8888</v>
      </c>
      <c r="E2196" s="139">
        <f ca="1">IF(C2188&gt;=2,E2194-P2181,E2193)</f>
        <v>8888</v>
      </c>
      <c r="F2196" s="157"/>
      <c r="G2196" s="2" t="s">
        <v>394</v>
      </c>
      <c r="H2196" s="128">
        <f ca="1">IF(G2188&gt;=2,H2191,H2193)</f>
        <v>8888</v>
      </c>
      <c r="I2196" s="139">
        <f ca="1">IF(G2188&gt;=2,I2195-P2181,I2193)</f>
        <v>8888</v>
      </c>
      <c r="K2196" s="128" t="s">
        <v>394</v>
      </c>
      <c r="L2196" s="128">
        <f ca="1">L2195</f>
        <v>8888</v>
      </c>
      <c r="M2196" s="139">
        <f ca="1">IF(K2188&gt;=2,M2195-P2181,M2193)</f>
        <v>8888</v>
      </c>
      <c r="AA2196" s="143" t="s">
        <v>394</v>
      </c>
      <c r="AB2196" s="128">
        <f ca="1">IF($AA2188,D2196,AB2194)</f>
        <v>8888</v>
      </c>
      <c r="AC2196" s="129">
        <f ca="1">IF($AA2188,E2196,AC2194)</f>
        <v>8888</v>
      </c>
      <c r="AD2196" s="157"/>
      <c r="AE2196" s="2" t="s">
        <v>394</v>
      </c>
      <c r="AF2196" s="128">
        <f ca="1">IF($AE2188,H2196,AF2194)</f>
        <v>8888</v>
      </c>
      <c r="AG2196" s="129">
        <f ca="1">IF($AE2188,I2196,AG2194)</f>
        <v>8888</v>
      </c>
      <c r="AI2196" s="128" t="s">
        <v>394</v>
      </c>
      <c r="AJ2196" s="128">
        <f ca="1">IF($AI2188,L2196,AJ2194)</f>
        <v>8888</v>
      </c>
      <c r="AK2196" s="129">
        <f ca="1">IF($AI2188,M2196,AK2194)</f>
        <v>8888</v>
      </c>
      <c r="BD2196" s="157"/>
    </row>
    <row r="2197" spans="2:56">
      <c r="B2197" s="156"/>
      <c r="C2197" s="188" t="s">
        <v>454</v>
      </c>
      <c r="D2197" s="188">
        <f ca="1">IF(C2188&gt;=2,D2190,D2193)</f>
        <v>8888</v>
      </c>
      <c r="E2197" s="189">
        <f ca="1">E2196</f>
        <v>8888</v>
      </c>
      <c r="F2197" s="157"/>
      <c r="G2197" s="115" t="s">
        <v>454</v>
      </c>
      <c r="H2197" s="188">
        <f ca="1">IF(G2188&gt;=2,H2190,H2193)</f>
        <v>8888</v>
      </c>
      <c r="I2197" s="189">
        <f ca="1">IF(G2188&gt;=2,I2196,I2193)</f>
        <v>8888</v>
      </c>
      <c r="K2197" s="188" t="s">
        <v>454</v>
      </c>
      <c r="L2197" s="188">
        <f ca="1">IF(K2188&gt;=2,L2190,L2193)</f>
        <v>8888</v>
      </c>
      <c r="M2197" s="189">
        <f ca="1">IF(K2188&gt;=2,M2196,M2193)</f>
        <v>8888</v>
      </c>
      <c r="AA2197" s="195" t="s">
        <v>454</v>
      </c>
      <c r="AB2197" s="128">
        <f ca="1">IF($AA2188,D2197,AB2194)</f>
        <v>8888</v>
      </c>
      <c r="AC2197" s="129">
        <f ca="1">IF($AA2188,E2197,AC2194)</f>
        <v>8888</v>
      </c>
      <c r="AD2197" s="157"/>
      <c r="AE2197" s="115" t="s">
        <v>454</v>
      </c>
      <c r="AF2197" s="188">
        <f ca="1">IF($AE2188,H2197,AF2194)</f>
        <v>8888</v>
      </c>
      <c r="AG2197" s="196">
        <f ca="1">IF($AE2188,I2197,AG2194)</f>
        <v>8888</v>
      </c>
      <c r="AI2197" s="188" t="s">
        <v>454</v>
      </c>
      <c r="AJ2197" s="188">
        <f ca="1">IF($AI2188,L2197,AJ2194)</f>
        <v>8888</v>
      </c>
      <c r="AK2197" s="196">
        <f ca="1">IF($AI2188,M2197,AK2194)</f>
        <v>8888</v>
      </c>
      <c r="BD2197" s="157"/>
    </row>
    <row r="2198" spans="2:56">
      <c r="B2198" s="156"/>
      <c r="C2198" s="128" t="s">
        <v>507</v>
      </c>
      <c r="D2198" s="128">
        <f ca="1">IF(C2188&gt;=3,D2190,D2197)</f>
        <v>8888</v>
      </c>
      <c r="E2198" s="139">
        <f ca="1">IF(C2188&gt;=3,E2197-P2183,E2197)</f>
        <v>8888</v>
      </c>
      <c r="F2198" s="157"/>
      <c r="G2198" s="2" t="s">
        <v>507</v>
      </c>
      <c r="H2198" s="128">
        <f ca="1">IF(G2188&gt;=3,H2190,H2197)</f>
        <v>8888</v>
      </c>
      <c r="I2198" s="139">
        <f ca="1">IF(G2188&gt;=3,I2197-P2183,I2197)</f>
        <v>8888</v>
      </c>
      <c r="K2198" s="128" t="s">
        <v>507</v>
      </c>
      <c r="L2198" s="128">
        <f ca="1">IF(K2188&gt;=3,L2190,L2197)</f>
        <v>8888</v>
      </c>
      <c r="M2198" s="139">
        <f ca="1">IF(K2188&gt;=3,M2197-P2183,M2197)</f>
        <v>8888</v>
      </c>
      <c r="AA2198" s="143" t="s">
        <v>507</v>
      </c>
      <c r="AB2198" s="128">
        <f ca="1">IF($AA2188,D2198,AB2194)</f>
        <v>8888</v>
      </c>
      <c r="AC2198" s="129">
        <f ca="1">IF($AA2188,E2198,AC2194)</f>
        <v>8888</v>
      </c>
      <c r="AD2198" s="157"/>
      <c r="AE2198" s="2" t="s">
        <v>507</v>
      </c>
      <c r="AF2198" s="128">
        <f ca="1">IF($AE2188,H2198,AF2194)</f>
        <v>8888</v>
      </c>
      <c r="AG2198" s="129">
        <f ca="1">IF($AE2188,I2198,AG2194)</f>
        <v>8888</v>
      </c>
      <c r="AI2198" s="128" t="s">
        <v>507</v>
      </c>
      <c r="AJ2198" s="128">
        <f ca="1">IF($AI2188,L2198,AJ2194)</f>
        <v>8888</v>
      </c>
      <c r="AK2198" s="129">
        <f ca="1">IF($AI2188,M2198,AK2194)</f>
        <v>8888</v>
      </c>
      <c r="BD2198" s="157"/>
    </row>
    <row r="2199" spans="2:56">
      <c r="B2199" s="156"/>
      <c r="C2199" s="128" t="s">
        <v>455</v>
      </c>
      <c r="D2199" s="128">
        <f ca="1">IF(C2188&gt;=3,D2195,D2197)</f>
        <v>8888</v>
      </c>
      <c r="E2199" s="139">
        <f ca="1">E2198</f>
        <v>8888</v>
      </c>
      <c r="F2199" s="157"/>
      <c r="G2199" s="2" t="s">
        <v>455</v>
      </c>
      <c r="H2199" s="128">
        <f ca="1">IF(G2188&gt;=3,H2191,H2197)</f>
        <v>8888</v>
      </c>
      <c r="I2199" s="139">
        <f ca="1">IF(G2188&gt;=3,I2198,I2197)</f>
        <v>8888</v>
      </c>
      <c r="K2199" s="128" t="s">
        <v>455</v>
      </c>
      <c r="L2199" s="128">
        <f ca="1">IF(K2188&gt;=3,IF(X2183,IF(K2188=3,L2190+P2182/4,L2190+P2182),L2190+P2182),L2193)</f>
        <v>8888</v>
      </c>
      <c r="M2199" s="139">
        <f ca="1">IF(K2188&gt;=3,M2198,M2197)</f>
        <v>8888</v>
      </c>
      <c r="AA2199" s="143" t="s">
        <v>455</v>
      </c>
      <c r="AB2199" s="128">
        <f ca="1">IF($AA2188,D2199,AB2194)</f>
        <v>8888</v>
      </c>
      <c r="AC2199" s="129">
        <f ca="1">IF($AA2188,E2199,AC2194)</f>
        <v>8888</v>
      </c>
      <c r="AD2199" s="157"/>
      <c r="AE2199" s="2" t="s">
        <v>455</v>
      </c>
      <c r="AF2199" s="128">
        <f ca="1">IF($AE2188,H2199,AF2194)</f>
        <v>8888</v>
      </c>
      <c r="AG2199" s="129">
        <f ca="1">IF($AE2188,I2199,AG2194)</f>
        <v>8888</v>
      </c>
      <c r="AI2199" s="128" t="s">
        <v>455</v>
      </c>
      <c r="AJ2199" s="128">
        <f ca="1">IF($AI2188,L2199,AJ2194)</f>
        <v>8888</v>
      </c>
      <c r="AK2199" s="129">
        <f ca="1">IF($AI2188,M2199,AK2194)</f>
        <v>8888</v>
      </c>
      <c r="AL2199" s="156"/>
      <c r="BD2199" s="157"/>
    </row>
    <row r="2200" spans="2:56">
      <c r="B2200" s="156"/>
      <c r="C2200" s="128" t="s">
        <v>311</v>
      </c>
      <c r="D2200" s="128">
        <f ca="1">IF(C2188&gt;=3,D2195,D2197)</f>
        <v>8888</v>
      </c>
      <c r="E2200" s="139">
        <f ca="1">IF(C2188&gt;=3,E2199-P2181,E2197)</f>
        <v>8888</v>
      </c>
      <c r="F2200" s="157"/>
      <c r="G2200" s="2" t="s">
        <v>311</v>
      </c>
      <c r="H2200" s="128">
        <f ca="1">IF(G2188&gt;=3,H2191,H2197)</f>
        <v>8888</v>
      </c>
      <c r="I2200" s="139">
        <f ca="1">IF(G2188&gt;=3,I2199-P2181,I2197)</f>
        <v>8888</v>
      </c>
      <c r="K2200" s="128" t="s">
        <v>311</v>
      </c>
      <c r="L2200" s="128">
        <f ca="1">L2199</f>
        <v>8888</v>
      </c>
      <c r="M2200" s="139">
        <f ca="1">IF(K2188&gt;=3,M2199-P2181,M2197)</f>
        <v>8888</v>
      </c>
      <c r="AA2200" s="143" t="s">
        <v>311</v>
      </c>
      <c r="AB2200" s="128">
        <f ca="1">IF($AA2188,D2200,AB2194)</f>
        <v>8888</v>
      </c>
      <c r="AC2200" s="129">
        <f ca="1">IF($AA2188,E2200,AC2194)</f>
        <v>8888</v>
      </c>
      <c r="AD2200" s="157"/>
      <c r="AE2200" s="2" t="s">
        <v>311</v>
      </c>
      <c r="AF2200" s="128">
        <f ca="1">IF($AE2188,H2200,AF2194)</f>
        <v>8888</v>
      </c>
      <c r="AG2200" s="129">
        <f ca="1">IF($AE2188,I2200,AG2194)</f>
        <v>8888</v>
      </c>
      <c r="AI2200" s="128" t="s">
        <v>311</v>
      </c>
      <c r="AJ2200" s="128">
        <f ca="1">IF($AI2188,L2200,AJ2194)</f>
        <v>8888</v>
      </c>
      <c r="AK2200" s="129">
        <f ca="1">IF($AI2188,M2200,AK2194)</f>
        <v>8888</v>
      </c>
      <c r="AL2200" s="156"/>
      <c r="BD2200" s="157"/>
    </row>
    <row r="2201" spans="2:56">
      <c r="B2201" s="156"/>
      <c r="C2201" s="188" t="s">
        <v>35</v>
      </c>
      <c r="D2201" s="188">
        <f ca="1">IF(C2188&gt;=3,D2190,D2197)</f>
        <v>8888</v>
      </c>
      <c r="E2201" s="189">
        <f ca="1">E2200</f>
        <v>8888</v>
      </c>
      <c r="F2201" s="157"/>
      <c r="G2201" s="2" t="s">
        <v>35</v>
      </c>
      <c r="H2201" s="188">
        <f ca="1">IF(G2188&gt;=3,H2190,H2197)</f>
        <v>8888</v>
      </c>
      <c r="I2201" s="189">
        <f ca="1">IF(G2188&gt;=3,I2200,I2197)</f>
        <v>8888</v>
      </c>
      <c r="K2201" s="188" t="s">
        <v>35</v>
      </c>
      <c r="L2201" s="188">
        <f ca="1">IF(K2188&gt;=3,L2190,L2197)</f>
        <v>8888</v>
      </c>
      <c r="M2201" s="189">
        <f ca="1">IF(K2188&gt;=3,M2200,M2197)</f>
        <v>8888</v>
      </c>
      <c r="AA2201" s="143" t="s">
        <v>35</v>
      </c>
      <c r="AB2201" s="128">
        <f ca="1">IF($AA2188,D2201,AB2194)</f>
        <v>8888</v>
      </c>
      <c r="AC2201" s="129">
        <f ca="1">IF($AA2188,E2201,AC2194)</f>
        <v>8888</v>
      </c>
      <c r="AD2201" s="157"/>
      <c r="AE2201" s="2" t="s">
        <v>35</v>
      </c>
      <c r="AF2201" s="188">
        <f ca="1">IF($AE2188,H2201,AF2194)</f>
        <v>8888</v>
      </c>
      <c r="AG2201" s="196">
        <f ca="1">IF($AE2188,I2201,AG2194)</f>
        <v>8888</v>
      </c>
      <c r="AI2201" s="128" t="s">
        <v>35</v>
      </c>
      <c r="AJ2201" s="128">
        <f ca="1">IF($AI2188,L2201,AJ2194)</f>
        <v>8888</v>
      </c>
      <c r="AK2201" s="129">
        <f ca="1">IF($AI2188,M2201,AK2194)</f>
        <v>8888</v>
      </c>
      <c r="AL2201" s="156"/>
      <c r="BD2201" s="157"/>
    </row>
    <row r="2202" spans="2:56" ht="15" thickBot="1">
      <c r="B2202" s="156"/>
      <c r="C2202" s="130" t="s">
        <v>396</v>
      </c>
      <c r="D2202" s="130">
        <f ca="1">D2190</f>
        <v>8888</v>
      </c>
      <c r="E2202" s="140">
        <f ca="1">E2190</f>
        <v>8888</v>
      </c>
      <c r="F2202" s="157"/>
      <c r="G2202" s="192" t="s">
        <v>312</v>
      </c>
      <c r="H2202" s="128">
        <f ca="1">IF(G2188&gt;=4,H2190,H2201)</f>
        <v>8888</v>
      </c>
      <c r="I2202" s="139">
        <f ca="1">IF(G2188&gt;=4,I2201-P2183,I2201)</f>
        <v>8888</v>
      </c>
      <c r="K2202" s="130" t="s">
        <v>396</v>
      </c>
      <c r="L2202" s="130">
        <f ca="1">L2190</f>
        <v>8888</v>
      </c>
      <c r="M2202" s="140">
        <f ca="1">M2190</f>
        <v>8888</v>
      </c>
      <c r="AA2202" s="144" t="s">
        <v>396</v>
      </c>
      <c r="AB2202" s="130">
        <f ca="1">IF($AA2188,D2202,AB2194)</f>
        <v>8888</v>
      </c>
      <c r="AC2202" s="132">
        <f ca="1">IF($AA2188,E2202,AC2194)</f>
        <v>8888</v>
      </c>
      <c r="AD2202" s="157"/>
      <c r="AE2202" s="192" t="s">
        <v>312</v>
      </c>
      <c r="AF2202" s="128">
        <f ca="1">IF($AE2188,H2202,AF2194)</f>
        <v>8888</v>
      </c>
      <c r="AG2202" s="129">
        <f ca="1">IF($AE2188,I2202,AG2194)</f>
        <v>8888</v>
      </c>
      <c r="AI2202" s="130" t="s">
        <v>396</v>
      </c>
      <c r="AJ2202" s="130">
        <f ca="1">IF($AI2188,L2202,AJ2194)</f>
        <v>8888</v>
      </c>
      <c r="AK2202" s="132">
        <f ca="1">IF($AI2188,M2202,AK2194)</f>
        <v>8888</v>
      </c>
      <c r="BD2202" s="157"/>
    </row>
    <row r="2203" spans="2:56">
      <c r="B2203" s="156"/>
      <c r="F2203" s="157"/>
      <c r="G2203" s="2" t="s">
        <v>313</v>
      </c>
      <c r="H2203" s="128">
        <f ca="1">IF(G2188&gt;=4,H2191,H2201)</f>
        <v>8888</v>
      </c>
      <c r="I2203" s="139">
        <f ca="1">IF(G2188&gt;=4,I2202,I2201)</f>
        <v>8888</v>
      </c>
      <c r="AD2203" s="157"/>
      <c r="AE2203" s="2" t="s">
        <v>313</v>
      </c>
      <c r="AF2203" s="128">
        <f ca="1">IF($AE2188,H2203,AF2194)</f>
        <v>8888</v>
      </c>
      <c r="AG2203" s="129">
        <f ca="1">IF($AE2188,I2203,AG2194)</f>
        <v>8888</v>
      </c>
      <c r="BD2203" s="157"/>
    </row>
    <row r="2204" spans="2:56">
      <c r="B2204" s="156"/>
      <c r="F2204" s="157"/>
      <c r="G2204" s="2" t="s">
        <v>7</v>
      </c>
      <c r="H2204" s="128">
        <f ca="1">IF(G2188&gt;=4,H2191,H2201)</f>
        <v>8888</v>
      </c>
      <c r="I2204" s="139">
        <f ca="1">IF(G2188&gt;=4,I2203-P2181,I2201)</f>
        <v>8888</v>
      </c>
      <c r="AD2204" s="157"/>
      <c r="AE2204" s="2" t="s">
        <v>7</v>
      </c>
      <c r="AF2204" s="128">
        <f ca="1">IF($AE2188,H2204,AF2194)</f>
        <v>8888</v>
      </c>
      <c r="AG2204" s="129">
        <f ca="1">IF($AE2188,I2204,AG2194)</f>
        <v>8888</v>
      </c>
      <c r="BD2204" s="157"/>
    </row>
    <row r="2205" spans="2:56">
      <c r="B2205" s="156"/>
      <c r="F2205" s="157"/>
      <c r="G2205" s="115" t="s">
        <v>8</v>
      </c>
      <c r="H2205" s="188">
        <f ca="1">IF(G2188&gt;=4,H2190,H2201)</f>
        <v>8888</v>
      </c>
      <c r="I2205" s="189">
        <f ca="1">IF(G2188&gt;=4,I2204,I2201)</f>
        <v>8888</v>
      </c>
      <c r="AD2205" s="157"/>
      <c r="AE2205" s="115" t="s">
        <v>8</v>
      </c>
      <c r="AF2205" s="188">
        <f ca="1">IF($AE2188,H2205,AF2194)</f>
        <v>8888</v>
      </c>
      <c r="AG2205" s="196">
        <f ca="1">IF($AE2188,I2205,AG2194)</f>
        <v>8888</v>
      </c>
      <c r="BD2205" s="157"/>
    </row>
    <row r="2206" spans="2:56">
      <c r="B2206" s="156"/>
      <c r="F2206" s="157"/>
      <c r="G2206" s="2" t="s">
        <v>9</v>
      </c>
      <c r="H2206" s="128">
        <f ca="1">IF(G2188&gt;=5,H2190,H2205)</f>
        <v>8888</v>
      </c>
      <c r="I2206" s="139">
        <f ca="1">IF(G2188&gt;=5,I2205-P2183,I2205)</f>
        <v>8888</v>
      </c>
      <c r="AD2206" s="157"/>
      <c r="AE2206" s="2" t="s">
        <v>9</v>
      </c>
      <c r="AF2206" s="128">
        <f ca="1">IF($AE2188,H2206,AF2194)</f>
        <v>8888</v>
      </c>
      <c r="AG2206" s="129">
        <f ca="1">IF($AE2188,I2206,AG2194)</f>
        <v>8888</v>
      </c>
      <c r="BD2206" s="157"/>
    </row>
    <row r="2207" spans="2:56">
      <c r="B2207" s="156"/>
      <c r="F2207" s="157"/>
      <c r="G2207" s="2" t="s">
        <v>196</v>
      </c>
      <c r="H2207" s="128">
        <f ca="1">IF(G2188&gt;=5,H2191,H2205)</f>
        <v>8888</v>
      </c>
      <c r="I2207" s="139">
        <f ca="1">IF(G2188&gt;=5,I2206,I2205)</f>
        <v>8888</v>
      </c>
      <c r="AD2207" s="157"/>
      <c r="AE2207" s="2" t="s">
        <v>196</v>
      </c>
      <c r="AF2207" s="128">
        <f ca="1">IF($AE2188,H2207,AF2194)</f>
        <v>8888</v>
      </c>
      <c r="AG2207" s="129">
        <f ca="1">IF($AE2188,I2207,AG2194)</f>
        <v>8888</v>
      </c>
      <c r="BD2207" s="157"/>
    </row>
    <row r="2208" spans="2:56">
      <c r="B2208" s="156"/>
      <c r="F2208" s="157"/>
      <c r="G2208" s="2" t="s">
        <v>10</v>
      </c>
      <c r="H2208" s="128">
        <f ca="1">IF(G2188&gt;=5,H2191,H2205)</f>
        <v>8888</v>
      </c>
      <c r="I2208" s="139">
        <f ca="1">IF(G2188&gt;=5,I2207-P2181,I2205)</f>
        <v>8888</v>
      </c>
      <c r="AD2208" s="157"/>
      <c r="AE2208" s="2" t="s">
        <v>10</v>
      </c>
      <c r="AF2208" s="128">
        <f ca="1">IF($AE2188,H2208,AF2194)</f>
        <v>8888</v>
      </c>
      <c r="AG2208" s="129">
        <f ca="1">IF($AE2188,I2208,AG2194)</f>
        <v>8888</v>
      </c>
      <c r="BD2208" s="157"/>
    </row>
    <row r="2209" spans="2:56">
      <c r="B2209" s="156"/>
      <c r="F2209" s="157"/>
      <c r="G2209" s="2" t="s">
        <v>161</v>
      </c>
      <c r="H2209" s="188">
        <f ca="1">IF(G2188&gt;=5,H2190,H2205)</f>
        <v>8888</v>
      </c>
      <c r="I2209" s="189">
        <f ca="1">IF(G2188&gt;=5,I2208,I2205)</f>
        <v>8888</v>
      </c>
      <c r="AD2209" s="157"/>
      <c r="AE2209" s="2" t="s">
        <v>161</v>
      </c>
      <c r="AF2209" s="188">
        <f ca="1">IF($AE2188,H2209,AF2194)</f>
        <v>8888</v>
      </c>
      <c r="AG2209" s="196">
        <f ca="1">IF($AE2188,I2209,AG2194)</f>
        <v>8888</v>
      </c>
      <c r="BD2209" s="157"/>
    </row>
    <row r="2210" spans="2:56">
      <c r="B2210" s="156"/>
      <c r="F2210" s="157"/>
      <c r="G2210" s="192" t="s">
        <v>11</v>
      </c>
      <c r="H2210" s="128">
        <f ca="1">IF(G2188&gt;=6,H2190,H2209)</f>
        <v>8888</v>
      </c>
      <c r="I2210" s="139">
        <f ca="1">IF(G2188&gt;=6,I2209-P2183,I2209)</f>
        <v>8888</v>
      </c>
      <c r="AD2210" s="157"/>
      <c r="AE2210" s="192" t="s">
        <v>11</v>
      </c>
      <c r="AF2210" s="128">
        <f ca="1">IF($AE2188,H2210,AF2194)</f>
        <v>8888</v>
      </c>
      <c r="AG2210" s="129">
        <f ca="1">IF($AE2188,I2210,AG2194)</f>
        <v>8888</v>
      </c>
      <c r="BD2210" s="157"/>
    </row>
    <row r="2211" spans="2:56">
      <c r="B2211" s="156"/>
      <c r="F2211" s="157"/>
      <c r="G2211" s="2" t="s">
        <v>12</v>
      </c>
      <c r="H2211" s="128">
        <f ca="1">IF(G2188&gt;=6,H2191,H2209)</f>
        <v>8888</v>
      </c>
      <c r="I2211" s="139">
        <f ca="1">IF(G2188&gt;=6,I2210,I2209)</f>
        <v>8888</v>
      </c>
      <c r="AD2211" s="157"/>
      <c r="AE2211" s="2" t="s">
        <v>12</v>
      </c>
      <c r="AF2211" s="128">
        <f ca="1">IF($AE2188,H2211,AF2194)</f>
        <v>8888</v>
      </c>
      <c r="AG2211" s="129">
        <f ca="1">IF($AE2188,I2211,AG2194)</f>
        <v>8888</v>
      </c>
      <c r="BD2211" s="157"/>
    </row>
    <row r="2212" spans="2:56">
      <c r="B2212" s="156"/>
      <c r="F2212" s="157"/>
      <c r="G2212" s="2" t="s">
        <v>13</v>
      </c>
      <c r="H2212" s="128">
        <f ca="1">IF(G2188&gt;=6,H2191,H2209)</f>
        <v>8888</v>
      </c>
      <c r="I2212" s="139">
        <f ca="1">IF(G2188&gt;=6,I2211-P2181,I2209)</f>
        <v>8888</v>
      </c>
      <c r="AD2212" s="157"/>
      <c r="AE2212" s="2" t="s">
        <v>13</v>
      </c>
      <c r="AF2212" s="128">
        <f ca="1">IF($AE2188,H2212,AF2194)</f>
        <v>8888</v>
      </c>
      <c r="AG2212" s="129">
        <f ca="1">IF($AE2188,I2212,AG2194)</f>
        <v>8888</v>
      </c>
      <c r="BD2212" s="157"/>
    </row>
    <row r="2213" spans="2:56">
      <c r="B2213" s="156"/>
      <c r="F2213" s="157"/>
      <c r="G2213" s="115" t="s">
        <v>14</v>
      </c>
      <c r="H2213" s="188">
        <f ca="1">IF(G2188&gt;=6,H2190,H2209)</f>
        <v>8888</v>
      </c>
      <c r="I2213" s="189">
        <f ca="1">IF(G2188&gt;=6,I2212,I2209)</f>
        <v>8888</v>
      </c>
      <c r="AD2213" s="157"/>
      <c r="AE2213" s="115" t="s">
        <v>14</v>
      </c>
      <c r="AF2213" s="188">
        <f ca="1">IF($AE2188,H2213,AF2194)</f>
        <v>8888</v>
      </c>
      <c r="AG2213" s="196">
        <f ca="1">IF($AE2188,I2213,AG2194)</f>
        <v>8888</v>
      </c>
      <c r="BD2213" s="157"/>
    </row>
    <row r="2214" spans="2:56" ht="15" thickBot="1">
      <c r="B2214" s="156"/>
      <c r="G2214" s="130" t="s">
        <v>396</v>
      </c>
      <c r="H2214" s="130">
        <f ca="1">H2190</f>
        <v>8888</v>
      </c>
      <c r="I2214" s="140">
        <f ca="1">I2190</f>
        <v>8888</v>
      </c>
      <c r="AE2214" s="130" t="s">
        <v>396</v>
      </c>
      <c r="AF2214" s="130">
        <f ca="1">IF($AE2188,H2214,AF2194)</f>
        <v>8888</v>
      </c>
      <c r="AG2214" s="132">
        <f ca="1">IF($AE2188,I2214,AG2194)</f>
        <v>8888</v>
      </c>
      <c r="BD2214" s="157"/>
    </row>
    <row r="2215" spans="2:56">
      <c r="B2215" s="156"/>
      <c r="BD2215" s="157"/>
    </row>
    <row r="2216" spans="2:56">
      <c r="B2216" s="156"/>
      <c r="BD2216" s="157"/>
    </row>
    <row r="2217" spans="2:56">
      <c r="B2217" s="156"/>
      <c r="C2217" s="200" t="s">
        <v>336</v>
      </c>
      <c r="D2217">
        <f>D2181+1</f>
        <v>57</v>
      </c>
      <c r="G2217" s="200" t="s">
        <v>638</v>
      </c>
      <c r="H2217">
        <f ca="1">LOOKUP(D2220,$C$191:$C$196,$D$191:$D$196)</f>
        <v>0</v>
      </c>
      <c r="K2217" s="200" t="s">
        <v>644</v>
      </c>
      <c r="L2217">
        <f ca="1">L2181-H2222</f>
        <v>-18.624000000000006</v>
      </c>
      <c r="O2217" s="200" t="s">
        <v>404</v>
      </c>
      <c r="P2217">
        <f ca="1">IF(D2219=1,SEAT_w_cushion_FC,IF(D2219=2,SEAT_w_cushion_BC,IF(D2219=3,SEAT_w_cushion_YC,0)))</f>
        <v>0</v>
      </c>
      <c r="S2217" s="200" t="s">
        <v>647</v>
      </c>
      <c r="T2217">
        <f ca="1">LOOKUP(D2220,$C$191:$C$196,$E$191:$E$196)</f>
        <v>0</v>
      </c>
      <c r="W2217" t="s">
        <v>130</v>
      </c>
      <c r="X2217" t="str">
        <f ca="1">OFFSET(Fuselage!$B$275,D2217,5)</f>
        <v>None</v>
      </c>
      <c r="AN2217" s="200" t="s">
        <v>135</v>
      </c>
      <c r="AO2217">
        <f ca="1">MAX(0,H2222-MAX(T2217,T2219,T2221,P2218)-X2218)</f>
        <v>0</v>
      </c>
      <c r="BD2217" s="157"/>
    </row>
    <row r="2218" spans="2:56">
      <c r="B2218" s="156"/>
      <c r="C2218" s="200" t="s">
        <v>200</v>
      </c>
      <c r="D2218" t="str">
        <f ca="1">OFFSET(Fuselage!$B$275,D2217,0)</f>
        <v/>
      </c>
      <c r="G2218" s="200" t="s">
        <v>639</v>
      </c>
      <c r="H2218">
        <f ca="1">LOOKUP(D2221,$C$191:$C$196,$D$191:$D$196)</f>
        <v>0</v>
      </c>
      <c r="O2218" s="200" t="s">
        <v>535</v>
      </c>
      <c r="P2218">
        <f ca="1">IF(D2219=1,SEAT_length_FC,IF(D2219=2,SEAT_length_BC,IF(D2219=3,SEAT_length_YC,0)))</f>
        <v>0</v>
      </c>
      <c r="S2218" s="200" t="s">
        <v>648</v>
      </c>
      <c r="T2218">
        <f ca="1">LOOKUP(D2220,$C$191:$C$196,$F$191:$F$196)</f>
        <v>0</v>
      </c>
      <c r="W2218" t="s">
        <v>131</v>
      </c>
      <c r="X2218">
        <f ca="1">LOOKUP(X2217,$I$191:$I$198,$J$191:$J$198)</f>
        <v>0</v>
      </c>
      <c r="BD2218" s="157"/>
    </row>
    <row r="2219" spans="2:56">
      <c r="B2219" s="156"/>
      <c r="C2219" s="200" t="s">
        <v>337</v>
      </c>
      <c r="D2219" t="str">
        <f ca="1">OFFSET(Fuselage!$B$275,D2217,4)</f>
        <v/>
      </c>
      <c r="G2219" s="200" t="s">
        <v>309</v>
      </c>
      <c r="H2219">
        <f ca="1">LOOKUP(D2222,$C$191:$C$196,$D$191:$D$196)</f>
        <v>0</v>
      </c>
      <c r="K2219" s="200" t="s">
        <v>645</v>
      </c>
      <c r="L2219">
        <f ca="1">IF(D2219=1,FUSELAGE_nseats_left_FC,IF(D2219=2,FUSELAGE_nseats_left_BC,IF(D2219=3,FUSELAGE_nseats_left_YC,0)))</f>
        <v>0</v>
      </c>
      <c r="O2219" s="200" t="s">
        <v>405</v>
      </c>
      <c r="P2219">
        <f ca="1">IF(D2219=1,SEAT_w_armrest_FC,IF(D2219=2,SEAT_w_armrest_BC,IF(D2219=3,SEAT_w_armrest_YC,0)))</f>
        <v>0</v>
      </c>
      <c r="S2219" s="200" t="s">
        <v>652</v>
      </c>
      <c r="T2219">
        <f ca="1">LOOKUP(D2221,$C$191:$C$196,$E$191:$E$196)</f>
        <v>0</v>
      </c>
      <c r="W2219" s="200" t="s">
        <v>393</v>
      </c>
      <c r="X2219" t="b">
        <f ca="1">IF(OFFSET(Fuselage!$B$275,D2217,6)="YES",TRUE(),FALSE())</f>
        <v>0</v>
      </c>
      <c r="BD2219" s="157"/>
    </row>
    <row r="2220" spans="2:56">
      <c r="B2220" s="156"/>
      <c r="C2220" s="200" t="s">
        <v>640</v>
      </c>
      <c r="D2220" t="str">
        <f ca="1">OFFSET(Fuselage!$B$275,D2217,1)</f>
        <v>None</v>
      </c>
      <c r="G2220" s="200" t="s">
        <v>132</v>
      </c>
      <c r="H2220">
        <f ca="1">IF(D2219=1,SEAT_pitch_FC,IF(D2219=2,SEAT_pitch_BC,IF(D2219=3,SEAT_pitch_YC,0)))</f>
        <v>0</v>
      </c>
      <c r="K2220" s="200" t="s">
        <v>646</v>
      </c>
      <c r="L2220">
        <f ca="1">IF(D2219=1,FUSELAGE_nseats_middle_FC,IF(D2219=2,FUSELAGE_nseats_middle_BC,IF(D2219=3,FUSELAGE_nseats_middle_YC,0)))</f>
        <v>0</v>
      </c>
      <c r="S2220" s="200" t="s">
        <v>653</v>
      </c>
      <c r="T2220">
        <f ca="1">LOOKUP(D2221,$C$191:$C$196,$F$191:$F$196)</f>
        <v>0</v>
      </c>
      <c r="BD2220" s="157"/>
    </row>
    <row r="2221" spans="2:56">
      <c r="B2221" s="156"/>
      <c r="C2221" s="200" t="s">
        <v>642</v>
      </c>
      <c r="D2221" t="str">
        <f ca="1">OFFSET(Fuselage!$B$275,D2217,2)</f>
        <v>None</v>
      </c>
      <c r="G2221" s="200" t="s">
        <v>129</v>
      </c>
      <c r="H2221">
        <f ca="1">IF(OR(X2217="Type A",X2217="Type B"),MAX(H2217:H2220)+42*0.0254,IF(X2217="Type C",MAX(H2217:H2220)+X2218,IF(X2217&lt;&gt;"None",24*0.0254,0)))</f>
        <v>0</v>
      </c>
      <c r="K2221" s="200" t="s">
        <v>655</v>
      </c>
      <c r="L2221">
        <f ca="1">IF(D2219=1,FUSELAGE_nseats_right_FC,IF(D2219=2,FUSELAGE_nseats_right_BC,IF(D2219=3,FUSELAGE_nseats_right_YC,0)))</f>
        <v>0</v>
      </c>
      <c r="O2221" s="200" t="s">
        <v>407</v>
      </c>
      <c r="P2221">
        <f ca="1">($C$13-(L2219+L2220+L2221)*(P2217+P2219)+(FUSELAGE_n_aisles-1)*P2219)/FUSELAGE_n_aisles</f>
        <v>2.76</v>
      </c>
      <c r="S2221" s="200" t="s">
        <v>651</v>
      </c>
      <c r="T2221">
        <f ca="1">LOOKUP(D2222,$C$191:$C$196,$E$191:$E$196)</f>
        <v>0</v>
      </c>
      <c r="BD2221" s="157"/>
    </row>
    <row r="2222" spans="2:56">
      <c r="B2222" s="156"/>
      <c r="C2222" s="200" t="s">
        <v>641</v>
      </c>
      <c r="D2222" t="str">
        <f ca="1">OFFSET(Fuselage!$B$275,D2217,3)</f>
        <v>None</v>
      </c>
      <c r="G2222" s="200" t="s">
        <v>643</v>
      </c>
      <c r="H2222">
        <f ca="1">MAX(H2217:H2221)</f>
        <v>0</v>
      </c>
      <c r="S2222" s="200" t="s">
        <v>654</v>
      </c>
      <c r="T2222">
        <f ca="1">LOOKUP(D2222,$C$191:$C$196,$F$191:$F$196)</f>
        <v>0</v>
      </c>
      <c r="BD2222" s="157"/>
    </row>
    <row r="2223" spans="2:56" ht="15" thickBot="1">
      <c r="B2223" s="156"/>
      <c r="BD2223" s="157"/>
    </row>
    <row r="2224" spans="2:56" ht="15" thickBot="1">
      <c r="B2224" s="156"/>
      <c r="C2224" s="141">
        <f ca="1">L2221</f>
        <v>0</v>
      </c>
      <c r="D2224" s="197" t="str">
        <f ca="1">IF($D2219=1,"FC",IF($D2219=2,"BC",IF($D2219=3,"YC","Nothing")))</f>
        <v>Nothing</v>
      </c>
      <c r="E2224" s="198"/>
      <c r="G2224" s="141">
        <f ca="1">L2220</f>
        <v>0</v>
      </c>
      <c r="H2224" s="197" t="str">
        <f ca="1">IF($D2219=1,"FC",IF($D2219=2,"BC",IF($D2219=3,"YC","Nothing")))</f>
        <v>Nothing</v>
      </c>
      <c r="I2224" s="198"/>
      <c r="K2224" s="141">
        <f ca="1" xml:space="preserve"> L2219</f>
        <v>0</v>
      </c>
      <c r="L2224" s="197" t="str">
        <f ca="1">IF($D2219=1,"FC",IF($D2219=2,"BC",IF($D2219=3,"YC","Nothing")))</f>
        <v>Nothing</v>
      </c>
      <c r="M2224" s="198"/>
      <c r="O2224" s="141">
        <f ca="1">IF($D2222&lt;&gt;"None",1,0)</f>
        <v>0</v>
      </c>
      <c r="P2224" s="326" t="s">
        <v>380</v>
      </c>
      <c r="Q2224" s="327"/>
      <c r="S2224" s="141">
        <f ca="1">IF($D2221&lt;&gt;"None",1,0)</f>
        <v>0</v>
      </c>
      <c r="T2224" s="326" t="s">
        <v>381</v>
      </c>
      <c r="U2224" s="327"/>
      <c r="W2224" s="141">
        <f ca="1">IF($D2220&lt;&gt;"None",1,0)</f>
        <v>0</v>
      </c>
      <c r="X2224" s="326" t="s">
        <v>382</v>
      </c>
      <c r="Y2224" s="327"/>
      <c r="AA2224" s="141">
        <f ca="1">IF($D2222="None",1,0)</f>
        <v>1</v>
      </c>
      <c r="AB2224" s="326" t="str">
        <f ca="1">IF(AA2224,D2224,$D2222)</f>
        <v>Nothing</v>
      </c>
      <c r="AC2224" s="327"/>
      <c r="AE2224" s="141">
        <f ca="1">IF($D2221="None",1,0)</f>
        <v>1</v>
      </c>
      <c r="AF2224" s="326" t="str">
        <f ca="1">IF(AE2224,H2224,$D2221)</f>
        <v>Nothing</v>
      </c>
      <c r="AG2224" s="327"/>
      <c r="AI2224" s="141">
        <f ca="1">IF($D2220="None",1,0)</f>
        <v>1</v>
      </c>
      <c r="AJ2224" s="326" t="str">
        <f ca="1">IF(AI2224,L2224,$D2220)</f>
        <v>Nothing</v>
      </c>
      <c r="AK2224" s="327"/>
      <c r="AM2224" s="141">
        <f ca="1">IF($X2217="None",0,1)</f>
        <v>0</v>
      </c>
      <c r="AN2224" s="197" t="s">
        <v>133</v>
      </c>
      <c r="AO2224" s="198"/>
      <c r="AQ2224" s="141">
        <f ca="1">IF($X2217="None",0,1)</f>
        <v>0</v>
      </c>
      <c r="AR2224" s="197" t="s">
        <v>134</v>
      </c>
      <c r="AS2224" s="198"/>
      <c r="BD2224" s="157"/>
    </row>
    <row r="2225" spans="2:56" ht="15" thickBot="1">
      <c r="B2225" s="156"/>
      <c r="C2225" s="136" t="s">
        <v>452</v>
      </c>
      <c r="D2225" s="136" t="s">
        <v>384</v>
      </c>
      <c r="E2225" s="138" t="s">
        <v>385</v>
      </c>
      <c r="G2225" s="136" t="s">
        <v>452</v>
      </c>
      <c r="H2225" s="136" t="s">
        <v>384</v>
      </c>
      <c r="I2225" s="138" t="s">
        <v>385</v>
      </c>
      <c r="K2225" s="193" t="s">
        <v>452</v>
      </c>
      <c r="L2225" s="193" t="s">
        <v>384</v>
      </c>
      <c r="M2225" s="194" t="s">
        <v>385</v>
      </c>
      <c r="O2225" s="136" t="s">
        <v>452</v>
      </c>
      <c r="P2225" s="136" t="s">
        <v>384</v>
      </c>
      <c r="Q2225" s="138" t="s">
        <v>385</v>
      </c>
      <c r="S2225" s="136" t="s">
        <v>452</v>
      </c>
      <c r="T2225" s="136" t="s">
        <v>384</v>
      </c>
      <c r="U2225" s="138" t="s">
        <v>385</v>
      </c>
      <c r="W2225" s="136" t="s">
        <v>452</v>
      </c>
      <c r="X2225" s="136" t="s">
        <v>384</v>
      </c>
      <c r="Y2225" s="138" t="s">
        <v>385</v>
      </c>
      <c r="AA2225" s="136" t="s">
        <v>452</v>
      </c>
      <c r="AB2225" s="136" t="s">
        <v>384</v>
      </c>
      <c r="AC2225" s="138" t="s">
        <v>385</v>
      </c>
      <c r="AE2225" s="136" t="s">
        <v>452</v>
      </c>
      <c r="AF2225" s="136" t="s">
        <v>384</v>
      </c>
      <c r="AG2225" s="138" t="s">
        <v>385</v>
      </c>
      <c r="AI2225" s="193" t="s">
        <v>452</v>
      </c>
      <c r="AJ2225" s="193" t="s">
        <v>384</v>
      </c>
      <c r="AK2225" s="194" t="s">
        <v>385</v>
      </c>
      <c r="AM2225" s="193" t="s">
        <v>452</v>
      </c>
      <c r="AN2225" s="193" t="s">
        <v>384</v>
      </c>
      <c r="AO2225" s="194" t="s">
        <v>385</v>
      </c>
      <c r="AQ2225" s="193" t="s">
        <v>452</v>
      </c>
      <c r="AR2225" s="193" t="s">
        <v>384</v>
      </c>
      <c r="AS2225" s="194" t="s">
        <v>385</v>
      </c>
      <c r="BD2225" s="157"/>
    </row>
    <row r="2226" spans="2:56">
      <c r="B2226" s="156"/>
      <c r="C2226" s="128" t="s">
        <v>396</v>
      </c>
      <c r="D2226" s="158">
        <f ca="1">IF(C2224&gt;=1,L2217,8888)</f>
        <v>8888</v>
      </c>
      <c r="E2226" s="160">
        <f ca="1">IF(C2224&gt;=1,1/2*($C$13-P2217-2*P2219)+1/2*P2217,8888)</f>
        <v>8888</v>
      </c>
      <c r="G2226" s="128" t="s">
        <v>396</v>
      </c>
      <c r="H2226" s="158">
        <f ca="1">IF(G2224&gt;=1,L2217,8888)</f>
        <v>8888</v>
      </c>
      <c r="I2226" s="160">
        <f ca="1">IF(G2224&gt;=1,E2237-P2221,8888)</f>
        <v>8888</v>
      </c>
      <c r="K2226" s="128" t="s">
        <v>396</v>
      </c>
      <c r="L2226" s="158">
        <f ca="1">IF(K2224&gt;=1,L2217,8888)</f>
        <v>8888</v>
      </c>
      <c r="M2226" s="160">
        <f ca="1">IF(K2224&gt;=1,IF(FUSELAGE_n_aisles=1,E2237-P2221,I2249-P2221),8888)</f>
        <v>8888</v>
      </c>
      <c r="O2226" s="128" t="s">
        <v>396</v>
      </c>
      <c r="P2226" s="158">
        <f ca="1">IF(O2224,$L2217,8888)</f>
        <v>8888</v>
      </c>
      <c r="Q2226" s="209">
        <f ca="1">IF(O2224,FUSELAGE_y_position_of_left_seat_YC-(FUSELAGE_nseats_right_YC-1)*(SEAT_w_cushion_YC+SEAT_w_armrest_YC)/2+T2222/2,8888)</f>
        <v>8888</v>
      </c>
      <c r="S2226" s="128" t="s">
        <v>396</v>
      </c>
      <c r="T2226" s="158">
        <f ca="1">IF(S2224,$L2217,8888)</f>
        <v>8888</v>
      </c>
      <c r="U2226" s="160">
        <f ca="1">IF(S2224,T2220/2,8888)</f>
        <v>8888</v>
      </c>
      <c r="W2226" s="128" t="s">
        <v>396</v>
      </c>
      <c r="X2226" s="158">
        <f ca="1">IF(W2224,$L2217,8888)</f>
        <v>8888</v>
      </c>
      <c r="Y2226" s="160">
        <f ca="1">IF(W2224,-FUSELAGE_y_position_of_left_seat_YC+(FUSELAGE_nseats_left_YC-1)*(SEAT_w_cushion_YC+SEAT_w_armrest_YC)/2-T2218/2,8888)</f>
        <v>8888</v>
      </c>
      <c r="AA2226" s="128" t="s">
        <v>396</v>
      </c>
      <c r="AB2226" s="158">
        <f ca="1">IF($AA2224,D2226,P2226)</f>
        <v>8888</v>
      </c>
      <c r="AC2226" s="174">
        <f ca="1">IF($AA2224,E2226,Q2226)</f>
        <v>8888</v>
      </c>
      <c r="AE2226" s="128" t="s">
        <v>396</v>
      </c>
      <c r="AF2226" s="158">
        <f ca="1">IF($AE2224,H2226,T2226)</f>
        <v>8888</v>
      </c>
      <c r="AG2226" s="174">
        <f ca="1">IF($AE2224,I2226,U2226)</f>
        <v>8888</v>
      </c>
      <c r="AI2226" s="128" t="s">
        <v>396</v>
      </c>
      <c r="AJ2226" s="158">
        <f ca="1">IF($AI2224,L2226,X2226)</f>
        <v>8888</v>
      </c>
      <c r="AK2226" s="174">
        <f ca="1">IF($AI2224,M2226,Y2226)</f>
        <v>8888</v>
      </c>
      <c r="AM2226" s="128" t="s">
        <v>396</v>
      </c>
      <c r="AN2226" s="158">
        <f ca="1">AN2195</f>
        <v>-18.624000000000006</v>
      </c>
      <c r="AO2226" s="174">
        <f ca="1">IF(AN2226&gt;-Fuselage!$D$366,(FUSELAGE_a_ellipse)*SQRT(1-((AN2226+Fuselage!$D$366)/(Fuselage!$K$364-FUSELAGE_t_fuselage))^2),IF(AN2226&gt;$L$2505+Fuselage!$K$370,FUSELAGE_a_ellipse,(FUSELAGE_a_ellipse+FUSELAGE_t_fuselage-FUSELAGE_d_fo/4)/Fuselage!$K$368*(AN2226-$L$2505-Fuselage!$K$370)+FUSELAGE_a_ellipse))</f>
        <v>1.4960570012328709</v>
      </c>
      <c r="AQ2226" s="128" t="s">
        <v>396</v>
      </c>
      <c r="AR2226" s="158">
        <f t="shared" ref="AR2226:AR2231" ca="1" si="178">AN2226</f>
        <v>-18.624000000000006</v>
      </c>
      <c r="AS2226" s="174">
        <f t="shared" ref="AS2226:AS2231" ca="1" si="179">-AO2226</f>
        <v>-1.4960570012328709</v>
      </c>
      <c r="BD2226" s="157"/>
    </row>
    <row r="2227" spans="2:56">
      <c r="B2227" s="156"/>
      <c r="C2227" s="128" t="s">
        <v>213</v>
      </c>
      <c r="D2227" s="128">
        <f ca="1">IF(X2219,D2226+P2218/4,D2226+P2218)</f>
        <v>8888</v>
      </c>
      <c r="E2227" s="139">
        <f ca="1">E2226</f>
        <v>8888</v>
      </c>
      <c r="G2227" s="128" t="s">
        <v>213</v>
      </c>
      <c r="H2227" s="128">
        <f ca="1">H2226+P2218</f>
        <v>8888</v>
      </c>
      <c r="I2227" s="139">
        <f ca="1">I2226</f>
        <v>8888</v>
      </c>
      <c r="K2227" s="128" t="s">
        <v>213</v>
      </c>
      <c r="L2227" s="128">
        <f ca="1">IF(X2219,IF(K2224=1,L2226+P2218/4,L2226+P2218),L2226+P2218)</f>
        <v>8888</v>
      </c>
      <c r="M2227" s="139">
        <f ca="1">M2226</f>
        <v>8888</v>
      </c>
      <c r="O2227" s="128" t="s">
        <v>213</v>
      </c>
      <c r="P2227" s="128">
        <f ca="1">P2226+$T2221</f>
        <v>8888</v>
      </c>
      <c r="Q2227" s="139">
        <f ca="1">Q2226</f>
        <v>8888</v>
      </c>
      <c r="S2227" s="128" t="s">
        <v>213</v>
      </c>
      <c r="T2227" s="128">
        <f ca="1">T2226+$T2219</f>
        <v>8888</v>
      </c>
      <c r="U2227" s="139">
        <f ca="1">U2226</f>
        <v>8888</v>
      </c>
      <c r="W2227" s="128" t="s">
        <v>213</v>
      </c>
      <c r="X2227" s="128">
        <f ca="1">X2226+$T2217</f>
        <v>8888</v>
      </c>
      <c r="Y2227" s="139">
        <f ca="1">Y2226</f>
        <v>8888</v>
      </c>
      <c r="AA2227" s="143" t="s">
        <v>213</v>
      </c>
      <c r="AB2227" s="128">
        <f ca="1">IF($AA2224,D2227,P2227)</f>
        <v>8888</v>
      </c>
      <c r="AC2227" s="129">
        <f ca="1">IF($AA2224,E2227,Q2227)</f>
        <v>8888</v>
      </c>
      <c r="AE2227" s="128" t="s">
        <v>213</v>
      </c>
      <c r="AF2227" s="128">
        <f ca="1">IF($AE2224,H2227,T2227)</f>
        <v>8888</v>
      </c>
      <c r="AG2227" s="129">
        <f ca="1">IF($AE2224,I2227,U2227)</f>
        <v>8888</v>
      </c>
      <c r="AI2227" s="128" t="s">
        <v>213</v>
      </c>
      <c r="AJ2227" s="128">
        <f ca="1">IF($AI2224,L2227,X2227)</f>
        <v>8888</v>
      </c>
      <c r="AK2227" s="129">
        <f ca="1">IF($AI2224,M2227,Y2227)</f>
        <v>8888</v>
      </c>
      <c r="AM2227" s="128" t="s">
        <v>213</v>
      </c>
      <c r="AN2227" s="128">
        <f ca="1">AN2226-AO2217/2</f>
        <v>-18.624000000000006</v>
      </c>
      <c r="AO2227" s="129">
        <f ca="1">IF(AN2227&gt;-Fuselage!$D$366,(FUSELAGE_a_ellipse)*SQRT(1-((AN2227+Fuselage!$D$366)/(Fuselage!$K$364-FUSELAGE_t_fuselage))^2),IF(AN2227&gt;$L$2505+Fuselage!$K$370,FUSELAGE_a_ellipse,(FUSELAGE_a_ellipse+FUSELAGE_t_fuselage-FUSELAGE_d_fo/4)/Fuselage!$K$368*(AN2227-$L$2505-Fuselage!$K$370)+FUSELAGE_a_ellipse))</f>
        <v>1.4960570012328709</v>
      </c>
      <c r="AQ2227" s="128" t="s">
        <v>213</v>
      </c>
      <c r="AR2227" s="128">
        <f t="shared" ca="1" si="178"/>
        <v>-18.624000000000006</v>
      </c>
      <c r="AS2227" s="129">
        <f t="shared" ca="1" si="179"/>
        <v>-1.4960570012328709</v>
      </c>
      <c r="BD2227" s="157"/>
    </row>
    <row r="2228" spans="2:56">
      <c r="B2228" s="156"/>
      <c r="C2228" s="128" t="s">
        <v>286</v>
      </c>
      <c r="D2228" s="128">
        <f ca="1">D2227</f>
        <v>8888</v>
      </c>
      <c r="E2228" s="139">
        <f ca="1">E2227-P2217</f>
        <v>8888</v>
      </c>
      <c r="G2228" s="128" t="s">
        <v>286</v>
      </c>
      <c r="H2228" s="128">
        <f ca="1">H2227</f>
        <v>8888</v>
      </c>
      <c r="I2228" s="139">
        <f ca="1">I2227-P2217</f>
        <v>8888</v>
      </c>
      <c r="K2228" s="128" t="s">
        <v>286</v>
      </c>
      <c r="L2228" s="128">
        <f ca="1">L2227</f>
        <v>8888</v>
      </c>
      <c r="M2228" s="139">
        <f ca="1">M2227-P2217</f>
        <v>8888</v>
      </c>
      <c r="O2228" s="128" t="s">
        <v>286</v>
      </c>
      <c r="P2228" s="128">
        <f ca="1">P2227</f>
        <v>8888</v>
      </c>
      <c r="Q2228" s="139">
        <f ca="1">Q2227-$T2222</f>
        <v>8888</v>
      </c>
      <c r="S2228" s="128" t="s">
        <v>286</v>
      </c>
      <c r="T2228" s="128">
        <f ca="1">T2227</f>
        <v>8888</v>
      </c>
      <c r="U2228" s="139">
        <f ca="1">U2227-$T2220</f>
        <v>8888</v>
      </c>
      <c r="W2228" s="128" t="s">
        <v>286</v>
      </c>
      <c r="X2228" s="128">
        <f ca="1">X2227</f>
        <v>8888</v>
      </c>
      <c r="Y2228" s="139">
        <f ca="1">Y2227+$T2218</f>
        <v>8888</v>
      </c>
      <c r="AA2228" s="143" t="s">
        <v>286</v>
      </c>
      <c r="AB2228" s="128">
        <f ca="1">IF($AA2224,D2228,P2228)</f>
        <v>8888</v>
      </c>
      <c r="AC2228" s="129">
        <f ca="1">IF($AA2224,E2228,Q2228)</f>
        <v>8888</v>
      </c>
      <c r="AE2228" s="128" t="s">
        <v>286</v>
      </c>
      <c r="AF2228" s="128">
        <f ca="1">IF($AE2224,H2228,T2228)</f>
        <v>8888</v>
      </c>
      <c r="AG2228" s="129">
        <f ca="1">IF($AE2224,I2228,U2228)</f>
        <v>8888</v>
      </c>
      <c r="AI2228" s="128" t="s">
        <v>286</v>
      </c>
      <c r="AJ2228" s="128">
        <f ca="1">IF($AI2224,L2228,X2228)</f>
        <v>8888</v>
      </c>
      <c r="AK2228" s="129">
        <f ca="1">IF($AI2224,M2228,Y2228)</f>
        <v>8888</v>
      </c>
      <c r="AM2228" s="128" t="s">
        <v>286</v>
      </c>
      <c r="AN2228" s="128">
        <f ca="1">AN2227</f>
        <v>-18.624000000000006</v>
      </c>
      <c r="AO2228" s="129">
        <f ca="1">IF(AN2228&gt;-Fuselage!$D$366,IF(AM2224,(FUSELAGE_a_ellipse+FUSELAGE_t_fuselage)*SQRT(1-((AN2228+Fuselage!$D$366)/Fuselage!$K$364)^2),(FUSELAGE_a_ellipse)*SQRT(1-((AN2228+Fuselage!$D$366)/Fuselage!$K$364)^2)),IF(AN2228&gt;$L$2505+Fuselage!$K$370,(IF(AM2224,FUSELAGE_a_ellipse+FUSELAGE_t_fuselage,FUSELAGE_a_ellipse)),IF(AM2224,(FUSELAGE_a_ellipse+FUSELAGE_t_fuselage-FUSELAGE_d_fo/4)/Fuselage!$K$368*(AN2228-$L$2505-Fuselage!$K$370)+FUSELAGE_a_ellipse+FUSELAGE_t_fuselage,(FUSELAGE_a_ellipse+FUSELAGE_t_fuselage-FUSELAGE_d_fo/4)/Fuselage!$K$368*(AN2228-$L$2505-Fuselage!$K$370)+FUSELAGE_a_ellipse)))</f>
        <v>1.4960570012328709</v>
      </c>
      <c r="AQ2228" s="128" t="s">
        <v>286</v>
      </c>
      <c r="AR2228" s="128">
        <f t="shared" ca="1" si="178"/>
        <v>-18.624000000000006</v>
      </c>
      <c r="AS2228" s="129">
        <f t="shared" ca="1" si="179"/>
        <v>-1.4960570012328709</v>
      </c>
      <c r="BD2228" s="157"/>
    </row>
    <row r="2229" spans="2:56">
      <c r="B2229" s="156"/>
      <c r="C2229" s="188" t="s">
        <v>522</v>
      </c>
      <c r="D2229" s="188">
        <f ca="1">D2226</f>
        <v>8888</v>
      </c>
      <c r="E2229" s="189">
        <f ca="1">E2228</f>
        <v>8888</v>
      </c>
      <c r="F2229" s="157"/>
      <c r="G2229" s="2" t="s">
        <v>522</v>
      </c>
      <c r="H2229" s="128">
        <f ca="1">H2226</f>
        <v>8888</v>
      </c>
      <c r="I2229" s="139">
        <f ca="1">I2228</f>
        <v>8888</v>
      </c>
      <c r="K2229" s="128" t="s">
        <v>522</v>
      </c>
      <c r="L2229" s="128">
        <f ca="1">L2226</f>
        <v>8888</v>
      </c>
      <c r="M2229" s="139">
        <f ca="1">M2228</f>
        <v>8888</v>
      </c>
      <c r="O2229" s="188" t="s">
        <v>522</v>
      </c>
      <c r="P2229" s="188">
        <f ca="1">P2226</f>
        <v>8888</v>
      </c>
      <c r="Q2229" s="189">
        <f ca="1">Q2228</f>
        <v>8888</v>
      </c>
      <c r="S2229" s="188" t="s">
        <v>522</v>
      </c>
      <c r="T2229" s="188">
        <f ca="1">T2226</f>
        <v>8888</v>
      </c>
      <c r="U2229" s="189">
        <f ca="1">U2228</f>
        <v>8888</v>
      </c>
      <c r="W2229" s="188" t="s">
        <v>522</v>
      </c>
      <c r="X2229" s="188">
        <f ca="1">X2226</f>
        <v>8888</v>
      </c>
      <c r="Y2229" s="189">
        <f ca="1">Y2228</f>
        <v>8888</v>
      </c>
      <c r="AA2229" s="195" t="s">
        <v>522</v>
      </c>
      <c r="AB2229" s="128">
        <f ca="1">IF($AA2224,D2229,P2229)</f>
        <v>8888</v>
      </c>
      <c r="AC2229" s="129">
        <f ca="1">IF($AA2224,E2229,Q2229)</f>
        <v>8888</v>
      </c>
      <c r="AD2229" s="157"/>
      <c r="AE2229" s="2" t="s">
        <v>522</v>
      </c>
      <c r="AF2229" s="188">
        <f ca="1">IF($AE2224,H2229,T2229)</f>
        <v>8888</v>
      </c>
      <c r="AG2229" s="196">
        <f ca="1">IF($AE2224,I2229,U2229)</f>
        <v>8888</v>
      </c>
      <c r="AI2229" s="128" t="s">
        <v>522</v>
      </c>
      <c r="AJ2229" s="188">
        <f ca="1">IF($AI2224,L2229,X2229)</f>
        <v>8888</v>
      </c>
      <c r="AK2229" s="196">
        <f ca="1">IF($AI2224,M2229,Y2229)</f>
        <v>8888</v>
      </c>
      <c r="AM2229" s="128" t="s">
        <v>522</v>
      </c>
      <c r="AN2229" s="128">
        <f ca="1">AN2228-X2218</f>
        <v>-18.624000000000006</v>
      </c>
      <c r="AO2229" s="129">
        <f ca="1">IF(AN2229&gt;-Fuselage!$D$366,IF(AM2224,(FUSELAGE_a_ellipse+FUSELAGE_t_fuselage)*SQRT(1-((AN2229+Fuselage!$D$366)/Fuselage!$K$364)^2),(FUSELAGE_a_ellipse)*SQRT(1-((AN2229+Fuselage!$D$366)/Fuselage!$K$364)^2)),IF(AN2229&gt;$L$2505+Fuselage!$K$370,(IF(AM2224,FUSELAGE_a_ellipse+FUSELAGE_t_fuselage,FUSELAGE_a_ellipse)),IF(AM2224,(FUSELAGE_a_ellipse+FUSELAGE_t_fuselage-FUSELAGE_d_fo/4)/Fuselage!$K$368*(AN2229-$L$2505-Fuselage!$K$370)+FUSELAGE_a_ellipse+FUSELAGE_t_fuselage,(FUSELAGE_a_ellipse+FUSELAGE_t_fuselage-FUSELAGE_d_fo/4)/Fuselage!$K$368*(AN2229-$L$2505-Fuselage!$K$370)+FUSELAGE_a_ellipse)))</f>
        <v>1.4960570012328709</v>
      </c>
      <c r="AQ2229" s="128" t="s">
        <v>522</v>
      </c>
      <c r="AR2229" s="128">
        <f t="shared" ca="1" si="178"/>
        <v>-18.624000000000006</v>
      </c>
      <c r="AS2229" s="129">
        <f t="shared" ca="1" si="179"/>
        <v>-1.4960570012328709</v>
      </c>
      <c r="BD2229" s="157"/>
    </row>
    <row r="2230" spans="2:56" ht="15" thickBot="1">
      <c r="B2230" s="156"/>
      <c r="C2230" s="128" t="s">
        <v>49</v>
      </c>
      <c r="D2230" s="128">
        <f ca="1">IF(C2224&gt;=2,D2226,D2229)</f>
        <v>8888</v>
      </c>
      <c r="E2230" s="139">
        <f ca="1">IF(C2224&gt;=2,E2229-P2219,E2229)</f>
        <v>8888</v>
      </c>
      <c r="F2230" s="157"/>
      <c r="G2230" s="192" t="s">
        <v>49</v>
      </c>
      <c r="H2230" s="190">
        <f ca="1">IF(G2224&gt;=2,H2226,H2229)</f>
        <v>8888</v>
      </c>
      <c r="I2230" s="191">
        <f ca="1">IF(G2224&gt;=2,I2229-P2219,I2229)</f>
        <v>8888</v>
      </c>
      <c r="K2230" s="190" t="s">
        <v>49</v>
      </c>
      <c r="L2230" s="190">
        <f ca="1">IF(K2224&gt;=2,L2226,L2229)</f>
        <v>8888</v>
      </c>
      <c r="M2230" s="191">
        <f ca="1">IF(K2224&gt;=2,M2229-P2219,M2229)</f>
        <v>8888</v>
      </c>
      <c r="O2230" s="130" t="s">
        <v>396</v>
      </c>
      <c r="P2230" s="130">
        <f ca="1">P2226</f>
        <v>8888</v>
      </c>
      <c r="Q2230" s="140">
        <f ca="1">Q2226</f>
        <v>8888</v>
      </c>
      <c r="S2230" s="130" t="s">
        <v>396</v>
      </c>
      <c r="T2230" s="130">
        <f ca="1">T2226</f>
        <v>8888</v>
      </c>
      <c r="U2230" s="140">
        <f ca="1">U2226</f>
        <v>8888</v>
      </c>
      <c r="W2230" s="130" t="s">
        <v>396</v>
      </c>
      <c r="X2230" s="130">
        <f ca="1">X2226</f>
        <v>8888</v>
      </c>
      <c r="Y2230" s="140">
        <f ca="1">Y2226</f>
        <v>8888</v>
      </c>
      <c r="AA2230" s="143" t="s">
        <v>49</v>
      </c>
      <c r="AB2230" s="128">
        <f ca="1">IF($AA2224,D2230,P2230)</f>
        <v>8888</v>
      </c>
      <c r="AC2230" s="129">
        <f ca="1">IF($AA2224,E2230,Q2230)</f>
        <v>8888</v>
      </c>
      <c r="AD2230" s="157"/>
      <c r="AE2230" s="192" t="s">
        <v>49</v>
      </c>
      <c r="AF2230" s="128">
        <f ca="1">IF($AE2224,H2230,T2230)</f>
        <v>8888</v>
      </c>
      <c r="AG2230" s="129">
        <f ca="1">IF($AE2224,I2230,U2230)</f>
        <v>8888</v>
      </c>
      <c r="AI2230" s="190" t="s">
        <v>49</v>
      </c>
      <c r="AJ2230" s="128">
        <f ca="1">IF($AI2224,L2230,X2230)</f>
        <v>8888</v>
      </c>
      <c r="AK2230" s="129">
        <f ca="1">IF($AI2224,M2230,Y2230)</f>
        <v>8888</v>
      </c>
      <c r="AM2230" s="128" t="s">
        <v>49</v>
      </c>
      <c r="AN2230" s="128">
        <f ca="1">AN2229</f>
        <v>-18.624000000000006</v>
      </c>
      <c r="AO2230" s="129">
        <f ca="1">IF(AN2230&gt;-Fuselage!$D$366,(FUSELAGE_a_ellipse)*SQRT(1-((AN2230+Fuselage!$D$366)/(Fuselage!$K$364-FUSELAGE_t_fuselage))^2),IF(AN2230&gt;$L$2505+Fuselage!$K$370,FUSELAGE_a_ellipse,(FUSELAGE_a_ellipse+FUSELAGE_t_fuselage-FUSELAGE_d_fo/4)/Fuselage!$K$368*(AN2230-$L$2505-Fuselage!$K$370)+FUSELAGE_a_ellipse))</f>
        <v>1.4960570012328709</v>
      </c>
      <c r="AQ2230" s="128" t="s">
        <v>49</v>
      </c>
      <c r="AR2230" s="128">
        <f t="shared" ca="1" si="178"/>
        <v>-18.624000000000006</v>
      </c>
      <c r="AS2230" s="129">
        <f t="shared" ca="1" si="179"/>
        <v>-1.4960570012328709</v>
      </c>
      <c r="BD2230" s="157"/>
    </row>
    <row r="2231" spans="2:56">
      <c r="B2231" s="156"/>
      <c r="C2231" s="128" t="s">
        <v>453</v>
      </c>
      <c r="D2231" s="128">
        <f ca="1">IF(C2224&gt;=2,D2226+P2218,D2229)</f>
        <v>8888</v>
      </c>
      <c r="E2231" s="139">
        <f ca="1">E2230</f>
        <v>8888</v>
      </c>
      <c r="F2231" s="157"/>
      <c r="G2231" s="2" t="s">
        <v>453</v>
      </c>
      <c r="H2231" s="128">
        <f ca="1">IF(G2224&gt;=2,H2227,H2229)</f>
        <v>8888</v>
      </c>
      <c r="I2231" s="139">
        <f ca="1">IF(G2224&gt;=2,I2230,I2229)</f>
        <v>8888</v>
      </c>
      <c r="K2231" s="128" t="s">
        <v>453</v>
      </c>
      <c r="L2231" s="128">
        <f ca="1">IF(K2224&gt;=2,IF(X2219,IF(K2224=2,L2226+P2218/4,L2226+P2218),L2226+P2218),L2229)</f>
        <v>8888</v>
      </c>
      <c r="M2231" s="139">
        <f ca="1">IF(K2224&gt;=2,M2230,M2229)</f>
        <v>8888</v>
      </c>
      <c r="AA2231" s="143" t="s">
        <v>453</v>
      </c>
      <c r="AB2231" s="128">
        <f ca="1">IF($AA2224,D2231,AB2230)</f>
        <v>8888</v>
      </c>
      <c r="AC2231" s="129">
        <f ca="1">IF($AA2224,E2231,AC2230)</f>
        <v>8888</v>
      </c>
      <c r="AD2231" s="157"/>
      <c r="AE2231" s="2" t="s">
        <v>453</v>
      </c>
      <c r="AF2231" s="128">
        <f ca="1">IF($AE2224,H2231,AF2230)</f>
        <v>8888</v>
      </c>
      <c r="AG2231" s="129">
        <f ca="1">IF($AE2224,I2231,AG2230)</f>
        <v>8888</v>
      </c>
      <c r="AI2231" s="128" t="s">
        <v>453</v>
      </c>
      <c r="AJ2231" s="128">
        <f ca="1">IF($AI2224,L2231,AJ2230)</f>
        <v>8888</v>
      </c>
      <c r="AK2231" s="129">
        <f ca="1">IF($AI2224,M2231,AK2230)</f>
        <v>8888</v>
      </c>
      <c r="AM2231" s="128" t="s">
        <v>453</v>
      </c>
      <c r="AN2231" s="128">
        <f ca="1">L2217</f>
        <v>-18.624000000000006</v>
      </c>
      <c r="AO2231" s="129">
        <f ca="1">IF(AN2231&gt;-Fuselage!$D$366,(FUSELAGE_a_ellipse)*SQRT(1-((AN2231+Fuselage!$D$366)/(Fuselage!$K$364-FUSELAGE_t_fuselage))^2),IF(AN2231&gt;$L$2505+Fuselage!$K$370,FUSELAGE_a_ellipse,(FUSELAGE_a_ellipse+FUSELAGE_t_fuselage-FUSELAGE_d_fo/4)/Fuselage!$K$368*(AN2231-$L$2505-Fuselage!$K$370)+FUSELAGE_a_ellipse))</f>
        <v>1.4960570012328709</v>
      </c>
      <c r="AQ2231" s="128" t="s">
        <v>453</v>
      </c>
      <c r="AR2231" s="128">
        <f t="shared" ca="1" si="178"/>
        <v>-18.624000000000006</v>
      </c>
      <c r="AS2231" s="129">
        <f t="shared" ca="1" si="179"/>
        <v>-1.4960570012328709</v>
      </c>
      <c r="BD2231" s="157"/>
    </row>
    <row r="2232" spans="2:56">
      <c r="B2232" s="156"/>
      <c r="C2232" s="128" t="s">
        <v>394</v>
      </c>
      <c r="D2232" s="128">
        <f ca="1">IF(C2224&gt;=2,D2231,D2229)</f>
        <v>8888</v>
      </c>
      <c r="E2232" s="139">
        <f ca="1">IF(C2224&gt;=2,E2230-P2217,E2229)</f>
        <v>8888</v>
      </c>
      <c r="F2232" s="157"/>
      <c r="G2232" s="2" t="s">
        <v>394</v>
      </c>
      <c r="H2232" s="128">
        <f ca="1">IF(G2224&gt;=2,H2227,H2229)</f>
        <v>8888</v>
      </c>
      <c r="I2232" s="139">
        <f ca="1">IF(G2224&gt;=2,I2231-P2217,I2229)</f>
        <v>8888</v>
      </c>
      <c r="K2232" s="128" t="s">
        <v>394</v>
      </c>
      <c r="L2232" s="128">
        <f ca="1">L2231</f>
        <v>8888</v>
      </c>
      <c r="M2232" s="139">
        <f ca="1">IF(K2224&gt;=2,M2231-P2217,M2229)</f>
        <v>8888</v>
      </c>
      <c r="AA2232" s="143" t="s">
        <v>394</v>
      </c>
      <c r="AB2232" s="128">
        <f ca="1">IF($AA2224,D2232,AB2230)</f>
        <v>8888</v>
      </c>
      <c r="AC2232" s="129">
        <f ca="1">IF($AA2224,E2232,AC2230)</f>
        <v>8888</v>
      </c>
      <c r="AD2232" s="157"/>
      <c r="AE2232" s="2" t="s">
        <v>394</v>
      </c>
      <c r="AF2232" s="128">
        <f ca="1">IF($AE2224,H2232,AF2230)</f>
        <v>8888</v>
      </c>
      <c r="AG2232" s="129">
        <f ca="1">IF($AE2224,I2232,AG2230)</f>
        <v>8888</v>
      </c>
      <c r="AI2232" s="128" t="s">
        <v>394</v>
      </c>
      <c r="AJ2232" s="128">
        <f ca="1">IF($AI2224,L2232,AJ2230)</f>
        <v>8888</v>
      </c>
      <c r="AK2232" s="129">
        <f ca="1">IF($AI2224,M2232,AK2230)</f>
        <v>8888</v>
      </c>
      <c r="BD2232" s="157"/>
    </row>
    <row r="2233" spans="2:56">
      <c r="B2233" s="156"/>
      <c r="C2233" s="188" t="s">
        <v>454</v>
      </c>
      <c r="D2233" s="188">
        <f ca="1">IF(C2224&gt;=2,D2226,D2229)</f>
        <v>8888</v>
      </c>
      <c r="E2233" s="189">
        <f ca="1">E2232</f>
        <v>8888</v>
      </c>
      <c r="F2233" s="157"/>
      <c r="G2233" s="115" t="s">
        <v>454</v>
      </c>
      <c r="H2233" s="188">
        <f ca="1">IF(G2224&gt;=2,H2226,H2229)</f>
        <v>8888</v>
      </c>
      <c r="I2233" s="189">
        <f ca="1">IF(G2224&gt;=2,I2232,I2229)</f>
        <v>8888</v>
      </c>
      <c r="K2233" s="188" t="s">
        <v>454</v>
      </c>
      <c r="L2233" s="188">
        <f ca="1">IF(K2224&gt;=2,L2226,L2229)</f>
        <v>8888</v>
      </c>
      <c r="M2233" s="189">
        <f ca="1">IF(K2224&gt;=2,M2232,M2229)</f>
        <v>8888</v>
      </c>
      <c r="AA2233" s="195" t="s">
        <v>454</v>
      </c>
      <c r="AB2233" s="128">
        <f ca="1">IF($AA2224,D2233,AB2230)</f>
        <v>8888</v>
      </c>
      <c r="AC2233" s="129">
        <f ca="1">IF($AA2224,E2233,AC2230)</f>
        <v>8888</v>
      </c>
      <c r="AD2233" s="157"/>
      <c r="AE2233" s="115" t="s">
        <v>454</v>
      </c>
      <c r="AF2233" s="188">
        <f ca="1">IF($AE2224,H2233,AF2230)</f>
        <v>8888</v>
      </c>
      <c r="AG2233" s="196">
        <f ca="1">IF($AE2224,I2233,AG2230)</f>
        <v>8888</v>
      </c>
      <c r="AI2233" s="188" t="s">
        <v>454</v>
      </c>
      <c r="AJ2233" s="188">
        <f ca="1">IF($AI2224,L2233,AJ2230)</f>
        <v>8888</v>
      </c>
      <c r="AK2233" s="196">
        <f ca="1">IF($AI2224,M2233,AK2230)</f>
        <v>8888</v>
      </c>
      <c r="BD2233" s="157"/>
    </row>
    <row r="2234" spans="2:56">
      <c r="B2234" s="156"/>
      <c r="C2234" s="128" t="s">
        <v>507</v>
      </c>
      <c r="D2234" s="128">
        <f ca="1">IF(C2224&gt;=3,D2226,D2233)</f>
        <v>8888</v>
      </c>
      <c r="E2234" s="139">
        <f ca="1">IF(C2224&gt;=3,E2233-P2219,E2233)</f>
        <v>8888</v>
      </c>
      <c r="F2234" s="157"/>
      <c r="G2234" s="2" t="s">
        <v>507</v>
      </c>
      <c r="H2234" s="128">
        <f ca="1">IF(G2224&gt;=3,H2226,H2233)</f>
        <v>8888</v>
      </c>
      <c r="I2234" s="139">
        <f ca="1">IF(G2224&gt;=3,I2233-P2219,I2233)</f>
        <v>8888</v>
      </c>
      <c r="K2234" s="128" t="s">
        <v>507</v>
      </c>
      <c r="L2234" s="128">
        <f ca="1">IF(K2224&gt;=3,L2226,L2233)</f>
        <v>8888</v>
      </c>
      <c r="M2234" s="139">
        <f ca="1">IF(K2224&gt;=3,M2233-P2219,M2233)</f>
        <v>8888</v>
      </c>
      <c r="AA2234" s="143" t="s">
        <v>507</v>
      </c>
      <c r="AB2234" s="128">
        <f ca="1">IF($AA2224,D2234,AB2230)</f>
        <v>8888</v>
      </c>
      <c r="AC2234" s="129">
        <f ca="1">IF($AA2224,E2234,AC2230)</f>
        <v>8888</v>
      </c>
      <c r="AD2234" s="157"/>
      <c r="AE2234" s="2" t="s">
        <v>507</v>
      </c>
      <c r="AF2234" s="128">
        <f ca="1">IF($AE2224,H2234,AF2230)</f>
        <v>8888</v>
      </c>
      <c r="AG2234" s="129">
        <f ca="1">IF($AE2224,I2234,AG2230)</f>
        <v>8888</v>
      </c>
      <c r="AI2234" s="128" t="s">
        <v>507</v>
      </c>
      <c r="AJ2234" s="128">
        <f ca="1">IF($AI2224,L2234,AJ2230)</f>
        <v>8888</v>
      </c>
      <c r="AK2234" s="129">
        <f ca="1">IF($AI2224,M2234,AK2230)</f>
        <v>8888</v>
      </c>
      <c r="BD2234" s="157"/>
    </row>
    <row r="2235" spans="2:56">
      <c r="B2235" s="156"/>
      <c r="C2235" s="128" t="s">
        <v>455</v>
      </c>
      <c r="D2235" s="128">
        <f ca="1">IF(C2224&gt;=3,D2231,D2233)</f>
        <v>8888</v>
      </c>
      <c r="E2235" s="139">
        <f ca="1">E2234</f>
        <v>8888</v>
      </c>
      <c r="F2235" s="157"/>
      <c r="G2235" s="2" t="s">
        <v>455</v>
      </c>
      <c r="H2235" s="128">
        <f ca="1">IF(G2224&gt;=3,H2227,H2233)</f>
        <v>8888</v>
      </c>
      <c r="I2235" s="139">
        <f ca="1">IF(G2224&gt;=3,I2234,I2233)</f>
        <v>8888</v>
      </c>
      <c r="K2235" s="128" t="s">
        <v>455</v>
      </c>
      <c r="L2235" s="128">
        <f ca="1">IF(K2224&gt;=3,IF(X2219,IF(K2224=3,L2226+P2218/4,L2226+P2218),L2226+P2218),L2229)</f>
        <v>8888</v>
      </c>
      <c r="M2235" s="139">
        <f ca="1">IF(K2224&gt;=3,M2234,M2233)</f>
        <v>8888</v>
      </c>
      <c r="AA2235" s="143" t="s">
        <v>455</v>
      </c>
      <c r="AB2235" s="128">
        <f ca="1">IF($AA2224,D2235,AB2230)</f>
        <v>8888</v>
      </c>
      <c r="AC2235" s="129">
        <f ca="1">IF($AA2224,E2235,AC2230)</f>
        <v>8888</v>
      </c>
      <c r="AD2235" s="157"/>
      <c r="AE2235" s="2" t="s">
        <v>455</v>
      </c>
      <c r="AF2235" s="128">
        <f ca="1">IF($AE2224,H2235,AF2230)</f>
        <v>8888</v>
      </c>
      <c r="AG2235" s="129">
        <f ca="1">IF($AE2224,I2235,AG2230)</f>
        <v>8888</v>
      </c>
      <c r="AI2235" s="128" t="s">
        <v>455</v>
      </c>
      <c r="AJ2235" s="128">
        <f ca="1">IF($AI2224,L2235,AJ2230)</f>
        <v>8888</v>
      </c>
      <c r="AK2235" s="129">
        <f ca="1">IF($AI2224,M2235,AK2230)</f>
        <v>8888</v>
      </c>
      <c r="AL2235" s="156"/>
      <c r="BD2235" s="157"/>
    </row>
    <row r="2236" spans="2:56">
      <c r="B2236" s="156"/>
      <c r="C2236" s="128" t="s">
        <v>311</v>
      </c>
      <c r="D2236" s="128">
        <f ca="1">IF(C2224&gt;=3,D2231,D2233)</f>
        <v>8888</v>
      </c>
      <c r="E2236" s="139">
        <f ca="1">IF(C2224&gt;=3,E2235-P2217,E2233)</f>
        <v>8888</v>
      </c>
      <c r="F2236" s="157"/>
      <c r="G2236" s="2" t="s">
        <v>311</v>
      </c>
      <c r="H2236" s="128">
        <f ca="1">IF(G2224&gt;=3,H2227,H2233)</f>
        <v>8888</v>
      </c>
      <c r="I2236" s="139">
        <f ca="1">IF(G2224&gt;=3,I2235-P2217,I2233)</f>
        <v>8888</v>
      </c>
      <c r="K2236" s="128" t="s">
        <v>311</v>
      </c>
      <c r="L2236" s="128">
        <f ca="1">L2235</f>
        <v>8888</v>
      </c>
      <c r="M2236" s="139">
        <f ca="1">IF(K2224&gt;=3,M2235-P2217,M2233)</f>
        <v>8888</v>
      </c>
      <c r="AA2236" s="143" t="s">
        <v>311</v>
      </c>
      <c r="AB2236" s="128">
        <f ca="1">IF($AA2224,D2236,AB2230)</f>
        <v>8888</v>
      </c>
      <c r="AC2236" s="129">
        <f ca="1">IF($AA2224,E2236,AC2230)</f>
        <v>8888</v>
      </c>
      <c r="AD2236" s="157"/>
      <c r="AE2236" s="2" t="s">
        <v>311</v>
      </c>
      <c r="AF2236" s="128">
        <f ca="1">IF($AE2224,H2236,AF2230)</f>
        <v>8888</v>
      </c>
      <c r="AG2236" s="129">
        <f ca="1">IF($AE2224,I2236,AG2230)</f>
        <v>8888</v>
      </c>
      <c r="AI2236" s="128" t="s">
        <v>311</v>
      </c>
      <c r="AJ2236" s="128">
        <f ca="1">IF($AI2224,L2236,AJ2230)</f>
        <v>8888</v>
      </c>
      <c r="AK2236" s="129">
        <f ca="1">IF($AI2224,M2236,AK2230)</f>
        <v>8888</v>
      </c>
      <c r="AL2236" s="156"/>
      <c r="BD2236" s="157"/>
    </row>
    <row r="2237" spans="2:56">
      <c r="B2237" s="156"/>
      <c r="C2237" s="188" t="s">
        <v>35</v>
      </c>
      <c r="D2237" s="188">
        <f ca="1">IF(C2224&gt;=3,D2226,D2233)</f>
        <v>8888</v>
      </c>
      <c r="E2237" s="189">
        <f ca="1">E2236</f>
        <v>8888</v>
      </c>
      <c r="F2237" s="157"/>
      <c r="G2237" s="2" t="s">
        <v>35</v>
      </c>
      <c r="H2237" s="188">
        <f ca="1">IF(G2224&gt;=3,H2226,H2233)</f>
        <v>8888</v>
      </c>
      <c r="I2237" s="189">
        <f ca="1">IF(G2224&gt;=3,I2236,I2233)</f>
        <v>8888</v>
      </c>
      <c r="K2237" s="188" t="s">
        <v>35</v>
      </c>
      <c r="L2237" s="188">
        <f ca="1">IF(K2224&gt;=3,L2226,L2233)</f>
        <v>8888</v>
      </c>
      <c r="M2237" s="189">
        <f ca="1">IF(K2224&gt;=3,M2236,M2233)</f>
        <v>8888</v>
      </c>
      <c r="AA2237" s="143" t="s">
        <v>35</v>
      </c>
      <c r="AB2237" s="128">
        <f ca="1">IF($AA2224,D2237,AB2230)</f>
        <v>8888</v>
      </c>
      <c r="AC2237" s="129">
        <f ca="1">IF($AA2224,E2237,AC2230)</f>
        <v>8888</v>
      </c>
      <c r="AD2237" s="157"/>
      <c r="AE2237" s="2" t="s">
        <v>35</v>
      </c>
      <c r="AF2237" s="188">
        <f ca="1">IF($AE2224,H2237,AF2230)</f>
        <v>8888</v>
      </c>
      <c r="AG2237" s="196">
        <f ca="1">IF($AE2224,I2237,AG2230)</f>
        <v>8888</v>
      </c>
      <c r="AI2237" s="128" t="s">
        <v>35</v>
      </c>
      <c r="AJ2237" s="128">
        <f ca="1">IF($AI2224,L2237,AJ2230)</f>
        <v>8888</v>
      </c>
      <c r="AK2237" s="129">
        <f ca="1">IF($AI2224,M2237,AK2230)</f>
        <v>8888</v>
      </c>
      <c r="AL2237" s="156"/>
      <c r="BD2237" s="157"/>
    </row>
    <row r="2238" spans="2:56" ht="15" thickBot="1">
      <c r="B2238" s="156"/>
      <c r="C2238" s="130" t="s">
        <v>396</v>
      </c>
      <c r="D2238" s="130">
        <f ca="1">D2226</f>
        <v>8888</v>
      </c>
      <c r="E2238" s="140">
        <f ca="1">E2226</f>
        <v>8888</v>
      </c>
      <c r="F2238" s="157"/>
      <c r="G2238" s="192" t="s">
        <v>312</v>
      </c>
      <c r="H2238" s="128">
        <f ca="1">IF(G2224&gt;=4,H2226,H2237)</f>
        <v>8888</v>
      </c>
      <c r="I2238" s="139">
        <f ca="1">IF(G2224&gt;=4,I2237-P2219,I2237)</f>
        <v>8888</v>
      </c>
      <c r="K2238" s="130" t="s">
        <v>396</v>
      </c>
      <c r="L2238" s="130">
        <f ca="1">L2226</f>
        <v>8888</v>
      </c>
      <c r="M2238" s="140">
        <f ca="1">M2226</f>
        <v>8888</v>
      </c>
      <c r="AA2238" s="144" t="s">
        <v>396</v>
      </c>
      <c r="AB2238" s="130">
        <f ca="1">IF($AA2224,D2238,AB2230)</f>
        <v>8888</v>
      </c>
      <c r="AC2238" s="132">
        <f ca="1">IF($AA2224,E2238,AC2230)</f>
        <v>8888</v>
      </c>
      <c r="AD2238" s="157"/>
      <c r="AE2238" s="192" t="s">
        <v>312</v>
      </c>
      <c r="AF2238" s="128">
        <f ca="1">IF($AE2224,H2238,AF2230)</f>
        <v>8888</v>
      </c>
      <c r="AG2238" s="129">
        <f ca="1">IF($AE2224,I2238,AG2230)</f>
        <v>8888</v>
      </c>
      <c r="AI2238" s="130" t="s">
        <v>396</v>
      </c>
      <c r="AJ2238" s="130">
        <f ca="1">IF($AI2224,L2238,AJ2230)</f>
        <v>8888</v>
      </c>
      <c r="AK2238" s="132">
        <f ca="1">IF($AI2224,M2238,AK2230)</f>
        <v>8888</v>
      </c>
      <c r="BD2238" s="157"/>
    </row>
    <row r="2239" spans="2:56">
      <c r="B2239" s="156"/>
      <c r="F2239" s="157"/>
      <c r="G2239" s="2" t="s">
        <v>313</v>
      </c>
      <c r="H2239" s="128">
        <f ca="1">IF(G2224&gt;=4,H2227,H2237)</f>
        <v>8888</v>
      </c>
      <c r="I2239" s="139">
        <f ca="1">IF(G2224&gt;=4,I2238,I2237)</f>
        <v>8888</v>
      </c>
      <c r="AD2239" s="157"/>
      <c r="AE2239" s="2" t="s">
        <v>313</v>
      </c>
      <c r="AF2239" s="128">
        <f ca="1">IF($AE2224,H2239,AF2230)</f>
        <v>8888</v>
      </c>
      <c r="AG2239" s="129">
        <f ca="1">IF($AE2224,I2239,AG2230)</f>
        <v>8888</v>
      </c>
      <c r="BD2239" s="157"/>
    </row>
    <row r="2240" spans="2:56">
      <c r="B2240" s="156"/>
      <c r="F2240" s="157"/>
      <c r="G2240" s="2" t="s">
        <v>7</v>
      </c>
      <c r="H2240" s="128">
        <f ca="1">IF(G2224&gt;=4,H2227,H2237)</f>
        <v>8888</v>
      </c>
      <c r="I2240" s="139">
        <f ca="1">IF(G2224&gt;=4,I2239-P2217,I2237)</f>
        <v>8888</v>
      </c>
      <c r="AD2240" s="157"/>
      <c r="AE2240" s="2" t="s">
        <v>7</v>
      </c>
      <c r="AF2240" s="128">
        <f ca="1">IF($AE2224,H2240,AF2230)</f>
        <v>8888</v>
      </c>
      <c r="AG2240" s="129">
        <f ca="1">IF($AE2224,I2240,AG2230)</f>
        <v>8888</v>
      </c>
      <c r="BD2240" s="157"/>
    </row>
    <row r="2241" spans="2:56">
      <c r="B2241" s="156"/>
      <c r="F2241" s="157"/>
      <c r="G2241" s="115" t="s">
        <v>8</v>
      </c>
      <c r="H2241" s="188">
        <f ca="1">IF(G2224&gt;=4,H2226,H2237)</f>
        <v>8888</v>
      </c>
      <c r="I2241" s="189">
        <f ca="1">IF(G2224&gt;=4,I2240,I2237)</f>
        <v>8888</v>
      </c>
      <c r="AD2241" s="157"/>
      <c r="AE2241" s="115" t="s">
        <v>8</v>
      </c>
      <c r="AF2241" s="188">
        <f ca="1">IF($AE2224,H2241,AF2230)</f>
        <v>8888</v>
      </c>
      <c r="AG2241" s="196">
        <f ca="1">IF($AE2224,I2241,AG2230)</f>
        <v>8888</v>
      </c>
      <c r="BD2241" s="157"/>
    </row>
    <row r="2242" spans="2:56">
      <c r="B2242" s="156"/>
      <c r="F2242" s="157"/>
      <c r="G2242" s="2" t="s">
        <v>9</v>
      </c>
      <c r="H2242" s="128">
        <f ca="1">IF(G2224&gt;=5,H2226,H2241)</f>
        <v>8888</v>
      </c>
      <c r="I2242" s="139">
        <f ca="1">IF(G2224&gt;=5,I2241-P2219,I2241)</f>
        <v>8888</v>
      </c>
      <c r="AD2242" s="157"/>
      <c r="AE2242" s="2" t="s">
        <v>9</v>
      </c>
      <c r="AF2242" s="128">
        <f ca="1">IF($AE2224,H2242,AF2230)</f>
        <v>8888</v>
      </c>
      <c r="AG2242" s="129">
        <f ca="1">IF($AE2224,I2242,AG2230)</f>
        <v>8888</v>
      </c>
      <c r="BD2242" s="157"/>
    </row>
    <row r="2243" spans="2:56">
      <c r="B2243" s="156"/>
      <c r="F2243" s="157"/>
      <c r="G2243" s="2" t="s">
        <v>196</v>
      </c>
      <c r="H2243" s="128">
        <f ca="1">IF(G2224&gt;=5,H2227,H2241)</f>
        <v>8888</v>
      </c>
      <c r="I2243" s="139">
        <f ca="1">IF(G2224&gt;=5,I2242,I2241)</f>
        <v>8888</v>
      </c>
      <c r="AD2243" s="157"/>
      <c r="AE2243" s="2" t="s">
        <v>196</v>
      </c>
      <c r="AF2243" s="128">
        <f ca="1">IF($AE2224,H2243,AF2230)</f>
        <v>8888</v>
      </c>
      <c r="AG2243" s="129">
        <f ca="1">IF($AE2224,I2243,AG2230)</f>
        <v>8888</v>
      </c>
      <c r="BD2243" s="157"/>
    </row>
    <row r="2244" spans="2:56">
      <c r="B2244" s="156"/>
      <c r="F2244" s="157"/>
      <c r="G2244" s="2" t="s">
        <v>10</v>
      </c>
      <c r="H2244" s="128">
        <f ca="1">IF(G2224&gt;=5,H2227,H2241)</f>
        <v>8888</v>
      </c>
      <c r="I2244" s="139">
        <f ca="1">IF(G2224&gt;=5,I2243-P2217,I2241)</f>
        <v>8888</v>
      </c>
      <c r="AD2244" s="157"/>
      <c r="AE2244" s="2" t="s">
        <v>10</v>
      </c>
      <c r="AF2244" s="128">
        <f ca="1">IF($AE2224,H2244,AF2230)</f>
        <v>8888</v>
      </c>
      <c r="AG2244" s="129">
        <f ca="1">IF($AE2224,I2244,AG2230)</f>
        <v>8888</v>
      </c>
      <c r="BD2244" s="157"/>
    </row>
    <row r="2245" spans="2:56">
      <c r="B2245" s="156"/>
      <c r="F2245" s="157"/>
      <c r="G2245" s="2" t="s">
        <v>161</v>
      </c>
      <c r="H2245" s="188">
        <f ca="1">IF(G2224&gt;=5,H2226,H2241)</f>
        <v>8888</v>
      </c>
      <c r="I2245" s="189">
        <f ca="1">IF(G2224&gt;=5,I2244,I2241)</f>
        <v>8888</v>
      </c>
      <c r="AD2245" s="157"/>
      <c r="AE2245" s="2" t="s">
        <v>161</v>
      </c>
      <c r="AF2245" s="188">
        <f ca="1">IF($AE2224,H2245,AF2230)</f>
        <v>8888</v>
      </c>
      <c r="AG2245" s="196">
        <f ca="1">IF($AE2224,I2245,AG2230)</f>
        <v>8888</v>
      </c>
      <c r="BD2245" s="157"/>
    </row>
    <row r="2246" spans="2:56">
      <c r="B2246" s="156"/>
      <c r="F2246" s="157"/>
      <c r="G2246" s="192" t="s">
        <v>11</v>
      </c>
      <c r="H2246" s="128">
        <f ca="1">IF(G2224&gt;=6,H2226,H2245)</f>
        <v>8888</v>
      </c>
      <c r="I2246" s="139">
        <f ca="1">IF(G2224&gt;=6,I2245-P2219,I2245)</f>
        <v>8888</v>
      </c>
      <c r="AD2246" s="157"/>
      <c r="AE2246" s="192" t="s">
        <v>11</v>
      </c>
      <c r="AF2246" s="128">
        <f ca="1">IF($AE2224,H2246,AF2230)</f>
        <v>8888</v>
      </c>
      <c r="AG2246" s="129">
        <f ca="1">IF($AE2224,I2246,AG2230)</f>
        <v>8888</v>
      </c>
      <c r="BD2246" s="157"/>
    </row>
    <row r="2247" spans="2:56">
      <c r="B2247" s="156"/>
      <c r="F2247" s="157"/>
      <c r="G2247" s="2" t="s">
        <v>12</v>
      </c>
      <c r="H2247" s="128">
        <f ca="1">IF(G2224&gt;=6,H2227,H2245)</f>
        <v>8888</v>
      </c>
      <c r="I2247" s="139">
        <f ca="1">IF(G2224&gt;=6,I2246,I2245)</f>
        <v>8888</v>
      </c>
      <c r="AD2247" s="157"/>
      <c r="AE2247" s="2" t="s">
        <v>12</v>
      </c>
      <c r="AF2247" s="128">
        <f ca="1">IF($AE2224,H2247,AF2230)</f>
        <v>8888</v>
      </c>
      <c r="AG2247" s="129">
        <f ca="1">IF($AE2224,I2247,AG2230)</f>
        <v>8888</v>
      </c>
      <c r="BD2247" s="157"/>
    </row>
    <row r="2248" spans="2:56">
      <c r="B2248" s="156"/>
      <c r="F2248" s="157"/>
      <c r="G2248" s="2" t="s">
        <v>13</v>
      </c>
      <c r="H2248" s="128">
        <f ca="1">IF(G2224&gt;=6,H2227,H2245)</f>
        <v>8888</v>
      </c>
      <c r="I2248" s="139">
        <f ca="1">IF(G2224&gt;=6,I2247-P2217,I2245)</f>
        <v>8888</v>
      </c>
      <c r="AD2248" s="157"/>
      <c r="AE2248" s="2" t="s">
        <v>13</v>
      </c>
      <c r="AF2248" s="128">
        <f ca="1">IF($AE2224,H2248,AF2230)</f>
        <v>8888</v>
      </c>
      <c r="AG2248" s="129">
        <f ca="1">IF($AE2224,I2248,AG2230)</f>
        <v>8888</v>
      </c>
      <c r="BD2248" s="157"/>
    </row>
    <row r="2249" spans="2:56">
      <c r="B2249" s="156"/>
      <c r="F2249" s="157"/>
      <c r="G2249" s="115" t="s">
        <v>14</v>
      </c>
      <c r="H2249" s="188">
        <f ca="1">IF(G2224&gt;=6,H2226,H2245)</f>
        <v>8888</v>
      </c>
      <c r="I2249" s="189">
        <f ca="1">IF(G2224&gt;=6,I2248,I2245)</f>
        <v>8888</v>
      </c>
      <c r="AD2249" s="157"/>
      <c r="AE2249" s="115" t="s">
        <v>14</v>
      </c>
      <c r="AF2249" s="188">
        <f ca="1">IF($AE2224,H2249,AF2230)</f>
        <v>8888</v>
      </c>
      <c r="AG2249" s="196">
        <f ca="1">IF($AE2224,I2249,AG2230)</f>
        <v>8888</v>
      </c>
      <c r="BD2249" s="157"/>
    </row>
    <row r="2250" spans="2:56" ht="15" thickBot="1">
      <c r="B2250" s="156"/>
      <c r="G2250" s="130" t="s">
        <v>396</v>
      </c>
      <c r="H2250" s="130">
        <f ca="1">H2226</f>
        <v>8888</v>
      </c>
      <c r="I2250" s="140">
        <f ca="1">I2226</f>
        <v>8888</v>
      </c>
      <c r="AE2250" s="130" t="s">
        <v>396</v>
      </c>
      <c r="AF2250" s="130">
        <f ca="1">IF($AE2224,H2250,AF2230)</f>
        <v>8888</v>
      </c>
      <c r="AG2250" s="132">
        <f ca="1">IF($AE2224,I2250,AG2230)</f>
        <v>8888</v>
      </c>
      <c r="BD2250" s="157"/>
    </row>
    <row r="2251" spans="2:56">
      <c r="B2251" s="156"/>
      <c r="BD2251" s="157"/>
    </row>
    <row r="2252" spans="2:56">
      <c r="B2252" s="156"/>
      <c r="BD2252" s="157"/>
    </row>
    <row r="2253" spans="2:56">
      <c r="B2253" s="156"/>
      <c r="C2253" s="200" t="s">
        <v>336</v>
      </c>
      <c r="D2253">
        <f>D2217+1</f>
        <v>58</v>
      </c>
      <c r="G2253" s="200" t="s">
        <v>638</v>
      </c>
      <c r="H2253">
        <f ca="1">LOOKUP(D2256,$C$191:$C$196,$D$191:$D$196)</f>
        <v>0</v>
      </c>
      <c r="K2253" s="200" t="s">
        <v>644</v>
      </c>
      <c r="L2253">
        <f ca="1">L2217-H2258</f>
        <v>-18.624000000000006</v>
      </c>
      <c r="O2253" s="200" t="s">
        <v>404</v>
      </c>
      <c r="P2253">
        <f ca="1">IF(D2255=1,SEAT_w_cushion_FC,IF(D2255=2,SEAT_w_cushion_BC,IF(D2255=3,SEAT_w_cushion_YC,0)))</f>
        <v>0</v>
      </c>
      <c r="S2253" s="200" t="s">
        <v>647</v>
      </c>
      <c r="T2253">
        <f ca="1">LOOKUP(D2256,$C$191:$C$196,$E$191:$E$196)</f>
        <v>0</v>
      </c>
      <c r="W2253" t="s">
        <v>130</v>
      </c>
      <c r="X2253" t="str">
        <f ca="1">OFFSET(Fuselage!$B$275,D2253,5)</f>
        <v>None</v>
      </c>
      <c r="AN2253" s="200" t="s">
        <v>135</v>
      </c>
      <c r="AO2253">
        <f ca="1">MAX(0,H2258-MAX(T2253,T2255,T2257,P2254)-X2254)</f>
        <v>0</v>
      </c>
      <c r="BD2253" s="157"/>
    </row>
    <row r="2254" spans="2:56">
      <c r="B2254" s="156"/>
      <c r="C2254" s="200" t="s">
        <v>200</v>
      </c>
      <c r="D2254" t="str">
        <f ca="1">OFFSET(Fuselage!$B$275,D2253,0)</f>
        <v/>
      </c>
      <c r="G2254" s="200" t="s">
        <v>639</v>
      </c>
      <c r="H2254">
        <f ca="1">LOOKUP(D2257,$C$191:$C$196,$D$191:$D$196)</f>
        <v>0</v>
      </c>
      <c r="O2254" s="200" t="s">
        <v>535</v>
      </c>
      <c r="P2254">
        <f ca="1">IF(D2255=1,SEAT_length_FC,IF(D2255=2,SEAT_length_BC,IF(D2255=3,SEAT_length_YC,0)))</f>
        <v>0</v>
      </c>
      <c r="S2254" s="200" t="s">
        <v>648</v>
      </c>
      <c r="T2254">
        <f ca="1">LOOKUP(D2256,$C$191:$C$196,$F$191:$F$196)</f>
        <v>0</v>
      </c>
      <c r="W2254" t="s">
        <v>131</v>
      </c>
      <c r="X2254">
        <f ca="1">LOOKUP(X2253,$I$191:$I$198,$J$191:$J$198)</f>
        <v>0</v>
      </c>
      <c r="BD2254" s="157"/>
    </row>
    <row r="2255" spans="2:56">
      <c r="B2255" s="156"/>
      <c r="C2255" s="200" t="s">
        <v>337</v>
      </c>
      <c r="D2255" t="str">
        <f ca="1">OFFSET(Fuselage!$B$275,D2253,4)</f>
        <v/>
      </c>
      <c r="G2255" s="200" t="s">
        <v>309</v>
      </c>
      <c r="H2255">
        <f ca="1">LOOKUP(D2258,$C$191:$C$196,$D$191:$D$196)</f>
        <v>0</v>
      </c>
      <c r="K2255" s="200" t="s">
        <v>645</v>
      </c>
      <c r="L2255">
        <f ca="1">IF(D2255=1,FUSELAGE_nseats_left_FC,IF(D2255=2,FUSELAGE_nseats_left_BC,IF(D2255=3,FUSELAGE_nseats_left_YC,0)))</f>
        <v>0</v>
      </c>
      <c r="O2255" s="200" t="s">
        <v>405</v>
      </c>
      <c r="P2255">
        <f ca="1">IF(D2255=1,SEAT_w_armrest_FC,IF(D2255=2,SEAT_w_armrest_BC,IF(D2255=3,SEAT_w_armrest_YC,0)))</f>
        <v>0</v>
      </c>
      <c r="S2255" s="200" t="s">
        <v>652</v>
      </c>
      <c r="T2255">
        <f ca="1">LOOKUP(D2257,$C$191:$C$196,$E$191:$E$196)</f>
        <v>0</v>
      </c>
      <c r="W2255" s="200" t="s">
        <v>393</v>
      </c>
      <c r="X2255" t="b">
        <f ca="1">IF(OFFSET(Fuselage!$B$275,D2253,6)="YES",TRUE(),FALSE())</f>
        <v>0</v>
      </c>
      <c r="BD2255" s="157"/>
    </row>
    <row r="2256" spans="2:56">
      <c r="B2256" s="156"/>
      <c r="C2256" s="200" t="s">
        <v>640</v>
      </c>
      <c r="D2256" t="str">
        <f ca="1">OFFSET(Fuselage!$B$275,D2253,1)</f>
        <v>None</v>
      </c>
      <c r="G2256" s="200" t="s">
        <v>132</v>
      </c>
      <c r="H2256">
        <f ca="1">IF(D2255=1,SEAT_pitch_FC,IF(D2255=2,SEAT_pitch_BC,IF(D2255=3,SEAT_pitch_YC,0)))</f>
        <v>0</v>
      </c>
      <c r="K2256" s="200" t="s">
        <v>646</v>
      </c>
      <c r="L2256">
        <f ca="1">IF(D2255=1,FUSELAGE_nseats_middle_FC,IF(D2255=2,FUSELAGE_nseats_middle_BC,IF(D2255=3,FUSELAGE_nseats_middle_YC,0)))</f>
        <v>0</v>
      </c>
      <c r="S2256" s="200" t="s">
        <v>653</v>
      </c>
      <c r="T2256">
        <f ca="1">LOOKUP(D2257,$C$191:$C$196,$F$191:$F$196)</f>
        <v>0</v>
      </c>
      <c r="BD2256" s="157"/>
    </row>
    <row r="2257" spans="2:56">
      <c r="B2257" s="156"/>
      <c r="C2257" s="200" t="s">
        <v>642</v>
      </c>
      <c r="D2257" t="str">
        <f ca="1">OFFSET(Fuselage!$B$275,D2253,2)</f>
        <v>None</v>
      </c>
      <c r="G2257" s="200" t="s">
        <v>129</v>
      </c>
      <c r="H2257">
        <f ca="1">IF(OR(X2253="Type A",X2253="Type B"),MAX(H2253:H2256)+42*0.0254,IF(X2253="Type C",MAX(H2253:H2256)+X2254,IF(X2253&lt;&gt;"None",24*0.0254,0)))</f>
        <v>0</v>
      </c>
      <c r="K2257" s="200" t="s">
        <v>655</v>
      </c>
      <c r="L2257">
        <f ca="1">IF(D2255=1,FUSELAGE_nseats_right_FC,IF(D2255=2,FUSELAGE_nseats_right_BC,IF(D2255=3,FUSELAGE_nseats_right_YC,0)))</f>
        <v>0</v>
      </c>
      <c r="O2257" s="200" t="s">
        <v>407</v>
      </c>
      <c r="P2257">
        <f ca="1">($C$13-(L2255+L2256+L2257)*(P2253+P2255)+(FUSELAGE_n_aisles-1)*P2255)/FUSELAGE_n_aisles</f>
        <v>2.76</v>
      </c>
      <c r="S2257" s="200" t="s">
        <v>651</v>
      </c>
      <c r="T2257">
        <f ca="1">LOOKUP(D2258,$C$191:$C$196,$E$191:$E$196)</f>
        <v>0</v>
      </c>
      <c r="BD2257" s="157"/>
    </row>
    <row r="2258" spans="2:56">
      <c r="B2258" s="156"/>
      <c r="C2258" s="200" t="s">
        <v>641</v>
      </c>
      <c r="D2258" t="str">
        <f ca="1">OFFSET(Fuselage!$B$275,D2253,3)</f>
        <v>None</v>
      </c>
      <c r="G2258" s="200" t="s">
        <v>643</v>
      </c>
      <c r="H2258">
        <f ca="1">MAX(H2253:H2257)</f>
        <v>0</v>
      </c>
      <c r="S2258" s="200" t="s">
        <v>654</v>
      </c>
      <c r="T2258">
        <f ca="1">LOOKUP(D2258,$C$191:$C$196,$F$191:$F$196)</f>
        <v>0</v>
      </c>
      <c r="BD2258" s="157"/>
    </row>
    <row r="2259" spans="2:56" ht="15" thickBot="1">
      <c r="B2259" s="156"/>
      <c r="BD2259" s="157"/>
    </row>
    <row r="2260" spans="2:56" ht="15" thickBot="1">
      <c r="B2260" s="156"/>
      <c r="C2260" s="141">
        <f ca="1">L2257</f>
        <v>0</v>
      </c>
      <c r="D2260" s="197" t="str">
        <f ca="1">IF($D2255=1,"FC",IF($D2255=2,"BC",IF($D2255=3,"YC","Nothing")))</f>
        <v>Nothing</v>
      </c>
      <c r="E2260" s="198"/>
      <c r="G2260" s="141">
        <f ca="1">L2256</f>
        <v>0</v>
      </c>
      <c r="H2260" s="197" t="str">
        <f ca="1">IF($D2255=1,"FC",IF($D2255=2,"BC",IF($D2255=3,"YC","Nothing")))</f>
        <v>Nothing</v>
      </c>
      <c r="I2260" s="198"/>
      <c r="K2260" s="141">
        <f ca="1" xml:space="preserve"> L2255</f>
        <v>0</v>
      </c>
      <c r="L2260" s="197" t="str">
        <f ca="1">IF($D2255=1,"FC",IF($D2255=2,"BC",IF($D2255=3,"YC","Nothing")))</f>
        <v>Nothing</v>
      </c>
      <c r="M2260" s="198"/>
      <c r="O2260" s="141">
        <f ca="1">IF($D2258&lt;&gt;"None",1,0)</f>
        <v>0</v>
      </c>
      <c r="P2260" s="326" t="s">
        <v>380</v>
      </c>
      <c r="Q2260" s="327"/>
      <c r="S2260" s="141">
        <f ca="1">IF($D2257&lt;&gt;"None",1,0)</f>
        <v>0</v>
      </c>
      <c r="T2260" s="326" t="s">
        <v>381</v>
      </c>
      <c r="U2260" s="327"/>
      <c r="W2260" s="141">
        <f ca="1">IF($D2256&lt;&gt;"None",1,0)</f>
        <v>0</v>
      </c>
      <c r="X2260" s="326" t="s">
        <v>382</v>
      </c>
      <c r="Y2260" s="327"/>
      <c r="AA2260" s="141">
        <f ca="1">IF($D2258="None",1,0)</f>
        <v>1</v>
      </c>
      <c r="AB2260" s="326" t="str">
        <f ca="1">IF(AA2260,D2260,$D2258)</f>
        <v>Nothing</v>
      </c>
      <c r="AC2260" s="327"/>
      <c r="AE2260" s="141">
        <f ca="1">IF($D2257="None",1,0)</f>
        <v>1</v>
      </c>
      <c r="AF2260" s="326" t="str">
        <f ca="1">IF(AE2260,H2260,$D2257)</f>
        <v>Nothing</v>
      </c>
      <c r="AG2260" s="327"/>
      <c r="AI2260" s="141">
        <f ca="1">IF($D2256="None",1,0)</f>
        <v>1</v>
      </c>
      <c r="AJ2260" s="326" t="str">
        <f ca="1">IF(AI2260,L2260,$D2256)</f>
        <v>Nothing</v>
      </c>
      <c r="AK2260" s="327"/>
      <c r="AM2260" s="141">
        <f ca="1">IF($X2253="None",0,1)</f>
        <v>0</v>
      </c>
      <c r="AN2260" s="197" t="s">
        <v>133</v>
      </c>
      <c r="AO2260" s="198"/>
      <c r="AQ2260" s="141">
        <f ca="1">IF($X2253="None",0,1)</f>
        <v>0</v>
      </c>
      <c r="AR2260" s="197" t="s">
        <v>134</v>
      </c>
      <c r="AS2260" s="198"/>
      <c r="BD2260" s="157"/>
    </row>
    <row r="2261" spans="2:56" ht="15" thickBot="1">
      <c r="B2261" s="156"/>
      <c r="C2261" s="136" t="s">
        <v>452</v>
      </c>
      <c r="D2261" s="136" t="s">
        <v>384</v>
      </c>
      <c r="E2261" s="138" t="s">
        <v>385</v>
      </c>
      <c r="G2261" s="136" t="s">
        <v>452</v>
      </c>
      <c r="H2261" s="136" t="s">
        <v>384</v>
      </c>
      <c r="I2261" s="138" t="s">
        <v>385</v>
      </c>
      <c r="K2261" s="193" t="s">
        <v>452</v>
      </c>
      <c r="L2261" s="193" t="s">
        <v>384</v>
      </c>
      <c r="M2261" s="194" t="s">
        <v>385</v>
      </c>
      <c r="O2261" s="136" t="s">
        <v>452</v>
      </c>
      <c r="P2261" s="136" t="s">
        <v>384</v>
      </c>
      <c r="Q2261" s="138" t="s">
        <v>385</v>
      </c>
      <c r="S2261" s="136" t="s">
        <v>452</v>
      </c>
      <c r="T2261" s="136" t="s">
        <v>384</v>
      </c>
      <c r="U2261" s="138" t="s">
        <v>385</v>
      </c>
      <c r="W2261" s="136" t="s">
        <v>452</v>
      </c>
      <c r="X2261" s="136" t="s">
        <v>384</v>
      </c>
      <c r="Y2261" s="138" t="s">
        <v>385</v>
      </c>
      <c r="AA2261" s="136" t="s">
        <v>452</v>
      </c>
      <c r="AB2261" s="136" t="s">
        <v>384</v>
      </c>
      <c r="AC2261" s="138" t="s">
        <v>385</v>
      </c>
      <c r="AE2261" s="136" t="s">
        <v>452</v>
      </c>
      <c r="AF2261" s="136" t="s">
        <v>384</v>
      </c>
      <c r="AG2261" s="138" t="s">
        <v>385</v>
      </c>
      <c r="AI2261" s="193" t="s">
        <v>452</v>
      </c>
      <c r="AJ2261" s="193" t="s">
        <v>384</v>
      </c>
      <c r="AK2261" s="194" t="s">
        <v>385</v>
      </c>
      <c r="AM2261" s="193" t="s">
        <v>452</v>
      </c>
      <c r="AN2261" s="193" t="s">
        <v>384</v>
      </c>
      <c r="AO2261" s="194" t="s">
        <v>385</v>
      </c>
      <c r="AQ2261" s="193" t="s">
        <v>452</v>
      </c>
      <c r="AR2261" s="193" t="s">
        <v>384</v>
      </c>
      <c r="AS2261" s="194" t="s">
        <v>385</v>
      </c>
      <c r="BD2261" s="157"/>
    </row>
    <row r="2262" spans="2:56">
      <c r="B2262" s="156"/>
      <c r="C2262" s="128" t="s">
        <v>396</v>
      </c>
      <c r="D2262" s="158">
        <f ca="1">IF(C2260&gt;=1,L2253,8888)</f>
        <v>8888</v>
      </c>
      <c r="E2262" s="160">
        <f ca="1">IF(C2260&gt;=1,1/2*($C$13-P2253-2*P2255)+1/2*P2253,8888)</f>
        <v>8888</v>
      </c>
      <c r="G2262" s="128" t="s">
        <v>396</v>
      </c>
      <c r="H2262" s="158">
        <f ca="1">IF(G2260&gt;=1,L2253,8888)</f>
        <v>8888</v>
      </c>
      <c r="I2262" s="160">
        <f ca="1">IF(G2260&gt;=1,E2273-P2257,8888)</f>
        <v>8888</v>
      </c>
      <c r="K2262" s="128" t="s">
        <v>396</v>
      </c>
      <c r="L2262" s="158">
        <f ca="1">IF(K2260&gt;=1,L2253,8888)</f>
        <v>8888</v>
      </c>
      <c r="M2262" s="160">
        <f ca="1">IF(K2260&gt;=1,IF(FUSELAGE_n_aisles=1,E2273-P2257,I2285-P2257),8888)</f>
        <v>8888</v>
      </c>
      <c r="O2262" s="128" t="s">
        <v>396</v>
      </c>
      <c r="P2262" s="158">
        <f ca="1">IF(O2260,$L2253,8888)</f>
        <v>8888</v>
      </c>
      <c r="Q2262" s="209">
        <f ca="1">IF(O2260,FUSELAGE_y_position_of_left_seat_YC-(FUSELAGE_nseats_right_YC-1)*(SEAT_w_cushion_YC+SEAT_w_armrest_YC)/2+T2258/2,8888)</f>
        <v>8888</v>
      </c>
      <c r="S2262" s="128" t="s">
        <v>396</v>
      </c>
      <c r="T2262" s="158">
        <f ca="1">IF(S2260,$L2253,8888)</f>
        <v>8888</v>
      </c>
      <c r="U2262" s="160">
        <f ca="1">IF(S2260,T2256/2,8888)</f>
        <v>8888</v>
      </c>
      <c r="W2262" s="128" t="s">
        <v>396</v>
      </c>
      <c r="X2262" s="158">
        <f ca="1">IF(W2260,$L2253,8888)</f>
        <v>8888</v>
      </c>
      <c r="Y2262" s="160">
        <f ca="1">IF(W2260,-FUSELAGE_y_position_of_left_seat_YC+(FUSELAGE_nseats_left_YC-1)*(SEAT_w_cushion_YC+SEAT_w_armrest_YC)/2-T2254/2,8888)</f>
        <v>8888</v>
      </c>
      <c r="AA2262" s="128" t="s">
        <v>396</v>
      </c>
      <c r="AB2262" s="158">
        <f ca="1">IF($AA2260,D2262,P2262)</f>
        <v>8888</v>
      </c>
      <c r="AC2262" s="174">
        <f ca="1">IF($AA2260,E2262,Q2262)</f>
        <v>8888</v>
      </c>
      <c r="AE2262" s="128" t="s">
        <v>396</v>
      </c>
      <c r="AF2262" s="158">
        <f ca="1">IF($AE2260,H2262,T2262)</f>
        <v>8888</v>
      </c>
      <c r="AG2262" s="174">
        <f ca="1">IF($AE2260,I2262,U2262)</f>
        <v>8888</v>
      </c>
      <c r="AI2262" s="128" t="s">
        <v>396</v>
      </c>
      <c r="AJ2262" s="158">
        <f ca="1">IF($AI2260,L2262,X2262)</f>
        <v>8888</v>
      </c>
      <c r="AK2262" s="174">
        <f ca="1">IF($AI2260,M2262,Y2262)</f>
        <v>8888</v>
      </c>
      <c r="AM2262" s="128" t="s">
        <v>396</v>
      </c>
      <c r="AN2262" s="158">
        <f ca="1">AN2231</f>
        <v>-18.624000000000006</v>
      </c>
      <c r="AO2262" s="174">
        <f ca="1">IF(AN2262&gt;-Fuselage!$D$366,(FUSELAGE_a_ellipse)*SQRT(1-((AN2262+Fuselage!$D$366)/(Fuselage!$K$364-FUSELAGE_t_fuselage))^2),IF(AN2262&gt;$L$2505+Fuselage!$K$370,FUSELAGE_a_ellipse,(FUSELAGE_a_ellipse+FUSELAGE_t_fuselage-FUSELAGE_d_fo/4)/Fuselage!$K$368*(AN2262-$L$2505-Fuselage!$K$370)+FUSELAGE_a_ellipse))</f>
        <v>1.4960570012328709</v>
      </c>
      <c r="AQ2262" s="128" t="s">
        <v>396</v>
      </c>
      <c r="AR2262" s="158">
        <f t="shared" ref="AR2262:AR2267" ca="1" si="180">AN2262</f>
        <v>-18.624000000000006</v>
      </c>
      <c r="AS2262" s="174">
        <f t="shared" ref="AS2262:AS2267" ca="1" si="181">-AO2262</f>
        <v>-1.4960570012328709</v>
      </c>
      <c r="BD2262" s="157"/>
    </row>
    <row r="2263" spans="2:56">
      <c r="B2263" s="156"/>
      <c r="C2263" s="128" t="s">
        <v>213</v>
      </c>
      <c r="D2263" s="128">
        <f ca="1">IF(X2255,D2262+P2254/4,D2262+P2254)</f>
        <v>8888</v>
      </c>
      <c r="E2263" s="139">
        <f ca="1">E2262</f>
        <v>8888</v>
      </c>
      <c r="G2263" s="128" t="s">
        <v>213</v>
      </c>
      <c r="H2263" s="128">
        <f ca="1">H2262+P2254</f>
        <v>8888</v>
      </c>
      <c r="I2263" s="139">
        <f ca="1">I2262</f>
        <v>8888</v>
      </c>
      <c r="K2263" s="128" t="s">
        <v>213</v>
      </c>
      <c r="L2263" s="128">
        <f ca="1">IF(X2255,IF(K2260=1,L2262+P2254/4,L2262+P2254),L2262+P2254)</f>
        <v>8888</v>
      </c>
      <c r="M2263" s="139">
        <f ca="1">M2262</f>
        <v>8888</v>
      </c>
      <c r="O2263" s="128" t="s">
        <v>213</v>
      </c>
      <c r="P2263" s="128">
        <f ca="1">P2262+$T2257</f>
        <v>8888</v>
      </c>
      <c r="Q2263" s="139">
        <f ca="1">Q2262</f>
        <v>8888</v>
      </c>
      <c r="S2263" s="128" t="s">
        <v>213</v>
      </c>
      <c r="T2263" s="128">
        <f ca="1">T2262+$T2255</f>
        <v>8888</v>
      </c>
      <c r="U2263" s="139">
        <f ca="1">U2262</f>
        <v>8888</v>
      </c>
      <c r="W2263" s="128" t="s">
        <v>213</v>
      </c>
      <c r="X2263" s="128">
        <f ca="1">X2262+$T2253</f>
        <v>8888</v>
      </c>
      <c r="Y2263" s="139">
        <f ca="1">Y2262</f>
        <v>8888</v>
      </c>
      <c r="AA2263" s="143" t="s">
        <v>213</v>
      </c>
      <c r="AB2263" s="128">
        <f ca="1">IF($AA2260,D2263,P2263)</f>
        <v>8888</v>
      </c>
      <c r="AC2263" s="129">
        <f ca="1">IF($AA2260,E2263,Q2263)</f>
        <v>8888</v>
      </c>
      <c r="AE2263" s="128" t="s">
        <v>213</v>
      </c>
      <c r="AF2263" s="128">
        <f ca="1">IF($AE2260,H2263,T2263)</f>
        <v>8888</v>
      </c>
      <c r="AG2263" s="129">
        <f ca="1">IF($AE2260,I2263,U2263)</f>
        <v>8888</v>
      </c>
      <c r="AI2263" s="128" t="s">
        <v>213</v>
      </c>
      <c r="AJ2263" s="128">
        <f ca="1">IF($AI2260,L2263,X2263)</f>
        <v>8888</v>
      </c>
      <c r="AK2263" s="129">
        <f ca="1">IF($AI2260,M2263,Y2263)</f>
        <v>8888</v>
      </c>
      <c r="AM2263" s="128" t="s">
        <v>213</v>
      </c>
      <c r="AN2263" s="128">
        <f ca="1">AN2262-AO2253/2</f>
        <v>-18.624000000000006</v>
      </c>
      <c r="AO2263" s="129">
        <f ca="1">IF(AN2263&gt;-Fuselage!$D$366,(FUSELAGE_a_ellipse)*SQRT(1-((AN2263+Fuselage!$D$366)/(Fuselage!$K$364-FUSELAGE_t_fuselage))^2),IF(AN2263&gt;$L$2505+Fuselage!$K$370,FUSELAGE_a_ellipse,(FUSELAGE_a_ellipse+FUSELAGE_t_fuselage-FUSELAGE_d_fo/4)/Fuselage!$K$368*(AN2263-$L$2505-Fuselage!$K$370)+FUSELAGE_a_ellipse))</f>
        <v>1.4960570012328709</v>
      </c>
      <c r="AQ2263" s="128" t="s">
        <v>213</v>
      </c>
      <c r="AR2263" s="128">
        <f t="shared" ca="1" si="180"/>
        <v>-18.624000000000006</v>
      </c>
      <c r="AS2263" s="129">
        <f t="shared" ca="1" si="181"/>
        <v>-1.4960570012328709</v>
      </c>
      <c r="BD2263" s="157"/>
    </row>
    <row r="2264" spans="2:56">
      <c r="B2264" s="156"/>
      <c r="C2264" s="128" t="s">
        <v>286</v>
      </c>
      <c r="D2264" s="128">
        <f ca="1">D2263</f>
        <v>8888</v>
      </c>
      <c r="E2264" s="139">
        <f ca="1">E2263-P2253</f>
        <v>8888</v>
      </c>
      <c r="G2264" s="128" t="s">
        <v>286</v>
      </c>
      <c r="H2264" s="128">
        <f ca="1">H2263</f>
        <v>8888</v>
      </c>
      <c r="I2264" s="139">
        <f ca="1">I2263-P2253</f>
        <v>8888</v>
      </c>
      <c r="K2264" s="128" t="s">
        <v>286</v>
      </c>
      <c r="L2264" s="128">
        <f ca="1">L2263</f>
        <v>8888</v>
      </c>
      <c r="M2264" s="139">
        <f ca="1">M2263-P2253</f>
        <v>8888</v>
      </c>
      <c r="O2264" s="128" t="s">
        <v>286</v>
      </c>
      <c r="P2264" s="128">
        <f ca="1">P2263</f>
        <v>8888</v>
      </c>
      <c r="Q2264" s="139">
        <f ca="1">Q2263-$T2258</f>
        <v>8888</v>
      </c>
      <c r="S2264" s="128" t="s">
        <v>286</v>
      </c>
      <c r="T2264" s="128">
        <f ca="1">T2263</f>
        <v>8888</v>
      </c>
      <c r="U2264" s="139">
        <f ca="1">U2263-$T2256</f>
        <v>8888</v>
      </c>
      <c r="W2264" s="128" t="s">
        <v>286</v>
      </c>
      <c r="X2264" s="128">
        <f ca="1">X2263</f>
        <v>8888</v>
      </c>
      <c r="Y2264" s="139">
        <f ca="1">Y2263+$T2254</f>
        <v>8888</v>
      </c>
      <c r="AA2264" s="143" t="s">
        <v>286</v>
      </c>
      <c r="AB2264" s="128">
        <f ca="1">IF($AA2260,D2264,P2264)</f>
        <v>8888</v>
      </c>
      <c r="AC2264" s="129">
        <f ca="1">IF($AA2260,E2264,Q2264)</f>
        <v>8888</v>
      </c>
      <c r="AE2264" s="128" t="s">
        <v>286</v>
      </c>
      <c r="AF2264" s="128">
        <f ca="1">IF($AE2260,H2264,T2264)</f>
        <v>8888</v>
      </c>
      <c r="AG2264" s="129">
        <f ca="1">IF($AE2260,I2264,U2264)</f>
        <v>8888</v>
      </c>
      <c r="AI2264" s="128" t="s">
        <v>286</v>
      </c>
      <c r="AJ2264" s="128">
        <f ca="1">IF($AI2260,L2264,X2264)</f>
        <v>8888</v>
      </c>
      <c r="AK2264" s="129">
        <f ca="1">IF($AI2260,M2264,Y2264)</f>
        <v>8888</v>
      </c>
      <c r="AM2264" s="128" t="s">
        <v>286</v>
      </c>
      <c r="AN2264" s="128">
        <f ca="1">AN2263</f>
        <v>-18.624000000000006</v>
      </c>
      <c r="AO2264" s="129">
        <f ca="1">IF(AN2264&gt;-Fuselage!$D$366,IF(AM2260,(FUSELAGE_a_ellipse+FUSELAGE_t_fuselage)*SQRT(1-((AN2264+Fuselage!$D$366)/Fuselage!$K$364)^2),(FUSELAGE_a_ellipse)*SQRT(1-((AN2264+Fuselage!$D$366)/Fuselage!$K$364)^2)),IF(AN2264&gt;$L$2505+Fuselage!$K$370,(IF(AM2260,FUSELAGE_a_ellipse+FUSELAGE_t_fuselage,FUSELAGE_a_ellipse)),IF(AM2260,(FUSELAGE_a_ellipse+FUSELAGE_t_fuselage-FUSELAGE_d_fo/4)/Fuselage!$K$368*(AN2264-$L$2505-Fuselage!$K$370)+FUSELAGE_a_ellipse+FUSELAGE_t_fuselage,(FUSELAGE_a_ellipse+FUSELAGE_t_fuselage-FUSELAGE_d_fo/4)/Fuselage!$K$368*(AN2264-$L$2505-Fuselage!$K$370)+FUSELAGE_a_ellipse)))</f>
        <v>1.4960570012328709</v>
      </c>
      <c r="AQ2264" s="128" t="s">
        <v>286</v>
      </c>
      <c r="AR2264" s="128">
        <f t="shared" ca="1" si="180"/>
        <v>-18.624000000000006</v>
      </c>
      <c r="AS2264" s="129">
        <f t="shared" ca="1" si="181"/>
        <v>-1.4960570012328709</v>
      </c>
      <c r="BD2264" s="157"/>
    </row>
    <row r="2265" spans="2:56">
      <c r="B2265" s="156"/>
      <c r="C2265" s="188" t="s">
        <v>522</v>
      </c>
      <c r="D2265" s="188">
        <f ca="1">D2262</f>
        <v>8888</v>
      </c>
      <c r="E2265" s="189">
        <f ca="1">E2264</f>
        <v>8888</v>
      </c>
      <c r="F2265" s="157"/>
      <c r="G2265" s="2" t="s">
        <v>522</v>
      </c>
      <c r="H2265" s="128">
        <f ca="1">H2262</f>
        <v>8888</v>
      </c>
      <c r="I2265" s="139">
        <f ca="1">I2264</f>
        <v>8888</v>
      </c>
      <c r="K2265" s="128" t="s">
        <v>522</v>
      </c>
      <c r="L2265" s="128">
        <f ca="1">L2262</f>
        <v>8888</v>
      </c>
      <c r="M2265" s="139">
        <f ca="1">M2264</f>
        <v>8888</v>
      </c>
      <c r="O2265" s="188" t="s">
        <v>522</v>
      </c>
      <c r="P2265" s="188">
        <f ca="1">P2262</f>
        <v>8888</v>
      </c>
      <c r="Q2265" s="189">
        <f ca="1">Q2264</f>
        <v>8888</v>
      </c>
      <c r="S2265" s="188" t="s">
        <v>522</v>
      </c>
      <c r="T2265" s="188">
        <f ca="1">T2262</f>
        <v>8888</v>
      </c>
      <c r="U2265" s="189">
        <f ca="1">U2264</f>
        <v>8888</v>
      </c>
      <c r="W2265" s="188" t="s">
        <v>522</v>
      </c>
      <c r="X2265" s="188">
        <f ca="1">X2262</f>
        <v>8888</v>
      </c>
      <c r="Y2265" s="189">
        <f ca="1">Y2264</f>
        <v>8888</v>
      </c>
      <c r="AA2265" s="195" t="s">
        <v>522</v>
      </c>
      <c r="AB2265" s="128">
        <f ca="1">IF($AA2260,D2265,P2265)</f>
        <v>8888</v>
      </c>
      <c r="AC2265" s="129">
        <f ca="1">IF($AA2260,E2265,Q2265)</f>
        <v>8888</v>
      </c>
      <c r="AD2265" s="157"/>
      <c r="AE2265" s="2" t="s">
        <v>522</v>
      </c>
      <c r="AF2265" s="188">
        <f ca="1">IF($AE2260,H2265,T2265)</f>
        <v>8888</v>
      </c>
      <c r="AG2265" s="196">
        <f ca="1">IF($AE2260,I2265,U2265)</f>
        <v>8888</v>
      </c>
      <c r="AI2265" s="128" t="s">
        <v>522</v>
      </c>
      <c r="AJ2265" s="188">
        <f ca="1">IF($AI2260,L2265,X2265)</f>
        <v>8888</v>
      </c>
      <c r="AK2265" s="196">
        <f ca="1">IF($AI2260,M2265,Y2265)</f>
        <v>8888</v>
      </c>
      <c r="AM2265" s="128" t="s">
        <v>522</v>
      </c>
      <c r="AN2265" s="128">
        <f ca="1">AN2264-X2254</f>
        <v>-18.624000000000006</v>
      </c>
      <c r="AO2265" s="129">
        <f ca="1">IF(AN2265&gt;-Fuselage!$D$366,IF(AM2260,(FUSELAGE_a_ellipse+FUSELAGE_t_fuselage)*SQRT(1-((AN2265+Fuselage!$D$366)/Fuselage!$K$364)^2),(FUSELAGE_a_ellipse)*SQRT(1-((AN2265+Fuselage!$D$366)/Fuselage!$K$364)^2)),IF(AN2265&gt;$L$2505+Fuselage!$K$370,(IF(AM2260,FUSELAGE_a_ellipse+FUSELAGE_t_fuselage,FUSELAGE_a_ellipse)),IF(AM2260,(FUSELAGE_a_ellipse+FUSELAGE_t_fuselage-FUSELAGE_d_fo/4)/Fuselage!$K$368*(AN2265-$L$2505-Fuselage!$K$370)+FUSELAGE_a_ellipse+FUSELAGE_t_fuselage,(FUSELAGE_a_ellipse+FUSELAGE_t_fuselage-FUSELAGE_d_fo/4)/Fuselage!$K$368*(AN2265-$L$2505-Fuselage!$K$370)+FUSELAGE_a_ellipse)))</f>
        <v>1.4960570012328709</v>
      </c>
      <c r="AQ2265" s="128" t="s">
        <v>522</v>
      </c>
      <c r="AR2265" s="128">
        <f t="shared" ca="1" si="180"/>
        <v>-18.624000000000006</v>
      </c>
      <c r="AS2265" s="129">
        <f t="shared" ca="1" si="181"/>
        <v>-1.4960570012328709</v>
      </c>
      <c r="BD2265" s="157"/>
    </row>
    <row r="2266" spans="2:56" ht="15" thickBot="1">
      <c r="B2266" s="156"/>
      <c r="C2266" s="128" t="s">
        <v>49</v>
      </c>
      <c r="D2266" s="128">
        <f ca="1">IF(C2260&gt;=2,D2262,D2265)</f>
        <v>8888</v>
      </c>
      <c r="E2266" s="139">
        <f ca="1">IF(C2260&gt;=2,E2265-P2255,E2265)</f>
        <v>8888</v>
      </c>
      <c r="F2266" s="157"/>
      <c r="G2266" s="192" t="s">
        <v>49</v>
      </c>
      <c r="H2266" s="190">
        <f ca="1">IF(G2260&gt;=2,H2262,H2265)</f>
        <v>8888</v>
      </c>
      <c r="I2266" s="191">
        <f ca="1">IF(G2260&gt;=2,I2265-P2255,I2265)</f>
        <v>8888</v>
      </c>
      <c r="K2266" s="190" t="s">
        <v>49</v>
      </c>
      <c r="L2266" s="190">
        <f ca="1">IF(K2260&gt;=2,L2262,L2265)</f>
        <v>8888</v>
      </c>
      <c r="M2266" s="191">
        <f ca="1">IF(K2260&gt;=2,M2265-P2255,M2265)</f>
        <v>8888</v>
      </c>
      <c r="O2266" s="130" t="s">
        <v>396</v>
      </c>
      <c r="P2266" s="130">
        <f ca="1">P2262</f>
        <v>8888</v>
      </c>
      <c r="Q2266" s="140">
        <f ca="1">Q2262</f>
        <v>8888</v>
      </c>
      <c r="S2266" s="130" t="s">
        <v>396</v>
      </c>
      <c r="T2266" s="130">
        <f ca="1">T2262</f>
        <v>8888</v>
      </c>
      <c r="U2266" s="140">
        <f ca="1">U2262</f>
        <v>8888</v>
      </c>
      <c r="W2266" s="130" t="s">
        <v>396</v>
      </c>
      <c r="X2266" s="130">
        <f ca="1">X2262</f>
        <v>8888</v>
      </c>
      <c r="Y2266" s="140">
        <f ca="1">Y2262</f>
        <v>8888</v>
      </c>
      <c r="AA2266" s="143" t="s">
        <v>49</v>
      </c>
      <c r="AB2266" s="128">
        <f ca="1">IF($AA2260,D2266,P2266)</f>
        <v>8888</v>
      </c>
      <c r="AC2266" s="129">
        <f ca="1">IF($AA2260,E2266,Q2266)</f>
        <v>8888</v>
      </c>
      <c r="AD2266" s="157"/>
      <c r="AE2266" s="192" t="s">
        <v>49</v>
      </c>
      <c r="AF2266" s="128">
        <f ca="1">IF($AE2260,H2266,T2266)</f>
        <v>8888</v>
      </c>
      <c r="AG2266" s="129">
        <f ca="1">IF($AE2260,I2266,U2266)</f>
        <v>8888</v>
      </c>
      <c r="AI2266" s="190" t="s">
        <v>49</v>
      </c>
      <c r="AJ2266" s="128">
        <f ca="1">IF($AI2260,L2266,X2266)</f>
        <v>8888</v>
      </c>
      <c r="AK2266" s="129">
        <f ca="1">IF($AI2260,M2266,Y2266)</f>
        <v>8888</v>
      </c>
      <c r="AM2266" s="128" t="s">
        <v>49</v>
      </c>
      <c r="AN2266" s="128">
        <f ca="1">AN2265</f>
        <v>-18.624000000000006</v>
      </c>
      <c r="AO2266" s="129">
        <f ca="1">IF(AN2266&gt;-Fuselage!$D$366,(FUSELAGE_a_ellipse)*SQRT(1-((AN2266+Fuselage!$D$366)/(Fuselage!$K$364-FUSELAGE_t_fuselage))^2),IF(AN2266&gt;$L$2505+Fuselage!$K$370,FUSELAGE_a_ellipse,(FUSELAGE_a_ellipse+FUSELAGE_t_fuselage-FUSELAGE_d_fo/4)/Fuselage!$K$368*(AN2266-$L$2505-Fuselage!$K$370)+FUSELAGE_a_ellipse))</f>
        <v>1.4960570012328709</v>
      </c>
      <c r="AQ2266" s="128" t="s">
        <v>49</v>
      </c>
      <c r="AR2266" s="128">
        <f t="shared" ca="1" si="180"/>
        <v>-18.624000000000006</v>
      </c>
      <c r="AS2266" s="129">
        <f t="shared" ca="1" si="181"/>
        <v>-1.4960570012328709</v>
      </c>
      <c r="BD2266" s="157"/>
    </row>
    <row r="2267" spans="2:56">
      <c r="B2267" s="156"/>
      <c r="C2267" s="128" t="s">
        <v>453</v>
      </c>
      <c r="D2267" s="128">
        <f ca="1">IF(C2260&gt;=2,D2262+P2254,D2265)</f>
        <v>8888</v>
      </c>
      <c r="E2267" s="139">
        <f ca="1">E2266</f>
        <v>8888</v>
      </c>
      <c r="F2267" s="157"/>
      <c r="G2267" s="2" t="s">
        <v>453</v>
      </c>
      <c r="H2267" s="128">
        <f ca="1">IF(G2260&gt;=2,H2263,H2265)</f>
        <v>8888</v>
      </c>
      <c r="I2267" s="139">
        <f ca="1">IF(G2260&gt;=2,I2266,I2265)</f>
        <v>8888</v>
      </c>
      <c r="K2267" s="128" t="s">
        <v>453</v>
      </c>
      <c r="L2267" s="128">
        <f ca="1">IF(K2260&gt;=2,IF(X2255,IF(K2260=2,L2262+P2254/4,L2262+P2254),L2262+P2254),L2265)</f>
        <v>8888</v>
      </c>
      <c r="M2267" s="139">
        <f ca="1">IF(K2260&gt;=2,M2266,M2265)</f>
        <v>8888</v>
      </c>
      <c r="AA2267" s="143" t="s">
        <v>453</v>
      </c>
      <c r="AB2267" s="128">
        <f ca="1">IF($AA2260,D2267,AB2266)</f>
        <v>8888</v>
      </c>
      <c r="AC2267" s="129">
        <f ca="1">IF($AA2260,E2267,AC2266)</f>
        <v>8888</v>
      </c>
      <c r="AD2267" s="157"/>
      <c r="AE2267" s="2" t="s">
        <v>453</v>
      </c>
      <c r="AF2267" s="128">
        <f ca="1">IF($AE2260,H2267,AF2266)</f>
        <v>8888</v>
      </c>
      <c r="AG2267" s="129">
        <f ca="1">IF($AE2260,I2267,AG2266)</f>
        <v>8888</v>
      </c>
      <c r="AI2267" s="128" t="s">
        <v>453</v>
      </c>
      <c r="AJ2267" s="128">
        <f ca="1">IF($AI2260,L2267,AJ2266)</f>
        <v>8888</v>
      </c>
      <c r="AK2267" s="129">
        <f ca="1">IF($AI2260,M2267,AK2266)</f>
        <v>8888</v>
      </c>
      <c r="AM2267" s="128" t="s">
        <v>453</v>
      </c>
      <c r="AN2267" s="128">
        <f ca="1">L2253</f>
        <v>-18.624000000000006</v>
      </c>
      <c r="AO2267" s="129">
        <f ca="1">IF(AN2267&gt;-Fuselage!$D$366,(FUSELAGE_a_ellipse)*SQRT(1-((AN2267+Fuselage!$D$366)/(Fuselage!$K$364-FUSELAGE_t_fuselage))^2),IF(AN2267&gt;$L$2505+Fuselage!$K$370,FUSELAGE_a_ellipse,(FUSELAGE_a_ellipse+FUSELAGE_t_fuselage-FUSELAGE_d_fo/4)/Fuselage!$K$368*(AN2267-$L$2505-Fuselage!$K$370)+FUSELAGE_a_ellipse))</f>
        <v>1.4960570012328709</v>
      </c>
      <c r="AQ2267" s="128" t="s">
        <v>453</v>
      </c>
      <c r="AR2267" s="128">
        <f t="shared" ca="1" si="180"/>
        <v>-18.624000000000006</v>
      </c>
      <c r="AS2267" s="129">
        <f t="shared" ca="1" si="181"/>
        <v>-1.4960570012328709</v>
      </c>
      <c r="BD2267" s="157"/>
    </row>
    <row r="2268" spans="2:56">
      <c r="B2268" s="156"/>
      <c r="C2268" s="128" t="s">
        <v>394</v>
      </c>
      <c r="D2268" s="128">
        <f ca="1">IF(C2260&gt;=2,D2267,D2265)</f>
        <v>8888</v>
      </c>
      <c r="E2268" s="139">
        <f ca="1">IF(C2260&gt;=2,E2266-P2253,E2265)</f>
        <v>8888</v>
      </c>
      <c r="F2268" s="157"/>
      <c r="G2268" s="2" t="s">
        <v>394</v>
      </c>
      <c r="H2268" s="128">
        <f ca="1">IF(G2260&gt;=2,H2263,H2265)</f>
        <v>8888</v>
      </c>
      <c r="I2268" s="139">
        <f ca="1">IF(G2260&gt;=2,I2267-P2253,I2265)</f>
        <v>8888</v>
      </c>
      <c r="K2268" s="128" t="s">
        <v>394</v>
      </c>
      <c r="L2268" s="128">
        <f ca="1">L2267</f>
        <v>8888</v>
      </c>
      <c r="M2268" s="139">
        <f ca="1">IF(K2260&gt;=2,M2267-P2253,M2265)</f>
        <v>8888</v>
      </c>
      <c r="AA2268" s="143" t="s">
        <v>394</v>
      </c>
      <c r="AB2268" s="128">
        <f ca="1">IF($AA2260,D2268,AB2266)</f>
        <v>8888</v>
      </c>
      <c r="AC2268" s="129">
        <f ca="1">IF($AA2260,E2268,AC2266)</f>
        <v>8888</v>
      </c>
      <c r="AD2268" s="157"/>
      <c r="AE2268" s="2" t="s">
        <v>394</v>
      </c>
      <c r="AF2268" s="128">
        <f ca="1">IF($AE2260,H2268,AF2266)</f>
        <v>8888</v>
      </c>
      <c r="AG2268" s="129">
        <f ca="1">IF($AE2260,I2268,AG2266)</f>
        <v>8888</v>
      </c>
      <c r="AI2268" s="128" t="s">
        <v>394</v>
      </c>
      <c r="AJ2268" s="128">
        <f ca="1">IF($AI2260,L2268,AJ2266)</f>
        <v>8888</v>
      </c>
      <c r="AK2268" s="129">
        <f ca="1">IF($AI2260,M2268,AK2266)</f>
        <v>8888</v>
      </c>
      <c r="BD2268" s="157"/>
    </row>
    <row r="2269" spans="2:56">
      <c r="B2269" s="156"/>
      <c r="C2269" s="188" t="s">
        <v>454</v>
      </c>
      <c r="D2269" s="188">
        <f ca="1">IF(C2260&gt;=2,D2262,D2265)</f>
        <v>8888</v>
      </c>
      <c r="E2269" s="189">
        <f ca="1">E2268</f>
        <v>8888</v>
      </c>
      <c r="F2269" s="157"/>
      <c r="G2269" s="115" t="s">
        <v>454</v>
      </c>
      <c r="H2269" s="188">
        <f ca="1">IF(G2260&gt;=2,H2262,H2265)</f>
        <v>8888</v>
      </c>
      <c r="I2269" s="189">
        <f ca="1">IF(G2260&gt;=2,I2268,I2265)</f>
        <v>8888</v>
      </c>
      <c r="K2269" s="188" t="s">
        <v>454</v>
      </c>
      <c r="L2269" s="188">
        <f ca="1">IF(K2260&gt;=2,L2262,L2265)</f>
        <v>8888</v>
      </c>
      <c r="M2269" s="189">
        <f ca="1">IF(K2260&gt;=2,M2268,M2265)</f>
        <v>8888</v>
      </c>
      <c r="AA2269" s="195" t="s">
        <v>454</v>
      </c>
      <c r="AB2269" s="128">
        <f ca="1">IF($AA2260,D2269,AB2266)</f>
        <v>8888</v>
      </c>
      <c r="AC2269" s="129">
        <f ca="1">IF($AA2260,E2269,AC2266)</f>
        <v>8888</v>
      </c>
      <c r="AD2269" s="157"/>
      <c r="AE2269" s="115" t="s">
        <v>454</v>
      </c>
      <c r="AF2269" s="188">
        <f ca="1">IF($AE2260,H2269,AF2266)</f>
        <v>8888</v>
      </c>
      <c r="AG2269" s="196">
        <f ca="1">IF($AE2260,I2269,AG2266)</f>
        <v>8888</v>
      </c>
      <c r="AI2269" s="188" t="s">
        <v>454</v>
      </c>
      <c r="AJ2269" s="188">
        <f ca="1">IF($AI2260,L2269,AJ2266)</f>
        <v>8888</v>
      </c>
      <c r="AK2269" s="196">
        <f ca="1">IF($AI2260,M2269,AK2266)</f>
        <v>8888</v>
      </c>
      <c r="BD2269" s="157"/>
    </row>
    <row r="2270" spans="2:56">
      <c r="B2270" s="156"/>
      <c r="C2270" s="128" t="s">
        <v>507</v>
      </c>
      <c r="D2270" s="128">
        <f ca="1">IF(C2260&gt;=3,D2262,D2269)</f>
        <v>8888</v>
      </c>
      <c r="E2270" s="139">
        <f ca="1">IF(C2260&gt;=3,E2269-P2255,E2269)</f>
        <v>8888</v>
      </c>
      <c r="F2270" s="157"/>
      <c r="G2270" s="2" t="s">
        <v>507</v>
      </c>
      <c r="H2270" s="128">
        <f ca="1">IF(G2260&gt;=3,H2262,H2269)</f>
        <v>8888</v>
      </c>
      <c r="I2270" s="139">
        <f ca="1">IF(G2260&gt;=3,I2269-P2255,I2269)</f>
        <v>8888</v>
      </c>
      <c r="K2270" s="128" t="s">
        <v>507</v>
      </c>
      <c r="L2270" s="128">
        <f ca="1">IF(K2260&gt;=3,L2262,L2269)</f>
        <v>8888</v>
      </c>
      <c r="M2270" s="139">
        <f ca="1">IF(K2260&gt;=3,M2269-P2255,M2269)</f>
        <v>8888</v>
      </c>
      <c r="AA2270" s="143" t="s">
        <v>507</v>
      </c>
      <c r="AB2270" s="128">
        <f ca="1">IF($AA2260,D2270,AB2266)</f>
        <v>8888</v>
      </c>
      <c r="AC2270" s="129">
        <f ca="1">IF($AA2260,E2270,AC2266)</f>
        <v>8888</v>
      </c>
      <c r="AD2270" s="157"/>
      <c r="AE2270" s="2" t="s">
        <v>507</v>
      </c>
      <c r="AF2270" s="128">
        <f ca="1">IF($AE2260,H2270,AF2266)</f>
        <v>8888</v>
      </c>
      <c r="AG2270" s="129">
        <f ca="1">IF($AE2260,I2270,AG2266)</f>
        <v>8888</v>
      </c>
      <c r="AI2270" s="128" t="s">
        <v>507</v>
      </c>
      <c r="AJ2270" s="128">
        <f ca="1">IF($AI2260,L2270,AJ2266)</f>
        <v>8888</v>
      </c>
      <c r="AK2270" s="129">
        <f ca="1">IF($AI2260,M2270,AK2266)</f>
        <v>8888</v>
      </c>
      <c r="BD2270" s="157"/>
    </row>
    <row r="2271" spans="2:56">
      <c r="B2271" s="156"/>
      <c r="C2271" s="128" t="s">
        <v>455</v>
      </c>
      <c r="D2271" s="128">
        <f ca="1">IF(C2260&gt;=3,D2267,D2269)</f>
        <v>8888</v>
      </c>
      <c r="E2271" s="139">
        <f ca="1">E2270</f>
        <v>8888</v>
      </c>
      <c r="F2271" s="157"/>
      <c r="G2271" s="2" t="s">
        <v>455</v>
      </c>
      <c r="H2271" s="128">
        <f ca="1">IF(G2260&gt;=3,H2263,H2269)</f>
        <v>8888</v>
      </c>
      <c r="I2271" s="139">
        <f ca="1">IF(G2260&gt;=3,I2270,I2269)</f>
        <v>8888</v>
      </c>
      <c r="K2271" s="128" t="s">
        <v>455</v>
      </c>
      <c r="L2271" s="128">
        <f ca="1">IF(K2260&gt;=3,IF(X2255,IF(K2260=3,L2262+P2254/4,L2262+P2254),L2262+P2254),L2265)</f>
        <v>8888</v>
      </c>
      <c r="M2271" s="139">
        <f ca="1">IF(K2260&gt;=3,M2270,M2269)</f>
        <v>8888</v>
      </c>
      <c r="AA2271" s="143" t="s">
        <v>455</v>
      </c>
      <c r="AB2271" s="128">
        <f ca="1">IF($AA2260,D2271,AB2266)</f>
        <v>8888</v>
      </c>
      <c r="AC2271" s="129">
        <f ca="1">IF($AA2260,E2271,AC2266)</f>
        <v>8888</v>
      </c>
      <c r="AD2271" s="157"/>
      <c r="AE2271" s="2" t="s">
        <v>455</v>
      </c>
      <c r="AF2271" s="128">
        <f ca="1">IF($AE2260,H2271,AF2266)</f>
        <v>8888</v>
      </c>
      <c r="AG2271" s="129">
        <f ca="1">IF($AE2260,I2271,AG2266)</f>
        <v>8888</v>
      </c>
      <c r="AI2271" s="128" t="s">
        <v>455</v>
      </c>
      <c r="AJ2271" s="128">
        <f ca="1">IF($AI2260,L2271,AJ2266)</f>
        <v>8888</v>
      </c>
      <c r="AK2271" s="129">
        <f ca="1">IF($AI2260,M2271,AK2266)</f>
        <v>8888</v>
      </c>
      <c r="AL2271" s="156"/>
      <c r="BD2271" s="157"/>
    </row>
    <row r="2272" spans="2:56">
      <c r="B2272" s="156"/>
      <c r="C2272" s="128" t="s">
        <v>311</v>
      </c>
      <c r="D2272" s="128">
        <f ca="1">IF(C2260&gt;=3,D2267,D2269)</f>
        <v>8888</v>
      </c>
      <c r="E2272" s="139">
        <f ca="1">IF(C2260&gt;=3,E2271-P2253,E2269)</f>
        <v>8888</v>
      </c>
      <c r="F2272" s="157"/>
      <c r="G2272" s="2" t="s">
        <v>311</v>
      </c>
      <c r="H2272" s="128">
        <f ca="1">IF(G2260&gt;=3,H2263,H2269)</f>
        <v>8888</v>
      </c>
      <c r="I2272" s="139">
        <f ca="1">IF(G2260&gt;=3,I2271-P2253,I2269)</f>
        <v>8888</v>
      </c>
      <c r="K2272" s="128" t="s">
        <v>311</v>
      </c>
      <c r="L2272" s="128">
        <f ca="1">L2271</f>
        <v>8888</v>
      </c>
      <c r="M2272" s="139">
        <f ca="1">IF(K2260&gt;=3,M2271-P2253,M2269)</f>
        <v>8888</v>
      </c>
      <c r="AA2272" s="143" t="s">
        <v>311</v>
      </c>
      <c r="AB2272" s="128">
        <f ca="1">IF($AA2260,D2272,AB2266)</f>
        <v>8888</v>
      </c>
      <c r="AC2272" s="129">
        <f ca="1">IF($AA2260,E2272,AC2266)</f>
        <v>8888</v>
      </c>
      <c r="AD2272" s="157"/>
      <c r="AE2272" s="2" t="s">
        <v>311</v>
      </c>
      <c r="AF2272" s="128">
        <f ca="1">IF($AE2260,H2272,AF2266)</f>
        <v>8888</v>
      </c>
      <c r="AG2272" s="129">
        <f ca="1">IF($AE2260,I2272,AG2266)</f>
        <v>8888</v>
      </c>
      <c r="AI2272" s="128" t="s">
        <v>311</v>
      </c>
      <c r="AJ2272" s="128">
        <f ca="1">IF($AI2260,L2272,AJ2266)</f>
        <v>8888</v>
      </c>
      <c r="AK2272" s="129">
        <f ca="1">IF($AI2260,M2272,AK2266)</f>
        <v>8888</v>
      </c>
      <c r="AL2272" s="156"/>
      <c r="BD2272" s="157"/>
    </row>
    <row r="2273" spans="2:56">
      <c r="B2273" s="156"/>
      <c r="C2273" s="188" t="s">
        <v>35</v>
      </c>
      <c r="D2273" s="188">
        <f ca="1">IF(C2260&gt;=3,D2262,D2269)</f>
        <v>8888</v>
      </c>
      <c r="E2273" s="189">
        <f ca="1">E2272</f>
        <v>8888</v>
      </c>
      <c r="F2273" s="157"/>
      <c r="G2273" s="2" t="s">
        <v>35</v>
      </c>
      <c r="H2273" s="188">
        <f ca="1">IF(G2260&gt;=3,H2262,H2269)</f>
        <v>8888</v>
      </c>
      <c r="I2273" s="189">
        <f ca="1">IF(G2260&gt;=3,I2272,I2269)</f>
        <v>8888</v>
      </c>
      <c r="K2273" s="188" t="s">
        <v>35</v>
      </c>
      <c r="L2273" s="188">
        <f ca="1">IF(K2260&gt;=3,L2262,L2269)</f>
        <v>8888</v>
      </c>
      <c r="M2273" s="189">
        <f ca="1">IF(K2260&gt;=3,M2272,M2269)</f>
        <v>8888</v>
      </c>
      <c r="AA2273" s="143" t="s">
        <v>35</v>
      </c>
      <c r="AB2273" s="128">
        <f ca="1">IF($AA2260,D2273,AB2266)</f>
        <v>8888</v>
      </c>
      <c r="AC2273" s="129">
        <f ca="1">IF($AA2260,E2273,AC2266)</f>
        <v>8888</v>
      </c>
      <c r="AD2273" s="157"/>
      <c r="AE2273" s="2" t="s">
        <v>35</v>
      </c>
      <c r="AF2273" s="188">
        <f ca="1">IF($AE2260,H2273,AF2266)</f>
        <v>8888</v>
      </c>
      <c r="AG2273" s="196">
        <f ca="1">IF($AE2260,I2273,AG2266)</f>
        <v>8888</v>
      </c>
      <c r="AI2273" s="128" t="s">
        <v>35</v>
      </c>
      <c r="AJ2273" s="128">
        <f ca="1">IF($AI2260,L2273,AJ2266)</f>
        <v>8888</v>
      </c>
      <c r="AK2273" s="129">
        <f ca="1">IF($AI2260,M2273,AK2266)</f>
        <v>8888</v>
      </c>
      <c r="AL2273" s="156"/>
      <c r="BD2273" s="157"/>
    </row>
    <row r="2274" spans="2:56" ht="15" thickBot="1">
      <c r="B2274" s="156"/>
      <c r="C2274" s="130" t="s">
        <v>396</v>
      </c>
      <c r="D2274" s="130">
        <f ca="1">D2262</f>
        <v>8888</v>
      </c>
      <c r="E2274" s="140">
        <f ca="1">E2262</f>
        <v>8888</v>
      </c>
      <c r="F2274" s="157"/>
      <c r="G2274" s="192" t="s">
        <v>312</v>
      </c>
      <c r="H2274" s="128">
        <f ca="1">IF(G2260&gt;=4,H2262,H2273)</f>
        <v>8888</v>
      </c>
      <c r="I2274" s="139">
        <f ca="1">IF(G2260&gt;=4,I2273-P2255,I2273)</f>
        <v>8888</v>
      </c>
      <c r="K2274" s="130" t="s">
        <v>396</v>
      </c>
      <c r="L2274" s="130">
        <f ca="1">L2262</f>
        <v>8888</v>
      </c>
      <c r="M2274" s="140">
        <f ca="1">M2262</f>
        <v>8888</v>
      </c>
      <c r="AA2274" s="144" t="s">
        <v>396</v>
      </c>
      <c r="AB2274" s="130">
        <f ca="1">IF($AA2260,D2274,AB2266)</f>
        <v>8888</v>
      </c>
      <c r="AC2274" s="132">
        <f ca="1">IF($AA2260,E2274,AC2266)</f>
        <v>8888</v>
      </c>
      <c r="AD2274" s="157"/>
      <c r="AE2274" s="192" t="s">
        <v>312</v>
      </c>
      <c r="AF2274" s="128">
        <f ca="1">IF($AE2260,H2274,AF2266)</f>
        <v>8888</v>
      </c>
      <c r="AG2274" s="129">
        <f ca="1">IF($AE2260,I2274,AG2266)</f>
        <v>8888</v>
      </c>
      <c r="AI2274" s="130" t="s">
        <v>396</v>
      </c>
      <c r="AJ2274" s="130">
        <f ca="1">IF($AI2260,L2274,AJ2266)</f>
        <v>8888</v>
      </c>
      <c r="AK2274" s="132">
        <f ca="1">IF($AI2260,M2274,AK2266)</f>
        <v>8888</v>
      </c>
      <c r="BD2274" s="157"/>
    </row>
    <row r="2275" spans="2:56">
      <c r="B2275" s="156"/>
      <c r="F2275" s="157"/>
      <c r="G2275" s="2" t="s">
        <v>313</v>
      </c>
      <c r="H2275" s="128">
        <f ca="1">IF(G2260&gt;=4,H2263,H2273)</f>
        <v>8888</v>
      </c>
      <c r="I2275" s="139">
        <f ca="1">IF(G2260&gt;=4,I2274,I2273)</f>
        <v>8888</v>
      </c>
      <c r="AD2275" s="157"/>
      <c r="AE2275" s="2" t="s">
        <v>313</v>
      </c>
      <c r="AF2275" s="128">
        <f ca="1">IF($AE2260,H2275,AF2266)</f>
        <v>8888</v>
      </c>
      <c r="AG2275" s="129">
        <f ca="1">IF($AE2260,I2275,AG2266)</f>
        <v>8888</v>
      </c>
      <c r="BD2275" s="157"/>
    </row>
    <row r="2276" spans="2:56">
      <c r="B2276" s="156"/>
      <c r="F2276" s="157"/>
      <c r="G2276" s="2" t="s">
        <v>7</v>
      </c>
      <c r="H2276" s="128">
        <f ca="1">IF(G2260&gt;=4,H2263,H2273)</f>
        <v>8888</v>
      </c>
      <c r="I2276" s="139">
        <f ca="1">IF(G2260&gt;=4,I2275-P2253,I2273)</f>
        <v>8888</v>
      </c>
      <c r="AD2276" s="157"/>
      <c r="AE2276" s="2" t="s">
        <v>7</v>
      </c>
      <c r="AF2276" s="128">
        <f ca="1">IF($AE2260,H2276,AF2266)</f>
        <v>8888</v>
      </c>
      <c r="AG2276" s="129">
        <f ca="1">IF($AE2260,I2276,AG2266)</f>
        <v>8888</v>
      </c>
      <c r="BD2276" s="157"/>
    </row>
    <row r="2277" spans="2:56">
      <c r="B2277" s="156"/>
      <c r="F2277" s="157"/>
      <c r="G2277" s="115" t="s">
        <v>8</v>
      </c>
      <c r="H2277" s="188">
        <f ca="1">IF(G2260&gt;=4,H2262,H2273)</f>
        <v>8888</v>
      </c>
      <c r="I2277" s="189">
        <f ca="1">IF(G2260&gt;=4,I2276,I2273)</f>
        <v>8888</v>
      </c>
      <c r="AD2277" s="157"/>
      <c r="AE2277" s="115" t="s">
        <v>8</v>
      </c>
      <c r="AF2277" s="188">
        <f ca="1">IF($AE2260,H2277,AF2266)</f>
        <v>8888</v>
      </c>
      <c r="AG2277" s="196">
        <f ca="1">IF($AE2260,I2277,AG2266)</f>
        <v>8888</v>
      </c>
      <c r="BD2277" s="157"/>
    </row>
    <row r="2278" spans="2:56">
      <c r="B2278" s="156"/>
      <c r="F2278" s="157"/>
      <c r="G2278" s="2" t="s">
        <v>9</v>
      </c>
      <c r="H2278" s="128">
        <f ca="1">IF(G2260&gt;=5,H2262,H2277)</f>
        <v>8888</v>
      </c>
      <c r="I2278" s="139">
        <f ca="1">IF(G2260&gt;=5,I2277-P2255,I2277)</f>
        <v>8888</v>
      </c>
      <c r="AD2278" s="157"/>
      <c r="AE2278" s="2" t="s">
        <v>9</v>
      </c>
      <c r="AF2278" s="128">
        <f ca="1">IF($AE2260,H2278,AF2266)</f>
        <v>8888</v>
      </c>
      <c r="AG2278" s="129">
        <f ca="1">IF($AE2260,I2278,AG2266)</f>
        <v>8888</v>
      </c>
      <c r="BD2278" s="157"/>
    </row>
    <row r="2279" spans="2:56">
      <c r="B2279" s="156"/>
      <c r="F2279" s="157"/>
      <c r="G2279" s="2" t="s">
        <v>196</v>
      </c>
      <c r="H2279" s="128">
        <f ca="1">IF(G2260&gt;=5,H2263,H2277)</f>
        <v>8888</v>
      </c>
      <c r="I2279" s="139">
        <f ca="1">IF(G2260&gt;=5,I2278,I2277)</f>
        <v>8888</v>
      </c>
      <c r="AD2279" s="157"/>
      <c r="AE2279" s="2" t="s">
        <v>196</v>
      </c>
      <c r="AF2279" s="128">
        <f ca="1">IF($AE2260,H2279,AF2266)</f>
        <v>8888</v>
      </c>
      <c r="AG2279" s="129">
        <f ca="1">IF($AE2260,I2279,AG2266)</f>
        <v>8888</v>
      </c>
      <c r="BD2279" s="157"/>
    </row>
    <row r="2280" spans="2:56">
      <c r="B2280" s="156"/>
      <c r="F2280" s="157"/>
      <c r="G2280" s="2" t="s">
        <v>10</v>
      </c>
      <c r="H2280" s="128">
        <f ca="1">IF(G2260&gt;=5,H2263,H2277)</f>
        <v>8888</v>
      </c>
      <c r="I2280" s="139">
        <f ca="1">IF(G2260&gt;=5,I2279-P2253,I2277)</f>
        <v>8888</v>
      </c>
      <c r="AD2280" s="157"/>
      <c r="AE2280" s="2" t="s">
        <v>10</v>
      </c>
      <c r="AF2280" s="128">
        <f ca="1">IF($AE2260,H2280,AF2266)</f>
        <v>8888</v>
      </c>
      <c r="AG2280" s="129">
        <f ca="1">IF($AE2260,I2280,AG2266)</f>
        <v>8888</v>
      </c>
      <c r="BD2280" s="157"/>
    </row>
    <row r="2281" spans="2:56">
      <c r="B2281" s="156"/>
      <c r="F2281" s="157"/>
      <c r="G2281" s="2" t="s">
        <v>161</v>
      </c>
      <c r="H2281" s="188">
        <f ca="1">IF(G2260&gt;=5,H2262,H2277)</f>
        <v>8888</v>
      </c>
      <c r="I2281" s="189">
        <f ca="1">IF(G2260&gt;=5,I2280,I2277)</f>
        <v>8888</v>
      </c>
      <c r="AD2281" s="157"/>
      <c r="AE2281" s="2" t="s">
        <v>161</v>
      </c>
      <c r="AF2281" s="188">
        <f ca="1">IF($AE2260,H2281,AF2266)</f>
        <v>8888</v>
      </c>
      <c r="AG2281" s="196">
        <f ca="1">IF($AE2260,I2281,AG2266)</f>
        <v>8888</v>
      </c>
      <c r="BD2281" s="157"/>
    </row>
    <row r="2282" spans="2:56">
      <c r="B2282" s="156"/>
      <c r="F2282" s="157"/>
      <c r="G2282" s="192" t="s">
        <v>11</v>
      </c>
      <c r="H2282" s="128">
        <f ca="1">IF(G2260&gt;=6,H2262,H2281)</f>
        <v>8888</v>
      </c>
      <c r="I2282" s="139">
        <f ca="1">IF(G2260&gt;=6,I2281-P2255,I2281)</f>
        <v>8888</v>
      </c>
      <c r="AD2282" s="157"/>
      <c r="AE2282" s="192" t="s">
        <v>11</v>
      </c>
      <c r="AF2282" s="128">
        <f ca="1">IF($AE2260,H2282,AF2266)</f>
        <v>8888</v>
      </c>
      <c r="AG2282" s="129">
        <f ca="1">IF($AE2260,I2282,AG2266)</f>
        <v>8888</v>
      </c>
      <c r="BD2282" s="157"/>
    </row>
    <row r="2283" spans="2:56">
      <c r="B2283" s="156"/>
      <c r="F2283" s="157"/>
      <c r="G2283" s="2" t="s">
        <v>12</v>
      </c>
      <c r="H2283" s="128">
        <f ca="1">IF(G2260&gt;=6,H2263,H2281)</f>
        <v>8888</v>
      </c>
      <c r="I2283" s="139">
        <f ca="1">IF(G2260&gt;=6,I2282,I2281)</f>
        <v>8888</v>
      </c>
      <c r="AD2283" s="157"/>
      <c r="AE2283" s="2" t="s">
        <v>12</v>
      </c>
      <c r="AF2283" s="128">
        <f ca="1">IF($AE2260,H2283,AF2266)</f>
        <v>8888</v>
      </c>
      <c r="AG2283" s="129">
        <f ca="1">IF($AE2260,I2283,AG2266)</f>
        <v>8888</v>
      </c>
      <c r="BD2283" s="157"/>
    </row>
    <row r="2284" spans="2:56">
      <c r="B2284" s="156"/>
      <c r="F2284" s="157"/>
      <c r="G2284" s="2" t="s">
        <v>13</v>
      </c>
      <c r="H2284" s="128">
        <f ca="1">IF(G2260&gt;=6,H2263,H2281)</f>
        <v>8888</v>
      </c>
      <c r="I2284" s="139">
        <f ca="1">IF(G2260&gt;=6,I2283-P2253,I2281)</f>
        <v>8888</v>
      </c>
      <c r="AD2284" s="157"/>
      <c r="AE2284" s="2" t="s">
        <v>13</v>
      </c>
      <c r="AF2284" s="128">
        <f ca="1">IF($AE2260,H2284,AF2266)</f>
        <v>8888</v>
      </c>
      <c r="AG2284" s="129">
        <f ca="1">IF($AE2260,I2284,AG2266)</f>
        <v>8888</v>
      </c>
      <c r="BD2284" s="157"/>
    </row>
    <row r="2285" spans="2:56">
      <c r="B2285" s="156"/>
      <c r="F2285" s="157"/>
      <c r="G2285" s="115" t="s">
        <v>14</v>
      </c>
      <c r="H2285" s="188">
        <f ca="1">IF(G2260&gt;=6,H2262,H2281)</f>
        <v>8888</v>
      </c>
      <c r="I2285" s="189">
        <f ca="1">IF(G2260&gt;=6,I2284,I2281)</f>
        <v>8888</v>
      </c>
      <c r="AD2285" s="157"/>
      <c r="AE2285" s="115" t="s">
        <v>14</v>
      </c>
      <c r="AF2285" s="188">
        <f ca="1">IF($AE2260,H2285,AF2266)</f>
        <v>8888</v>
      </c>
      <c r="AG2285" s="196">
        <f ca="1">IF($AE2260,I2285,AG2266)</f>
        <v>8888</v>
      </c>
      <c r="BD2285" s="157"/>
    </row>
    <row r="2286" spans="2:56" ht="15" thickBot="1">
      <c r="B2286" s="156"/>
      <c r="G2286" s="130" t="s">
        <v>396</v>
      </c>
      <c r="H2286" s="130">
        <f ca="1">H2262</f>
        <v>8888</v>
      </c>
      <c r="I2286" s="140">
        <f ca="1">I2262</f>
        <v>8888</v>
      </c>
      <c r="AE2286" s="130" t="s">
        <v>396</v>
      </c>
      <c r="AF2286" s="130">
        <f ca="1">IF($AE2260,H2286,AF2266)</f>
        <v>8888</v>
      </c>
      <c r="AG2286" s="132">
        <f ca="1">IF($AE2260,I2286,AG2266)</f>
        <v>8888</v>
      </c>
      <c r="BD2286" s="157"/>
    </row>
    <row r="2287" spans="2:56">
      <c r="B2287" s="156"/>
      <c r="BD2287" s="157"/>
    </row>
    <row r="2288" spans="2:56">
      <c r="B2288" s="156"/>
      <c r="BD2288" s="157"/>
    </row>
    <row r="2289" spans="2:56">
      <c r="B2289" s="156"/>
      <c r="C2289" s="200" t="s">
        <v>336</v>
      </c>
      <c r="D2289">
        <f>D2253+1</f>
        <v>59</v>
      </c>
      <c r="G2289" s="200" t="s">
        <v>638</v>
      </c>
      <c r="H2289">
        <f ca="1">LOOKUP(D2292,$C$191:$C$196,$D$191:$D$196)</f>
        <v>0</v>
      </c>
      <c r="K2289" s="200" t="s">
        <v>644</v>
      </c>
      <c r="L2289">
        <f ca="1">L2253-H2294</f>
        <v>-18.624000000000006</v>
      </c>
      <c r="O2289" s="200" t="s">
        <v>404</v>
      </c>
      <c r="P2289">
        <f ca="1">IF(D2291=1,SEAT_w_cushion_FC,IF(D2291=2,SEAT_w_cushion_BC,IF(D2291=3,SEAT_w_cushion_YC,0)))</f>
        <v>0</v>
      </c>
      <c r="S2289" s="200" t="s">
        <v>647</v>
      </c>
      <c r="T2289">
        <f ca="1">LOOKUP(D2292,$C$191:$C$196,$E$191:$E$196)</f>
        <v>0</v>
      </c>
      <c r="W2289" t="s">
        <v>130</v>
      </c>
      <c r="X2289" t="str">
        <f ca="1">OFFSET(Fuselage!$B$275,D2289,5)</f>
        <v>None</v>
      </c>
      <c r="AN2289" s="200" t="s">
        <v>135</v>
      </c>
      <c r="AO2289">
        <f ca="1">MAX(0,H2294-MAX(T2289,T2291,T2293,P2290)-X2290)</f>
        <v>0</v>
      </c>
      <c r="BD2289" s="157"/>
    </row>
    <row r="2290" spans="2:56">
      <c r="B2290" s="156"/>
      <c r="C2290" s="200" t="s">
        <v>200</v>
      </c>
      <c r="D2290" t="str">
        <f ca="1">OFFSET(Fuselage!$B$275,D2289,0)</f>
        <v/>
      </c>
      <c r="G2290" s="200" t="s">
        <v>639</v>
      </c>
      <c r="H2290">
        <f ca="1">LOOKUP(D2293,$C$191:$C$196,$D$191:$D$196)</f>
        <v>0</v>
      </c>
      <c r="O2290" s="200" t="s">
        <v>535</v>
      </c>
      <c r="P2290">
        <f ca="1">IF(D2291=1,SEAT_length_FC,IF(D2291=2,SEAT_length_BC,IF(D2291=3,SEAT_length_YC,0)))</f>
        <v>0</v>
      </c>
      <c r="S2290" s="200" t="s">
        <v>648</v>
      </c>
      <c r="T2290">
        <f ca="1">LOOKUP(D2292,$C$191:$C$196,$F$191:$F$196)</f>
        <v>0</v>
      </c>
      <c r="W2290" t="s">
        <v>131</v>
      </c>
      <c r="X2290">
        <f ca="1">LOOKUP(X2289,$I$191:$I$198,$J$191:$J$198)</f>
        <v>0</v>
      </c>
      <c r="BD2290" s="157"/>
    </row>
    <row r="2291" spans="2:56">
      <c r="B2291" s="156"/>
      <c r="C2291" s="200" t="s">
        <v>337</v>
      </c>
      <c r="D2291" t="str">
        <f ca="1">OFFSET(Fuselage!$B$275,D2289,4)</f>
        <v/>
      </c>
      <c r="G2291" s="200" t="s">
        <v>309</v>
      </c>
      <c r="H2291">
        <f ca="1">LOOKUP(D2294,$C$191:$C$196,$D$191:$D$196)</f>
        <v>0</v>
      </c>
      <c r="K2291" s="200" t="s">
        <v>645</v>
      </c>
      <c r="L2291">
        <f ca="1">IF(D2291=1,FUSELAGE_nseats_left_FC,IF(D2291=2,FUSELAGE_nseats_left_BC,IF(D2291=3,FUSELAGE_nseats_left_YC,0)))</f>
        <v>0</v>
      </c>
      <c r="O2291" s="200" t="s">
        <v>405</v>
      </c>
      <c r="P2291">
        <f ca="1">IF(D2291=1,SEAT_w_armrest_FC,IF(D2291=2,SEAT_w_armrest_BC,IF(D2291=3,SEAT_w_armrest_YC,0)))</f>
        <v>0</v>
      </c>
      <c r="S2291" s="200" t="s">
        <v>652</v>
      </c>
      <c r="T2291">
        <f ca="1">LOOKUP(D2293,$C$191:$C$196,$E$191:$E$196)</f>
        <v>0</v>
      </c>
      <c r="W2291" s="200" t="s">
        <v>393</v>
      </c>
      <c r="X2291" t="b">
        <f ca="1">IF(OFFSET(Fuselage!$B$275,D2289,6)="YES",TRUE(),FALSE())</f>
        <v>0</v>
      </c>
      <c r="BD2291" s="157"/>
    </row>
    <row r="2292" spans="2:56">
      <c r="B2292" s="156"/>
      <c r="C2292" s="200" t="s">
        <v>640</v>
      </c>
      <c r="D2292" t="str">
        <f ca="1">OFFSET(Fuselage!$B$275,D2289,1)</f>
        <v>None</v>
      </c>
      <c r="G2292" s="200" t="s">
        <v>132</v>
      </c>
      <c r="H2292">
        <f ca="1">IF(D2291=1,SEAT_pitch_FC,IF(D2291=2,SEAT_pitch_BC,IF(D2291=3,SEAT_pitch_YC,0)))</f>
        <v>0</v>
      </c>
      <c r="K2292" s="200" t="s">
        <v>646</v>
      </c>
      <c r="L2292">
        <f ca="1">IF(D2291=1,FUSELAGE_nseats_middle_FC,IF(D2291=2,FUSELAGE_nseats_middle_BC,IF(D2291=3,FUSELAGE_nseats_middle_YC,0)))</f>
        <v>0</v>
      </c>
      <c r="S2292" s="200" t="s">
        <v>653</v>
      </c>
      <c r="T2292">
        <f ca="1">LOOKUP(D2293,$C$191:$C$196,$F$191:$F$196)</f>
        <v>0</v>
      </c>
      <c r="BD2292" s="157"/>
    </row>
    <row r="2293" spans="2:56">
      <c r="B2293" s="156"/>
      <c r="C2293" s="200" t="s">
        <v>642</v>
      </c>
      <c r="D2293" t="str">
        <f ca="1">OFFSET(Fuselage!$B$275,D2289,2)</f>
        <v>None</v>
      </c>
      <c r="G2293" s="200" t="s">
        <v>129</v>
      </c>
      <c r="H2293">
        <f ca="1">IF(OR(X2289="Type A",X2289="Type B"),MAX(H2289:H2292)+42*0.0254,IF(X2289="Type C",MAX(H2289:H2292)+X2290,IF(X2289&lt;&gt;"None",24*0.0254,0)))</f>
        <v>0</v>
      </c>
      <c r="K2293" s="200" t="s">
        <v>655</v>
      </c>
      <c r="L2293">
        <f ca="1">IF(D2291=1,FUSELAGE_nseats_right_FC,IF(D2291=2,FUSELAGE_nseats_right_BC,IF(D2291=3,FUSELAGE_nseats_right_YC,0)))</f>
        <v>0</v>
      </c>
      <c r="O2293" s="200" t="s">
        <v>407</v>
      </c>
      <c r="P2293">
        <f ca="1">($C$13-(L2291+L2292+L2293)*(P2289+P2291)+(FUSELAGE_n_aisles-1)*P2291)/FUSELAGE_n_aisles</f>
        <v>2.76</v>
      </c>
      <c r="S2293" s="200" t="s">
        <v>651</v>
      </c>
      <c r="T2293">
        <f ca="1">LOOKUP(D2294,$C$191:$C$196,$E$191:$E$196)</f>
        <v>0</v>
      </c>
      <c r="BD2293" s="157"/>
    </row>
    <row r="2294" spans="2:56">
      <c r="B2294" s="156"/>
      <c r="C2294" s="200" t="s">
        <v>641</v>
      </c>
      <c r="D2294" t="str">
        <f ca="1">OFFSET(Fuselage!$B$275,D2289,3)</f>
        <v>None</v>
      </c>
      <c r="G2294" s="200" t="s">
        <v>643</v>
      </c>
      <c r="H2294">
        <f ca="1">MAX(H2289:H2293)</f>
        <v>0</v>
      </c>
      <c r="S2294" s="200" t="s">
        <v>654</v>
      </c>
      <c r="T2294">
        <f ca="1">LOOKUP(D2294,$C$191:$C$196,$F$191:$F$196)</f>
        <v>0</v>
      </c>
      <c r="BD2294" s="157"/>
    </row>
    <row r="2295" spans="2:56" ht="15" thickBot="1">
      <c r="B2295" s="156"/>
      <c r="BD2295" s="157"/>
    </row>
    <row r="2296" spans="2:56" ht="15" thickBot="1">
      <c r="B2296" s="156"/>
      <c r="C2296" s="141">
        <f ca="1">L2293</f>
        <v>0</v>
      </c>
      <c r="D2296" s="197" t="str">
        <f ca="1">IF($D2291=1,"FC",IF($D2291=2,"BC",IF($D2291=3,"YC","Nothing")))</f>
        <v>Nothing</v>
      </c>
      <c r="E2296" s="198"/>
      <c r="G2296" s="141">
        <f ca="1">L2292</f>
        <v>0</v>
      </c>
      <c r="H2296" s="197" t="str">
        <f ca="1">IF($D2291=1,"FC",IF($D2291=2,"BC",IF($D2291=3,"YC","Nothing")))</f>
        <v>Nothing</v>
      </c>
      <c r="I2296" s="198"/>
      <c r="K2296" s="141">
        <f ca="1" xml:space="preserve"> L2291</f>
        <v>0</v>
      </c>
      <c r="L2296" s="197" t="str">
        <f ca="1">IF($D2291=1,"FC",IF($D2291=2,"BC",IF($D2291=3,"YC","Nothing")))</f>
        <v>Nothing</v>
      </c>
      <c r="M2296" s="198"/>
      <c r="O2296" s="141">
        <f ca="1">IF($D2294&lt;&gt;"None",1,0)</f>
        <v>0</v>
      </c>
      <c r="P2296" s="326" t="s">
        <v>380</v>
      </c>
      <c r="Q2296" s="327"/>
      <c r="S2296" s="141">
        <f ca="1">IF($D2293&lt;&gt;"None",1,0)</f>
        <v>0</v>
      </c>
      <c r="T2296" s="326" t="s">
        <v>381</v>
      </c>
      <c r="U2296" s="327"/>
      <c r="W2296" s="141">
        <f ca="1">IF($D2292&lt;&gt;"None",1,0)</f>
        <v>0</v>
      </c>
      <c r="X2296" s="326" t="s">
        <v>382</v>
      </c>
      <c r="Y2296" s="327"/>
      <c r="AA2296" s="141">
        <f ca="1">IF($D2294="None",1,0)</f>
        <v>1</v>
      </c>
      <c r="AB2296" s="326" t="str">
        <f ca="1">IF(AA2296,D2296,$D2294)</f>
        <v>Nothing</v>
      </c>
      <c r="AC2296" s="327"/>
      <c r="AE2296" s="141">
        <f ca="1">IF($D2293="None",1,0)</f>
        <v>1</v>
      </c>
      <c r="AF2296" s="326" t="str">
        <f ca="1">IF(AE2296,H2296,$D2293)</f>
        <v>Nothing</v>
      </c>
      <c r="AG2296" s="327"/>
      <c r="AI2296" s="141">
        <f ca="1">IF($D2292="None",1,0)</f>
        <v>1</v>
      </c>
      <c r="AJ2296" s="326" t="str">
        <f ca="1">IF(AI2296,L2296,$D2292)</f>
        <v>Nothing</v>
      </c>
      <c r="AK2296" s="327"/>
      <c r="AM2296" s="141">
        <f ca="1">IF($X2289="None",0,1)</f>
        <v>0</v>
      </c>
      <c r="AN2296" s="197" t="s">
        <v>133</v>
      </c>
      <c r="AO2296" s="198"/>
      <c r="AQ2296" s="141">
        <f ca="1">IF($X2289="None",0,1)</f>
        <v>0</v>
      </c>
      <c r="AR2296" s="197" t="s">
        <v>134</v>
      </c>
      <c r="AS2296" s="198"/>
      <c r="BD2296" s="157"/>
    </row>
    <row r="2297" spans="2:56" ht="15" thickBot="1">
      <c r="B2297" s="156"/>
      <c r="C2297" s="136" t="s">
        <v>452</v>
      </c>
      <c r="D2297" s="136" t="s">
        <v>384</v>
      </c>
      <c r="E2297" s="138" t="s">
        <v>385</v>
      </c>
      <c r="G2297" s="136" t="s">
        <v>452</v>
      </c>
      <c r="H2297" s="136" t="s">
        <v>384</v>
      </c>
      <c r="I2297" s="138" t="s">
        <v>385</v>
      </c>
      <c r="K2297" s="193" t="s">
        <v>452</v>
      </c>
      <c r="L2297" s="193" t="s">
        <v>384</v>
      </c>
      <c r="M2297" s="194" t="s">
        <v>385</v>
      </c>
      <c r="O2297" s="136" t="s">
        <v>452</v>
      </c>
      <c r="P2297" s="136" t="s">
        <v>384</v>
      </c>
      <c r="Q2297" s="138" t="s">
        <v>385</v>
      </c>
      <c r="S2297" s="136" t="s">
        <v>452</v>
      </c>
      <c r="T2297" s="136" t="s">
        <v>384</v>
      </c>
      <c r="U2297" s="138" t="s">
        <v>385</v>
      </c>
      <c r="W2297" s="136" t="s">
        <v>452</v>
      </c>
      <c r="X2297" s="136" t="s">
        <v>384</v>
      </c>
      <c r="Y2297" s="138" t="s">
        <v>385</v>
      </c>
      <c r="AA2297" s="136" t="s">
        <v>452</v>
      </c>
      <c r="AB2297" s="136" t="s">
        <v>384</v>
      </c>
      <c r="AC2297" s="138" t="s">
        <v>385</v>
      </c>
      <c r="AE2297" s="136" t="s">
        <v>452</v>
      </c>
      <c r="AF2297" s="136" t="s">
        <v>384</v>
      </c>
      <c r="AG2297" s="138" t="s">
        <v>385</v>
      </c>
      <c r="AI2297" s="193" t="s">
        <v>452</v>
      </c>
      <c r="AJ2297" s="193" t="s">
        <v>384</v>
      </c>
      <c r="AK2297" s="194" t="s">
        <v>385</v>
      </c>
      <c r="AM2297" s="193" t="s">
        <v>452</v>
      </c>
      <c r="AN2297" s="193" t="s">
        <v>384</v>
      </c>
      <c r="AO2297" s="194" t="s">
        <v>385</v>
      </c>
      <c r="AQ2297" s="193" t="s">
        <v>452</v>
      </c>
      <c r="AR2297" s="193" t="s">
        <v>384</v>
      </c>
      <c r="AS2297" s="194" t="s">
        <v>385</v>
      </c>
      <c r="BD2297" s="157"/>
    </row>
    <row r="2298" spans="2:56">
      <c r="B2298" s="156"/>
      <c r="C2298" s="128" t="s">
        <v>396</v>
      </c>
      <c r="D2298" s="158">
        <f ca="1">IF(C2296&gt;=1,L2289,8888)</f>
        <v>8888</v>
      </c>
      <c r="E2298" s="160">
        <f ca="1">IF(C2296&gt;=1,1/2*($C$13-P2289-2*P2291)+1/2*P2289,8888)</f>
        <v>8888</v>
      </c>
      <c r="G2298" s="128" t="s">
        <v>396</v>
      </c>
      <c r="H2298" s="158">
        <f ca="1">IF(G2296&gt;=1,L2289,8888)</f>
        <v>8888</v>
      </c>
      <c r="I2298" s="160">
        <f ca="1">IF(G2296&gt;=1,E2309-P2293,8888)</f>
        <v>8888</v>
      </c>
      <c r="K2298" s="128" t="s">
        <v>396</v>
      </c>
      <c r="L2298" s="158">
        <f ca="1">IF(K2296&gt;=1,L2289,8888)</f>
        <v>8888</v>
      </c>
      <c r="M2298" s="160">
        <f ca="1">IF(K2296&gt;=1,IF(FUSELAGE_n_aisles=1,E2309-P2293,I2321-P2293),8888)</f>
        <v>8888</v>
      </c>
      <c r="O2298" s="128" t="s">
        <v>396</v>
      </c>
      <c r="P2298" s="158">
        <f ca="1">IF(O2296,$L2289,8888)</f>
        <v>8888</v>
      </c>
      <c r="Q2298" s="209">
        <f ca="1">IF(O2296,FUSELAGE_y_position_of_left_seat_YC-(FUSELAGE_nseats_right_YC-1)*(SEAT_w_cushion_YC+SEAT_w_armrest_YC)/2+T2294/2,8888)</f>
        <v>8888</v>
      </c>
      <c r="S2298" s="128" t="s">
        <v>396</v>
      </c>
      <c r="T2298" s="158">
        <f ca="1">IF(S2296,$L2289,8888)</f>
        <v>8888</v>
      </c>
      <c r="U2298" s="160">
        <f ca="1">IF(S2296,T2292/2,8888)</f>
        <v>8888</v>
      </c>
      <c r="W2298" s="128" t="s">
        <v>396</v>
      </c>
      <c r="X2298" s="158">
        <f ca="1">IF(W2296,$L2289,8888)</f>
        <v>8888</v>
      </c>
      <c r="Y2298" s="160">
        <f ca="1">IF(W2296,-FUSELAGE_y_position_of_left_seat_YC+(FUSELAGE_nseats_left_YC-1)*(SEAT_w_cushion_YC+SEAT_w_armrest_YC)/2-T2290/2,8888)</f>
        <v>8888</v>
      </c>
      <c r="AA2298" s="128" t="s">
        <v>396</v>
      </c>
      <c r="AB2298" s="158">
        <f ca="1">IF($AA2296,D2298,P2298)</f>
        <v>8888</v>
      </c>
      <c r="AC2298" s="174">
        <f ca="1">IF($AA2296,E2298,Q2298)</f>
        <v>8888</v>
      </c>
      <c r="AE2298" s="128" t="s">
        <v>396</v>
      </c>
      <c r="AF2298" s="158">
        <f ca="1">IF($AE2296,H2298,T2298)</f>
        <v>8888</v>
      </c>
      <c r="AG2298" s="174">
        <f ca="1">IF($AE2296,I2298,U2298)</f>
        <v>8888</v>
      </c>
      <c r="AI2298" s="128" t="s">
        <v>396</v>
      </c>
      <c r="AJ2298" s="158">
        <f ca="1">IF($AI2296,L2298,X2298)</f>
        <v>8888</v>
      </c>
      <c r="AK2298" s="174">
        <f ca="1">IF($AI2296,M2298,Y2298)</f>
        <v>8888</v>
      </c>
      <c r="AM2298" s="128" t="s">
        <v>396</v>
      </c>
      <c r="AN2298" s="158">
        <f ca="1">AN2267</f>
        <v>-18.624000000000006</v>
      </c>
      <c r="AO2298" s="174">
        <f ca="1">IF(AN2298&gt;-Fuselage!$D$366,(FUSELAGE_a_ellipse)*SQRT(1-((AN2298+Fuselage!$D$366)/(Fuselage!$K$364-FUSELAGE_t_fuselage))^2),IF(AN2298&gt;$L$2505+Fuselage!$K$370,FUSELAGE_a_ellipse,(FUSELAGE_a_ellipse+FUSELAGE_t_fuselage-FUSELAGE_d_fo/4)/Fuselage!$K$368*(AN2298-$L$2505-Fuselage!$K$370)+FUSELAGE_a_ellipse))</f>
        <v>1.4960570012328709</v>
      </c>
      <c r="AQ2298" s="128" t="s">
        <v>396</v>
      </c>
      <c r="AR2298" s="158">
        <f t="shared" ref="AR2298:AR2303" ca="1" si="182">AN2298</f>
        <v>-18.624000000000006</v>
      </c>
      <c r="AS2298" s="174">
        <f t="shared" ref="AS2298:AS2303" ca="1" si="183">-AO2298</f>
        <v>-1.4960570012328709</v>
      </c>
      <c r="BD2298" s="157"/>
    </row>
    <row r="2299" spans="2:56">
      <c r="B2299" s="156"/>
      <c r="C2299" s="128" t="s">
        <v>213</v>
      </c>
      <c r="D2299" s="128">
        <f ca="1">IF(X2291,D2298+P2290/4,D2298+P2290)</f>
        <v>8888</v>
      </c>
      <c r="E2299" s="139">
        <f ca="1">E2298</f>
        <v>8888</v>
      </c>
      <c r="G2299" s="128" t="s">
        <v>213</v>
      </c>
      <c r="H2299" s="128">
        <f ca="1">H2298+P2290</f>
        <v>8888</v>
      </c>
      <c r="I2299" s="139">
        <f ca="1">I2298</f>
        <v>8888</v>
      </c>
      <c r="K2299" s="128" t="s">
        <v>213</v>
      </c>
      <c r="L2299" s="128">
        <f ca="1">IF(X2291,IF(K2296=1,L2298+P2290/4,L2298+P2290),L2298+P2290)</f>
        <v>8888</v>
      </c>
      <c r="M2299" s="139">
        <f ca="1">M2298</f>
        <v>8888</v>
      </c>
      <c r="O2299" s="128" t="s">
        <v>213</v>
      </c>
      <c r="P2299" s="128">
        <f ca="1">P2298+$T2293</f>
        <v>8888</v>
      </c>
      <c r="Q2299" s="139">
        <f ca="1">Q2298</f>
        <v>8888</v>
      </c>
      <c r="S2299" s="128" t="s">
        <v>213</v>
      </c>
      <c r="T2299" s="128">
        <f ca="1">T2298+$T2291</f>
        <v>8888</v>
      </c>
      <c r="U2299" s="139">
        <f ca="1">U2298</f>
        <v>8888</v>
      </c>
      <c r="W2299" s="128" t="s">
        <v>213</v>
      </c>
      <c r="X2299" s="128">
        <f ca="1">X2298+$T2289</f>
        <v>8888</v>
      </c>
      <c r="Y2299" s="139">
        <f ca="1">Y2298</f>
        <v>8888</v>
      </c>
      <c r="AA2299" s="143" t="s">
        <v>213</v>
      </c>
      <c r="AB2299" s="128">
        <f ca="1">IF($AA2296,D2299,P2299)</f>
        <v>8888</v>
      </c>
      <c r="AC2299" s="129">
        <f ca="1">IF($AA2296,E2299,Q2299)</f>
        <v>8888</v>
      </c>
      <c r="AE2299" s="128" t="s">
        <v>213</v>
      </c>
      <c r="AF2299" s="128">
        <f ca="1">IF($AE2296,H2299,T2299)</f>
        <v>8888</v>
      </c>
      <c r="AG2299" s="129">
        <f ca="1">IF($AE2296,I2299,U2299)</f>
        <v>8888</v>
      </c>
      <c r="AI2299" s="128" t="s">
        <v>213</v>
      </c>
      <c r="AJ2299" s="128">
        <f ca="1">IF($AI2296,L2299,X2299)</f>
        <v>8888</v>
      </c>
      <c r="AK2299" s="129">
        <f ca="1">IF($AI2296,M2299,Y2299)</f>
        <v>8888</v>
      </c>
      <c r="AM2299" s="128" t="s">
        <v>213</v>
      </c>
      <c r="AN2299" s="128">
        <f ca="1">AN2298-AO2289/2</f>
        <v>-18.624000000000006</v>
      </c>
      <c r="AO2299" s="129">
        <f ca="1">IF(AN2299&gt;-Fuselage!$D$366,(FUSELAGE_a_ellipse)*SQRT(1-((AN2299+Fuselage!$D$366)/(Fuselage!$K$364-FUSELAGE_t_fuselage))^2),IF(AN2299&gt;$L$2505+Fuselage!$K$370,FUSELAGE_a_ellipse,(FUSELAGE_a_ellipse+FUSELAGE_t_fuselage-FUSELAGE_d_fo/4)/Fuselage!$K$368*(AN2299-$L$2505-Fuselage!$K$370)+FUSELAGE_a_ellipse))</f>
        <v>1.4960570012328709</v>
      </c>
      <c r="AQ2299" s="128" t="s">
        <v>213</v>
      </c>
      <c r="AR2299" s="128">
        <f t="shared" ca="1" si="182"/>
        <v>-18.624000000000006</v>
      </c>
      <c r="AS2299" s="129">
        <f t="shared" ca="1" si="183"/>
        <v>-1.4960570012328709</v>
      </c>
      <c r="BD2299" s="157"/>
    </row>
    <row r="2300" spans="2:56">
      <c r="B2300" s="156"/>
      <c r="C2300" s="128" t="s">
        <v>286</v>
      </c>
      <c r="D2300" s="128">
        <f ca="1">D2299</f>
        <v>8888</v>
      </c>
      <c r="E2300" s="139">
        <f ca="1">E2299-P2289</f>
        <v>8888</v>
      </c>
      <c r="G2300" s="128" t="s">
        <v>286</v>
      </c>
      <c r="H2300" s="128">
        <f ca="1">H2299</f>
        <v>8888</v>
      </c>
      <c r="I2300" s="139">
        <f ca="1">I2299-P2289</f>
        <v>8888</v>
      </c>
      <c r="K2300" s="128" t="s">
        <v>286</v>
      </c>
      <c r="L2300" s="128">
        <f ca="1">L2299</f>
        <v>8888</v>
      </c>
      <c r="M2300" s="139">
        <f ca="1">M2299-P2289</f>
        <v>8888</v>
      </c>
      <c r="O2300" s="128" t="s">
        <v>286</v>
      </c>
      <c r="P2300" s="128">
        <f ca="1">P2299</f>
        <v>8888</v>
      </c>
      <c r="Q2300" s="139">
        <f ca="1">Q2299-$T2294</f>
        <v>8888</v>
      </c>
      <c r="S2300" s="128" t="s">
        <v>286</v>
      </c>
      <c r="T2300" s="128">
        <f ca="1">T2299</f>
        <v>8888</v>
      </c>
      <c r="U2300" s="139">
        <f ca="1">U2299-$T2292</f>
        <v>8888</v>
      </c>
      <c r="W2300" s="128" t="s">
        <v>286</v>
      </c>
      <c r="X2300" s="128">
        <f ca="1">X2299</f>
        <v>8888</v>
      </c>
      <c r="Y2300" s="139">
        <f ca="1">Y2299+$T2290</f>
        <v>8888</v>
      </c>
      <c r="AA2300" s="143" t="s">
        <v>286</v>
      </c>
      <c r="AB2300" s="128">
        <f ca="1">IF($AA2296,D2300,P2300)</f>
        <v>8888</v>
      </c>
      <c r="AC2300" s="129">
        <f ca="1">IF($AA2296,E2300,Q2300)</f>
        <v>8888</v>
      </c>
      <c r="AE2300" s="128" t="s">
        <v>286</v>
      </c>
      <c r="AF2300" s="128">
        <f ca="1">IF($AE2296,H2300,T2300)</f>
        <v>8888</v>
      </c>
      <c r="AG2300" s="129">
        <f ca="1">IF($AE2296,I2300,U2300)</f>
        <v>8888</v>
      </c>
      <c r="AI2300" s="128" t="s">
        <v>286</v>
      </c>
      <c r="AJ2300" s="128">
        <f ca="1">IF($AI2296,L2300,X2300)</f>
        <v>8888</v>
      </c>
      <c r="AK2300" s="129">
        <f ca="1">IF($AI2296,M2300,Y2300)</f>
        <v>8888</v>
      </c>
      <c r="AM2300" s="128" t="s">
        <v>286</v>
      </c>
      <c r="AN2300" s="128">
        <f ca="1">AN2299</f>
        <v>-18.624000000000006</v>
      </c>
      <c r="AO2300" s="129">
        <f ca="1">IF(AN2300&gt;-Fuselage!$D$366,IF(AM2296,(FUSELAGE_a_ellipse+FUSELAGE_t_fuselage)*SQRT(1-((AN2300+Fuselage!$D$366)/Fuselage!$K$364)^2),(FUSELAGE_a_ellipse)*SQRT(1-((AN2300+Fuselage!$D$366)/Fuselage!$K$364)^2)),IF(AN2300&gt;$L$2505+Fuselage!$K$370,(IF(AM2296,FUSELAGE_a_ellipse+FUSELAGE_t_fuselage,FUSELAGE_a_ellipse)),IF(AM2296,(FUSELAGE_a_ellipse+FUSELAGE_t_fuselage-FUSELAGE_d_fo/4)/Fuselage!$K$368*(AN2300-$L$2505-Fuselage!$K$370)+FUSELAGE_a_ellipse+FUSELAGE_t_fuselage,(FUSELAGE_a_ellipse+FUSELAGE_t_fuselage-FUSELAGE_d_fo/4)/Fuselage!$K$368*(AN2300-$L$2505-Fuselage!$K$370)+FUSELAGE_a_ellipse)))</f>
        <v>1.4960570012328709</v>
      </c>
      <c r="AQ2300" s="128" t="s">
        <v>286</v>
      </c>
      <c r="AR2300" s="128">
        <f t="shared" ca="1" si="182"/>
        <v>-18.624000000000006</v>
      </c>
      <c r="AS2300" s="129">
        <f t="shared" ca="1" si="183"/>
        <v>-1.4960570012328709</v>
      </c>
      <c r="BD2300" s="157"/>
    </row>
    <row r="2301" spans="2:56">
      <c r="B2301" s="156"/>
      <c r="C2301" s="188" t="s">
        <v>522</v>
      </c>
      <c r="D2301" s="188">
        <f ca="1">D2298</f>
        <v>8888</v>
      </c>
      <c r="E2301" s="189">
        <f ca="1">E2300</f>
        <v>8888</v>
      </c>
      <c r="F2301" s="157"/>
      <c r="G2301" s="2" t="s">
        <v>522</v>
      </c>
      <c r="H2301" s="128">
        <f ca="1">H2298</f>
        <v>8888</v>
      </c>
      <c r="I2301" s="139">
        <f ca="1">I2300</f>
        <v>8888</v>
      </c>
      <c r="K2301" s="128" t="s">
        <v>522</v>
      </c>
      <c r="L2301" s="128">
        <f ca="1">L2298</f>
        <v>8888</v>
      </c>
      <c r="M2301" s="139">
        <f ca="1">M2300</f>
        <v>8888</v>
      </c>
      <c r="O2301" s="188" t="s">
        <v>522</v>
      </c>
      <c r="P2301" s="188">
        <f ca="1">P2298</f>
        <v>8888</v>
      </c>
      <c r="Q2301" s="189">
        <f ca="1">Q2300</f>
        <v>8888</v>
      </c>
      <c r="S2301" s="188" t="s">
        <v>522</v>
      </c>
      <c r="T2301" s="188">
        <f ca="1">T2298</f>
        <v>8888</v>
      </c>
      <c r="U2301" s="189">
        <f ca="1">U2300</f>
        <v>8888</v>
      </c>
      <c r="W2301" s="188" t="s">
        <v>522</v>
      </c>
      <c r="X2301" s="188">
        <f ca="1">X2298</f>
        <v>8888</v>
      </c>
      <c r="Y2301" s="189">
        <f ca="1">Y2300</f>
        <v>8888</v>
      </c>
      <c r="AA2301" s="195" t="s">
        <v>522</v>
      </c>
      <c r="AB2301" s="128">
        <f ca="1">IF($AA2296,D2301,P2301)</f>
        <v>8888</v>
      </c>
      <c r="AC2301" s="129">
        <f ca="1">IF($AA2296,E2301,Q2301)</f>
        <v>8888</v>
      </c>
      <c r="AD2301" s="157"/>
      <c r="AE2301" s="2" t="s">
        <v>522</v>
      </c>
      <c r="AF2301" s="188">
        <f ca="1">IF($AE2296,H2301,T2301)</f>
        <v>8888</v>
      </c>
      <c r="AG2301" s="196">
        <f ca="1">IF($AE2296,I2301,U2301)</f>
        <v>8888</v>
      </c>
      <c r="AI2301" s="128" t="s">
        <v>522</v>
      </c>
      <c r="AJ2301" s="188">
        <f ca="1">IF($AI2296,L2301,X2301)</f>
        <v>8888</v>
      </c>
      <c r="AK2301" s="196">
        <f ca="1">IF($AI2296,M2301,Y2301)</f>
        <v>8888</v>
      </c>
      <c r="AM2301" s="128" t="s">
        <v>522</v>
      </c>
      <c r="AN2301" s="128">
        <f ca="1">AN2300-X2290</f>
        <v>-18.624000000000006</v>
      </c>
      <c r="AO2301" s="129">
        <f ca="1">IF(AN2301&gt;-Fuselage!$D$366,IF(AM2296,(FUSELAGE_a_ellipse+FUSELAGE_t_fuselage)*SQRT(1-((AN2301+Fuselage!$D$366)/Fuselage!$K$364)^2),(FUSELAGE_a_ellipse)*SQRT(1-((AN2301+Fuselage!$D$366)/Fuselage!$K$364)^2)),IF(AN2301&gt;$L$2505+Fuselage!$K$370,(IF(AM2296,FUSELAGE_a_ellipse+FUSELAGE_t_fuselage,FUSELAGE_a_ellipse)),IF(AM2296,(FUSELAGE_a_ellipse+FUSELAGE_t_fuselage-FUSELAGE_d_fo/4)/Fuselage!$K$368*(AN2301-$L$2505-Fuselage!$K$370)+FUSELAGE_a_ellipse+FUSELAGE_t_fuselage,(FUSELAGE_a_ellipse+FUSELAGE_t_fuselage-FUSELAGE_d_fo/4)/Fuselage!$K$368*(AN2301-$L$2505-Fuselage!$K$370)+FUSELAGE_a_ellipse)))</f>
        <v>1.4960570012328709</v>
      </c>
      <c r="AQ2301" s="128" t="s">
        <v>522</v>
      </c>
      <c r="AR2301" s="128">
        <f t="shared" ca="1" si="182"/>
        <v>-18.624000000000006</v>
      </c>
      <c r="AS2301" s="129">
        <f t="shared" ca="1" si="183"/>
        <v>-1.4960570012328709</v>
      </c>
      <c r="BD2301" s="157"/>
    </row>
    <row r="2302" spans="2:56" ht="15" thickBot="1">
      <c r="B2302" s="156"/>
      <c r="C2302" s="128" t="s">
        <v>49</v>
      </c>
      <c r="D2302" s="128">
        <f ca="1">IF(C2296&gt;=2,D2298,D2301)</f>
        <v>8888</v>
      </c>
      <c r="E2302" s="139">
        <f ca="1">IF(C2296&gt;=2,E2301-P2291,E2301)</f>
        <v>8888</v>
      </c>
      <c r="F2302" s="157"/>
      <c r="G2302" s="192" t="s">
        <v>49</v>
      </c>
      <c r="H2302" s="190">
        <f ca="1">IF(G2296&gt;=2,H2298,H2301)</f>
        <v>8888</v>
      </c>
      <c r="I2302" s="191">
        <f ca="1">IF(G2296&gt;=2,I2301-P2291,I2301)</f>
        <v>8888</v>
      </c>
      <c r="K2302" s="190" t="s">
        <v>49</v>
      </c>
      <c r="L2302" s="190">
        <f ca="1">IF(K2296&gt;=2,L2298,L2301)</f>
        <v>8888</v>
      </c>
      <c r="M2302" s="191">
        <f ca="1">IF(K2296&gt;=2,M2301-P2291,M2301)</f>
        <v>8888</v>
      </c>
      <c r="O2302" s="130" t="s">
        <v>396</v>
      </c>
      <c r="P2302" s="130">
        <f ca="1">P2298</f>
        <v>8888</v>
      </c>
      <c r="Q2302" s="140">
        <f ca="1">Q2298</f>
        <v>8888</v>
      </c>
      <c r="S2302" s="130" t="s">
        <v>396</v>
      </c>
      <c r="T2302" s="130">
        <f ca="1">T2298</f>
        <v>8888</v>
      </c>
      <c r="U2302" s="140">
        <f ca="1">U2298</f>
        <v>8888</v>
      </c>
      <c r="W2302" s="130" t="s">
        <v>396</v>
      </c>
      <c r="X2302" s="130">
        <f ca="1">X2298</f>
        <v>8888</v>
      </c>
      <c r="Y2302" s="140">
        <f ca="1">Y2298</f>
        <v>8888</v>
      </c>
      <c r="AA2302" s="143" t="s">
        <v>49</v>
      </c>
      <c r="AB2302" s="128">
        <f ca="1">IF($AA2296,D2302,P2302)</f>
        <v>8888</v>
      </c>
      <c r="AC2302" s="129">
        <f ca="1">IF($AA2296,E2302,Q2302)</f>
        <v>8888</v>
      </c>
      <c r="AD2302" s="157"/>
      <c r="AE2302" s="192" t="s">
        <v>49</v>
      </c>
      <c r="AF2302" s="128">
        <f ca="1">IF($AE2296,H2302,T2302)</f>
        <v>8888</v>
      </c>
      <c r="AG2302" s="129">
        <f ca="1">IF($AE2296,I2302,U2302)</f>
        <v>8888</v>
      </c>
      <c r="AI2302" s="190" t="s">
        <v>49</v>
      </c>
      <c r="AJ2302" s="128">
        <f ca="1">IF($AI2296,L2302,X2302)</f>
        <v>8888</v>
      </c>
      <c r="AK2302" s="129">
        <f ca="1">IF($AI2296,M2302,Y2302)</f>
        <v>8888</v>
      </c>
      <c r="AM2302" s="128" t="s">
        <v>49</v>
      </c>
      <c r="AN2302" s="128">
        <f ca="1">AN2301</f>
        <v>-18.624000000000006</v>
      </c>
      <c r="AO2302" s="129">
        <f ca="1">IF(AN2302&gt;-Fuselage!$D$366,(FUSELAGE_a_ellipse)*SQRT(1-((AN2302+Fuselage!$D$366)/(Fuselage!$K$364-FUSELAGE_t_fuselage))^2),IF(AN2302&gt;$L$2505+Fuselage!$K$370,FUSELAGE_a_ellipse,(FUSELAGE_a_ellipse+FUSELAGE_t_fuselage-FUSELAGE_d_fo/4)/Fuselage!$K$368*(AN2302-$L$2505-Fuselage!$K$370)+FUSELAGE_a_ellipse))</f>
        <v>1.4960570012328709</v>
      </c>
      <c r="AQ2302" s="128" t="s">
        <v>49</v>
      </c>
      <c r="AR2302" s="128">
        <f t="shared" ca="1" si="182"/>
        <v>-18.624000000000006</v>
      </c>
      <c r="AS2302" s="129">
        <f t="shared" ca="1" si="183"/>
        <v>-1.4960570012328709</v>
      </c>
      <c r="BD2302" s="157"/>
    </row>
    <row r="2303" spans="2:56">
      <c r="B2303" s="156"/>
      <c r="C2303" s="128" t="s">
        <v>453</v>
      </c>
      <c r="D2303" s="128">
        <f ca="1">IF(C2296&gt;=2,D2298+P2290,D2301)</f>
        <v>8888</v>
      </c>
      <c r="E2303" s="139">
        <f ca="1">E2302</f>
        <v>8888</v>
      </c>
      <c r="F2303" s="157"/>
      <c r="G2303" s="2" t="s">
        <v>453</v>
      </c>
      <c r="H2303" s="128">
        <f ca="1">IF(G2296&gt;=2,H2299,H2301)</f>
        <v>8888</v>
      </c>
      <c r="I2303" s="139">
        <f ca="1">IF(G2296&gt;=2,I2302,I2301)</f>
        <v>8888</v>
      </c>
      <c r="K2303" s="128" t="s">
        <v>453</v>
      </c>
      <c r="L2303" s="128">
        <f ca="1">IF(K2296&gt;=2,IF(X2291,IF(K2296=2,L2298+P2290/4,L2298+P2290),L2298+P2290),L2301)</f>
        <v>8888</v>
      </c>
      <c r="M2303" s="139">
        <f ca="1">IF(K2296&gt;=2,M2302,M2301)</f>
        <v>8888</v>
      </c>
      <c r="AA2303" s="143" t="s">
        <v>453</v>
      </c>
      <c r="AB2303" s="128">
        <f ca="1">IF($AA2296,D2303,AB2302)</f>
        <v>8888</v>
      </c>
      <c r="AC2303" s="129">
        <f ca="1">IF($AA2296,E2303,AC2302)</f>
        <v>8888</v>
      </c>
      <c r="AD2303" s="157"/>
      <c r="AE2303" s="2" t="s">
        <v>453</v>
      </c>
      <c r="AF2303" s="128">
        <f ca="1">IF($AE2296,H2303,AF2302)</f>
        <v>8888</v>
      </c>
      <c r="AG2303" s="129">
        <f ca="1">IF($AE2296,I2303,AG2302)</f>
        <v>8888</v>
      </c>
      <c r="AI2303" s="128" t="s">
        <v>453</v>
      </c>
      <c r="AJ2303" s="128">
        <f ca="1">IF($AI2296,L2303,AJ2302)</f>
        <v>8888</v>
      </c>
      <c r="AK2303" s="129">
        <f ca="1">IF($AI2296,M2303,AK2302)</f>
        <v>8888</v>
      </c>
      <c r="AM2303" s="128" t="s">
        <v>453</v>
      </c>
      <c r="AN2303" s="128">
        <f ca="1">L2289</f>
        <v>-18.624000000000006</v>
      </c>
      <c r="AO2303" s="129">
        <f ca="1">IF(AN2303&gt;-Fuselage!$D$366,(FUSELAGE_a_ellipse)*SQRT(1-((AN2303+Fuselage!$D$366)/(Fuselage!$K$364-FUSELAGE_t_fuselage))^2),IF(AN2303&gt;$L$2505+Fuselage!$K$370,FUSELAGE_a_ellipse,(FUSELAGE_a_ellipse+FUSELAGE_t_fuselage-FUSELAGE_d_fo/4)/Fuselage!$K$368*(AN2303-$L$2505-Fuselage!$K$370)+FUSELAGE_a_ellipse))</f>
        <v>1.4960570012328709</v>
      </c>
      <c r="AQ2303" s="128" t="s">
        <v>453</v>
      </c>
      <c r="AR2303" s="128">
        <f t="shared" ca="1" si="182"/>
        <v>-18.624000000000006</v>
      </c>
      <c r="AS2303" s="129">
        <f t="shared" ca="1" si="183"/>
        <v>-1.4960570012328709</v>
      </c>
      <c r="BD2303" s="157"/>
    </row>
    <row r="2304" spans="2:56">
      <c r="B2304" s="156"/>
      <c r="C2304" s="128" t="s">
        <v>394</v>
      </c>
      <c r="D2304" s="128">
        <f ca="1">IF(C2296&gt;=2,D2303,D2301)</f>
        <v>8888</v>
      </c>
      <c r="E2304" s="139">
        <f ca="1">IF(C2296&gt;=2,E2302-P2289,E2301)</f>
        <v>8888</v>
      </c>
      <c r="F2304" s="157"/>
      <c r="G2304" s="2" t="s">
        <v>394</v>
      </c>
      <c r="H2304" s="128">
        <f ca="1">IF(G2296&gt;=2,H2299,H2301)</f>
        <v>8888</v>
      </c>
      <c r="I2304" s="139">
        <f ca="1">IF(G2296&gt;=2,I2303-P2289,I2301)</f>
        <v>8888</v>
      </c>
      <c r="K2304" s="128" t="s">
        <v>394</v>
      </c>
      <c r="L2304" s="128">
        <f ca="1">L2303</f>
        <v>8888</v>
      </c>
      <c r="M2304" s="139">
        <f ca="1">IF(K2296&gt;=2,M2303-P2289,M2301)</f>
        <v>8888</v>
      </c>
      <c r="AA2304" s="143" t="s">
        <v>394</v>
      </c>
      <c r="AB2304" s="128">
        <f ca="1">IF($AA2296,D2304,AB2302)</f>
        <v>8888</v>
      </c>
      <c r="AC2304" s="129">
        <f ca="1">IF($AA2296,E2304,AC2302)</f>
        <v>8888</v>
      </c>
      <c r="AD2304" s="157"/>
      <c r="AE2304" s="2" t="s">
        <v>394</v>
      </c>
      <c r="AF2304" s="128">
        <f ca="1">IF($AE2296,H2304,AF2302)</f>
        <v>8888</v>
      </c>
      <c r="AG2304" s="129">
        <f ca="1">IF($AE2296,I2304,AG2302)</f>
        <v>8888</v>
      </c>
      <c r="AI2304" s="128" t="s">
        <v>394</v>
      </c>
      <c r="AJ2304" s="128">
        <f ca="1">IF($AI2296,L2304,AJ2302)</f>
        <v>8888</v>
      </c>
      <c r="AK2304" s="129">
        <f ca="1">IF($AI2296,M2304,AK2302)</f>
        <v>8888</v>
      </c>
      <c r="BD2304" s="157"/>
    </row>
    <row r="2305" spans="2:56">
      <c r="B2305" s="156"/>
      <c r="C2305" s="188" t="s">
        <v>454</v>
      </c>
      <c r="D2305" s="188">
        <f ca="1">IF(C2296&gt;=2,D2298,D2301)</f>
        <v>8888</v>
      </c>
      <c r="E2305" s="189">
        <f ca="1">E2304</f>
        <v>8888</v>
      </c>
      <c r="F2305" s="157"/>
      <c r="G2305" s="115" t="s">
        <v>454</v>
      </c>
      <c r="H2305" s="188">
        <f ca="1">IF(G2296&gt;=2,H2298,H2301)</f>
        <v>8888</v>
      </c>
      <c r="I2305" s="189">
        <f ca="1">IF(G2296&gt;=2,I2304,I2301)</f>
        <v>8888</v>
      </c>
      <c r="K2305" s="188" t="s">
        <v>454</v>
      </c>
      <c r="L2305" s="188">
        <f ca="1">IF(K2296&gt;=2,L2298,L2301)</f>
        <v>8888</v>
      </c>
      <c r="M2305" s="189">
        <f ca="1">IF(K2296&gt;=2,M2304,M2301)</f>
        <v>8888</v>
      </c>
      <c r="AA2305" s="195" t="s">
        <v>454</v>
      </c>
      <c r="AB2305" s="128">
        <f ca="1">IF($AA2296,D2305,AB2302)</f>
        <v>8888</v>
      </c>
      <c r="AC2305" s="129">
        <f ca="1">IF($AA2296,E2305,AC2302)</f>
        <v>8888</v>
      </c>
      <c r="AD2305" s="157"/>
      <c r="AE2305" s="115" t="s">
        <v>454</v>
      </c>
      <c r="AF2305" s="188">
        <f ca="1">IF($AE2296,H2305,AF2302)</f>
        <v>8888</v>
      </c>
      <c r="AG2305" s="196">
        <f ca="1">IF($AE2296,I2305,AG2302)</f>
        <v>8888</v>
      </c>
      <c r="AI2305" s="188" t="s">
        <v>454</v>
      </c>
      <c r="AJ2305" s="188">
        <f ca="1">IF($AI2296,L2305,AJ2302)</f>
        <v>8888</v>
      </c>
      <c r="AK2305" s="196">
        <f ca="1">IF($AI2296,M2305,AK2302)</f>
        <v>8888</v>
      </c>
      <c r="BD2305" s="157"/>
    </row>
    <row r="2306" spans="2:56">
      <c r="B2306" s="156"/>
      <c r="C2306" s="128" t="s">
        <v>507</v>
      </c>
      <c r="D2306" s="128">
        <f ca="1">IF(C2296&gt;=3,D2298,D2305)</f>
        <v>8888</v>
      </c>
      <c r="E2306" s="139">
        <f ca="1">IF(C2296&gt;=3,E2305-P2291,E2305)</f>
        <v>8888</v>
      </c>
      <c r="F2306" s="157"/>
      <c r="G2306" s="2" t="s">
        <v>507</v>
      </c>
      <c r="H2306" s="128">
        <f ca="1">IF(G2296&gt;=3,H2298,H2305)</f>
        <v>8888</v>
      </c>
      <c r="I2306" s="139">
        <f ca="1">IF(G2296&gt;=3,I2305-P2291,I2305)</f>
        <v>8888</v>
      </c>
      <c r="K2306" s="128" t="s">
        <v>507</v>
      </c>
      <c r="L2306" s="128">
        <f ca="1">IF(K2296&gt;=3,L2298,L2305)</f>
        <v>8888</v>
      </c>
      <c r="M2306" s="139">
        <f ca="1">IF(K2296&gt;=3,M2305-P2291,M2305)</f>
        <v>8888</v>
      </c>
      <c r="AA2306" s="143" t="s">
        <v>507</v>
      </c>
      <c r="AB2306" s="128">
        <f ca="1">IF($AA2296,D2306,AB2302)</f>
        <v>8888</v>
      </c>
      <c r="AC2306" s="129">
        <f ca="1">IF($AA2296,E2306,AC2302)</f>
        <v>8888</v>
      </c>
      <c r="AD2306" s="157"/>
      <c r="AE2306" s="2" t="s">
        <v>507</v>
      </c>
      <c r="AF2306" s="128">
        <f ca="1">IF($AE2296,H2306,AF2302)</f>
        <v>8888</v>
      </c>
      <c r="AG2306" s="129">
        <f ca="1">IF($AE2296,I2306,AG2302)</f>
        <v>8888</v>
      </c>
      <c r="AI2306" s="128" t="s">
        <v>507</v>
      </c>
      <c r="AJ2306" s="128">
        <f ca="1">IF($AI2296,L2306,AJ2302)</f>
        <v>8888</v>
      </c>
      <c r="AK2306" s="129">
        <f ca="1">IF($AI2296,M2306,AK2302)</f>
        <v>8888</v>
      </c>
      <c r="BD2306" s="157"/>
    </row>
    <row r="2307" spans="2:56">
      <c r="B2307" s="156"/>
      <c r="C2307" s="128" t="s">
        <v>455</v>
      </c>
      <c r="D2307" s="128">
        <f ca="1">IF(C2296&gt;=3,D2303,D2305)</f>
        <v>8888</v>
      </c>
      <c r="E2307" s="139">
        <f ca="1">E2306</f>
        <v>8888</v>
      </c>
      <c r="F2307" s="157"/>
      <c r="G2307" s="2" t="s">
        <v>455</v>
      </c>
      <c r="H2307" s="128">
        <f ca="1">IF(G2296&gt;=3,H2299,H2305)</f>
        <v>8888</v>
      </c>
      <c r="I2307" s="139">
        <f ca="1">IF(G2296&gt;=3,I2306,I2305)</f>
        <v>8888</v>
      </c>
      <c r="K2307" s="128" t="s">
        <v>455</v>
      </c>
      <c r="L2307" s="128">
        <f ca="1">IF(K2296&gt;=3,IF(X2291,IF(K2296=3,L2298+P2290/4,L2298+P2290),L2298+P2290),L2301)</f>
        <v>8888</v>
      </c>
      <c r="M2307" s="139">
        <f ca="1">IF(K2296&gt;=3,M2306,M2305)</f>
        <v>8888</v>
      </c>
      <c r="AA2307" s="143" t="s">
        <v>455</v>
      </c>
      <c r="AB2307" s="128">
        <f ca="1">IF($AA2296,D2307,AB2302)</f>
        <v>8888</v>
      </c>
      <c r="AC2307" s="129">
        <f ca="1">IF($AA2296,E2307,AC2302)</f>
        <v>8888</v>
      </c>
      <c r="AD2307" s="157"/>
      <c r="AE2307" s="2" t="s">
        <v>455</v>
      </c>
      <c r="AF2307" s="128">
        <f ca="1">IF($AE2296,H2307,AF2302)</f>
        <v>8888</v>
      </c>
      <c r="AG2307" s="129">
        <f ca="1">IF($AE2296,I2307,AG2302)</f>
        <v>8888</v>
      </c>
      <c r="AI2307" s="128" t="s">
        <v>455</v>
      </c>
      <c r="AJ2307" s="128">
        <f ca="1">IF($AI2296,L2307,AJ2302)</f>
        <v>8888</v>
      </c>
      <c r="AK2307" s="129">
        <f ca="1">IF($AI2296,M2307,AK2302)</f>
        <v>8888</v>
      </c>
      <c r="AL2307" s="156"/>
      <c r="BD2307" s="157"/>
    </row>
    <row r="2308" spans="2:56">
      <c r="B2308" s="156"/>
      <c r="C2308" s="128" t="s">
        <v>311</v>
      </c>
      <c r="D2308" s="128">
        <f ca="1">IF(C2296&gt;=3,D2303,D2305)</f>
        <v>8888</v>
      </c>
      <c r="E2308" s="139">
        <f ca="1">IF(C2296&gt;=3,E2307-P2289,E2305)</f>
        <v>8888</v>
      </c>
      <c r="F2308" s="157"/>
      <c r="G2308" s="2" t="s">
        <v>311</v>
      </c>
      <c r="H2308" s="128">
        <f ca="1">IF(G2296&gt;=3,H2299,H2305)</f>
        <v>8888</v>
      </c>
      <c r="I2308" s="139">
        <f ca="1">IF(G2296&gt;=3,I2307-P2289,I2305)</f>
        <v>8888</v>
      </c>
      <c r="K2308" s="128" t="s">
        <v>311</v>
      </c>
      <c r="L2308" s="128">
        <f ca="1">L2307</f>
        <v>8888</v>
      </c>
      <c r="M2308" s="139">
        <f ca="1">IF(K2296&gt;=3,M2307-P2289,M2305)</f>
        <v>8888</v>
      </c>
      <c r="AA2308" s="143" t="s">
        <v>311</v>
      </c>
      <c r="AB2308" s="128">
        <f ca="1">IF($AA2296,D2308,AB2302)</f>
        <v>8888</v>
      </c>
      <c r="AC2308" s="129">
        <f ca="1">IF($AA2296,E2308,AC2302)</f>
        <v>8888</v>
      </c>
      <c r="AD2308" s="157"/>
      <c r="AE2308" s="2" t="s">
        <v>311</v>
      </c>
      <c r="AF2308" s="128">
        <f ca="1">IF($AE2296,H2308,AF2302)</f>
        <v>8888</v>
      </c>
      <c r="AG2308" s="129">
        <f ca="1">IF($AE2296,I2308,AG2302)</f>
        <v>8888</v>
      </c>
      <c r="AI2308" s="128" t="s">
        <v>311</v>
      </c>
      <c r="AJ2308" s="128">
        <f ca="1">IF($AI2296,L2308,AJ2302)</f>
        <v>8888</v>
      </c>
      <c r="AK2308" s="129">
        <f ca="1">IF($AI2296,M2308,AK2302)</f>
        <v>8888</v>
      </c>
      <c r="AL2308" s="156"/>
      <c r="BD2308" s="157"/>
    </row>
    <row r="2309" spans="2:56">
      <c r="B2309" s="156"/>
      <c r="C2309" s="188" t="s">
        <v>35</v>
      </c>
      <c r="D2309" s="188">
        <f ca="1">IF(C2296&gt;=3,D2298,D2305)</f>
        <v>8888</v>
      </c>
      <c r="E2309" s="189">
        <f ca="1">E2308</f>
        <v>8888</v>
      </c>
      <c r="F2309" s="157"/>
      <c r="G2309" s="2" t="s">
        <v>35</v>
      </c>
      <c r="H2309" s="188">
        <f ca="1">IF(G2296&gt;=3,H2298,H2305)</f>
        <v>8888</v>
      </c>
      <c r="I2309" s="189">
        <f ca="1">IF(G2296&gt;=3,I2308,I2305)</f>
        <v>8888</v>
      </c>
      <c r="K2309" s="188" t="s">
        <v>35</v>
      </c>
      <c r="L2309" s="188">
        <f ca="1">IF(K2296&gt;=3,L2298,L2305)</f>
        <v>8888</v>
      </c>
      <c r="M2309" s="189">
        <f ca="1">IF(K2296&gt;=3,M2308,M2305)</f>
        <v>8888</v>
      </c>
      <c r="AA2309" s="143" t="s">
        <v>35</v>
      </c>
      <c r="AB2309" s="128">
        <f ca="1">IF($AA2296,D2309,AB2302)</f>
        <v>8888</v>
      </c>
      <c r="AC2309" s="129">
        <f ca="1">IF($AA2296,E2309,AC2302)</f>
        <v>8888</v>
      </c>
      <c r="AD2309" s="157"/>
      <c r="AE2309" s="2" t="s">
        <v>35</v>
      </c>
      <c r="AF2309" s="188">
        <f ca="1">IF($AE2296,H2309,AF2302)</f>
        <v>8888</v>
      </c>
      <c r="AG2309" s="196">
        <f ca="1">IF($AE2296,I2309,AG2302)</f>
        <v>8888</v>
      </c>
      <c r="AI2309" s="128" t="s">
        <v>35</v>
      </c>
      <c r="AJ2309" s="128">
        <f ca="1">IF($AI2296,L2309,AJ2302)</f>
        <v>8888</v>
      </c>
      <c r="AK2309" s="129">
        <f ca="1">IF($AI2296,M2309,AK2302)</f>
        <v>8888</v>
      </c>
      <c r="AL2309" s="156"/>
      <c r="BD2309" s="157"/>
    </row>
    <row r="2310" spans="2:56" ht="15" thickBot="1">
      <c r="B2310" s="156"/>
      <c r="C2310" s="130" t="s">
        <v>396</v>
      </c>
      <c r="D2310" s="130">
        <f ca="1">D2298</f>
        <v>8888</v>
      </c>
      <c r="E2310" s="140">
        <f ca="1">E2298</f>
        <v>8888</v>
      </c>
      <c r="F2310" s="157"/>
      <c r="G2310" s="192" t="s">
        <v>312</v>
      </c>
      <c r="H2310" s="128">
        <f ca="1">IF(G2296&gt;=4,H2298,H2309)</f>
        <v>8888</v>
      </c>
      <c r="I2310" s="139">
        <f ca="1">IF(G2296&gt;=4,I2309-P2291,I2309)</f>
        <v>8888</v>
      </c>
      <c r="K2310" s="130" t="s">
        <v>396</v>
      </c>
      <c r="L2310" s="130">
        <f ca="1">L2298</f>
        <v>8888</v>
      </c>
      <c r="M2310" s="140">
        <f ca="1">M2298</f>
        <v>8888</v>
      </c>
      <c r="AA2310" s="144" t="s">
        <v>396</v>
      </c>
      <c r="AB2310" s="130">
        <f ca="1">IF($AA2296,D2310,AB2302)</f>
        <v>8888</v>
      </c>
      <c r="AC2310" s="132">
        <f ca="1">IF($AA2296,E2310,AC2302)</f>
        <v>8888</v>
      </c>
      <c r="AD2310" s="157"/>
      <c r="AE2310" s="192" t="s">
        <v>312</v>
      </c>
      <c r="AF2310" s="128">
        <f ca="1">IF($AE2296,H2310,AF2302)</f>
        <v>8888</v>
      </c>
      <c r="AG2310" s="129">
        <f ca="1">IF($AE2296,I2310,AG2302)</f>
        <v>8888</v>
      </c>
      <c r="AI2310" s="130" t="s">
        <v>396</v>
      </c>
      <c r="AJ2310" s="130">
        <f ca="1">IF($AI2296,L2310,AJ2302)</f>
        <v>8888</v>
      </c>
      <c r="AK2310" s="132">
        <f ca="1">IF($AI2296,M2310,AK2302)</f>
        <v>8888</v>
      </c>
      <c r="BD2310" s="157"/>
    </row>
    <row r="2311" spans="2:56">
      <c r="B2311" s="156"/>
      <c r="F2311" s="157"/>
      <c r="G2311" s="2" t="s">
        <v>313</v>
      </c>
      <c r="H2311" s="128">
        <f ca="1">IF(G2296&gt;=4,H2299,H2309)</f>
        <v>8888</v>
      </c>
      <c r="I2311" s="139">
        <f ca="1">IF(G2296&gt;=4,I2310,I2309)</f>
        <v>8888</v>
      </c>
      <c r="AD2311" s="157"/>
      <c r="AE2311" s="2" t="s">
        <v>313</v>
      </c>
      <c r="AF2311" s="128">
        <f ca="1">IF($AE2296,H2311,AF2302)</f>
        <v>8888</v>
      </c>
      <c r="AG2311" s="129">
        <f ca="1">IF($AE2296,I2311,AG2302)</f>
        <v>8888</v>
      </c>
      <c r="BD2311" s="157"/>
    </row>
    <row r="2312" spans="2:56">
      <c r="B2312" s="156"/>
      <c r="F2312" s="157"/>
      <c r="G2312" s="2" t="s">
        <v>7</v>
      </c>
      <c r="H2312" s="128">
        <f ca="1">IF(G2296&gt;=4,H2299,H2309)</f>
        <v>8888</v>
      </c>
      <c r="I2312" s="139">
        <f ca="1">IF(G2296&gt;=4,I2311-P2289,I2309)</f>
        <v>8888</v>
      </c>
      <c r="AD2312" s="157"/>
      <c r="AE2312" s="2" t="s">
        <v>7</v>
      </c>
      <c r="AF2312" s="128">
        <f ca="1">IF($AE2296,H2312,AF2302)</f>
        <v>8888</v>
      </c>
      <c r="AG2312" s="129">
        <f ca="1">IF($AE2296,I2312,AG2302)</f>
        <v>8888</v>
      </c>
      <c r="BD2312" s="157"/>
    </row>
    <row r="2313" spans="2:56">
      <c r="B2313" s="156"/>
      <c r="F2313" s="157"/>
      <c r="G2313" s="115" t="s">
        <v>8</v>
      </c>
      <c r="H2313" s="188">
        <f ca="1">IF(G2296&gt;=4,H2298,H2309)</f>
        <v>8888</v>
      </c>
      <c r="I2313" s="189">
        <f ca="1">IF(G2296&gt;=4,I2312,I2309)</f>
        <v>8888</v>
      </c>
      <c r="AD2313" s="157"/>
      <c r="AE2313" s="115" t="s">
        <v>8</v>
      </c>
      <c r="AF2313" s="188">
        <f ca="1">IF($AE2296,H2313,AF2302)</f>
        <v>8888</v>
      </c>
      <c r="AG2313" s="196">
        <f ca="1">IF($AE2296,I2313,AG2302)</f>
        <v>8888</v>
      </c>
      <c r="BD2313" s="157"/>
    </row>
    <row r="2314" spans="2:56">
      <c r="B2314" s="156"/>
      <c r="F2314" s="157"/>
      <c r="G2314" s="2" t="s">
        <v>9</v>
      </c>
      <c r="H2314" s="128">
        <f ca="1">IF(G2296&gt;=5,H2298,H2313)</f>
        <v>8888</v>
      </c>
      <c r="I2314" s="139">
        <f ca="1">IF(G2296&gt;=5,I2313-P2291,I2313)</f>
        <v>8888</v>
      </c>
      <c r="AD2314" s="157"/>
      <c r="AE2314" s="2" t="s">
        <v>9</v>
      </c>
      <c r="AF2314" s="128">
        <f ca="1">IF($AE2296,H2314,AF2302)</f>
        <v>8888</v>
      </c>
      <c r="AG2314" s="129">
        <f ca="1">IF($AE2296,I2314,AG2302)</f>
        <v>8888</v>
      </c>
      <c r="BD2314" s="157"/>
    </row>
    <row r="2315" spans="2:56">
      <c r="B2315" s="156"/>
      <c r="F2315" s="157"/>
      <c r="G2315" s="2" t="s">
        <v>196</v>
      </c>
      <c r="H2315" s="128">
        <f ca="1">IF(G2296&gt;=5,H2299,H2313)</f>
        <v>8888</v>
      </c>
      <c r="I2315" s="139">
        <f ca="1">IF(G2296&gt;=5,I2314,I2313)</f>
        <v>8888</v>
      </c>
      <c r="AD2315" s="157"/>
      <c r="AE2315" s="2" t="s">
        <v>196</v>
      </c>
      <c r="AF2315" s="128">
        <f ca="1">IF($AE2296,H2315,AF2302)</f>
        <v>8888</v>
      </c>
      <c r="AG2315" s="129">
        <f ca="1">IF($AE2296,I2315,AG2302)</f>
        <v>8888</v>
      </c>
      <c r="BD2315" s="157"/>
    </row>
    <row r="2316" spans="2:56">
      <c r="B2316" s="156"/>
      <c r="F2316" s="157"/>
      <c r="G2316" s="2" t="s">
        <v>10</v>
      </c>
      <c r="H2316" s="128">
        <f ca="1">IF(G2296&gt;=5,H2299,H2313)</f>
        <v>8888</v>
      </c>
      <c r="I2316" s="139">
        <f ca="1">IF(G2296&gt;=5,I2315-P2289,I2313)</f>
        <v>8888</v>
      </c>
      <c r="AD2316" s="157"/>
      <c r="AE2316" s="2" t="s">
        <v>10</v>
      </c>
      <c r="AF2316" s="128">
        <f ca="1">IF($AE2296,H2316,AF2302)</f>
        <v>8888</v>
      </c>
      <c r="AG2316" s="129">
        <f ca="1">IF($AE2296,I2316,AG2302)</f>
        <v>8888</v>
      </c>
      <c r="BD2316" s="157"/>
    </row>
    <row r="2317" spans="2:56">
      <c r="B2317" s="156"/>
      <c r="F2317" s="157"/>
      <c r="G2317" s="2" t="s">
        <v>161</v>
      </c>
      <c r="H2317" s="188">
        <f ca="1">IF(G2296&gt;=5,H2298,H2313)</f>
        <v>8888</v>
      </c>
      <c r="I2317" s="189">
        <f ca="1">IF(G2296&gt;=5,I2316,I2313)</f>
        <v>8888</v>
      </c>
      <c r="AD2317" s="157"/>
      <c r="AE2317" s="2" t="s">
        <v>161</v>
      </c>
      <c r="AF2317" s="188">
        <f ca="1">IF($AE2296,H2317,AF2302)</f>
        <v>8888</v>
      </c>
      <c r="AG2317" s="196">
        <f ca="1">IF($AE2296,I2317,AG2302)</f>
        <v>8888</v>
      </c>
      <c r="BD2317" s="157"/>
    </row>
    <row r="2318" spans="2:56">
      <c r="B2318" s="156"/>
      <c r="F2318" s="157"/>
      <c r="G2318" s="192" t="s">
        <v>11</v>
      </c>
      <c r="H2318" s="128">
        <f ca="1">IF(G2296&gt;=6,H2298,H2317)</f>
        <v>8888</v>
      </c>
      <c r="I2318" s="139">
        <f ca="1">IF(G2296&gt;=6,I2317-P2291,I2317)</f>
        <v>8888</v>
      </c>
      <c r="AD2318" s="157"/>
      <c r="AE2318" s="192" t="s">
        <v>11</v>
      </c>
      <c r="AF2318" s="128">
        <f ca="1">IF($AE2296,H2318,AF2302)</f>
        <v>8888</v>
      </c>
      <c r="AG2318" s="129">
        <f ca="1">IF($AE2296,I2318,AG2302)</f>
        <v>8888</v>
      </c>
      <c r="BD2318" s="157"/>
    </row>
    <row r="2319" spans="2:56">
      <c r="B2319" s="156"/>
      <c r="F2319" s="157"/>
      <c r="G2319" s="2" t="s">
        <v>12</v>
      </c>
      <c r="H2319" s="128">
        <f ca="1">IF(G2296&gt;=6,H2299,H2317)</f>
        <v>8888</v>
      </c>
      <c r="I2319" s="139">
        <f ca="1">IF(G2296&gt;=6,I2318,I2317)</f>
        <v>8888</v>
      </c>
      <c r="AD2319" s="157"/>
      <c r="AE2319" s="2" t="s">
        <v>12</v>
      </c>
      <c r="AF2319" s="128">
        <f ca="1">IF($AE2296,H2319,AF2302)</f>
        <v>8888</v>
      </c>
      <c r="AG2319" s="129">
        <f ca="1">IF($AE2296,I2319,AG2302)</f>
        <v>8888</v>
      </c>
      <c r="BD2319" s="157"/>
    </row>
    <row r="2320" spans="2:56">
      <c r="B2320" s="156"/>
      <c r="F2320" s="157"/>
      <c r="G2320" s="2" t="s">
        <v>13</v>
      </c>
      <c r="H2320" s="128">
        <f ca="1">IF(G2296&gt;=6,H2299,H2317)</f>
        <v>8888</v>
      </c>
      <c r="I2320" s="139">
        <f ca="1">IF(G2296&gt;=6,I2319-P2289,I2317)</f>
        <v>8888</v>
      </c>
      <c r="AD2320" s="157"/>
      <c r="AE2320" s="2" t="s">
        <v>13</v>
      </c>
      <c r="AF2320" s="128">
        <f ca="1">IF($AE2296,H2320,AF2302)</f>
        <v>8888</v>
      </c>
      <c r="AG2320" s="129">
        <f ca="1">IF($AE2296,I2320,AG2302)</f>
        <v>8888</v>
      </c>
      <c r="BD2320" s="157"/>
    </row>
    <row r="2321" spans="2:56">
      <c r="B2321" s="156"/>
      <c r="F2321" s="157"/>
      <c r="G2321" s="115" t="s">
        <v>14</v>
      </c>
      <c r="H2321" s="188">
        <f ca="1">IF(G2296&gt;=6,H2298,H2317)</f>
        <v>8888</v>
      </c>
      <c r="I2321" s="189">
        <f ca="1">IF(G2296&gt;=6,I2320,I2317)</f>
        <v>8888</v>
      </c>
      <c r="AD2321" s="157"/>
      <c r="AE2321" s="115" t="s">
        <v>14</v>
      </c>
      <c r="AF2321" s="188">
        <f ca="1">IF($AE2296,H2321,AF2302)</f>
        <v>8888</v>
      </c>
      <c r="AG2321" s="196">
        <f ca="1">IF($AE2296,I2321,AG2302)</f>
        <v>8888</v>
      </c>
      <c r="BD2321" s="157"/>
    </row>
    <row r="2322" spans="2:56" ht="15" thickBot="1">
      <c r="B2322" s="156"/>
      <c r="G2322" s="130" t="s">
        <v>396</v>
      </c>
      <c r="H2322" s="130">
        <f ca="1">H2298</f>
        <v>8888</v>
      </c>
      <c r="I2322" s="140">
        <f ca="1">I2298</f>
        <v>8888</v>
      </c>
      <c r="AE2322" s="130" t="s">
        <v>396</v>
      </c>
      <c r="AF2322" s="130">
        <f ca="1">IF($AE2296,H2322,AF2302)</f>
        <v>8888</v>
      </c>
      <c r="AG2322" s="132">
        <f ca="1">IF($AE2296,I2322,AG2302)</f>
        <v>8888</v>
      </c>
      <c r="BD2322" s="157"/>
    </row>
    <row r="2323" spans="2:56">
      <c r="B2323" s="156"/>
      <c r="BD2323" s="157"/>
    </row>
    <row r="2324" spans="2:56">
      <c r="B2324" s="156"/>
      <c r="BD2324" s="157"/>
    </row>
    <row r="2325" spans="2:56">
      <c r="B2325" s="156"/>
      <c r="C2325" s="200" t="s">
        <v>336</v>
      </c>
      <c r="D2325">
        <f>D2289+1</f>
        <v>60</v>
      </c>
      <c r="G2325" s="200" t="s">
        <v>638</v>
      </c>
      <c r="H2325">
        <f ca="1">LOOKUP(D2328,$C$191:$C$196,$D$191:$D$196)</f>
        <v>0</v>
      </c>
      <c r="K2325" s="200" t="s">
        <v>644</v>
      </c>
      <c r="L2325">
        <f ca="1">L2289-H2330</f>
        <v>-18.624000000000006</v>
      </c>
      <c r="O2325" s="200" t="s">
        <v>404</v>
      </c>
      <c r="P2325">
        <f ca="1">IF(D2327=1,SEAT_w_cushion_FC,IF(D2327=2,SEAT_w_cushion_BC,IF(D2327=3,SEAT_w_cushion_YC,0)))</f>
        <v>0</v>
      </c>
      <c r="S2325" s="200" t="s">
        <v>647</v>
      </c>
      <c r="T2325">
        <f ca="1">LOOKUP(D2328,$C$191:$C$196,$E$191:$E$196)</f>
        <v>0</v>
      </c>
      <c r="W2325" t="s">
        <v>130</v>
      </c>
      <c r="X2325" t="str">
        <f ca="1">OFFSET(Fuselage!$B$275,D2325,5)</f>
        <v>None</v>
      </c>
      <c r="AN2325" s="200" t="s">
        <v>135</v>
      </c>
      <c r="AO2325">
        <f ca="1">MAX(0,H2330-MAX(T2325,T2327,T2329,P2326)-X2326)</f>
        <v>0</v>
      </c>
      <c r="BD2325" s="157"/>
    </row>
    <row r="2326" spans="2:56">
      <c r="B2326" s="156"/>
      <c r="C2326" s="200" t="s">
        <v>200</v>
      </c>
      <c r="D2326" t="str">
        <f ca="1">OFFSET(Fuselage!$B$275,D2325,0)</f>
        <v/>
      </c>
      <c r="G2326" s="200" t="s">
        <v>639</v>
      </c>
      <c r="H2326">
        <f ca="1">LOOKUP(D2329,$C$191:$C$196,$D$191:$D$196)</f>
        <v>0</v>
      </c>
      <c r="O2326" s="200" t="s">
        <v>535</v>
      </c>
      <c r="P2326">
        <f ca="1">IF(D2327=1,SEAT_length_FC,IF(D2327=2,SEAT_length_BC,IF(D2327=3,SEAT_length_YC,0)))</f>
        <v>0</v>
      </c>
      <c r="S2326" s="200" t="s">
        <v>648</v>
      </c>
      <c r="T2326">
        <f ca="1">LOOKUP(D2328,$C$191:$C$196,$F$191:$F$196)</f>
        <v>0</v>
      </c>
      <c r="W2326" t="s">
        <v>131</v>
      </c>
      <c r="X2326">
        <f ca="1">LOOKUP(X2325,$I$191:$I$198,$J$191:$J$198)</f>
        <v>0</v>
      </c>
      <c r="BD2326" s="157"/>
    </row>
    <row r="2327" spans="2:56">
      <c r="B2327" s="156"/>
      <c r="C2327" s="200" t="s">
        <v>337</v>
      </c>
      <c r="D2327" t="str">
        <f ca="1">OFFSET(Fuselage!$B$275,D2325,4)</f>
        <v/>
      </c>
      <c r="G2327" s="200" t="s">
        <v>309</v>
      </c>
      <c r="H2327">
        <f ca="1">LOOKUP(D2330,$C$191:$C$196,$D$191:$D$196)</f>
        <v>0</v>
      </c>
      <c r="K2327" s="200" t="s">
        <v>645</v>
      </c>
      <c r="L2327">
        <f ca="1">IF(D2327=1,FUSELAGE_nseats_left_FC,IF(D2327=2,FUSELAGE_nseats_left_BC,IF(D2327=3,FUSELAGE_nseats_left_YC,0)))</f>
        <v>0</v>
      </c>
      <c r="O2327" s="200" t="s">
        <v>405</v>
      </c>
      <c r="P2327">
        <f ca="1">IF(D2327=1,SEAT_w_armrest_FC,IF(D2327=2,SEAT_w_armrest_BC,IF(D2327=3,SEAT_w_armrest_YC,0)))</f>
        <v>0</v>
      </c>
      <c r="S2327" s="200" t="s">
        <v>652</v>
      </c>
      <c r="T2327">
        <f ca="1">LOOKUP(D2329,$C$191:$C$196,$E$191:$E$196)</f>
        <v>0</v>
      </c>
      <c r="W2327" s="200" t="s">
        <v>393</v>
      </c>
      <c r="X2327" t="b">
        <f ca="1">IF(OFFSET(Fuselage!$B$275,D2325,6)="YES",TRUE(),FALSE())</f>
        <v>0</v>
      </c>
      <c r="BD2327" s="157"/>
    </row>
    <row r="2328" spans="2:56">
      <c r="B2328" s="156"/>
      <c r="C2328" s="200" t="s">
        <v>640</v>
      </c>
      <c r="D2328" t="str">
        <f ca="1">OFFSET(Fuselage!$B$275,D2325,1)</f>
        <v>None</v>
      </c>
      <c r="G2328" s="200" t="s">
        <v>132</v>
      </c>
      <c r="H2328">
        <f ca="1">IF(D2327=1,SEAT_pitch_FC,IF(D2327=2,SEAT_pitch_BC,IF(D2327=3,SEAT_pitch_YC,0)))</f>
        <v>0</v>
      </c>
      <c r="K2328" s="200" t="s">
        <v>646</v>
      </c>
      <c r="L2328">
        <f ca="1">IF(D2327=1,FUSELAGE_nseats_middle_FC,IF(D2327=2,FUSELAGE_nseats_middle_BC,IF(D2327=3,FUSELAGE_nseats_middle_YC,0)))</f>
        <v>0</v>
      </c>
      <c r="S2328" s="200" t="s">
        <v>653</v>
      </c>
      <c r="T2328">
        <f ca="1">LOOKUP(D2329,$C$191:$C$196,$F$191:$F$196)</f>
        <v>0</v>
      </c>
      <c r="BD2328" s="157"/>
    </row>
    <row r="2329" spans="2:56">
      <c r="B2329" s="156"/>
      <c r="C2329" s="200" t="s">
        <v>642</v>
      </c>
      <c r="D2329" t="str">
        <f ca="1">OFFSET(Fuselage!$B$275,D2325,2)</f>
        <v>None</v>
      </c>
      <c r="G2329" s="200" t="s">
        <v>129</v>
      </c>
      <c r="H2329">
        <f ca="1">IF(OR(X2325="Type A",X2325="Type B"),MAX(H2325:H2328)+42*0.0254,IF(X2325="Type C",MAX(H2325:H2328)+X2326,IF(X2325&lt;&gt;"None",24*0.0254,0)))</f>
        <v>0</v>
      </c>
      <c r="K2329" s="200" t="s">
        <v>655</v>
      </c>
      <c r="L2329">
        <f ca="1">IF(D2327=1,FUSELAGE_nseats_right_FC,IF(D2327=2,FUSELAGE_nseats_right_BC,IF(D2327=3,FUSELAGE_nseats_right_YC,0)))</f>
        <v>0</v>
      </c>
      <c r="O2329" s="200" t="s">
        <v>407</v>
      </c>
      <c r="P2329">
        <f ca="1">($C$13-(L2327+L2328+L2329)*(P2325+P2327)+(FUSELAGE_n_aisles-1)*P2327)/FUSELAGE_n_aisles</f>
        <v>2.76</v>
      </c>
      <c r="S2329" s="200" t="s">
        <v>651</v>
      </c>
      <c r="T2329">
        <f ca="1">LOOKUP(D2330,$C$191:$C$196,$E$191:$E$196)</f>
        <v>0</v>
      </c>
      <c r="BD2329" s="157"/>
    </row>
    <row r="2330" spans="2:56">
      <c r="B2330" s="156"/>
      <c r="C2330" s="200" t="s">
        <v>641</v>
      </c>
      <c r="D2330" t="str">
        <f ca="1">OFFSET(Fuselage!$B$275,D2325,3)</f>
        <v>None</v>
      </c>
      <c r="G2330" s="200" t="s">
        <v>643</v>
      </c>
      <c r="H2330">
        <f ca="1">MAX(H2325:H2329)</f>
        <v>0</v>
      </c>
      <c r="S2330" s="200" t="s">
        <v>654</v>
      </c>
      <c r="T2330">
        <f ca="1">LOOKUP(D2330,$C$191:$C$196,$F$191:$F$196)</f>
        <v>0</v>
      </c>
      <c r="BD2330" s="157"/>
    </row>
    <row r="2331" spans="2:56" ht="15" thickBot="1">
      <c r="B2331" s="156"/>
      <c r="BD2331" s="157"/>
    </row>
    <row r="2332" spans="2:56" ht="15" thickBot="1">
      <c r="B2332" s="156"/>
      <c r="C2332" s="141">
        <f ca="1">L2329</f>
        <v>0</v>
      </c>
      <c r="D2332" s="197" t="str">
        <f ca="1">IF($D2327=1,"FC",IF($D2327=2,"BC",IF($D2327=3,"YC","Nothing")))</f>
        <v>Nothing</v>
      </c>
      <c r="E2332" s="198"/>
      <c r="G2332" s="141">
        <f ca="1">L2328</f>
        <v>0</v>
      </c>
      <c r="H2332" s="197" t="str">
        <f ca="1">IF($D2327=1,"FC",IF($D2327=2,"BC",IF($D2327=3,"YC","Nothing")))</f>
        <v>Nothing</v>
      </c>
      <c r="I2332" s="198"/>
      <c r="K2332" s="141">
        <f ca="1" xml:space="preserve"> L2327</f>
        <v>0</v>
      </c>
      <c r="L2332" s="197" t="str">
        <f ca="1">IF($D2327=1,"FC",IF($D2327=2,"BC",IF($D2327=3,"YC","Nothing")))</f>
        <v>Nothing</v>
      </c>
      <c r="M2332" s="198"/>
      <c r="O2332" s="141">
        <f ca="1">IF($D2330&lt;&gt;"None",1,0)</f>
        <v>0</v>
      </c>
      <c r="P2332" s="326" t="s">
        <v>380</v>
      </c>
      <c r="Q2332" s="327"/>
      <c r="S2332" s="141">
        <f ca="1">IF($D2329&lt;&gt;"None",1,0)</f>
        <v>0</v>
      </c>
      <c r="T2332" s="326" t="s">
        <v>381</v>
      </c>
      <c r="U2332" s="327"/>
      <c r="W2332" s="141">
        <f ca="1">IF($D2328&lt;&gt;"None",1,0)</f>
        <v>0</v>
      </c>
      <c r="X2332" s="326" t="s">
        <v>382</v>
      </c>
      <c r="Y2332" s="327"/>
      <c r="AA2332" s="141">
        <f ca="1">IF($D2330="None",1,0)</f>
        <v>1</v>
      </c>
      <c r="AB2332" s="326" t="str">
        <f ca="1">IF(AA2332,D2332,$D2330)</f>
        <v>Nothing</v>
      </c>
      <c r="AC2332" s="327"/>
      <c r="AE2332" s="141">
        <f ca="1">IF($D2329="None",1,0)</f>
        <v>1</v>
      </c>
      <c r="AF2332" s="326" t="str">
        <f ca="1">IF(AE2332,H2332,$D2329)</f>
        <v>Nothing</v>
      </c>
      <c r="AG2332" s="327"/>
      <c r="AI2332" s="141">
        <f ca="1">IF($D2328="None",1,0)</f>
        <v>1</v>
      </c>
      <c r="AJ2332" s="326" t="str">
        <f ca="1">IF(AI2332,L2332,$D2328)</f>
        <v>Nothing</v>
      </c>
      <c r="AK2332" s="327"/>
      <c r="AM2332" s="141">
        <f ca="1">IF($X2325="None",0,1)</f>
        <v>0</v>
      </c>
      <c r="AN2332" s="197" t="s">
        <v>133</v>
      </c>
      <c r="AO2332" s="198"/>
      <c r="AQ2332" s="141">
        <f ca="1">IF($X2325="None",0,1)</f>
        <v>0</v>
      </c>
      <c r="AR2332" s="197" t="s">
        <v>134</v>
      </c>
      <c r="AS2332" s="198"/>
      <c r="BD2332" s="157"/>
    </row>
    <row r="2333" spans="2:56" ht="15" thickBot="1">
      <c r="B2333" s="156"/>
      <c r="C2333" s="136" t="s">
        <v>452</v>
      </c>
      <c r="D2333" s="136" t="s">
        <v>384</v>
      </c>
      <c r="E2333" s="138" t="s">
        <v>385</v>
      </c>
      <c r="G2333" s="136" t="s">
        <v>452</v>
      </c>
      <c r="H2333" s="136" t="s">
        <v>384</v>
      </c>
      <c r="I2333" s="138" t="s">
        <v>385</v>
      </c>
      <c r="K2333" s="193" t="s">
        <v>452</v>
      </c>
      <c r="L2333" s="193" t="s">
        <v>384</v>
      </c>
      <c r="M2333" s="194" t="s">
        <v>385</v>
      </c>
      <c r="O2333" s="136" t="s">
        <v>452</v>
      </c>
      <c r="P2333" s="136" t="s">
        <v>384</v>
      </c>
      <c r="Q2333" s="138" t="s">
        <v>385</v>
      </c>
      <c r="S2333" s="136" t="s">
        <v>452</v>
      </c>
      <c r="T2333" s="136" t="s">
        <v>384</v>
      </c>
      <c r="U2333" s="138" t="s">
        <v>385</v>
      </c>
      <c r="W2333" s="136" t="s">
        <v>452</v>
      </c>
      <c r="X2333" s="136" t="s">
        <v>384</v>
      </c>
      <c r="Y2333" s="138" t="s">
        <v>385</v>
      </c>
      <c r="AA2333" s="136" t="s">
        <v>452</v>
      </c>
      <c r="AB2333" s="136" t="s">
        <v>384</v>
      </c>
      <c r="AC2333" s="138" t="s">
        <v>385</v>
      </c>
      <c r="AE2333" s="136" t="s">
        <v>452</v>
      </c>
      <c r="AF2333" s="136" t="s">
        <v>384</v>
      </c>
      <c r="AG2333" s="138" t="s">
        <v>385</v>
      </c>
      <c r="AI2333" s="193" t="s">
        <v>452</v>
      </c>
      <c r="AJ2333" s="193" t="s">
        <v>384</v>
      </c>
      <c r="AK2333" s="194" t="s">
        <v>385</v>
      </c>
      <c r="AM2333" s="193" t="s">
        <v>452</v>
      </c>
      <c r="AN2333" s="193" t="s">
        <v>384</v>
      </c>
      <c r="AO2333" s="194" t="s">
        <v>385</v>
      </c>
      <c r="AQ2333" s="193" t="s">
        <v>452</v>
      </c>
      <c r="AR2333" s="193" t="s">
        <v>384</v>
      </c>
      <c r="AS2333" s="194" t="s">
        <v>385</v>
      </c>
      <c r="BD2333" s="157"/>
    </row>
    <row r="2334" spans="2:56">
      <c r="B2334" s="156"/>
      <c r="C2334" s="128" t="s">
        <v>396</v>
      </c>
      <c r="D2334" s="158">
        <f ca="1">IF(C2332&gt;=1,L2325,8888)</f>
        <v>8888</v>
      </c>
      <c r="E2334" s="160">
        <f ca="1">IF(C2332&gt;=1,1/2*($C$13-P2325-2*P2327)+1/2*P2325,8888)</f>
        <v>8888</v>
      </c>
      <c r="G2334" s="128" t="s">
        <v>396</v>
      </c>
      <c r="H2334" s="158">
        <f ca="1">IF(G2332&gt;=1,L2325,8888)</f>
        <v>8888</v>
      </c>
      <c r="I2334" s="160">
        <f ca="1">IF(G2332&gt;=1,E2345-P2329,8888)</f>
        <v>8888</v>
      </c>
      <c r="K2334" s="128" t="s">
        <v>396</v>
      </c>
      <c r="L2334" s="158">
        <f ca="1">IF(K2332&gt;=1,L2325,8888)</f>
        <v>8888</v>
      </c>
      <c r="M2334" s="160">
        <f ca="1">IF(K2332&gt;=1,IF(FUSELAGE_n_aisles=1,E2345-P2329,I2357-P2329),8888)</f>
        <v>8888</v>
      </c>
      <c r="O2334" s="128" t="s">
        <v>396</v>
      </c>
      <c r="P2334" s="158">
        <f ca="1">IF(O2332,$L2325,8888)</f>
        <v>8888</v>
      </c>
      <c r="Q2334" s="209">
        <f ca="1">IF(O2332,FUSELAGE_y_position_of_left_seat_YC-(FUSELAGE_nseats_right_YC-1)*(SEAT_w_cushion_YC+SEAT_w_armrest_YC)/2+T2330/2,8888)</f>
        <v>8888</v>
      </c>
      <c r="S2334" s="128" t="s">
        <v>396</v>
      </c>
      <c r="T2334" s="158">
        <f ca="1">IF(S2332,$L2325,8888)</f>
        <v>8888</v>
      </c>
      <c r="U2334" s="160">
        <f ca="1">IF(S2332,T2328/2,8888)</f>
        <v>8888</v>
      </c>
      <c r="W2334" s="128" t="s">
        <v>396</v>
      </c>
      <c r="X2334" s="158">
        <f ca="1">IF(W2332,$L2325,8888)</f>
        <v>8888</v>
      </c>
      <c r="Y2334" s="160">
        <f ca="1">IF(W2332,-FUSELAGE_y_position_of_left_seat_YC+(FUSELAGE_nseats_left_YC-1)*(SEAT_w_cushion_YC+SEAT_w_armrest_YC)/2-T2326/2,8888)</f>
        <v>8888</v>
      </c>
      <c r="AA2334" s="128" t="s">
        <v>396</v>
      </c>
      <c r="AB2334" s="158">
        <f ca="1">IF($AA2332,D2334,P2334)</f>
        <v>8888</v>
      </c>
      <c r="AC2334" s="174">
        <f ca="1">IF($AA2332,E2334,Q2334)</f>
        <v>8888</v>
      </c>
      <c r="AE2334" s="128" t="s">
        <v>396</v>
      </c>
      <c r="AF2334" s="158">
        <f ca="1">IF($AE2332,H2334,T2334)</f>
        <v>8888</v>
      </c>
      <c r="AG2334" s="174">
        <f ca="1">IF($AE2332,I2334,U2334)</f>
        <v>8888</v>
      </c>
      <c r="AI2334" s="128" t="s">
        <v>396</v>
      </c>
      <c r="AJ2334" s="158">
        <f ca="1">IF($AI2332,L2334,X2334)</f>
        <v>8888</v>
      </c>
      <c r="AK2334" s="174">
        <f ca="1">IF($AI2332,M2334,Y2334)</f>
        <v>8888</v>
      </c>
      <c r="AM2334" s="128" t="s">
        <v>396</v>
      </c>
      <c r="AN2334" s="158">
        <f ca="1">AN2303</f>
        <v>-18.624000000000006</v>
      </c>
      <c r="AO2334" s="174">
        <f ca="1">IF(AN2334&gt;-Fuselage!$D$366,(FUSELAGE_a_ellipse)*SQRT(1-((AN2334+Fuselage!$D$366)/(Fuselage!$K$364-FUSELAGE_t_fuselage))^2),IF(AN2334&gt;$L$2505+Fuselage!$K$370,FUSELAGE_a_ellipse,(FUSELAGE_a_ellipse+FUSELAGE_t_fuselage-FUSELAGE_d_fo/4)/Fuselage!$K$368*(AN2334-$L$2505-Fuselage!$K$370)+FUSELAGE_a_ellipse))</f>
        <v>1.4960570012328709</v>
      </c>
      <c r="AQ2334" s="128" t="s">
        <v>396</v>
      </c>
      <c r="AR2334" s="158">
        <f t="shared" ref="AR2334:AR2339" ca="1" si="184">AN2334</f>
        <v>-18.624000000000006</v>
      </c>
      <c r="AS2334" s="174">
        <f t="shared" ref="AS2334:AS2339" ca="1" si="185">-AO2334</f>
        <v>-1.4960570012328709</v>
      </c>
      <c r="BD2334" s="157"/>
    </row>
    <row r="2335" spans="2:56">
      <c r="B2335" s="156"/>
      <c r="C2335" s="128" t="s">
        <v>213</v>
      </c>
      <c r="D2335" s="128">
        <f ca="1">IF(X2327,D2334+P2326/4,D2334+P2326)</f>
        <v>8888</v>
      </c>
      <c r="E2335" s="139">
        <f ca="1">E2334</f>
        <v>8888</v>
      </c>
      <c r="G2335" s="128" t="s">
        <v>213</v>
      </c>
      <c r="H2335" s="128">
        <f ca="1">H2334+P2326</f>
        <v>8888</v>
      </c>
      <c r="I2335" s="139">
        <f ca="1">I2334</f>
        <v>8888</v>
      </c>
      <c r="K2335" s="128" t="s">
        <v>213</v>
      </c>
      <c r="L2335" s="128">
        <f ca="1">IF(X2327,IF(K2332=1,L2334+P2326/4,L2334+P2326),L2334+P2326)</f>
        <v>8888</v>
      </c>
      <c r="M2335" s="139">
        <f ca="1">M2334</f>
        <v>8888</v>
      </c>
      <c r="O2335" s="128" t="s">
        <v>213</v>
      </c>
      <c r="P2335" s="128">
        <f ca="1">P2334+$T2329</f>
        <v>8888</v>
      </c>
      <c r="Q2335" s="139">
        <f ca="1">Q2334</f>
        <v>8888</v>
      </c>
      <c r="S2335" s="128" t="s">
        <v>213</v>
      </c>
      <c r="T2335" s="128">
        <f ca="1">T2334+$T2327</f>
        <v>8888</v>
      </c>
      <c r="U2335" s="139">
        <f ca="1">U2334</f>
        <v>8888</v>
      </c>
      <c r="W2335" s="128" t="s">
        <v>213</v>
      </c>
      <c r="X2335" s="128">
        <f ca="1">X2334+$T2325</f>
        <v>8888</v>
      </c>
      <c r="Y2335" s="139">
        <f ca="1">Y2334</f>
        <v>8888</v>
      </c>
      <c r="AA2335" s="143" t="s">
        <v>213</v>
      </c>
      <c r="AB2335" s="128">
        <f ca="1">IF($AA2332,D2335,P2335)</f>
        <v>8888</v>
      </c>
      <c r="AC2335" s="129">
        <f ca="1">IF($AA2332,E2335,Q2335)</f>
        <v>8888</v>
      </c>
      <c r="AE2335" s="128" t="s">
        <v>213</v>
      </c>
      <c r="AF2335" s="128">
        <f ca="1">IF($AE2332,H2335,T2335)</f>
        <v>8888</v>
      </c>
      <c r="AG2335" s="129">
        <f ca="1">IF($AE2332,I2335,U2335)</f>
        <v>8888</v>
      </c>
      <c r="AI2335" s="128" t="s">
        <v>213</v>
      </c>
      <c r="AJ2335" s="128">
        <f ca="1">IF($AI2332,L2335,X2335)</f>
        <v>8888</v>
      </c>
      <c r="AK2335" s="129">
        <f ca="1">IF($AI2332,M2335,Y2335)</f>
        <v>8888</v>
      </c>
      <c r="AM2335" s="128" t="s">
        <v>213</v>
      </c>
      <c r="AN2335" s="128">
        <f ca="1">AN2334-AO2325/2</f>
        <v>-18.624000000000006</v>
      </c>
      <c r="AO2335" s="129">
        <f ca="1">IF(AN2335&gt;-Fuselage!$D$366,(FUSELAGE_a_ellipse)*SQRT(1-((AN2335+Fuselage!$D$366)/(Fuselage!$K$364-FUSELAGE_t_fuselage))^2),IF(AN2335&gt;$L$2505+Fuselage!$K$370,FUSELAGE_a_ellipse,(FUSELAGE_a_ellipse+FUSELAGE_t_fuselage-FUSELAGE_d_fo/4)/Fuselage!$K$368*(AN2335-$L$2505-Fuselage!$K$370)+FUSELAGE_a_ellipse))</f>
        <v>1.4960570012328709</v>
      </c>
      <c r="AQ2335" s="128" t="s">
        <v>213</v>
      </c>
      <c r="AR2335" s="128">
        <f t="shared" ca="1" si="184"/>
        <v>-18.624000000000006</v>
      </c>
      <c r="AS2335" s="129">
        <f t="shared" ca="1" si="185"/>
        <v>-1.4960570012328709</v>
      </c>
      <c r="BD2335" s="157"/>
    </row>
    <row r="2336" spans="2:56">
      <c r="B2336" s="156"/>
      <c r="C2336" s="128" t="s">
        <v>286</v>
      </c>
      <c r="D2336" s="128">
        <f ca="1">D2335</f>
        <v>8888</v>
      </c>
      <c r="E2336" s="139">
        <f ca="1">E2335-P2325</f>
        <v>8888</v>
      </c>
      <c r="G2336" s="128" t="s">
        <v>286</v>
      </c>
      <c r="H2336" s="128">
        <f ca="1">H2335</f>
        <v>8888</v>
      </c>
      <c r="I2336" s="139">
        <f ca="1">I2335-P2325</f>
        <v>8888</v>
      </c>
      <c r="K2336" s="128" t="s">
        <v>286</v>
      </c>
      <c r="L2336" s="128">
        <f ca="1">L2335</f>
        <v>8888</v>
      </c>
      <c r="M2336" s="139">
        <f ca="1">M2335-P2325</f>
        <v>8888</v>
      </c>
      <c r="O2336" s="128" t="s">
        <v>286</v>
      </c>
      <c r="P2336" s="128">
        <f ca="1">P2335</f>
        <v>8888</v>
      </c>
      <c r="Q2336" s="139">
        <f ca="1">Q2335-$T2330</f>
        <v>8888</v>
      </c>
      <c r="S2336" s="128" t="s">
        <v>286</v>
      </c>
      <c r="T2336" s="128">
        <f ca="1">T2335</f>
        <v>8888</v>
      </c>
      <c r="U2336" s="139">
        <f ca="1">U2335-$T2328</f>
        <v>8888</v>
      </c>
      <c r="W2336" s="128" t="s">
        <v>286</v>
      </c>
      <c r="X2336" s="128">
        <f ca="1">X2335</f>
        <v>8888</v>
      </c>
      <c r="Y2336" s="139">
        <f ca="1">Y2335+$T2326</f>
        <v>8888</v>
      </c>
      <c r="AA2336" s="143" t="s">
        <v>286</v>
      </c>
      <c r="AB2336" s="128">
        <f ca="1">IF($AA2332,D2336,P2336)</f>
        <v>8888</v>
      </c>
      <c r="AC2336" s="129">
        <f ca="1">IF($AA2332,E2336,Q2336)</f>
        <v>8888</v>
      </c>
      <c r="AE2336" s="128" t="s">
        <v>286</v>
      </c>
      <c r="AF2336" s="128">
        <f ca="1">IF($AE2332,H2336,T2336)</f>
        <v>8888</v>
      </c>
      <c r="AG2336" s="129">
        <f ca="1">IF($AE2332,I2336,U2336)</f>
        <v>8888</v>
      </c>
      <c r="AI2336" s="128" t="s">
        <v>286</v>
      </c>
      <c r="AJ2336" s="128">
        <f ca="1">IF($AI2332,L2336,X2336)</f>
        <v>8888</v>
      </c>
      <c r="AK2336" s="129">
        <f ca="1">IF($AI2332,M2336,Y2336)</f>
        <v>8888</v>
      </c>
      <c r="AM2336" s="128" t="s">
        <v>286</v>
      </c>
      <c r="AN2336" s="128">
        <f ca="1">AN2335</f>
        <v>-18.624000000000006</v>
      </c>
      <c r="AO2336" s="129">
        <f ca="1">IF(AN2336&gt;-Fuselage!$D$366,IF(AM2332,(FUSELAGE_a_ellipse+FUSELAGE_t_fuselage)*SQRT(1-((AN2336+Fuselage!$D$366)/Fuselage!$K$364)^2),(FUSELAGE_a_ellipse)*SQRT(1-((AN2336+Fuselage!$D$366)/Fuselage!$K$364)^2)),IF(AN2336&gt;$L$2505+Fuselage!$K$370,(IF(AM2332,FUSELAGE_a_ellipse+FUSELAGE_t_fuselage,FUSELAGE_a_ellipse)),IF(AM2332,(FUSELAGE_a_ellipse+FUSELAGE_t_fuselage-FUSELAGE_d_fo/4)/Fuselage!$K$368*(AN2336-$L$2505-Fuselage!$K$370)+FUSELAGE_a_ellipse+FUSELAGE_t_fuselage,(FUSELAGE_a_ellipse+FUSELAGE_t_fuselage-FUSELAGE_d_fo/4)/Fuselage!$K$368*(AN2336-$L$2505-Fuselage!$K$370)+FUSELAGE_a_ellipse)))</f>
        <v>1.4960570012328709</v>
      </c>
      <c r="AQ2336" s="128" t="s">
        <v>286</v>
      </c>
      <c r="AR2336" s="128">
        <f t="shared" ca="1" si="184"/>
        <v>-18.624000000000006</v>
      </c>
      <c r="AS2336" s="129">
        <f t="shared" ca="1" si="185"/>
        <v>-1.4960570012328709</v>
      </c>
      <c r="BD2336" s="157"/>
    </row>
    <row r="2337" spans="2:56">
      <c r="B2337" s="156"/>
      <c r="C2337" s="188" t="s">
        <v>522</v>
      </c>
      <c r="D2337" s="188">
        <f ca="1">D2334</f>
        <v>8888</v>
      </c>
      <c r="E2337" s="189">
        <f ca="1">E2336</f>
        <v>8888</v>
      </c>
      <c r="F2337" s="157"/>
      <c r="G2337" s="2" t="s">
        <v>522</v>
      </c>
      <c r="H2337" s="128">
        <f ca="1">H2334</f>
        <v>8888</v>
      </c>
      <c r="I2337" s="139">
        <f ca="1">I2336</f>
        <v>8888</v>
      </c>
      <c r="K2337" s="128" t="s">
        <v>522</v>
      </c>
      <c r="L2337" s="128">
        <f ca="1">L2334</f>
        <v>8888</v>
      </c>
      <c r="M2337" s="139">
        <f ca="1">M2336</f>
        <v>8888</v>
      </c>
      <c r="O2337" s="188" t="s">
        <v>522</v>
      </c>
      <c r="P2337" s="188">
        <f ca="1">P2334</f>
        <v>8888</v>
      </c>
      <c r="Q2337" s="189">
        <f ca="1">Q2336</f>
        <v>8888</v>
      </c>
      <c r="S2337" s="188" t="s">
        <v>522</v>
      </c>
      <c r="T2337" s="188">
        <f ca="1">T2334</f>
        <v>8888</v>
      </c>
      <c r="U2337" s="189">
        <f ca="1">U2336</f>
        <v>8888</v>
      </c>
      <c r="W2337" s="188" t="s">
        <v>522</v>
      </c>
      <c r="X2337" s="188">
        <f ca="1">X2334</f>
        <v>8888</v>
      </c>
      <c r="Y2337" s="189">
        <f ca="1">Y2336</f>
        <v>8888</v>
      </c>
      <c r="AA2337" s="195" t="s">
        <v>522</v>
      </c>
      <c r="AB2337" s="128">
        <f ca="1">IF($AA2332,D2337,P2337)</f>
        <v>8888</v>
      </c>
      <c r="AC2337" s="129">
        <f ca="1">IF($AA2332,E2337,Q2337)</f>
        <v>8888</v>
      </c>
      <c r="AD2337" s="157"/>
      <c r="AE2337" s="2" t="s">
        <v>522</v>
      </c>
      <c r="AF2337" s="188">
        <f ca="1">IF($AE2332,H2337,T2337)</f>
        <v>8888</v>
      </c>
      <c r="AG2337" s="196">
        <f ca="1">IF($AE2332,I2337,U2337)</f>
        <v>8888</v>
      </c>
      <c r="AI2337" s="128" t="s">
        <v>522</v>
      </c>
      <c r="AJ2337" s="188">
        <f ca="1">IF($AI2332,L2337,X2337)</f>
        <v>8888</v>
      </c>
      <c r="AK2337" s="196">
        <f ca="1">IF($AI2332,M2337,Y2337)</f>
        <v>8888</v>
      </c>
      <c r="AM2337" s="128" t="s">
        <v>522</v>
      </c>
      <c r="AN2337" s="128">
        <f ca="1">AN2336-X2326</f>
        <v>-18.624000000000006</v>
      </c>
      <c r="AO2337" s="129">
        <f ca="1">IF(AN2337&gt;-Fuselage!$D$366,IF(AM2332,(FUSELAGE_a_ellipse+FUSELAGE_t_fuselage)*SQRT(1-((AN2337+Fuselage!$D$366)/Fuselage!$K$364)^2),(FUSELAGE_a_ellipse)*SQRT(1-((AN2337+Fuselage!$D$366)/Fuselage!$K$364)^2)),IF(AN2337&gt;$L$2505+Fuselage!$K$370,(IF(AM2332,FUSELAGE_a_ellipse+FUSELAGE_t_fuselage,FUSELAGE_a_ellipse)),IF(AM2332,(FUSELAGE_a_ellipse+FUSELAGE_t_fuselage-FUSELAGE_d_fo/4)/Fuselage!$K$368*(AN2337-$L$2505-Fuselage!$K$370)+FUSELAGE_a_ellipse+FUSELAGE_t_fuselage,(FUSELAGE_a_ellipse+FUSELAGE_t_fuselage-FUSELAGE_d_fo/4)/Fuselage!$K$368*(AN2337-$L$2505-Fuselage!$K$370)+FUSELAGE_a_ellipse)))</f>
        <v>1.4960570012328709</v>
      </c>
      <c r="AQ2337" s="128" t="s">
        <v>522</v>
      </c>
      <c r="AR2337" s="128">
        <f t="shared" ca="1" si="184"/>
        <v>-18.624000000000006</v>
      </c>
      <c r="AS2337" s="129">
        <f t="shared" ca="1" si="185"/>
        <v>-1.4960570012328709</v>
      </c>
      <c r="BD2337" s="157"/>
    </row>
    <row r="2338" spans="2:56" ht="15" thickBot="1">
      <c r="B2338" s="156"/>
      <c r="C2338" s="128" t="s">
        <v>49</v>
      </c>
      <c r="D2338" s="128">
        <f ca="1">IF(C2332&gt;=2,D2334,D2337)</f>
        <v>8888</v>
      </c>
      <c r="E2338" s="139">
        <f ca="1">IF(C2332&gt;=2,E2337-P2327,E2337)</f>
        <v>8888</v>
      </c>
      <c r="F2338" s="157"/>
      <c r="G2338" s="192" t="s">
        <v>49</v>
      </c>
      <c r="H2338" s="190">
        <f ca="1">IF(G2332&gt;=2,H2334,H2337)</f>
        <v>8888</v>
      </c>
      <c r="I2338" s="191">
        <f ca="1">IF(G2332&gt;=2,I2337-P2327,I2337)</f>
        <v>8888</v>
      </c>
      <c r="K2338" s="190" t="s">
        <v>49</v>
      </c>
      <c r="L2338" s="190">
        <f ca="1">IF(K2332&gt;=2,L2334,L2337)</f>
        <v>8888</v>
      </c>
      <c r="M2338" s="191">
        <f ca="1">IF(K2332&gt;=2,M2337-P2327,M2337)</f>
        <v>8888</v>
      </c>
      <c r="O2338" s="130" t="s">
        <v>396</v>
      </c>
      <c r="P2338" s="130">
        <f ca="1">P2334</f>
        <v>8888</v>
      </c>
      <c r="Q2338" s="140">
        <f ca="1">Q2334</f>
        <v>8888</v>
      </c>
      <c r="S2338" s="130" t="s">
        <v>396</v>
      </c>
      <c r="T2338" s="130">
        <f ca="1">T2334</f>
        <v>8888</v>
      </c>
      <c r="U2338" s="140">
        <f ca="1">U2334</f>
        <v>8888</v>
      </c>
      <c r="W2338" s="130" t="s">
        <v>396</v>
      </c>
      <c r="X2338" s="130">
        <f ca="1">X2334</f>
        <v>8888</v>
      </c>
      <c r="Y2338" s="140">
        <f ca="1">Y2334</f>
        <v>8888</v>
      </c>
      <c r="AA2338" s="143" t="s">
        <v>49</v>
      </c>
      <c r="AB2338" s="128">
        <f ca="1">IF($AA2332,D2338,P2338)</f>
        <v>8888</v>
      </c>
      <c r="AC2338" s="129">
        <f ca="1">IF($AA2332,E2338,Q2338)</f>
        <v>8888</v>
      </c>
      <c r="AD2338" s="157"/>
      <c r="AE2338" s="192" t="s">
        <v>49</v>
      </c>
      <c r="AF2338" s="128">
        <f ca="1">IF($AE2332,H2338,T2338)</f>
        <v>8888</v>
      </c>
      <c r="AG2338" s="129">
        <f ca="1">IF($AE2332,I2338,U2338)</f>
        <v>8888</v>
      </c>
      <c r="AI2338" s="190" t="s">
        <v>49</v>
      </c>
      <c r="AJ2338" s="128">
        <f ca="1">IF($AI2332,L2338,X2338)</f>
        <v>8888</v>
      </c>
      <c r="AK2338" s="129">
        <f ca="1">IF($AI2332,M2338,Y2338)</f>
        <v>8888</v>
      </c>
      <c r="AM2338" s="128" t="s">
        <v>49</v>
      </c>
      <c r="AN2338" s="128">
        <f ca="1">AN2337</f>
        <v>-18.624000000000006</v>
      </c>
      <c r="AO2338" s="129">
        <f ca="1">IF(AN2338&gt;-Fuselage!$D$366,(FUSELAGE_a_ellipse)*SQRT(1-((AN2338+Fuselage!$D$366)/(Fuselage!$K$364-FUSELAGE_t_fuselage))^2),IF(AN2338&gt;$L$2505+Fuselage!$K$370,FUSELAGE_a_ellipse,(FUSELAGE_a_ellipse+FUSELAGE_t_fuselage-FUSELAGE_d_fo/4)/Fuselage!$K$368*(AN2338-$L$2505-Fuselage!$K$370)+FUSELAGE_a_ellipse))</f>
        <v>1.4960570012328709</v>
      </c>
      <c r="AQ2338" s="128" t="s">
        <v>49</v>
      </c>
      <c r="AR2338" s="128">
        <f t="shared" ca="1" si="184"/>
        <v>-18.624000000000006</v>
      </c>
      <c r="AS2338" s="129">
        <f t="shared" ca="1" si="185"/>
        <v>-1.4960570012328709</v>
      </c>
      <c r="BD2338" s="157"/>
    </row>
    <row r="2339" spans="2:56">
      <c r="B2339" s="156"/>
      <c r="C2339" s="128" t="s">
        <v>453</v>
      </c>
      <c r="D2339" s="128">
        <f ca="1">IF(C2332&gt;=2,D2334+P2326,D2337)</f>
        <v>8888</v>
      </c>
      <c r="E2339" s="139">
        <f ca="1">E2338</f>
        <v>8888</v>
      </c>
      <c r="F2339" s="157"/>
      <c r="G2339" s="2" t="s">
        <v>453</v>
      </c>
      <c r="H2339" s="128">
        <f ca="1">IF(G2332&gt;=2,H2335,H2337)</f>
        <v>8888</v>
      </c>
      <c r="I2339" s="139">
        <f ca="1">IF(G2332&gt;=2,I2338,I2337)</f>
        <v>8888</v>
      </c>
      <c r="K2339" s="128" t="s">
        <v>453</v>
      </c>
      <c r="L2339" s="128">
        <f ca="1">IF(K2332&gt;=2,IF(X2327,IF(K2332=2,L2334+P2326/4,L2334+P2326),L2334+P2326),L2337)</f>
        <v>8888</v>
      </c>
      <c r="M2339" s="139">
        <f ca="1">IF(K2332&gt;=2,M2338,M2337)</f>
        <v>8888</v>
      </c>
      <c r="AA2339" s="143" t="s">
        <v>453</v>
      </c>
      <c r="AB2339" s="128">
        <f ca="1">IF($AA2332,D2339,AB2338)</f>
        <v>8888</v>
      </c>
      <c r="AC2339" s="129">
        <f ca="1">IF($AA2332,E2339,AC2338)</f>
        <v>8888</v>
      </c>
      <c r="AD2339" s="157"/>
      <c r="AE2339" s="2" t="s">
        <v>453</v>
      </c>
      <c r="AF2339" s="128">
        <f ca="1">IF($AE2332,H2339,AF2338)</f>
        <v>8888</v>
      </c>
      <c r="AG2339" s="129">
        <f ca="1">IF($AE2332,I2339,AG2338)</f>
        <v>8888</v>
      </c>
      <c r="AI2339" s="128" t="s">
        <v>453</v>
      </c>
      <c r="AJ2339" s="128">
        <f ca="1">IF($AI2332,L2339,AJ2338)</f>
        <v>8888</v>
      </c>
      <c r="AK2339" s="129">
        <f ca="1">IF($AI2332,M2339,AK2338)</f>
        <v>8888</v>
      </c>
      <c r="AM2339" s="128" t="s">
        <v>453</v>
      </c>
      <c r="AN2339" s="128">
        <f ca="1">L2325</f>
        <v>-18.624000000000006</v>
      </c>
      <c r="AO2339" s="129">
        <f ca="1">IF(AN2339&gt;-Fuselage!$D$366,(FUSELAGE_a_ellipse)*SQRT(1-((AN2339+Fuselage!$D$366)/(Fuselage!$K$364-FUSELAGE_t_fuselage))^2),IF(AN2339&gt;$L$2505+Fuselage!$K$370,FUSELAGE_a_ellipse,(FUSELAGE_a_ellipse+FUSELAGE_t_fuselage-FUSELAGE_d_fo/4)/Fuselage!$K$368*(AN2339-$L$2505-Fuselage!$K$370)+FUSELAGE_a_ellipse))</f>
        <v>1.4960570012328709</v>
      </c>
      <c r="AQ2339" s="128" t="s">
        <v>453</v>
      </c>
      <c r="AR2339" s="128">
        <f t="shared" ca="1" si="184"/>
        <v>-18.624000000000006</v>
      </c>
      <c r="AS2339" s="129">
        <f t="shared" ca="1" si="185"/>
        <v>-1.4960570012328709</v>
      </c>
      <c r="BD2339" s="157"/>
    </row>
    <row r="2340" spans="2:56">
      <c r="B2340" s="156"/>
      <c r="C2340" s="128" t="s">
        <v>394</v>
      </c>
      <c r="D2340" s="128">
        <f ca="1">IF(C2332&gt;=2,D2339,D2337)</f>
        <v>8888</v>
      </c>
      <c r="E2340" s="139">
        <f ca="1">IF(C2332&gt;=2,E2338-P2325,E2337)</f>
        <v>8888</v>
      </c>
      <c r="F2340" s="157"/>
      <c r="G2340" s="2" t="s">
        <v>394</v>
      </c>
      <c r="H2340" s="128">
        <f ca="1">IF(G2332&gt;=2,H2335,H2337)</f>
        <v>8888</v>
      </c>
      <c r="I2340" s="139">
        <f ca="1">IF(G2332&gt;=2,I2339-P2325,I2337)</f>
        <v>8888</v>
      </c>
      <c r="K2340" s="128" t="s">
        <v>394</v>
      </c>
      <c r="L2340" s="128">
        <f ca="1">L2339</f>
        <v>8888</v>
      </c>
      <c r="M2340" s="139">
        <f ca="1">IF(K2332&gt;=2,M2339-P2325,M2337)</f>
        <v>8888</v>
      </c>
      <c r="AA2340" s="143" t="s">
        <v>394</v>
      </c>
      <c r="AB2340" s="128">
        <f ca="1">IF($AA2332,D2340,AB2338)</f>
        <v>8888</v>
      </c>
      <c r="AC2340" s="129">
        <f ca="1">IF($AA2332,E2340,AC2338)</f>
        <v>8888</v>
      </c>
      <c r="AD2340" s="157"/>
      <c r="AE2340" s="2" t="s">
        <v>394</v>
      </c>
      <c r="AF2340" s="128">
        <f ca="1">IF($AE2332,H2340,AF2338)</f>
        <v>8888</v>
      </c>
      <c r="AG2340" s="129">
        <f ca="1">IF($AE2332,I2340,AG2338)</f>
        <v>8888</v>
      </c>
      <c r="AI2340" s="128" t="s">
        <v>394</v>
      </c>
      <c r="AJ2340" s="128">
        <f ca="1">IF($AI2332,L2340,AJ2338)</f>
        <v>8888</v>
      </c>
      <c r="AK2340" s="129">
        <f ca="1">IF($AI2332,M2340,AK2338)</f>
        <v>8888</v>
      </c>
      <c r="BD2340" s="157"/>
    </row>
    <row r="2341" spans="2:56">
      <c r="B2341" s="156"/>
      <c r="C2341" s="188" t="s">
        <v>454</v>
      </c>
      <c r="D2341" s="188">
        <f ca="1">IF(C2332&gt;=2,D2334,D2337)</f>
        <v>8888</v>
      </c>
      <c r="E2341" s="189">
        <f ca="1">E2340</f>
        <v>8888</v>
      </c>
      <c r="F2341" s="157"/>
      <c r="G2341" s="115" t="s">
        <v>454</v>
      </c>
      <c r="H2341" s="188">
        <f ca="1">IF(G2332&gt;=2,H2334,H2337)</f>
        <v>8888</v>
      </c>
      <c r="I2341" s="189">
        <f ca="1">IF(G2332&gt;=2,I2340,I2337)</f>
        <v>8888</v>
      </c>
      <c r="K2341" s="188" t="s">
        <v>454</v>
      </c>
      <c r="L2341" s="188">
        <f ca="1">IF(K2332&gt;=2,L2334,L2337)</f>
        <v>8888</v>
      </c>
      <c r="M2341" s="189">
        <f ca="1">IF(K2332&gt;=2,M2340,M2337)</f>
        <v>8888</v>
      </c>
      <c r="AA2341" s="195" t="s">
        <v>454</v>
      </c>
      <c r="AB2341" s="128">
        <f ca="1">IF($AA2332,D2341,AB2338)</f>
        <v>8888</v>
      </c>
      <c r="AC2341" s="129">
        <f ca="1">IF($AA2332,E2341,AC2338)</f>
        <v>8888</v>
      </c>
      <c r="AD2341" s="157"/>
      <c r="AE2341" s="115" t="s">
        <v>454</v>
      </c>
      <c r="AF2341" s="188">
        <f ca="1">IF($AE2332,H2341,AF2338)</f>
        <v>8888</v>
      </c>
      <c r="AG2341" s="196">
        <f ca="1">IF($AE2332,I2341,AG2338)</f>
        <v>8888</v>
      </c>
      <c r="AI2341" s="188" t="s">
        <v>454</v>
      </c>
      <c r="AJ2341" s="188">
        <f ca="1">IF($AI2332,L2341,AJ2338)</f>
        <v>8888</v>
      </c>
      <c r="AK2341" s="196">
        <f ca="1">IF($AI2332,M2341,AK2338)</f>
        <v>8888</v>
      </c>
      <c r="BD2341" s="157"/>
    </row>
    <row r="2342" spans="2:56">
      <c r="B2342" s="156"/>
      <c r="C2342" s="128" t="s">
        <v>507</v>
      </c>
      <c r="D2342" s="128">
        <f ca="1">IF(C2332&gt;=3,D2334,D2341)</f>
        <v>8888</v>
      </c>
      <c r="E2342" s="139">
        <f ca="1">IF(C2332&gt;=3,E2341-P2327,E2341)</f>
        <v>8888</v>
      </c>
      <c r="F2342" s="157"/>
      <c r="G2342" s="2" t="s">
        <v>507</v>
      </c>
      <c r="H2342" s="128">
        <f ca="1">IF(G2332&gt;=3,H2334,H2341)</f>
        <v>8888</v>
      </c>
      <c r="I2342" s="139">
        <f ca="1">IF(G2332&gt;=3,I2341-P2327,I2341)</f>
        <v>8888</v>
      </c>
      <c r="K2342" s="128" t="s">
        <v>507</v>
      </c>
      <c r="L2342" s="128">
        <f ca="1">IF(K2332&gt;=3,L2334,L2341)</f>
        <v>8888</v>
      </c>
      <c r="M2342" s="139">
        <f ca="1">IF(K2332&gt;=3,M2341-P2327,M2341)</f>
        <v>8888</v>
      </c>
      <c r="AA2342" s="143" t="s">
        <v>507</v>
      </c>
      <c r="AB2342" s="128">
        <f ca="1">IF($AA2332,D2342,AB2338)</f>
        <v>8888</v>
      </c>
      <c r="AC2342" s="129">
        <f ca="1">IF($AA2332,E2342,AC2338)</f>
        <v>8888</v>
      </c>
      <c r="AD2342" s="157"/>
      <c r="AE2342" s="2" t="s">
        <v>507</v>
      </c>
      <c r="AF2342" s="128">
        <f ca="1">IF($AE2332,H2342,AF2338)</f>
        <v>8888</v>
      </c>
      <c r="AG2342" s="129">
        <f ca="1">IF($AE2332,I2342,AG2338)</f>
        <v>8888</v>
      </c>
      <c r="AI2342" s="128" t="s">
        <v>507</v>
      </c>
      <c r="AJ2342" s="128">
        <f ca="1">IF($AI2332,L2342,AJ2338)</f>
        <v>8888</v>
      </c>
      <c r="AK2342" s="129">
        <f ca="1">IF($AI2332,M2342,AK2338)</f>
        <v>8888</v>
      </c>
      <c r="BD2342" s="157"/>
    </row>
    <row r="2343" spans="2:56">
      <c r="B2343" s="156"/>
      <c r="C2343" s="128" t="s">
        <v>455</v>
      </c>
      <c r="D2343" s="128">
        <f ca="1">IF(C2332&gt;=3,D2339,D2341)</f>
        <v>8888</v>
      </c>
      <c r="E2343" s="139">
        <f ca="1">E2342</f>
        <v>8888</v>
      </c>
      <c r="F2343" s="157"/>
      <c r="G2343" s="2" t="s">
        <v>455</v>
      </c>
      <c r="H2343" s="128">
        <f ca="1">IF(G2332&gt;=3,H2335,H2341)</f>
        <v>8888</v>
      </c>
      <c r="I2343" s="139">
        <f ca="1">IF(G2332&gt;=3,I2342,I2341)</f>
        <v>8888</v>
      </c>
      <c r="K2343" s="128" t="s">
        <v>455</v>
      </c>
      <c r="L2343" s="128">
        <f ca="1">IF(K2332&gt;=3,IF(X2327,IF(K2332=3,L2334+P2326/4,L2334+P2326),L2334+P2326),L2337)</f>
        <v>8888</v>
      </c>
      <c r="M2343" s="139">
        <f ca="1">IF(K2332&gt;=3,M2342,M2341)</f>
        <v>8888</v>
      </c>
      <c r="AA2343" s="143" t="s">
        <v>455</v>
      </c>
      <c r="AB2343" s="128">
        <f ca="1">IF($AA2332,D2343,AB2338)</f>
        <v>8888</v>
      </c>
      <c r="AC2343" s="129">
        <f ca="1">IF($AA2332,E2343,AC2338)</f>
        <v>8888</v>
      </c>
      <c r="AD2343" s="157"/>
      <c r="AE2343" s="2" t="s">
        <v>455</v>
      </c>
      <c r="AF2343" s="128">
        <f ca="1">IF($AE2332,H2343,AF2338)</f>
        <v>8888</v>
      </c>
      <c r="AG2343" s="129">
        <f ca="1">IF($AE2332,I2343,AG2338)</f>
        <v>8888</v>
      </c>
      <c r="AI2343" s="128" t="s">
        <v>455</v>
      </c>
      <c r="AJ2343" s="128">
        <f ca="1">IF($AI2332,L2343,AJ2338)</f>
        <v>8888</v>
      </c>
      <c r="AK2343" s="129">
        <f ca="1">IF($AI2332,M2343,AK2338)</f>
        <v>8888</v>
      </c>
      <c r="AL2343" s="156"/>
      <c r="BD2343" s="157"/>
    </row>
    <row r="2344" spans="2:56">
      <c r="B2344" s="156"/>
      <c r="C2344" s="128" t="s">
        <v>311</v>
      </c>
      <c r="D2344" s="128">
        <f ca="1">IF(C2332&gt;=3,D2339,D2341)</f>
        <v>8888</v>
      </c>
      <c r="E2344" s="139">
        <f ca="1">IF(C2332&gt;=3,E2343-P2325,E2341)</f>
        <v>8888</v>
      </c>
      <c r="F2344" s="157"/>
      <c r="G2344" s="2" t="s">
        <v>311</v>
      </c>
      <c r="H2344" s="128">
        <f ca="1">IF(G2332&gt;=3,H2335,H2341)</f>
        <v>8888</v>
      </c>
      <c r="I2344" s="139">
        <f ca="1">IF(G2332&gt;=3,I2343-P2325,I2341)</f>
        <v>8888</v>
      </c>
      <c r="K2344" s="128" t="s">
        <v>311</v>
      </c>
      <c r="L2344" s="128">
        <f ca="1">L2343</f>
        <v>8888</v>
      </c>
      <c r="M2344" s="139">
        <f ca="1">IF(K2332&gt;=3,M2343-P2325,M2341)</f>
        <v>8888</v>
      </c>
      <c r="AA2344" s="143" t="s">
        <v>311</v>
      </c>
      <c r="AB2344" s="128">
        <f ca="1">IF($AA2332,D2344,AB2338)</f>
        <v>8888</v>
      </c>
      <c r="AC2344" s="129">
        <f ca="1">IF($AA2332,E2344,AC2338)</f>
        <v>8888</v>
      </c>
      <c r="AD2344" s="157"/>
      <c r="AE2344" s="2" t="s">
        <v>311</v>
      </c>
      <c r="AF2344" s="128">
        <f ca="1">IF($AE2332,H2344,AF2338)</f>
        <v>8888</v>
      </c>
      <c r="AG2344" s="129">
        <f ca="1">IF($AE2332,I2344,AG2338)</f>
        <v>8888</v>
      </c>
      <c r="AI2344" s="128" t="s">
        <v>311</v>
      </c>
      <c r="AJ2344" s="128">
        <f ca="1">IF($AI2332,L2344,AJ2338)</f>
        <v>8888</v>
      </c>
      <c r="AK2344" s="129">
        <f ca="1">IF($AI2332,M2344,AK2338)</f>
        <v>8888</v>
      </c>
      <c r="AL2344" s="156"/>
      <c r="BD2344" s="157"/>
    </row>
    <row r="2345" spans="2:56">
      <c r="B2345" s="156"/>
      <c r="C2345" s="188" t="s">
        <v>35</v>
      </c>
      <c r="D2345" s="188">
        <f ca="1">IF(C2332&gt;=3,D2334,D2341)</f>
        <v>8888</v>
      </c>
      <c r="E2345" s="189">
        <f ca="1">E2344</f>
        <v>8888</v>
      </c>
      <c r="F2345" s="157"/>
      <c r="G2345" s="2" t="s">
        <v>35</v>
      </c>
      <c r="H2345" s="188">
        <f ca="1">IF(G2332&gt;=3,H2334,H2341)</f>
        <v>8888</v>
      </c>
      <c r="I2345" s="189">
        <f ca="1">IF(G2332&gt;=3,I2344,I2341)</f>
        <v>8888</v>
      </c>
      <c r="K2345" s="188" t="s">
        <v>35</v>
      </c>
      <c r="L2345" s="188">
        <f ca="1">IF(K2332&gt;=3,L2334,L2341)</f>
        <v>8888</v>
      </c>
      <c r="M2345" s="189">
        <f ca="1">IF(K2332&gt;=3,M2344,M2341)</f>
        <v>8888</v>
      </c>
      <c r="AA2345" s="143" t="s">
        <v>35</v>
      </c>
      <c r="AB2345" s="128">
        <f ca="1">IF($AA2332,D2345,AB2338)</f>
        <v>8888</v>
      </c>
      <c r="AC2345" s="129">
        <f ca="1">IF($AA2332,E2345,AC2338)</f>
        <v>8888</v>
      </c>
      <c r="AD2345" s="157"/>
      <c r="AE2345" s="2" t="s">
        <v>35</v>
      </c>
      <c r="AF2345" s="188">
        <f ca="1">IF($AE2332,H2345,AF2338)</f>
        <v>8888</v>
      </c>
      <c r="AG2345" s="196">
        <f ca="1">IF($AE2332,I2345,AG2338)</f>
        <v>8888</v>
      </c>
      <c r="AI2345" s="128" t="s">
        <v>35</v>
      </c>
      <c r="AJ2345" s="128">
        <f ca="1">IF($AI2332,L2345,AJ2338)</f>
        <v>8888</v>
      </c>
      <c r="AK2345" s="129">
        <f ca="1">IF($AI2332,M2345,AK2338)</f>
        <v>8888</v>
      </c>
      <c r="AL2345" s="156"/>
      <c r="BD2345" s="157"/>
    </row>
    <row r="2346" spans="2:56" ht="15" thickBot="1">
      <c r="B2346" s="156"/>
      <c r="C2346" s="130" t="s">
        <v>396</v>
      </c>
      <c r="D2346" s="130">
        <f ca="1">D2334</f>
        <v>8888</v>
      </c>
      <c r="E2346" s="140">
        <f ca="1">E2334</f>
        <v>8888</v>
      </c>
      <c r="F2346" s="157"/>
      <c r="G2346" s="192" t="s">
        <v>312</v>
      </c>
      <c r="H2346" s="128">
        <f ca="1">IF(G2332&gt;=4,H2334,H2345)</f>
        <v>8888</v>
      </c>
      <c r="I2346" s="139">
        <f ca="1">IF(G2332&gt;=4,I2345-P2327,I2345)</f>
        <v>8888</v>
      </c>
      <c r="K2346" s="130" t="s">
        <v>396</v>
      </c>
      <c r="L2346" s="130">
        <f ca="1">L2334</f>
        <v>8888</v>
      </c>
      <c r="M2346" s="140">
        <f ca="1">M2334</f>
        <v>8888</v>
      </c>
      <c r="AA2346" s="144" t="s">
        <v>396</v>
      </c>
      <c r="AB2346" s="130">
        <f ca="1">IF($AA2332,D2346,AB2338)</f>
        <v>8888</v>
      </c>
      <c r="AC2346" s="132">
        <f ca="1">IF($AA2332,E2346,AC2338)</f>
        <v>8888</v>
      </c>
      <c r="AD2346" s="157"/>
      <c r="AE2346" s="192" t="s">
        <v>312</v>
      </c>
      <c r="AF2346" s="128">
        <f ca="1">IF($AE2332,H2346,AF2338)</f>
        <v>8888</v>
      </c>
      <c r="AG2346" s="129">
        <f ca="1">IF($AE2332,I2346,AG2338)</f>
        <v>8888</v>
      </c>
      <c r="AI2346" s="130" t="s">
        <v>396</v>
      </c>
      <c r="AJ2346" s="130">
        <f ca="1">IF($AI2332,L2346,AJ2338)</f>
        <v>8888</v>
      </c>
      <c r="AK2346" s="132">
        <f ca="1">IF($AI2332,M2346,AK2338)</f>
        <v>8888</v>
      </c>
      <c r="BD2346" s="157"/>
    </row>
    <row r="2347" spans="2:56">
      <c r="B2347" s="156"/>
      <c r="F2347" s="157"/>
      <c r="G2347" s="2" t="s">
        <v>313</v>
      </c>
      <c r="H2347" s="128">
        <f ca="1">IF(G2332&gt;=4,H2335,H2345)</f>
        <v>8888</v>
      </c>
      <c r="I2347" s="139">
        <f ca="1">IF(G2332&gt;=4,I2346,I2345)</f>
        <v>8888</v>
      </c>
      <c r="AD2347" s="157"/>
      <c r="AE2347" s="2" t="s">
        <v>313</v>
      </c>
      <c r="AF2347" s="128">
        <f ca="1">IF($AE2332,H2347,AF2338)</f>
        <v>8888</v>
      </c>
      <c r="AG2347" s="129">
        <f ca="1">IF($AE2332,I2347,AG2338)</f>
        <v>8888</v>
      </c>
      <c r="BD2347" s="157"/>
    </row>
    <row r="2348" spans="2:56">
      <c r="B2348" s="156"/>
      <c r="F2348" s="157"/>
      <c r="G2348" s="2" t="s">
        <v>7</v>
      </c>
      <c r="H2348" s="128">
        <f ca="1">IF(G2332&gt;=4,H2335,H2345)</f>
        <v>8888</v>
      </c>
      <c r="I2348" s="139">
        <f ca="1">IF(G2332&gt;=4,I2347-P2325,I2345)</f>
        <v>8888</v>
      </c>
      <c r="AD2348" s="157"/>
      <c r="AE2348" s="2" t="s">
        <v>7</v>
      </c>
      <c r="AF2348" s="128">
        <f ca="1">IF($AE2332,H2348,AF2338)</f>
        <v>8888</v>
      </c>
      <c r="AG2348" s="129">
        <f ca="1">IF($AE2332,I2348,AG2338)</f>
        <v>8888</v>
      </c>
      <c r="BD2348" s="157"/>
    </row>
    <row r="2349" spans="2:56">
      <c r="B2349" s="156"/>
      <c r="F2349" s="157"/>
      <c r="G2349" s="115" t="s">
        <v>8</v>
      </c>
      <c r="H2349" s="188">
        <f ca="1">IF(G2332&gt;=4,H2334,H2345)</f>
        <v>8888</v>
      </c>
      <c r="I2349" s="189">
        <f ca="1">IF(G2332&gt;=4,I2348,I2345)</f>
        <v>8888</v>
      </c>
      <c r="AD2349" s="157"/>
      <c r="AE2349" s="115" t="s">
        <v>8</v>
      </c>
      <c r="AF2349" s="188">
        <f ca="1">IF($AE2332,H2349,AF2338)</f>
        <v>8888</v>
      </c>
      <c r="AG2349" s="196">
        <f ca="1">IF($AE2332,I2349,AG2338)</f>
        <v>8888</v>
      </c>
      <c r="BD2349" s="157"/>
    </row>
    <row r="2350" spans="2:56">
      <c r="B2350" s="156"/>
      <c r="F2350" s="157"/>
      <c r="G2350" s="2" t="s">
        <v>9</v>
      </c>
      <c r="H2350" s="128">
        <f ca="1">IF(G2332&gt;=5,H2334,H2349)</f>
        <v>8888</v>
      </c>
      <c r="I2350" s="139">
        <f ca="1">IF(G2332&gt;=5,I2349-P2327,I2349)</f>
        <v>8888</v>
      </c>
      <c r="AD2350" s="157"/>
      <c r="AE2350" s="2" t="s">
        <v>9</v>
      </c>
      <c r="AF2350" s="128">
        <f ca="1">IF($AE2332,H2350,AF2338)</f>
        <v>8888</v>
      </c>
      <c r="AG2350" s="129">
        <f ca="1">IF($AE2332,I2350,AG2338)</f>
        <v>8888</v>
      </c>
      <c r="BD2350" s="157"/>
    </row>
    <row r="2351" spans="2:56">
      <c r="B2351" s="156"/>
      <c r="F2351" s="157"/>
      <c r="G2351" s="2" t="s">
        <v>196</v>
      </c>
      <c r="H2351" s="128">
        <f ca="1">IF(G2332&gt;=5,H2335,H2349)</f>
        <v>8888</v>
      </c>
      <c r="I2351" s="139">
        <f ca="1">IF(G2332&gt;=5,I2350,I2349)</f>
        <v>8888</v>
      </c>
      <c r="AD2351" s="157"/>
      <c r="AE2351" s="2" t="s">
        <v>196</v>
      </c>
      <c r="AF2351" s="128">
        <f ca="1">IF($AE2332,H2351,AF2338)</f>
        <v>8888</v>
      </c>
      <c r="AG2351" s="129">
        <f ca="1">IF($AE2332,I2351,AG2338)</f>
        <v>8888</v>
      </c>
      <c r="BD2351" s="157"/>
    </row>
    <row r="2352" spans="2:56">
      <c r="B2352" s="156"/>
      <c r="F2352" s="157"/>
      <c r="G2352" s="2" t="s">
        <v>10</v>
      </c>
      <c r="H2352" s="128">
        <f ca="1">IF(G2332&gt;=5,H2335,H2349)</f>
        <v>8888</v>
      </c>
      <c r="I2352" s="139">
        <f ca="1">IF(G2332&gt;=5,I2351-P2325,I2349)</f>
        <v>8888</v>
      </c>
      <c r="AD2352" s="157"/>
      <c r="AE2352" s="2" t="s">
        <v>10</v>
      </c>
      <c r="AF2352" s="128">
        <f ca="1">IF($AE2332,H2352,AF2338)</f>
        <v>8888</v>
      </c>
      <c r="AG2352" s="129">
        <f ca="1">IF($AE2332,I2352,AG2338)</f>
        <v>8888</v>
      </c>
      <c r="BD2352" s="157"/>
    </row>
    <row r="2353" spans="2:56">
      <c r="B2353" s="156"/>
      <c r="F2353" s="157"/>
      <c r="G2353" s="2" t="s">
        <v>161</v>
      </c>
      <c r="H2353" s="188">
        <f ca="1">IF(G2332&gt;=5,H2334,H2349)</f>
        <v>8888</v>
      </c>
      <c r="I2353" s="189">
        <f ca="1">IF(G2332&gt;=5,I2352,I2349)</f>
        <v>8888</v>
      </c>
      <c r="AD2353" s="157"/>
      <c r="AE2353" s="2" t="s">
        <v>161</v>
      </c>
      <c r="AF2353" s="188">
        <f ca="1">IF($AE2332,H2353,AF2338)</f>
        <v>8888</v>
      </c>
      <c r="AG2353" s="196">
        <f ca="1">IF($AE2332,I2353,AG2338)</f>
        <v>8888</v>
      </c>
      <c r="BD2353" s="157"/>
    </row>
    <row r="2354" spans="2:56">
      <c r="B2354" s="156"/>
      <c r="F2354" s="157"/>
      <c r="G2354" s="192" t="s">
        <v>11</v>
      </c>
      <c r="H2354" s="128">
        <f ca="1">IF(G2332&gt;=6,H2334,H2353)</f>
        <v>8888</v>
      </c>
      <c r="I2354" s="139">
        <f ca="1">IF(G2332&gt;=6,I2353-P2327,I2353)</f>
        <v>8888</v>
      </c>
      <c r="AD2354" s="157"/>
      <c r="AE2354" s="192" t="s">
        <v>11</v>
      </c>
      <c r="AF2354" s="128">
        <f ca="1">IF($AE2332,H2354,AF2338)</f>
        <v>8888</v>
      </c>
      <c r="AG2354" s="129">
        <f ca="1">IF($AE2332,I2354,AG2338)</f>
        <v>8888</v>
      </c>
      <c r="BD2354" s="157"/>
    </row>
    <row r="2355" spans="2:56">
      <c r="B2355" s="156"/>
      <c r="F2355" s="157"/>
      <c r="G2355" s="2" t="s">
        <v>12</v>
      </c>
      <c r="H2355" s="128">
        <f ca="1">IF(G2332&gt;=6,H2335,H2353)</f>
        <v>8888</v>
      </c>
      <c r="I2355" s="139">
        <f ca="1">IF(G2332&gt;=6,I2354,I2353)</f>
        <v>8888</v>
      </c>
      <c r="AD2355" s="157"/>
      <c r="AE2355" s="2" t="s">
        <v>12</v>
      </c>
      <c r="AF2355" s="128">
        <f ca="1">IF($AE2332,H2355,AF2338)</f>
        <v>8888</v>
      </c>
      <c r="AG2355" s="129">
        <f ca="1">IF($AE2332,I2355,AG2338)</f>
        <v>8888</v>
      </c>
      <c r="BD2355" s="157"/>
    </row>
    <row r="2356" spans="2:56">
      <c r="B2356" s="156"/>
      <c r="F2356" s="157"/>
      <c r="G2356" s="2" t="s">
        <v>13</v>
      </c>
      <c r="H2356" s="128">
        <f ca="1">IF(G2332&gt;=6,H2335,H2353)</f>
        <v>8888</v>
      </c>
      <c r="I2356" s="139">
        <f ca="1">IF(G2332&gt;=6,I2355-P2325,I2353)</f>
        <v>8888</v>
      </c>
      <c r="AD2356" s="157"/>
      <c r="AE2356" s="2" t="s">
        <v>13</v>
      </c>
      <c r="AF2356" s="128">
        <f ca="1">IF($AE2332,H2356,AF2338)</f>
        <v>8888</v>
      </c>
      <c r="AG2356" s="129">
        <f ca="1">IF($AE2332,I2356,AG2338)</f>
        <v>8888</v>
      </c>
      <c r="BD2356" s="157"/>
    </row>
    <row r="2357" spans="2:56">
      <c r="B2357" s="156"/>
      <c r="F2357" s="157"/>
      <c r="G2357" s="115" t="s">
        <v>14</v>
      </c>
      <c r="H2357" s="188">
        <f ca="1">IF(G2332&gt;=6,H2334,H2353)</f>
        <v>8888</v>
      </c>
      <c r="I2357" s="189">
        <f ca="1">IF(G2332&gt;=6,I2356,I2353)</f>
        <v>8888</v>
      </c>
      <c r="AD2357" s="157"/>
      <c r="AE2357" s="115" t="s">
        <v>14</v>
      </c>
      <c r="AF2357" s="188">
        <f ca="1">IF($AE2332,H2357,AF2338)</f>
        <v>8888</v>
      </c>
      <c r="AG2357" s="196">
        <f ca="1">IF($AE2332,I2357,AG2338)</f>
        <v>8888</v>
      </c>
      <c r="BD2357" s="157"/>
    </row>
    <row r="2358" spans="2:56" ht="15" thickBot="1">
      <c r="B2358" s="156"/>
      <c r="G2358" s="130" t="s">
        <v>396</v>
      </c>
      <c r="H2358" s="130">
        <f ca="1">H2334</f>
        <v>8888</v>
      </c>
      <c r="I2358" s="140">
        <f ca="1">I2334</f>
        <v>8888</v>
      </c>
      <c r="AE2358" s="130" t="s">
        <v>396</v>
      </c>
      <c r="AF2358" s="130">
        <f ca="1">IF($AE2332,H2358,AF2338)</f>
        <v>8888</v>
      </c>
      <c r="AG2358" s="132">
        <f ca="1">IF($AE2332,I2358,AG2338)</f>
        <v>8888</v>
      </c>
      <c r="BD2358" s="157"/>
    </row>
    <row r="2359" spans="2:56">
      <c r="B2359" s="156"/>
      <c r="BD2359" s="157"/>
    </row>
    <row r="2360" spans="2:56">
      <c r="B2360" s="156"/>
      <c r="BD2360" s="157"/>
    </row>
    <row r="2361" spans="2:56">
      <c r="B2361" s="156"/>
      <c r="C2361" s="200" t="s">
        <v>336</v>
      </c>
      <c r="D2361">
        <f>D2325+1</f>
        <v>61</v>
      </c>
      <c r="G2361" s="200" t="s">
        <v>638</v>
      </c>
      <c r="H2361">
        <f ca="1">LOOKUP(D2364,$C$191:$C$196,$D$191:$D$196)</f>
        <v>0</v>
      </c>
      <c r="K2361" s="200" t="s">
        <v>644</v>
      </c>
      <c r="L2361">
        <f ca="1">L2325-H2366</f>
        <v>-18.624000000000006</v>
      </c>
      <c r="O2361" s="200" t="s">
        <v>404</v>
      </c>
      <c r="P2361">
        <f ca="1">IF(D2363=1,SEAT_w_cushion_FC,IF(D2363=2,SEAT_w_cushion_BC,IF(D2363=3,SEAT_w_cushion_YC,0)))</f>
        <v>0</v>
      </c>
      <c r="S2361" s="200" t="s">
        <v>647</v>
      </c>
      <c r="T2361">
        <f ca="1">LOOKUP(D2364,$C$191:$C$196,$E$191:$E$196)</f>
        <v>0</v>
      </c>
      <c r="W2361" t="s">
        <v>130</v>
      </c>
      <c r="X2361" t="str">
        <f ca="1">OFFSET(Fuselage!$B$275,D2361,5)</f>
        <v>None</v>
      </c>
      <c r="AN2361" s="200" t="s">
        <v>135</v>
      </c>
      <c r="AO2361">
        <f ca="1">MAX(0,H2366-MAX(T2361,T2363,T2365,P2362)-X2362)</f>
        <v>0</v>
      </c>
      <c r="BD2361" s="157"/>
    </row>
    <row r="2362" spans="2:56">
      <c r="B2362" s="156"/>
      <c r="C2362" s="200" t="s">
        <v>200</v>
      </c>
      <c r="D2362" t="str">
        <f ca="1">OFFSET(Fuselage!$B$275,D2361,0)</f>
        <v/>
      </c>
      <c r="G2362" s="200" t="s">
        <v>639</v>
      </c>
      <c r="H2362">
        <f ca="1">LOOKUP(D2365,$C$191:$C$196,$D$191:$D$196)</f>
        <v>0</v>
      </c>
      <c r="O2362" s="200" t="s">
        <v>535</v>
      </c>
      <c r="P2362">
        <f ca="1">IF(D2363=1,SEAT_length_FC,IF(D2363=2,SEAT_length_BC,IF(D2363=3,SEAT_length_YC,0)))</f>
        <v>0</v>
      </c>
      <c r="S2362" s="200" t="s">
        <v>648</v>
      </c>
      <c r="T2362">
        <f ca="1">LOOKUP(D2364,$C$191:$C$196,$F$191:$F$196)</f>
        <v>0</v>
      </c>
      <c r="W2362" t="s">
        <v>131</v>
      </c>
      <c r="X2362">
        <f ca="1">LOOKUP(X2361,$I$191:$I$198,$J$191:$J$198)</f>
        <v>0</v>
      </c>
      <c r="BD2362" s="157"/>
    </row>
    <row r="2363" spans="2:56">
      <c r="B2363" s="156"/>
      <c r="C2363" s="200" t="s">
        <v>337</v>
      </c>
      <c r="D2363" t="str">
        <f ca="1">OFFSET(Fuselage!$B$275,D2361,4)</f>
        <v/>
      </c>
      <c r="G2363" s="200" t="s">
        <v>309</v>
      </c>
      <c r="H2363">
        <f ca="1">LOOKUP(D2366,$C$191:$C$196,$D$191:$D$196)</f>
        <v>0</v>
      </c>
      <c r="K2363" s="200" t="s">
        <v>645</v>
      </c>
      <c r="L2363">
        <f ca="1">IF(D2363=1,FUSELAGE_nseats_left_FC,IF(D2363=2,FUSELAGE_nseats_left_BC,IF(D2363=3,FUSELAGE_nseats_left_YC,0)))</f>
        <v>0</v>
      </c>
      <c r="O2363" s="200" t="s">
        <v>405</v>
      </c>
      <c r="P2363">
        <f ca="1">IF(D2363=1,SEAT_w_armrest_FC,IF(D2363=2,SEAT_w_armrest_BC,IF(D2363=3,SEAT_w_armrest_YC,0)))</f>
        <v>0</v>
      </c>
      <c r="S2363" s="200" t="s">
        <v>652</v>
      </c>
      <c r="T2363">
        <f ca="1">LOOKUP(D2365,$C$191:$C$196,$E$191:$E$196)</f>
        <v>0</v>
      </c>
      <c r="W2363" s="200" t="s">
        <v>393</v>
      </c>
      <c r="X2363" t="b">
        <f ca="1">IF(OFFSET(Fuselage!$B$275,D2361,6)="YES",TRUE(),FALSE())</f>
        <v>0</v>
      </c>
      <c r="BD2363" s="157"/>
    </row>
    <row r="2364" spans="2:56">
      <c r="B2364" s="156"/>
      <c r="C2364" s="200" t="s">
        <v>640</v>
      </c>
      <c r="D2364" t="str">
        <f ca="1">OFFSET(Fuselage!$B$275,D2361,1)</f>
        <v>None</v>
      </c>
      <c r="G2364" s="200" t="s">
        <v>132</v>
      </c>
      <c r="H2364">
        <f ca="1">IF(D2363=1,SEAT_pitch_FC,IF(D2363=2,SEAT_pitch_BC,IF(D2363=3,SEAT_pitch_YC,0)))</f>
        <v>0</v>
      </c>
      <c r="K2364" s="200" t="s">
        <v>646</v>
      </c>
      <c r="L2364">
        <f ca="1">IF(D2363=1,FUSELAGE_nseats_middle_FC,IF(D2363=2,FUSELAGE_nseats_middle_BC,IF(D2363=3,FUSELAGE_nseats_middle_YC,0)))</f>
        <v>0</v>
      </c>
      <c r="S2364" s="200" t="s">
        <v>653</v>
      </c>
      <c r="T2364">
        <f ca="1">LOOKUP(D2365,$C$191:$C$196,$F$191:$F$196)</f>
        <v>0</v>
      </c>
      <c r="BD2364" s="157"/>
    </row>
    <row r="2365" spans="2:56">
      <c r="B2365" s="156"/>
      <c r="C2365" s="200" t="s">
        <v>642</v>
      </c>
      <c r="D2365" t="str">
        <f ca="1">OFFSET(Fuselage!$B$275,D2361,2)</f>
        <v>None</v>
      </c>
      <c r="G2365" s="200" t="s">
        <v>129</v>
      </c>
      <c r="H2365">
        <f ca="1">IF(OR(X2361="Type A",X2361="Type B"),MAX(H2361:H2364)+42*0.0254,IF(X2361="Type C",MAX(H2361:H2364)+X2362,IF(X2361&lt;&gt;"None",24*0.0254,0)))</f>
        <v>0</v>
      </c>
      <c r="K2365" s="200" t="s">
        <v>655</v>
      </c>
      <c r="L2365">
        <f ca="1">IF(D2363=1,FUSELAGE_nseats_right_FC,IF(D2363=2,FUSELAGE_nseats_right_BC,IF(D2363=3,FUSELAGE_nseats_right_YC,0)))</f>
        <v>0</v>
      </c>
      <c r="O2365" s="200" t="s">
        <v>407</v>
      </c>
      <c r="P2365">
        <f ca="1">($C$13-(L2363+L2364+L2365)*(P2361+P2363)+(FUSELAGE_n_aisles-1)*P2363)/FUSELAGE_n_aisles</f>
        <v>2.76</v>
      </c>
      <c r="S2365" s="200" t="s">
        <v>651</v>
      </c>
      <c r="T2365">
        <f ca="1">LOOKUP(D2366,$C$191:$C$196,$E$191:$E$196)</f>
        <v>0</v>
      </c>
      <c r="BD2365" s="157"/>
    </row>
    <row r="2366" spans="2:56">
      <c r="B2366" s="156"/>
      <c r="C2366" s="200" t="s">
        <v>641</v>
      </c>
      <c r="D2366" t="str">
        <f ca="1">OFFSET(Fuselage!$B$275,D2361,3)</f>
        <v>None</v>
      </c>
      <c r="G2366" s="200" t="s">
        <v>643</v>
      </c>
      <c r="H2366">
        <f ca="1">MAX(H2361:H2365)</f>
        <v>0</v>
      </c>
      <c r="S2366" s="200" t="s">
        <v>654</v>
      </c>
      <c r="T2366">
        <f ca="1">LOOKUP(D2366,$C$191:$C$196,$F$191:$F$196)</f>
        <v>0</v>
      </c>
      <c r="BD2366" s="157"/>
    </row>
    <row r="2367" spans="2:56" ht="15" thickBot="1">
      <c r="B2367" s="156"/>
      <c r="BD2367" s="157"/>
    </row>
    <row r="2368" spans="2:56" ht="15" thickBot="1">
      <c r="B2368" s="156"/>
      <c r="C2368" s="141">
        <f ca="1">L2365</f>
        <v>0</v>
      </c>
      <c r="D2368" s="197" t="str">
        <f ca="1">IF($D2363=1,"FC",IF($D2363=2,"BC",IF($D2363=3,"YC","Nothing")))</f>
        <v>Nothing</v>
      </c>
      <c r="E2368" s="198"/>
      <c r="G2368" s="141">
        <f ca="1">L2364</f>
        <v>0</v>
      </c>
      <c r="H2368" s="197" t="str">
        <f ca="1">IF($D2363=1,"FC",IF($D2363=2,"BC",IF($D2363=3,"YC","Nothing")))</f>
        <v>Nothing</v>
      </c>
      <c r="I2368" s="198"/>
      <c r="K2368" s="141">
        <f ca="1" xml:space="preserve"> L2363</f>
        <v>0</v>
      </c>
      <c r="L2368" s="197" t="str">
        <f ca="1">IF($D2363=1,"FC",IF($D2363=2,"BC",IF($D2363=3,"YC","Nothing")))</f>
        <v>Nothing</v>
      </c>
      <c r="M2368" s="198"/>
      <c r="O2368" s="141">
        <f ca="1">IF($D2366&lt;&gt;"None",1,0)</f>
        <v>0</v>
      </c>
      <c r="P2368" s="326" t="s">
        <v>380</v>
      </c>
      <c r="Q2368" s="327"/>
      <c r="S2368" s="141">
        <f ca="1">IF($D2365&lt;&gt;"None",1,0)</f>
        <v>0</v>
      </c>
      <c r="T2368" s="326" t="s">
        <v>381</v>
      </c>
      <c r="U2368" s="327"/>
      <c r="W2368" s="141">
        <f ca="1">IF($D2364&lt;&gt;"None",1,0)</f>
        <v>0</v>
      </c>
      <c r="X2368" s="326" t="s">
        <v>382</v>
      </c>
      <c r="Y2368" s="327"/>
      <c r="AA2368" s="141">
        <f ca="1">IF($D2366="None",1,0)</f>
        <v>1</v>
      </c>
      <c r="AB2368" s="326" t="str">
        <f ca="1">IF(AA2368,D2368,$D2366)</f>
        <v>Nothing</v>
      </c>
      <c r="AC2368" s="327"/>
      <c r="AE2368" s="141">
        <f ca="1">IF($D2365="None",1,0)</f>
        <v>1</v>
      </c>
      <c r="AF2368" s="326" t="str">
        <f ca="1">IF(AE2368,H2368,$D2365)</f>
        <v>Nothing</v>
      </c>
      <c r="AG2368" s="327"/>
      <c r="AI2368" s="141">
        <f ca="1">IF($D2364="None",1,0)</f>
        <v>1</v>
      </c>
      <c r="AJ2368" s="326" t="str">
        <f ca="1">IF(AI2368,L2368,$D2364)</f>
        <v>Nothing</v>
      </c>
      <c r="AK2368" s="327"/>
      <c r="AM2368" s="141">
        <f ca="1">IF($X2361="None",0,1)</f>
        <v>0</v>
      </c>
      <c r="AN2368" s="197" t="s">
        <v>133</v>
      </c>
      <c r="AO2368" s="198"/>
      <c r="AQ2368" s="141">
        <f ca="1">IF($X2361="None",0,1)</f>
        <v>0</v>
      </c>
      <c r="AR2368" s="197" t="s">
        <v>134</v>
      </c>
      <c r="AS2368" s="198"/>
      <c r="BD2368" s="157"/>
    </row>
    <row r="2369" spans="2:56" ht="15" thickBot="1">
      <c r="B2369" s="156"/>
      <c r="C2369" s="136" t="s">
        <v>452</v>
      </c>
      <c r="D2369" s="136" t="s">
        <v>384</v>
      </c>
      <c r="E2369" s="138" t="s">
        <v>385</v>
      </c>
      <c r="G2369" s="136" t="s">
        <v>452</v>
      </c>
      <c r="H2369" s="136" t="s">
        <v>384</v>
      </c>
      <c r="I2369" s="138" t="s">
        <v>385</v>
      </c>
      <c r="K2369" s="193" t="s">
        <v>452</v>
      </c>
      <c r="L2369" s="193" t="s">
        <v>384</v>
      </c>
      <c r="M2369" s="194" t="s">
        <v>385</v>
      </c>
      <c r="O2369" s="136" t="s">
        <v>452</v>
      </c>
      <c r="P2369" s="136" t="s">
        <v>384</v>
      </c>
      <c r="Q2369" s="138" t="s">
        <v>385</v>
      </c>
      <c r="S2369" s="136" t="s">
        <v>452</v>
      </c>
      <c r="T2369" s="136" t="s">
        <v>384</v>
      </c>
      <c r="U2369" s="138" t="s">
        <v>385</v>
      </c>
      <c r="W2369" s="136" t="s">
        <v>452</v>
      </c>
      <c r="X2369" s="136" t="s">
        <v>384</v>
      </c>
      <c r="Y2369" s="138" t="s">
        <v>385</v>
      </c>
      <c r="AA2369" s="136" t="s">
        <v>452</v>
      </c>
      <c r="AB2369" s="136" t="s">
        <v>384</v>
      </c>
      <c r="AC2369" s="138" t="s">
        <v>385</v>
      </c>
      <c r="AE2369" s="136" t="s">
        <v>452</v>
      </c>
      <c r="AF2369" s="136" t="s">
        <v>384</v>
      </c>
      <c r="AG2369" s="138" t="s">
        <v>385</v>
      </c>
      <c r="AI2369" s="193" t="s">
        <v>452</v>
      </c>
      <c r="AJ2369" s="193" t="s">
        <v>384</v>
      </c>
      <c r="AK2369" s="194" t="s">
        <v>385</v>
      </c>
      <c r="AM2369" s="193" t="s">
        <v>452</v>
      </c>
      <c r="AN2369" s="193" t="s">
        <v>384</v>
      </c>
      <c r="AO2369" s="194" t="s">
        <v>385</v>
      </c>
      <c r="AQ2369" s="193" t="s">
        <v>452</v>
      </c>
      <c r="AR2369" s="193" t="s">
        <v>384</v>
      </c>
      <c r="AS2369" s="194" t="s">
        <v>385</v>
      </c>
      <c r="BD2369" s="157"/>
    </row>
    <row r="2370" spans="2:56">
      <c r="B2370" s="156"/>
      <c r="C2370" s="128" t="s">
        <v>396</v>
      </c>
      <c r="D2370" s="158">
        <f ca="1">IF(C2368&gt;=1,L2361,8888)</f>
        <v>8888</v>
      </c>
      <c r="E2370" s="160">
        <f ca="1">IF(C2368&gt;=1,1/2*($C$13-P2361-2*P2363)+1/2*P2361,8888)</f>
        <v>8888</v>
      </c>
      <c r="G2370" s="128" t="s">
        <v>396</v>
      </c>
      <c r="H2370" s="158">
        <f ca="1">IF(G2368&gt;=1,L2361,8888)</f>
        <v>8888</v>
      </c>
      <c r="I2370" s="160">
        <f ca="1">IF(G2368&gt;=1,E2381-P2365,8888)</f>
        <v>8888</v>
      </c>
      <c r="K2370" s="128" t="s">
        <v>396</v>
      </c>
      <c r="L2370" s="158">
        <f ca="1">IF(K2368&gt;=1,L2361,8888)</f>
        <v>8888</v>
      </c>
      <c r="M2370" s="160">
        <f ca="1">IF(K2368&gt;=1,IF(FUSELAGE_n_aisles=1,E2381-P2365,I2393-P2365),8888)</f>
        <v>8888</v>
      </c>
      <c r="O2370" s="128" t="s">
        <v>396</v>
      </c>
      <c r="P2370" s="158">
        <f ca="1">IF(O2368,$L2361,8888)</f>
        <v>8888</v>
      </c>
      <c r="Q2370" s="209">
        <f ca="1">IF(O2368,FUSELAGE_y_position_of_left_seat_YC-(FUSELAGE_nseats_right_YC-1)*(SEAT_w_cushion_YC+SEAT_w_armrest_YC)/2+T2366/2,8888)</f>
        <v>8888</v>
      </c>
      <c r="S2370" s="128" t="s">
        <v>396</v>
      </c>
      <c r="T2370" s="158">
        <f ca="1">IF(S2368,$L2361,8888)</f>
        <v>8888</v>
      </c>
      <c r="U2370" s="160">
        <f ca="1">IF(S2368,T2364/2,8888)</f>
        <v>8888</v>
      </c>
      <c r="W2370" s="128" t="s">
        <v>396</v>
      </c>
      <c r="X2370" s="158">
        <f ca="1">IF(W2368,$L2361,8888)</f>
        <v>8888</v>
      </c>
      <c r="Y2370" s="160">
        <f ca="1">IF(W2368,-FUSELAGE_y_position_of_left_seat_YC+(FUSELAGE_nseats_left_YC-1)*(SEAT_w_cushion_YC+SEAT_w_armrest_YC)/2-T2362/2,8888)</f>
        <v>8888</v>
      </c>
      <c r="AA2370" s="128" t="s">
        <v>396</v>
      </c>
      <c r="AB2370" s="158">
        <f ca="1">IF($AA2368,D2370,P2370)</f>
        <v>8888</v>
      </c>
      <c r="AC2370" s="174">
        <f ca="1">IF($AA2368,E2370,Q2370)</f>
        <v>8888</v>
      </c>
      <c r="AE2370" s="128" t="s">
        <v>396</v>
      </c>
      <c r="AF2370" s="158">
        <f ca="1">IF($AE2368,H2370,T2370)</f>
        <v>8888</v>
      </c>
      <c r="AG2370" s="174">
        <f ca="1">IF($AE2368,I2370,U2370)</f>
        <v>8888</v>
      </c>
      <c r="AI2370" s="128" t="s">
        <v>396</v>
      </c>
      <c r="AJ2370" s="158">
        <f ca="1">IF($AI2368,L2370,X2370)</f>
        <v>8888</v>
      </c>
      <c r="AK2370" s="174">
        <f ca="1">IF($AI2368,M2370,Y2370)</f>
        <v>8888</v>
      </c>
      <c r="AM2370" s="128" t="s">
        <v>396</v>
      </c>
      <c r="AN2370" s="158">
        <f ca="1">AN2339</f>
        <v>-18.624000000000006</v>
      </c>
      <c r="AO2370" s="174">
        <f ca="1">IF(AN2370&gt;-Fuselage!$D$366,(FUSELAGE_a_ellipse)*SQRT(1-((AN2370+Fuselage!$D$366)/(Fuselage!$K$364-FUSELAGE_t_fuselage))^2),IF(AN2370&gt;$L$2505+Fuselage!$K$370,FUSELAGE_a_ellipse,(FUSELAGE_a_ellipse+FUSELAGE_t_fuselage-FUSELAGE_d_fo/4)/Fuselage!$K$368*(AN2370-$L$2505-Fuselage!$K$370)+FUSELAGE_a_ellipse))</f>
        <v>1.4960570012328709</v>
      </c>
      <c r="AQ2370" s="128" t="s">
        <v>396</v>
      </c>
      <c r="AR2370" s="158">
        <f t="shared" ref="AR2370:AR2375" ca="1" si="186">AN2370</f>
        <v>-18.624000000000006</v>
      </c>
      <c r="AS2370" s="174">
        <f t="shared" ref="AS2370:AS2375" ca="1" si="187">-AO2370</f>
        <v>-1.4960570012328709</v>
      </c>
      <c r="BD2370" s="157"/>
    </row>
    <row r="2371" spans="2:56">
      <c r="B2371" s="156"/>
      <c r="C2371" s="128" t="s">
        <v>213</v>
      </c>
      <c r="D2371" s="128">
        <f ca="1">IF(X2363,D2370+P2362/4,D2370+P2362)</f>
        <v>8888</v>
      </c>
      <c r="E2371" s="139">
        <f ca="1">E2370</f>
        <v>8888</v>
      </c>
      <c r="G2371" s="128" t="s">
        <v>213</v>
      </c>
      <c r="H2371" s="128">
        <f ca="1">H2370+P2362</f>
        <v>8888</v>
      </c>
      <c r="I2371" s="139">
        <f ca="1">I2370</f>
        <v>8888</v>
      </c>
      <c r="K2371" s="128" t="s">
        <v>213</v>
      </c>
      <c r="L2371" s="128">
        <f ca="1">IF(X2363,IF(K2368=1,L2370+P2362/4,L2370+P2362),L2370+P2362)</f>
        <v>8888</v>
      </c>
      <c r="M2371" s="139">
        <f ca="1">M2370</f>
        <v>8888</v>
      </c>
      <c r="O2371" s="128" t="s">
        <v>213</v>
      </c>
      <c r="P2371" s="128">
        <f ca="1">P2370+$T2365</f>
        <v>8888</v>
      </c>
      <c r="Q2371" s="139">
        <f ca="1">Q2370</f>
        <v>8888</v>
      </c>
      <c r="S2371" s="128" t="s">
        <v>213</v>
      </c>
      <c r="T2371" s="128">
        <f ca="1">T2370+$T2363</f>
        <v>8888</v>
      </c>
      <c r="U2371" s="139">
        <f ca="1">U2370</f>
        <v>8888</v>
      </c>
      <c r="W2371" s="128" t="s">
        <v>213</v>
      </c>
      <c r="X2371" s="128">
        <f ca="1">X2370+$T2361</f>
        <v>8888</v>
      </c>
      <c r="Y2371" s="139">
        <f ca="1">Y2370</f>
        <v>8888</v>
      </c>
      <c r="AA2371" s="143" t="s">
        <v>213</v>
      </c>
      <c r="AB2371" s="128">
        <f ca="1">IF($AA2368,D2371,P2371)</f>
        <v>8888</v>
      </c>
      <c r="AC2371" s="129">
        <f ca="1">IF($AA2368,E2371,Q2371)</f>
        <v>8888</v>
      </c>
      <c r="AE2371" s="128" t="s">
        <v>213</v>
      </c>
      <c r="AF2371" s="128">
        <f ca="1">IF($AE2368,H2371,T2371)</f>
        <v>8888</v>
      </c>
      <c r="AG2371" s="129">
        <f ca="1">IF($AE2368,I2371,U2371)</f>
        <v>8888</v>
      </c>
      <c r="AI2371" s="128" t="s">
        <v>213</v>
      </c>
      <c r="AJ2371" s="128">
        <f ca="1">IF($AI2368,L2371,X2371)</f>
        <v>8888</v>
      </c>
      <c r="AK2371" s="129">
        <f ca="1">IF($AI2368,M2371,Y2371)</f>
        <v>8888</v>
      </c>
      <c r="AM2371" s="128" t="s">
        <v>213</v>
      </c>
      <c r="AN2371" s="128">
        <f ca="1">AN2370-AO2361/2</f>
        <v>-18.624000000000006</v>
      </c>
      <c r="AO2371" s="129">
        <f ca="1">IF(AN2371&gt;-Fuselage!$D$366,(FUSELAGE_a_ellipse)*SQRT(1-((AN2371+Fuselage!$D$366)/(Fuselage!$K$364-FUSELAGE_t_fuselage))^2),IF(AN2371&gt;$L$2505+Fuselage!$K$370,FUSELAGE_a_ellipse,(FUSELAGE_a_ellipse+FUSELAGE_t_fuselage-FUSELAGE_d_fo/4)/Fuselage!$K$368*(AN2371-$L$2505-Fuselage!$K$370)+FUSELAGE_a_ellipse))</f>
        <v>1.4960570012328709</v>
      </c>
      <c r="AQ2371" s="128" t="s">
        <v>213</v>
      </c>
      <c r="AR2371" s="128">
        <f t="shared" ca="1" si="186"/>
        <v>-18.624000000000006</v>
      </c>
      <c r="AS2371" s="129">
        <f t="shared" ca="1" si="187"/>
        <v>-1.4960570012328709</v>
      </c>
      <c r="BD2371" s="157"/>
    </row>
    <row r="2372" spans="2:56">
      <c r="B2372" s="156"/>
      <c r="C2372" s="128" t="s">
        <v>286</v>
      </c>
      <c r="D2372" s="128">
        <f ca="1">D2371</f>
        <v>8888</v>
      </c>
      <c r="E2372" s="139">
        <f ca="1">E2371-P2361</f>
        <v>8888</v>
      </c>
      <c r="G2372" s="128" t="s">
        <v>286</v>
      </c>
      <c r="H2372" s="128">
        <f ca="1">H2371</f>
        <v>8888</v>
      </c>
      <c r="I2372" s="139">
        <f ca="1">I2371-P2361</f>
        <v>8888</v>
      </c>
      <c r="K2372" s="128" t="s">
        <v>286</v>
      </c>
      <c r="L2372" s="128">
        <f ca="1">L2371</f>
        <v>8888</v>
      </c>
      <c r="M2372" s="139">
        <f ca="1">M2371-P2361</f>
        <v>8888</v>
      </c>
      <c r="O2372" s="128" t="s">
        <v>286</v>
      </c>
      <c r="P2372" s="128">
        <f ca="1">P2371</f>
        <v>8888</v>
      </c>
      <c r="Q2372" s="139">
        <f ca="1">Q2371-$T2366</f>
        <v>8888</v>
      </c>
      <c r="S2372" s="128" t="s">
        <v>286</v>
      </c>
      <c r="T2372" s="128">
        <f ca="1">T2371</f>
        <v>8888</v>
      </c>
      <c r="U2372" s="139">
        <f ca="1">U2371-$T2364</f>
        <v>8888</v>
      </c>
      <c r="W2372" s="128" t="s">
        <v>286</v>
      </c>
      <c r="X2372" s="128">
        <f ca="1">X2371</f>
        <v>8888</v>
      </c>
      <c r="Y2372" s="139">
        <f ca="1">Y2371+$T2362</f>
        <v>8888</v>
      </c>
      <c r="AA2372" s="143" t="s">
        <v>286</v>
      </c>
      <c r="AB2372" s="128">
        <f ca="1">IF($AA2368,D2372,P2372)</f>
        <v>8888</v>
      </c>
      <c r="AC2372" s="129">
        <f ca="1">IF($AA2368,E2372,Q2372)</f>
        <v>8888</v>
      </c>
      <c r="AE2372" s="128" t="s">
        <v>286</v>
      </c>
      <c r="AF2372" s="128">
        <f ca="1">IF($AE2368,H2372,T2372)</f>
        <v>8888</v>
      </c>
      <c r="AG2372" s="129">
        <f ca="1">IF($AE2368,I2372,U2372)</f>
        <v>8888</v>
      </c>
      <c r="AI2372" s="128" t="s">
        <v>286</v>
      </c>
      <c r="AJ2372" s="128">
        <f ca="1">IF($AI2368,L2372,X2372)</f>
        <v>8888</v>
      </c>
      <c r="AK2372" s="129">
        <f ca="1">IF($AI2368,M2372,Y2372)</f>
        <v>8888</v>
      </c>
      <c r="AM2372" s="128" t="s">
        <v>286</v>
      </c>
      <c r="AN2372" s="128">
        <f ca="1">AN2371</f>
        <v>-18.624000000000006</v>
      </c>
      <c r="AO2372" s="129">
        <f ca="1">IF(AN2372&gt;-Fuselage!$D$366,IF(AM2368,(FUSELAGE_a_ellipse+FUSELAGE_t_fuselage)*SQRT(1-((AN2372+Fuselage!$D$366)/Fuselage!$K$364)^2),(FUSELAGE_a_ellipse)*SQRT(1-((AN2372+Fuselage!$D$366)/Fuselage!$K$364)^2)),IF(AN2372&gt;$L$2505+Fuselage!$K$370,(IF(AM2368,FUSELAGE_a_ellipse+FUSELAGE_t_fuselage,FUSELAGE_a_ellipse)),IF(AM2368,(FUSELAGE_a_ellipse+FUSELAGE_t_fuselage-FUSELAGE_d_fo/4)/Fuselage!$K$368*(AN2372-$L$2505-Fuselage!$K$370)+FUSELAGE_a_ellipse+FUSELAGE_t_fuselage,(FUSELAGE_a_ellipse+FUSELAGE_t_fuselage-FUSELAGE_d_fo/4)/Fuselage!$K$368*(AN2372-$L$2505-Fuselage!$K$370)+FUSELAGE_a_ellipse)))</f>
        <v>1.4960570012328709</v>
      </c>
      <c r="AQ2372" s="128" t="s">
        <v>286</v>
      </c>
      <c r="AR2372" s="128">
        <f t="shared" ca="1" si="186"/>
        <v>-18.624000000000006</v>
      </c>
      <c r="AS2372" s="129">
        <f t="shared" ca="1" si="187"/>
        <v>-1.4960570012328709</v>
      </c>
      <c r="BD2372" s="157"/>
    </row>
    <row r="2373" spans="2:56">
      <c r="B2373" s="156"/>
      <c r="C2373" s="188" t="s">
        <v>522</v>
      </c>
      <c r="D2373" s="188">
        <f ca="1">D2370</f>
        <v>8888</v>
      </c>
      <c r="E2373" s="189">
        <f ca="1">E2372</f>
        <v>8888</v>
      </c>
      <c r="F2373" s="157"/>
      <c r="G2373" s="2" t="s">
        <v>522</v>
      </c>
      <c r="H2373" s="128">
        <f ca="1">H2370</f>
        <v>8888</v>
      </c>
      <c r="I2373" s="139">
        <f ca="1">I2372</f>
        <v>8888</v>
      </c>
      <c r="K2373" s="128" t="s">
        <v>522</v>
      </c>
      <c r="L2373" s="128">
        <f ca="1">L2370</f>
        <v>8888</v>
      </c>
      <c r="M2373" s="139">
        <f ca="1">M2372</f>
        <v>8888</v>
      </c>
      <c r="O2373" s="188" t="s">
        <v>522</v>
      </c>
      <c r="P2373" s="188">
        <f ca="1">P2370</f>
        <v>8888</v>
      </c>
      <c r="Q2373" s="189">
        <f ca="1">Q2372</f>
        <v>8888</v>
      </c>
      <c r="S2373" s="188" t="s">
        <v>522</v>
      </c>
      <c r="T2373" s="188">
        <f ca="1">T2370</f>
        <v>8888</v>
      </c>
      <c r="U2373" s="189">
        <f ca="1">U2372</f>
        <v>8888</v>
      </c>
      <c r="W2373" s="188" t="s">
        <v>522</v>
      </c>
      <c r="X2373" s="188">
        <f ca="1">X2370</f>
        <v>8888</v>
      </c>
      <c r="Y2373" s="189">
        <f ca="1">Y2372</f>
        <v>8888</v>
      </c>
      <c r="AA2373" s="195" t="s">
        <v>522</v>
      </c>
      <c r="AB2373" s="128">
        <f ca="1">IF($AA2368,D2373,P2373)</f>
        <v>8888</v>
      </c>
      <c r="AC2373" s="129">
        <f ca="1">IF($AA2368,E2373,Q2373)</f>
        <v>8888</v>
      </c>
      <c r="AD2373" s="157"/>
      <c r="AE2373" s="2" t="s">
        <v>522</v>
      </c>
      <c r="AF2373" s="188">
        <f ca="1">IF($AE2368,H2373,T2373)</f>
        <v>8888</v>
      </c>
      <c r="AG2373" s="196">
        <f ca="1">IF($AE2368,I2373,U2373)</f>
        <v>8888</v>
      </c>
      <c r="AI2373" s="128" t="s">
        <v>522</v>
      </c>
      <c r="AJ2373" s="188">
        <f ca="1">IF($AI2368,L2373,X2373)</f>
        <v>8888</v>
      </c>
      <c r="AK2373" s="196">
        <f ca="1">IF($AI2368,M2373,Y2373)</f>
        <v>8888</v>
      </c>
      <c r="AM2373" s="128" t="s">
        <v>522</v>
      </c>
      <c r="AN2373" s="128">
        <f ca="1">AN2372-X2362</f>
        <v>-18.624000000000006</v>
      </c>
      <c r="AO2373" s="129">
        <f ca="1">IF(AN2373&gt;-Fuselage!$D$366,IF(AM2368,(FUSELAGE_a_ellipse+FUSELAGE_t_fuselage)*SQRT(1-((AN2373+Fuselage!$D$366)/Fuselage!$K$364)^2),(FUSELAGE_a_ellipse)*SQRT(1-((AN2373+Fuselage!$D$366)/Fuselage!$K$364)^2)),IF(AN2373&gt;$L$2505+Fuselage!$K$370,(IF(AM2368,FUSELAGE_a_ellipse+FUSELAGE_t_fuselage,FUSELAGE_a_ellipse)),IF(AM2368,(FUSELAGE_a_ellipse+FUSELAGE_t_fuselage-FUSELAGE_d_fo/4)/Fuselage!$K$368*(AN2373-$L$2505-Fuselage!$K$370)+FUSELAGE_a_ellipse+FUSELAGE_t_fuselage,(FUSELAGE_a_ellipse+FUSELAGE_t_fuselage-FUSELAGE_d_fo/4)/Fuselage!$K$368*(AN2373-$L$2505-Fuselage!$K$370)+FUSELAGE_a_ellipse)))</f>
        <v>1.4960570012328709</v>
      </c>
      <c r="AQ2373" s="128" t="s">
        <v>522</v>
      </c>
      <c r="AR2373" s="128">
        <f t="shared" ca="1" si="186"/>
        <v>-18.624000000000006</v>
      </c>
      <c r="AS2373" s="129">
        <f t="shared" ca="1" si="187"/>
        <v>-1.4960570012328709</v>
      </c>
      <c r="BD2373" s="157"/>
    </row>
    <row r="2374" spans="2:56" ht="15" thickBot="1">
      <c r="B2374" s="156"/>
      <c r="C2374" s="128" t="s">
        <v>49</v>
      </c>
      <c r="D2374" s="128">
        <f ca="1">IF(C2368&gt;=2,D2370,D2373)</f>
        <v>8888</v>
      </c>
      <c r="E2374" s="139">
        <f ca="1">IF(C2368&gt;=2,E2373-P2363,E2373)</f>
        <v>8888</v>
      </c>
      <c r="F2374" s="157"/>
      <c r="G2374" s="192" t="s">
        <v>49</v>
      </c>
      <c r="H2374" s="190">
        <f ca="1">IF(G2368&gt;=2,H2370,H2373)</f>
        <v>8888</v>
      </c>
      <c r="I2374" s="191">
        <f ca="1">IF(G2368&gt;=2,I2373-P2363,I2373)</f>
        <v>8888</v>
      </c>
      <c r="K2374" s="190" t="s">
        <v>49</v>
      </c>
      <c r="L2374" s="190">
        <f ca="1">IF(K2368&gt;=2,L2370,L2373)</f>
        <v>8888</v>
      </c>
      <c r="M2374" s="191">
        <f ca="1">IF(K2368&gt;=2,M2373-P2363,M2373)</f>
        <v>8888</v>
      </c>
      <c r="O2374" s="130" t="s">
        <v>396</v>
      </c>
      <c r="P2374" s="130">
        <f ca="1">P2370</f>
        <v>8888</v>
      </c>
      <c r="Q2374" s="140">
        <f ca="1">Q2370</f>
        <v>8888</v>
      </c>
      <c r="S2374" s="130" t="s">
        <v>396</v>
      </c>
      <c r="T2374" s="130">
        <f ca="1">T2370</f>
        <v>8888</v>
      </c>
      <c r="U2374" s="140">
        <f ca="1">U2370</f>
        <v>8888</v>
      </c>
      <c r="W2374" s="130" t="s">
        <v>396</v>
      </c>
      <c r="X2374" s="130">
        <f ca="1">X2370</f>
        <v>8888</v>
      </c>
      <c r="Y2374" s="140">
        <f ca="1">Y2370</f>
        <v>8888</v>
      </c>
      <c r="AA2374" s="143" t="s">
        <v>49</v>
      </c>
      <c r="AB2374" s="128">
        <f ca="1">IF($AA2368,D2374,P2374)</f>
        <v>8888</v>
      </c>
      <c r="AC2374" s="129">
        <f ca="1">IF($AA2368,E2374,Q2374)</f>
        <v>8888</v>
      </c>
      <c r="AD2374" s="157"/>
      <c r="AE2374" s="192" t="s">
        <v>49</v>
      </c>
      <c r="AF2374" s="128">
        <f ca="1">IF($AE2368,H2374,T2374)</f>
        <v>8888</v>
      </c>
      <c r="AG2374" s="129">
        <f ca="1">IF($AE2368,I2374,U2374)</f>
        <v>8888</v>
      </c>
      <c r="AI2374" s="190" t="s">
        <v>49</v>
      </c>
      <c r="AJ2374" s="128">
        <f ca="1">IF($AI2368,L2374,X2374)</f>
        <v>8888</v>
      </c>
      <c r="AK2374" s="129">
        <f ca="1">IF($AI2368,M2374,Y2374)</f>
        <v>8888</v>
      </c>
      <c r="AM2374" s="128" t="s">
        <v>49</v>
      </c>
      <c r="AN2374" s="128">
        <f ca="1">AN2373</f>
        <v>-18.624000000000006</v>
      </c>
      <c r="AO2374" s="129">
        <f ca="1">IF(AN2374&gt;-Fuselage!$D$366,(FUSELAGE_a_ellipse)*SQRT(1-((AN2374+Fuselage!$D$366)/(Fuselage!$K$364-FUSELAGE_t_fuselage))^2),IF(AN2374&gt;$L$2505+Fuselage!$K$370,FUSELAGE_a_ellipse,(FUSELAGE_a_ellipse+FUSELAGE_t_fuselage-FUSELAGE_d_fo/4)/Fuselage!$K$368*(AN2374-$L$2505-Fuselage!$K$370)+FUSELAGE_a_ellipse))</f>
        <v>1.4960570012328709</v>
      </c>
      <c r="AQ2374" s="128" t="s">
        <v>49</v>
      </c>
      <c r="AR2374" s="128">
        <f t="shared" ca="1" si="186"/>
        <v>-18.624000000000006</v>
      </c>
      <c r="AS2374" s="129">
        <f t="shared" ca="1" si="187"/>
        <v>-1.4960570012328709</v>
      </c>
      <c r="BD2374" s="157"/>
    </row>
    <row r="2375" spans="2:56">
      <c r="B2375" s="156"/>
      <c r="C2375" s="128" t="s">
        <v>453</v>
      </c>
      <c r="D2375" s="128">
        <f ca="1">IF(C2368&gt;=2,D2370+P2362,D2373)</f>
        <v>8888</v>
      </c>
      <c r="E2375" s="139">
        <f ca="1">E2374</f>
        <v>8888</v>
      </c>
      <c r="F2375" s="157"/>
      <c r="G2375" s="2" t="s">
        <v>453</v>
      </c>
      <c r="H2375" s="128">
        <f ca="1">IF(G2368&gt;=2,H2371,H2373)</f>
        <v>8888</v>
      </c>
      <c r="I2375" s="139">
        <f ca="1">IF(G2368&gt;=2,I2374,I2373)</f>
        <v>8888</v>
      </c>
      <c r="K2375" s="128" t="s">
        <v>453</v>
      </c>
      <c r="L2375" s="128">
        <f ca="1">IF(K2368&gt;=2,IF(X2363,IF(K2368=2,L2370+P2362/4,L2370+P2362),L2370+P2362),L2373)</f>
        <v>8888</v>
      </c>
      <c r="M2375" s="139">
        <f ca="1">IF(K2368&gt;=2,M2374,M2373)</f>
        <v>8888</v>
      </c>
      <c r="AA2375" s="143" t="s">
        <v>453</v>
      </c>
      <c r="AB2375" s="128">
        <f ca="1">IF($AA2368,D2375,AB2374)</f>
        <v>8888</v>
      </c>
      <c r="AC2375" s="129">
        <f ca="1">IF($AA2368,E2375,AC2374)</f>
        <v>8888</v>
      </c>
      <c r="AD2375" s="157"/>
      <c r="AE2375" s="2" t="s">
        <v>453</v>
      </c>
      <c r="AF2375" s="128">
        <f ca="1">IF($AE2368,H2375,AF2374)</f>
        <v>8888</v>
      </c>
      <c r="AG2375" s="129">
        <f ca="1">IF($AE2368,I2375,AG2374)</f>
        <v>8888</v>
      </c>
      <c r="AI2375" s="128" t="s">
        <v>453</v>
      </c>
      <c r="AJ2375" s="128">
        <f ca="1">IF($AI2368,L2375,AJ2374)</f>
        <v>8888</v>
      </c>
      <c r="AK2375" s="129">
        <f ca="1">IF($AI2368,M2375,AK2374)</f>
        <v>8888</v>
      </c>
      <c r="AM2375" s="128" t="s">
        <v>453</v>
      </c>
      <c r="AN2375" s="128">
        <f ca="1">L2361</f>
        <v>-18.624000000000006</v>
      </c>
      <c r="AO2375" s="129">
        <f ca="1">IF(AN2375&gt;-Fuselage!$D$366,(FUSELAGE_a_ellipse)*SQRT(1-((AN2375+Fuselage!$D$366)/(Fuselage!$K$364-FUSELAGE_t_fuselage))^2),IF(AN2375&gt;$L$2505+Fuselage!$K$370,FUSELAGE_a_ellipse,(FUSELAGE_a_ellipse+FUSELAGE_t_fuselage-FUSELAGE_d_fo/4)/Fuselage!$K$368*(AN2375-$L$2505-Fuselage!$K$370)+FUSELAGE_a_ellipse))</f>
        <v>1.4960570012328709</v>
      </c>
      <c r="AQ2375" s="128" t="s">
        <v>453</v>
      </c>
      <c r="AR2375" s="128">
        <f t="shared" ca="1" si="186"/>
        <v>-18.624000000000006</v>
      </c>
      <c r="AS2375" s="129">
        <f t="shared" ca="1" si="187"/>
        <v>-1.4960570012328709</v>
      </c>
      <c r="BD2375" s="157"/>
    </row>
    <row r="2376" spans="2:56">
      <c r="B2376" s="156"/>
      <c r="C2376" s="128" t="s">
        <v>394</v>
      </c>
      <c r="D2376" s="128">
        <f ca="1">IF(C2368&gt;=2,D2375,D2373)</f>
        <v>8888</v>
      </c>
      <c r="E2376" s="139">
        <f ca="1">IF(C2368&gt;=2,E2374-P2361,E2373)</f>
        <v>8888</v>
      </c>
      <c r="F2376" s="157"/>
      <c r="G2376" s="2" t="s">
        <v>394</v>
      </c>
      <c r="H2376" s="128">
        <f ca="1">IF(G2368&gt;=2,H2371,H2373)</f>
        <v>8888</v>
      </c>
      <c r="I2376" s="139">
        <f ca="1">IF(G2368&gt;=2,I2375-P2361,I2373)</f>
        <v>8888</v>
      </c>
      <c r="K2376" s="128" t="s">
        <v>394</v>
      </c>
      <c r="L2376" s="128">
        <f ca="1">L2375</f>
        <v>8888</v>
      </c>
      <c r="M2376" s="139">
        <f ca="1">IF(K2368&gt;=2,M2375-P2361,M2373)</f>
        <v>8888</v>
      </c>
      <c r="AA2376" s="143" t="s">
        <v>394</v>
      </c>
      <c r="AB2376" s="128">
        <f ca="1">IF($AA2368,D2376,AB2374)</f>
        <v>8888</v>
      </c>
      <c r="AC2376" s="129">
        <f ca="1">IF($AA2368,E2376,AC2374)</f>
        <v>8888</v>
      </c>
      <c r="AD2376" s="157"/>
      <c r="AE2376" s="2" t="s">
        <v>394</v>
      </c>
      <c r="AF2376" s="128">
        <f ca="1">IF($AE2368,H2376,AF2374)</f>
        <v>8888</v>
      </c>
      <c r="AG2376" s="129">
        <f ca="1">IF($AE2368,I2376,AG2374)</f>
        <v>8888</v>
      </c>
      <c r="AI2376" s="128" t="s">
        <v>394</v>
      </c>
      <c r="AJ2376" s="128">
        <f ca="1">IF($AI2368,L2376,AJ2374)</f>
        <v>8888</v>
      </c>
      <c r="AK2376" s="129">
        <f ca="1">IF($AI2368,M2376,AK2374)</f>
        <v>8888</v>
      </c>
      <c r="BD2376" s="157"/>
    </row>
    <row r="2377" spans="2:56">
      <c r="B2377" s="156"/>
      <c r="C2377" s="188" t="s">
        <v>454</v>
      </c>
      <c r="D2377" s="188">
        <f ca="1">IF(C2368&gt;=2,D2370,D2373)</f>
        <v>8888</v>
      </c>
      <c r="E2377" s="189">
        <f ca="1">E2376</f>
        <v>8888</v>
      </c>
      <c r="F2377" s="157"/>
      <c r="G2377" s="115" t="s">
        <v>454</v>
      </c>
      <c r="H2377" s="188">
        <f ca="1">IF(G2368&gt;=2,H2370,H2373)</f>
        <v>8888</v>
      </c>
      <c r="I2377" s="189">
        <f ca="1">IF(G2368&gt;=2,I2376,I2373)</f>
        <v>8888</v>
      </c>
      <c r="K2377" s="188" t="s">
        <v>454</v>
      </c>
      <c r="L2377" s="188">
        <f ca="1">IF(K2368&gt;=2,L2370,L2373)</f>
        <v>8888</v>
      </c>
      <c r="M2377" s="189">
        <f ca="1">IF(K2368&gt;=2,M2376,M2373)</f>
        <v>8888</v>
      </c>
      <c r="AA2377" s="195" t="s">
        <v>454</v>
      </c>
      <c r="AB2377" s="128">
        <f ca="1">IF($AA2368,D2377,AB2374)</f>
        <v>8888</v>
      </c>
      <c r="AC2377" s="129">
        <f ca="1">IF($AA2368,E2377,AC2374)</f>
        <v>8888</v>
      </c>
      <c r="AD2377" s="157"/>
      <c r="AE2377" s="115" t="s">
        <v>454</v>
      </c>
      <c r="AF2377" s="188">
        <f ca="1">IF($AE2368,H2377,AF2374)</f>
        <v>8888</v>
      </c>
      <c r="AG2377" s="196">
        <f ca="1">IF($AE2368,I2377,AG2374)</f>
        <v>8888</v>
      </c>
      <c r="AI2377" s="188" t="s">
        <v>454</v>
      </c>
      <c r="AJ2377" s="188">
        <f ca="1">IF($AI2368,L2377,AJ2374)</f>
        <v>8888</v>
      </c>
      <c r="AK2377" s="196">
        <f ca="1">IF($AI2368,M2377,AK2374)</f>
        <v>8888</v>
      </c>
      <c r="BD2377" s="157"/>
    </row>
    <row r="2378" spans="2:56">
      <c r="B2378" s="156"/>
      <c r="C2378" s="128" t="s">
        <v>507</v>
      </c>
      <c r="D2378" s="128">
        <f ca="1">IF(C2368&gt;=3,D2370,D2377)</f>
        <v>8888</v>
      </c>
      <c r="E2378" s="139">
        <f ca="1">IF(C2368&gt;=3,E2377-P2363,E2377)</f>
        <v>8888</v>
      </c>
      <c r="F2378" s="157"/>
      <c r="G2378" s="2" t="s">
        <v>507</v>
      </c>
      <c r="H2378" s="128">
        <f ca="1">IF(G2368&gt;=3,H2370,H2377)</f>
        <v>8888</v>
      </c>
      <c r="I2378" s="139">
        <f ca="1">IF(G2368&gt;=3,I2377-P2363,I2377)</f>
        <v>8888</v>
      </c>
      <c r="K2378" s="128" t="s">
        <v>507</v>
      </c>
      <c r="L2378" s="128">
        <f ca="1">IF(K2368&gt;=3,L2370,L2377)</f>
        <v>8888</v>
      </c>
      <c r="M2378" s="139">
        <f ca="1">IF(K2368&gt;=3,M2377-P2363,M2377)</f>
        <v>8888</v>
      </c>
      <c r="AA2378" s="143" t="s">
        <v>507</v>
      </c>
      <c r="AB2378" s="128">
        <f ca="1">IF($AA2368,D2378,AB2374)</f>
        <v>8888</v>
      </c>
      <c r="AC2378" s="129">
        <f ca="1">IF($AA2368,E2378,AC2374)</f>
        <v>8888</v>
      </c>
      <c r="AD2378" s="157"/>
      <c r="AE2378" s="2" t="s">
        <v>507</v>
      </c>
      <c r="AF2378" s="128">
        <f ca="1">IF($AE2368,H2378,AF2374)</f>
        <v>8888</v>
      </c>
      <c r="AG2378" s="129">
        <f ca="1">IF($AE2368,I2378,AG2374)</f>
        <v>8888</v>
      </c>
      <c r="AI2378" s="128" t="s">
        <v>507</v>
      </c>
      <c r="AJ2378" s="128">
        <f ca="1">IF($AI2368,L2378,AJ2374)</f>
        <v>8888</v>
      </c>
      <c r="AK2378" s="129">
        <f ca="1">IF($AI2368,M2378,AK2374)</f>
        <v>8888</v>
      </c>
      <c r="BD2378" s="157"/>
    </row>
    <row r="2379" spans="2:56">
      <c r="B2379" s="156"/>
      <c r="C2379" s="128" t="s">
        <v>455</v>
      </c>
      <c r="D2379" s="128">
        <f ca="1">IF(C2368&gt;=3,D2375,D2377)</f>
        <v>8888</v>
      </c>
      <c r="E2379" s="139">
        <f ca="1">E2378</f>
        <v>8888</v>
      </c>
      <c r="F2379" s="157"/>
      <c r="G2379" s="2" t="s">
        <v>455</v>
      </c>
      <c r="H2379" s="128">
        <f ca="1">IF(G2368&gt;=3,H2371,H2377)</f>
        <v>8888</v>
      </c>
      <c r="I2379" s="139">
        <f ca="1">IF(G2368&gt;=3,I2378,I2377)</f>
        <v>8888</v>
      </c>
      <c r="K2379" s="128" t="s">
        <v>455</v>
      </c>
      <c r="L2379" s="128">
        <f ca="1">IF(K2368&gt;=3,IF(X2363,IF(K2368=3,L2370+P2362/4,L2370+P2362),L2370+P2362),L2373)</f>
        <v>8888</v>
      </c>
      <c r="M2379" s="139">
        <f ca="1">IF(K2368&gt;=3,M2378,M2377)</f>
        <v>8888</v>
      </c>
      <c r="AA2379" s="143" t="s">
        <v>455</v>
      </c>
      <c r="AB2379" s="128">
        <f ca="1">IF($AA2368,D2379,AB2374)</f>
        <v>8888</v>
      </c>
      <c r="AC2379" s="129">
        <f ca="1">IF($AA2368,E2379,AC2374)</f>
        <v>8888</v>
      </c>
      <c r="AD2379" s="157"/>
      <c r="AE2379" s="2" t="s">
        <v>455</v>
      </c>
      <c r="AF2379" s="128">
        <f ca="1">IF($AE2368,H2379,AF2374)</f>
        <v>8888</v>
      </c>
      <c r="AG2379" s="129">
        <f ca="1">IF($AE2368,I2379,AG2374)</f>
        <v>8888</v>
      </c>
      <c r="AI2379" s="128" t="s">
        <v>455</v>
      </c>
      <c r="AJ2379" s="128">
        <f ca="1">IF($AI2368,L2379,AJ2374)</f>
        <v>8888</v>
      </c>
      <c r="AK2379" s="129">
        <f ca="1">IF($AI2368,M2379,AK2374)</f>
        <v>8888</v>
      </c>
      <c r="AL2379" s="156"/>
      <c r="BD2379" s="157"/>
    </row>
    <row r="2380" spans="2:56">
      <c r="B2380" s="156"/>
      <c r="C2380" s="128" t="s">
        <v>311</v>
      </c>
      <c r="D2380" s="128">
        <f ca="1">IF(C2368&gt;=3,D2375,D2377)</f>
        <v>8888</v>
      </c>
      <c r="E2380" s="139">
        <f ca="1">IF(C2368&gt;=3,E2379-P2361,E2377)</f>
        <v>8888</v>
      </c>
      <c r="F2380" s="157"/>
      <c r="G2380" s="2" t="s">
        <v>311</v>
      </c>
      <c r="H2380" s="128">
        <f ca="1">IF(G2368&gt;=3,H2371,H2377)</f>
        <v>8888</v>
      </c>
      <c r="I2380" s="139">
        <f ca="1">IF(G2368&gt;=3,I2379-P2361,I2377)</f>
        <v>8888</v>
      </c>
      <c r="K2380" s="128" t="s">
        <v>311</v>
      </c>
      <c r="L2380" s="128">
        <f ca="1">L2379</f>
        <v>8888</v>
      </c>
      <c r="M2380" s="139">
        <f ca="1">IF(K2368&gt;=3,M2379-P2361,M2377)</f>
        <v>8888</v>
      </c>
      <c r="AA2380" s="143" t="s">
        <v>311</v>
      </c>
      <c r="AB2380" s="128">
        <f ca="1">IF($AA2368,D2380,AB2374)</f>
        <v>8888</v>
      </c>
      <c r="AC2380" s="129">
        <f ca="1">IF($AA2368,E2380,AC2374)</f>
        <v>8888</v>
      </c>
      <c r="AD2380" s="157"/>
      <c r="AE2380" s="2" t="s">
        <v>311</v>
      </c>
      <c r="AF2380" s="128">
        <f ca="1">IF($AE2368,H2380,AF2374)</f>
        <v>8888</v>
      </c>
      <c r="AG2380" s="129">
        <f ca="1">IF($AE2368,I2380,AG2374)</f>
        <v>8888</v>
      </c>
      <c r="AI2380" s="128" t="s">
        <v>311</v>
      </c>
      <c r="AJ2380" s="128">
        <f ca="1">IF($AI2368,L2380,AJ2374)</f>
        <v>8888</v>
      </c>
      <c r="AK2380" s="129">
        <f ca="1">IF($AI2368,M2380,AK2374)</f>
        <v>8888</v>
      </c>
      <c r="AL2380" s="156"/>
      <c r="BD2380" s="157"/>
    </row>
    <row r="2381" spans="2:56">
      <c r="B2381" s="156"/>
      <c r="C2381" s="188" t="s">
        <v>35</v>
      </c>
      <c r="D2381" s="188">
        <f ca="1">IF(C2368&gt;=3,D2370,D2377)</f>
        <v>8888</v>
      </c>
      <c r="E2381" s="189">
        <f ca="1">E2380</f>
        <v>8888</v>
      </c>
      <c r="F2381" s="157"/>
      <c r="G2381" s="2" t="s">
        <v>35</v>
      </c>
      <c r="H2381" s="188">
        <f ca="1">IF(G2368&gt;=3,H2370,H2377)</f>
        <v>8888</v>
      </c>
      <c r="I2381" s="189">
        <f ca="1">IF(G2368&gt;=3,I2380,I2377)</f>
        <v>8888</v>
      </c>
      <c r="K2381" s="188" t="s">
        <v>35</v>
      </c>
      <c r="L2381" s="188">
        <f ca="1">IF(K2368&gt;=3,L2370,L2377)</f>
        <v>8888</v>
      </c>
      <c r="M2381" s="189">
        <f ca="1">IF(K2368&gt;=3,M2380,M2377)</f>
        <v>8888</v>
      </c>
      <c r="AA2381" s="143" t="s">
        <v>35</v>
      </c>
      <c r="AB2381" s="128">
        <f ca="1">IF($AA2368,D2381,AB2374)</f>
        <v>8888</v>
      </c>
      <c r="AC2381" s="129">
        <f ca="1">IF($AA2368,E2381,AC2374)</f>
        <v>8888</v>
      </c>
      <c r="AD2381" s="157"/>
      <c r="AE2381" s="2" t="s">
        <v>35</v>
      </c>
      <c r="AF2381" s="188">
        <f ca="1">IF($AE2368,H2381,AF2374)</f>
        <v>8888</v>
      </c>
      <c r="AG2381" s="196">
        <f ca="1">IF($AE2368,I2381,AG2374)</f>
        <v>8888</v>
      </c>
      <c r="AI2381" s="128" t="s">
        <v>35</v>
      </c>
      <c r="AJ2381" s="128">
        <f ca="1">IF($AI2368,L2381,AJ2374)</f>
        <v>8888</v>
      </c>
      <c r="AK2381" s="129">
        <f ca="1">IF($AI2368,M2381,AK2374)</f>
        <v>8888</v>
      </c>
      <c r="AL2381" s="156"/>
      <c r="BD2381" s="157"/>
    </row>
    <row r="2382" spans="2:56" ht="15" thickBot="1">
      <c r="B2382" s="156"/>
      <c r="C2382" s="130" t="s">
        <v>396</v>
      </c>
      <c r="D2382" s="130">
        <f ca="1">D2370</f>
        <v>8888</v>
      </c>
      <c r="E2382" s="140">
        <f ca="1">E2370</f>
        <v>8888</v>
      </c>
      <c r="F2382" s="157"/>
      <c r="G2382" s="192" t="s">
        <v>312</v>
      </c>
      <c r="H2382" s="128">
        <f ca="1">IF(G2368&gt;=4,H2370,H2381)</f>
        <v>8888</v>
      </c>
      <c r="I2382" s="139">
        <f ca="1">IF(G2368&gt;=4,I2381-P2363,I2381)</f>
        <v>8888</v>
      </c>
      <c r="K2382" s="130" t="s">
        <v>396</v>
      </c>
      <c r="L2382" s="130">
        <f ca="1">L2370</f>
        <v>8888</v>
      </c>
      <c r="M2382" s="140">
        <f ca="1">M2370</f>
        <v>8888</v>
      </c>
      <c r="AA2382" s="144" t="s">
        <v>396</v>
      </c>
      <c r="AB2382" s="130">
        <f ca="1">IF($AA2368,D2382,AB2374)</f>
        <v>8888</v>
      </c>
      <c r="AC2382" s="132">
        <f ca="1">IF($AA2368,E2382,AC2374)</f>
        <v>8888</v>
      </c>
      <c r="AD2382" s="157"/>
      <c r="AE2382" s="192" t="s">
        <v>312</v>
      </c>
      <c r="AF2382" s="128">
        <f ca="1">IF($AE2368,H2382,AF2374)</f>
        <v>8888</v>
      </c>
      <c r="AG2382" s="129">
        <f ca="1">IF($AE2368,I2382,AG2374)</f>
        <v>8888</v>
      </c>
      <c r="AI2382" s="130" t="s">
        <v>396</v>
      </c>
      <c r="AJ2382" s="130">
        <f ca="1">IF($AI2368,L2382,AJ2374)</f>
        <v>8888</v>
      </c>
      <c r="AK2382" s="132">
        <f ca="1">IF($AI2368,M2382,AK2374)</f>
        <v>8888</v>
      </c>
      <c r="BD2382" s="157"/>
    </row>
    <row r="2383" spans="2:56">
      <c r="B2383" s="156"/>
      <c r="F2383" s="157"/>
      <c r="G2383" s="2" t="s">
        <v>313</v>
      </c>
      <c r="H2383" s="128">
        <f ca="1">IF(G2368&gt;=4,H2371,H2381)</f>
        <v>8888</v>
      </c>
      <c r="I2383" s="139">
        <f ca="1">IF(G2368&gt;=4,I2382,I2381)</f>
        <v>8888</v>
      </c>
      <c r="AD2383" s="157"/>
      <c r="AE2383" s="2" t="s">
        <v>313</v>
      </c>
      <c r="AF2383" s="128">
        <f ca="1">IF($AE2368,H2383,AF2374)</f>
        <v>8888</v>
      </c>
      <c r="AG2383" s="129">
        <f ca="1">IF($AE2368,I2383,AG2374)</f>
        <v>8888</v>
      </c>
      <c r="BD2383" s="157"/>
    </row>
    <row r="2384" spans="2:56">
      <c r="B2384" s="156"/>
      <c r="F2384" s="157"/>
      <c r="G2384" s="2" t="s">
        <v>7</v>
      </c>
      <c r="H2384" s="128">
        <f ca="1">IF(G2368&gt;=4,H2371,H2381)</f>
        <v>8888</v>
      </c>
      <c r="I2384" s="139">
        <f ca="1">IF(G2368&gt;=4,I2383-P2361,I2381)</f>
        <v>8888</v>
      </c>
      <c r="AD2384" s="157"/>
      <c r="AE2384" s="2" t="s">
        <v>7</v>
      </c>
      <c r="AF2384" s="128">
        <f ca="1">IF($AE2368,H2384,AF2374)</f>
        <v>8888</v>
      </c>
      <c r="AG2384" s="129">
        <f ca="1">IF($AE2368,I2384,AG2374)</f>
        <v>8888</v>
      </c>
      <c r="BD2384" s="157"/>
    </row>
    <row r="2385" spans="2:56">
      <c r="B2385" s="156"/>
      <c r="F2385" s="157"/>
      <c r="G2385" s="115" t="s">
        <v>8</v>
      </c>
      <c r="H2385" s="188">
        <f ca="1">IF(G2368&gt;=4,H2370,H2381)</f>
        <v>8888</v>
      </c>
      <c r="I2385" s="189">
        <f ca="1">IF(G2368&gt;=4,I2384,I2381)</f>
        <v>8888</v>
      </c>
      <c r="AD2385" s="157"/>
      <c r="AE2385" s="115" t="s">
        <v>8</v>
      </c>
      <c r="AF2385" s="188">
        <f ca="1">IF($AE2368,H2385,AF2374)</f>
        <v>8888</v>
      </c>
      <c r="AG2385" s="196">
        <f ca="1">IF($AE2368,I2385,AG2374)</f>
        <v>8888</v>
      </c>
      <c r="BD2385" s="157"/>
    </row>
    <row r="2386" spans="2:56">
      <c r="B2386" s="156"/>
      <c r="F2386" s="157"/>
      <c r="G2386" s="2" t="s">
        <v>9</v>
      </c>
      <c r="H2386" s="128">
        <f ca="1">IF(G2368&gt;=5,H2370,H2385)</f>
        <v>8888</v>
      </c>
      <c r="I2386" s="139">
        <f ca="1">IF(G2368&gt;=5,I2385-P2363,I2385)</f>
        <v>8888</v>
      </c>
      <c r="AD2386" s="157"/>
      <c r="AE2386" s="2" t="s">
        <v>9</v>
      </c>
      <c r="AF2386" s="128">
        <f ca="1">IF($AE2368,H2386,AF2374)</f>
        <v>8888</v>
      </c>
      <c r="AG2386" s="129">
        <f ca="1">IF($AE2368,I2386,AG2374)</f>
        <v>8888</v>
      </c>
      <c r="BD2386" s="157"/>
    </row>
    <row r="2387" spans="2:56">
      <c r="B2387" s="156"/>
      <c r="F2387" s="157"/>
      <c r="G2387" s="2" t="s">
        <v>196</v>
      </c>
      <c r="H2387" s="128">
        <f ca="1">IF(G2368&gt;=5,H2371,H2385)</f>
        <v>8888</v>
      </c>
      <c r="I2387" s="139">
        <f ca="1">IF(G2368&gt;=5,I2386,I2385)</f>
        <v>8888</v>
      </c>
      <c r="AD2387" s="157"/>
      <c r="AE2387" s="2" t="s">
        <v>196</v>
      </c>
      <c r="AF2387" s="128">
        <f ca="1">IF($AE2368,H2387,AF2374)</f>
        <v>8888</v>
      </c>
      <c r="AG2387" s="129">
        <f ca="1">IF($AE2368,I2387,AG2374)</f>
        <v>8888</v>
      </c>
      <c r="BD2387" s="157"/>
    </row>
    <row r="2388" spans="2:56">
      <c r="B2388" s="156"/>
      <c r="F2388" s="157"/>
      <c r="G2388" s="2" t="s">
        <v>10</v>
      </c>
      <c r="H2388" s="128">
        <f ca="1">IF(G2368&gt;=5,H2371,H2385)</f>
        <v>8888</v>
      </c>
      <c r="I2388" s="139">
        <f ca="1">IF(G2368&gt;=5,I2387-P2361,I2385)</f>
        <v>8888</v>
      </c>
      <c r="AD2388" s="157"/>
      <c r="AE2388" s="2" t="s">
        <v>10</v>
      </c>
      <c r="AF2388" s="128">
        <f ca="1">IF($AE2368,H2388,AF2374)</f>
        <v>8888</v>
      </c>
      <c r="AG2388" s="129">
        <f ca="1">IF($AE2368,I2388,AG2374)</f>
        <v>8888</v>
      </c>
      <c r="BD2388" s="157"/>
    </row>
    <row r="2389" spans="2:56">
      <c r="B2389" s="156"/>
      <c r="F2389" s="157"/>
      <c r="G2389" s="2" t="s">
        <v>161</v>
      </c>
      <c r="H2389" s="188">
        <f ca="1">IF(G2368&gt;=5,H2370,H2385)</f>
        <v>8888</v>
      </c>
      <c r="I2389" s="189">
        <f ca="1">IF(G2368&gt;=5,I2388,I2385)</f>
        <v>8888</v>
      </c>
      <c r="AD2389" s="157"/>
      <c r="AE2389" s="2" t="s">
        <v>161</v>
      </c>
      <c r="AF2389" s="188">
        <f ca="1">IF($AE2368,H2389,AF2374)</f>
        <v>8888</v>
      </c>
      <c r="AG2389" s="196">
        <f ca="1">IF($AE2368,I2389,AG2374)</f>
        <v>8888</v>
      </c>
      <c r="BD2389" s="157"/>
    </row>
    <row r="2390" spans="2:56">
      <c r="B2390" s="156"/>
      <c r="F2390" s="157"/>
      <c r="G2390" s="192" t="s">
        <v>11</v>
      </c>
      <c r="H2390" s="128">
        <f ca="1">IF(G2368&gt;=6,H2370,H2389)</f>
        <v>8888</v>
      </c>
      <c r="I2390" s="139">
        <f ca="1">IF(G2368&gt;=6,I2389-P2363,I2389)</f>
        <v>8888</v>
      </c>
      <c r="AD2390" s="157"/>
      <c r="AE2390" s="192" t="s">
        <v>11</v>
      </c>
      <c r="AF2390" s="128">
        <f ca="1">IF($AE2368,H2390,AF2374)</f>
        <v>8888</v>
      </c>
      <c r="AG2390" s="129">
        <f ca="1">IF($AE2368,I2390,AG2374)</f>
        <v>8888</v>
      </c>
      <c r="BD2390" s="157"/>
    </row>
    <row r="2391" spans="2:56">
      <c r="B2391" s="156"/>
      <c r="F2391" s="157"/>
      <c r="G2391" s="2" t="s">
        <v>12</v>
      </c>
      <c r="H2391" s="128">
        <f ca="1">IF(G2368&gt;=6,H2371,H2389)</f>
        <v>8888</v>
      </c>
      <c r="I2391" s="139">
        <f ca="1">IF(G2368&gt;=6,I2390,I2389)</f>
        <v>8888</v>
      </c>
      <c r="AD2391" s="157"/>
      <c r="AE2391" s="2" t="s">
        <v>12</v>
      </c>
      <c r="AF2391" s="128">
        <f ca="1">IF($AE2368,H2391,AF2374)</f>
        <v>8888</v>
      </c>
      <c r="AG2391" s="129">
        <f ca="1">IF($AE2368,I2391,AG2374)</f>
        <v>8888</v>
      </c>
      <c r="BD2391" s="157"/>
    </row>
    <row r="2392" spans="2:56">
      <c r="B2392" s="156"/>
      <c r="F2392" s="157"/>
      <c r="G2392" s="2" t="s">
        <v>13</v>
      </c>
      <c r="H2392" s="128">
        <f ca="1">IF(G2368&gt;=6,H2371,H2389)</f>
        <v>8888</v>
      </c>
      <c r="I2392" s="139">
        <f ca="1">IF(G2368&gt;=6,I2391-P2361,I2389)</f>
        <v>8888</v>
      </c>
      <c r="AD2392" s="157"/>
      <c r="AE2392" s="2" t="s">
        <v>13</v>
      </c>
      <c r="AF2392" s="128">
        <f ca="1">IF($AE2368,H2392,AF2374)</f>
        <v>8888</v>
      </c>
      <c r="AG2392" s="129">
        <f ca="1">IF($AE2368,I2392,AG2374)</f>
        <v>8888</v>
      </c>
      <c r="BD2392" s="157"/>
    </row>
    <row r="2393" spans="2:56">
      <c r="B2393" s="156"/>
      <c r="F2393" s="157"/>
      <c r="G2393" s="115" t="s">
        <v>14</v>
      </c>
      <c r="H2393" s="188">
        <f ca="1">IF(G2368&gt;=6,H2370,H2389)</f>
        <v>8888</v>
      </c>
      <c r="I2393" s="189">
        <f ca="1">IF(G2368&gt;=6,I2392,I2389)</f>
        <v>8888</v>
      </c>
      <c r="AD2393" s="157"/>
      <c r="AE2393" s="115" t="s">
        <v>14</v>
      </c>
      <c r="AF2393" s="188">
        <f ca="1">IF($AE2368,H2393,AF2374)</f>
        <v>8888</v>
      </c>
      <c r="AG2393" s="196">
        <f ca="1">IF($AE2368,I2393,AG2374)</f>
        <v>8888</v>
      </c>
      <c r="BD2393" s="157"/>
    </row>
    <row r="2394" spans="2:56" ht="15" thickBot="1">
      <c r="B2394" s="156"/>
      <c r="G2394" s="130" t="s">
        <v>396</v>
      </c>
      <c r="H2394" s="130">
        <f ca="1">H2370</f>
        <v>8888</v>
      </c>
      <c r="I2394" s="140">
        <f ca="1">I2370</f>
        <v>8888</v>
      </c>
      <c r="AE2394" s="130" t="s">
        <v>396</v>
      </c>
      <c r="AF2394" s="130">
        <f ca="1">IF($AE2368,H2394,AF2374)</f>
        <v>8888</v>
      </c>
      <c r="AG2394" s="132">
        <f ca="1">IF($AE2368,I2394,AG2374)</f>
        <v>8888</v>
      </c>
      <c r="BD2394" s="157"/>
    </row>
    <row r="2395" spans="2:56">
      <c r="B2395" s="156"/>
      <c r="BD2395" s="157"/>
    </row>
    <row r="2396" spans="2:56">
      <c r="B2396" s="156"/>
      <c r="BD2396" s="157"/>
    </row>
    <row r="2397" spans="2:56">
      <c r="B2397" s="156"/>
      <c r="C2397" s="200" t="s">
        <v>336</v>
      </c>
      <c r="D2397">
        <f>D2361+1</f>
        <v>62</v>
      </c>
      <c r="G2397" s="200" t="s">
        <v>638</v>
      </c>
      <c r="H2397">
        <f ca="1">LOOKUP(D2400,$C$191:$C$196,$D$191:$D$196)</f>
        <v>0</v>
      </c>
      <c r="K2397" s="200" t="s">
        <v>644</v>
      </c>
      <c r="L2397">
        <f ca="1">L2361-H2402</f>
        <v>-18.624000000000006</v>
      </c>
      <c r="O2397" s="200" t="s">
        <v>404</v>
      </c>
      <c r="P2397">
        <f ca="1">IF(D2399=1,SEAT_w_cushion_FC,IF(D2399=2,SEAT_w_cushion_BC,IF(D2399=3,SEAT_w_cushion_YC,0)))</f>
        <v>0</v>
      </c>
      <c r="S2397" s="200" t="s">
        <v>647</v>
      </c>
      <c r="T2397">
        <f ca="1">LOOKUP(D2400,$C$191:$C$196,$E$191:$E$196)</f>
        <v>0</v>
      </c>
      <c r="W2397" t="s">
        <v>130</v>
      </c>
      <c r="X2397" t="str">
        <f ca="1">OFFSET(Fuselage!$B$275,D2397,5)</f>
        <v>None</v>
      </c>
      <c r="AN2397" s="200" t="s">
        <v>135</v>
      </c>
      <c r="AO2397">
        <f ca="1">MAX(0,H2402-MAX(T2397,T2399,T2401,P2398)-X2398)</f>
        <v>0</v>
      </c>
      <c r="BD2397" s="157"/>
    </row>
    <row r="2398" spans="2:56">
      <c r="B2398" s="156"/>
      <c r="C2398" s="200" t="s">
        <v>200</v>
      </c>
      <c r="D2398" t="str">
        <f ca="1">OFFSET(Fuselage!$B$275,D2397,0)</f>
        <v/>
      </c>
      <c r="G2398" s="200" t="s">
        <v>639</v>
      </c>
      <c r="H2398">
        <f ca="1">LOOKUP(D2401,$C$191:$C$196,$D$191:$D$196)</f>
        <v>0</v>
      </c>
      <c r="O2398" s="200" t="s">
        <v>535</v>
      </c>
      <c r="P2398">
        <f ca="1">IF(D2399=1,SEAT_length_FC,IF(D2399=2,SEAT_length_BC,IF(D2399=3,SEAT_length_YC,0)))</f>
        <v>0</v>
      </c>
      <c r="S2398" s="200" t="s">
        <v>648</v>
      </c>
      <c r="T2398">
        <f ca="1">LOOKUP(D2400,$C$191:$C$196,$F$191:$F$196)</f>
        <v>0</v>
      </c>
      <c r="W2398" t="s">
        <v>131</v>
      </c>
      <c r="X2398">
        <f ca="1">LOOKUP(X2397,$I$191:$I$198,$J$191:$J$198)</f>
        <v>0</v>
      </c>
      <c r="BD2398" s="157"/>
    </row>
    <row r="2399" spans="2:56">
      <c r="B2399" s="156"/>
      <c r="C2399" s="200" t="s">
        <v>337</v>
      </c>
      <c r="D2399" t="str">
        <f ca="1">OFFSET(Fuselage!$B$275,D2397,4)</f>
        <v/>
      </c>
      <c r="G2399" s="200" t="s">
        <v>309</v>
      </c>
      <c r="H2399">
        <f ca="1">LOOKUP(D2402,$C$191:$C$196,$D$191:$D$196)</f>
        <v>0</v>
      </c>
      <c r="K2399" s="200" t="s">
        <v>645</v>
      </c>
      <c r="L2399">
        <f ca="1">IF(D2399=1,FUSELAGE_nseats_left_FC,IF(D2399=2,FUSELAGE_nseats_left_BC,IF(D2399=3,FUSELAGE_nseats_left_YC,0)))</f>
        <v>0</v>
      </c>
      <c r="O2399" s="200" t="s">
        <v>405</v>
      </c>
      <c r="P2399">
        <f ca="1">IF(D2399=1,SEAT_w_armrest_FC,IF(D2399=2,SEAT_w_armrest_BC,IF(D2399=3,SEAT_w_armrest_YC,0)))</f>
        <v>0</v>
      </c>
      <c r="S2399" s="200" t="s">
        <v>652</v>
      </c>
      <c r="T2399">
        <f ca="1">LOOKUP(D2401,$C$191:$C$196,$E$191:$E$196)</f>
        <v>0</v>
      </c>
      <c r="W2399" s="200" t="s">
        <v>393</v>
      </c>
      <c r="X2399" t="b">
        <f ca="1">IF(OFFSET(Fuselage!$B$275,D2397,6)="YES",TRUE(),FALSE())</f>
        <v>0</v>
      </c>
      <c r="BD2399" s="157"/>
    </row>
    <row r="2400" spans="2:56">
      <c r="B2400" s="156"/>
      <c r="C2400" s="200" t="s">
        <v>640</v>
      </c>
      <c r="D2400" t="str">
        <f ca="1">OFFSET(Fuselage!$B$275,D2397,1)</f>
        <v>None</v>
      </c>
      <c r="G2400" s="200" t="s">
        <v>132</v>
      </c>
      <c r="H2400">
        <f ca="1">IF(D2399=1,SEAT_pitch_FC,IF(D2399=2,SEAT_pitch_BC,IF(D2399=3,SEAT_pitch_YC,0)))</f>
        <v>0</v>
      </c>
      <c r="K2400" s="200" t="s">
        <v>646</v>
      </c>
      <c r="L2400">
        <f ca="1">IF(D2399=1,FUSELAGE_nseats_middle_FC,IF(D2399=2,FUSELAGE_nseats_middle_BC,IF(D2399=3,FUSELAGE_nseats_middle_YC,0)))</f>
        <v>0</v>
      </c>
      <c r="S2400" s="200" t="s">
        <v>653</v>
      </c>
      <c r="T2400">
        <f ca="1">LOOKUP(D2401,$C$191:$C$196,$F$191:$F$196)</f>
        <v>0</v>
      </c>
      <c r="BD2400" s="157"/>
    </row>
    <row r="2401" spans="2:56">
      <c r="B2401" s="156"/>
      <c r="C2401" s="200" t="s">
        <v>642</v>
      </c>
      <c r="D2401" t="str">
        <f ca="1">OFFSET(Fuselage!$B$275,D2397,2)</f>
        <v>None</v>
      </c>
      <c r="G2401" s="200" t="s">
        <v>129</v>
      </c>
      <c r="H2401">
        <f ca="1">IF(OR(X2397="Type A",X2397="Type B"),MAX(H2397:H2400)+42*0.0254,IF(X2397="Type C",MAX(H2397:H2400)+X2398,IF(X2397&lt;&gt;"None",24*0.0254,0)))</f>
        <v>0</v>
      </c>
      <c r="K2401" s="200" t="s">
        <v>655</v>
      </c>
      <c r="L2401">
        <f ca="1">IF(D2399=1,FUSELAGE_nseats_right_FC,IF(D2399=2,FUSELAGE_nseats_right_BC,IF(D2399=3,FUSELAGE_nseats_right_YC,0)))</f>
        <v>0</v>
      </c>
      <c r="O2401" s="200" t="s">
        <v>407</v>
      </c>
      <c r="P2401">
        <f ca="1">($C$13-(L2399+L2400+L2401)*(P2397+P2399)+(FUSELAGE_n_aisles-1)*P2399)/FUSELAGE_n_aisles</f>
        <v>2.76</v>
      </c>
      <c r="S2401" s="200" t="s">
        <v>651</v>
      </c>
      <c r="T2401">
        <f ca="1">LOOKUP(D2402,$C$191:$C$196,$E$191:$E$196)</f>
        <v>0</v>
      </c>
      <c r="BD2401" s="157"/>
    </row>
    <row r="2402" spans="2:56">
      <c r="B2402" s="156"/>
      <c r="C2402" s="200" t="s">
        <v>641</v>
      </c>
      <c r="D2402" t="str">
        <f ca="1">OFFSET(Fuselage!$B$275,D2397,3)</f>
        <v>None</v>
      </c>
      <c r="G2402" s="200" t="s">
        <v>643</v>
      </c>
      <c r="H2402">
        <f ca="1">MAX(H2397:H2401)</f>
        <v>0</v>
      </c>
      <c r="S2402" s="200" t="s">
        <v>654</v>
      </c>
      <c r="T2402">
        <f ca="1">LOOKUP(D2402,$C$191:$C$196,$F$191:$F$196)</f>
        <v>0</v>
      </c>
      <c r="BD2402" s="157"/>
    </row>
    <row r="2403" spans="2:56" ht="15" thickBot="1">
      <c r="B2403" s="156"/>
      <c r="BD2403" s="157"/>
    </row>
    <row r="2404" spans="2:56" ht="15" thickBot="1">
      <c r="B2404" s="156"/>
      <c r="C2404" s="141">
        <f ca="1">L2401</f>
        <v>0</v>
      </c>
      <c r="D2404" s="197" t="str">
        <f ca="1">IF($D2399=1,"FC",IF($D2399=2,"BC",IF($D2399=3,"YC","Nothing")))</f>
        <v>Nothing</v>
      </c>
      <c r="E2404" s="198"/>
      <c r="G2404" s="141">
        <f ca="1">L2400</f>
        <v>0</v>
      </c>
      <c r="H2404" s="197" t="str">
        <f ca="1">IF($D2399=1,"FC",IF($D2399=2,"BC",IF($D2399=3,"YC","Nothing")))</f>
        <v>Nothing</v>
      </c>
      <c r="I2404" s="198"/>
      <c r="K2404" s="141">
        <f ca="1" xml:space="preserve"> L2399</f>
        <v>0</v>
      </c>
      <c r="L2404" s="197" t="str">
        <f ca="1">IF($D2399=1,"FC",IF($D2399=2,"BC",IF($D2399=3,"YC","Nothing")))</f>
        <v>Nothing</v>
      </c>
      <c r="M2404" s="198"/>
      <c r="O2404" s="141">
        <f ca="1">IF($D2402&lt;&gt;"None",1,0)</f>
        <v>0</v>
      </c>
      <c r="P2404" s="326" t="s">
        <v>380</v>
      </c>
      <c r="Q2404" s="327"/>
      <c r="S2404" s="141">
        <f ca="1">IF($D2401&lt;&gt;"None",1,0)</f>
        <v>0</v>
      </c>
      <c r="T2404" s="326" t="s">
        <v>381</v>
      </c>
      <c r="U2404" s="327"/>
      <c r="W2404" s="141">
        <f ca="1">IF($D2400&lt;&gt;"None",1,0)</f>
        <v>0</v>
      </c>
      <c r="X2404" s="326" t="s">
        <v>382</v>
      </c>
      <c r="Y2404" s="327"/>
      <c r="AA2404" s="141">
        <f ca="1">IF($D2402="None",1,0)</f>
        <v>1</v>
      </c>
      <c r="AB2404" s="326" t="str">
        <f ca="1">IF(AA2404,D2404,$D2402)</f>
        <v>Nothing</v>
      </c>
      <c r="AC2404" s="327"/>
      <c r="AE2404" s="141">
        <f ca="1">IF($D2401="None",1,0)</f>
        <v>1</v>
      </c>
      <c r="AF2404" s="326" t="str">
        <f ca="1">IF(AE2404,H2404,$D2401)</f>
        <v>Nothing</v>
      </c>
      <c r="AG2404" s="327"/>
      <c r="AI2404" s="141">
        <f ca="1">IF($D2400="None",1,0)</f>
        <v>1</v>
      </c>
      <c r="AJ2404" s="326" t="str">
        <f ca="1">IF(AI2404,L2404,$D2400)</f>
        <v>Nothing</v>
      </c>
      <c r="AK2404" s="327"/>
      <c r="AM2404" s="141">
        <f ca="1">IF($X2397="None",0,1)</f>
        <v>0</v>
      </c>
      <c r="AN2404" s="197" t="s">
        <v>133</v>
      </c>
      <c r="AO2404" s="198"/>
      <c r="AQ2404" s="141">
        <f ca="1">IF($X2397="None",0,1)</f>
        <v>0</v>
      </c>
      <c r="AR2404" s="197" t="s">
        <v>134</v>
      </c>
      <c r="AS2404" s="198"/>
      <c r="BD2404" s="157"/>
    </row>
    <row r="2405" spans="2:56" ht="15" thickBot="1">
      <c r="B2405" s="156"/>
      <c r="C2405" s="136" t="s">
        <v>452</v>
      </c>
      <c r="D2405" s="136" t="s">
        <v>384</v>
      </c>
      <c r="E2405" s="138" t="s">
        <v>385</v>
      </c>
      <c r="G2405" s="136" t="s">
        <v>452</v>
      </c>
      <c r="H2405" s="136" t="s">
        <v>384</v>
      </c>
      <c r="I2405" s="138" t="s">
        <v>385</v>
      </c>
      <c r="K2405" s="193" t="s">
        <v>452</v>
      </c>
      <c r="L2405" s="193" t="s">
        <v>384</v>
      </c>
      <c r="M2405" s="194" t="s">
        <v>385</v>
      </c>
      <c r="O2405" s="136" t="s">
        <v>452</v>
      </c>
      <c r="P2405" s="136" t="s">
        <v>384</v>
      </c>
      <c r="Q2405" s="138" t="s">
        <v>385</v>
      </c>
      <c r="S2405" s="136" t="s">
        <v>452</v>
      </c>
      <c r="T2405" s="136" t="s">
        <v>384</v>
      </c>
      <c r="U2405" s="138" t="s">
        <v>385</v>
      </c>
      <c r="W2405" s="136" t="s">
        <v>452</v>
      </c>
      <c r="X2405" s="136" t="s">
        <v>384</v>
      </c>
      <c r="Y2405" s="138" t="s">
        <v>385</v>
      </c>
      <c r="AA2405" s="136" t="s">
        <v>452</v>
      </c>
      <c r="AB2405" s="136" t="s">
        <v>384</v>
      </c>
      <c r="AC2405" s="138" t="s">
        <v>385</v>
      </c>
      <c r="AE2405" s="136" t="s">
        <v>452</v>
      </c>
      <c r="AF2405" s="136" t="s">
        <v>384</v>
      </c>
      <c r="AG2405" s="138" t="s">
        <v>385</v>
      </c>
      <c r="AI2405" s="193" t="s">
        <v>452</v>
      </c>
      <c r="AJ2405" s="193" t="s">
        <v>384</v>
      </c>
      <c r="AK2405" s="194" t="s">
        <v>385</v>
      </c>
      <c r="AM2405" s="193" t="s">
        <v>452</v>
      </c>
      <c r="AN2405" s="193" t="s">
        <v>384</v>
      </c>
      <c r="AO2405" s="194" t="s">
        <v>385</v>
      </c>
      <c r="AQ2405" s="193" t="s">
        <v>452</v>
      </c>
      <c r="AR2405" s="193" t="s">
        <v>384</v>
      </c>
      <c r="AS2405" s="194" t="s">
        <v>385</v>
      </c>
      <c r="BD2405" s="157"/>
    </row>
    <row r="2406" spans="2:56">
      <c r="B2406" s="156"/>
      <c r="C2406" s="128" t="s">
        <v>396</v>
      </c>
      <c r="D2406" s="158">
        <f ca="1">IF(C2404&gt;=1,L2397,8888)</f>
        <v>8888</v>
      </c>
      <c r="E2406" s="160">
        <f ca="1">IF(C2404&gt;=1,1/2*($C$13-P2397-2*P2399)+1/2*P2397,8888)</f>
        <v>8888</v>
      </c>
      <c r="G2406" s="128" t="s">
        <v>396</v>
      </c>
      <c r="H2406" s="158">
        <f ca="1">IF(G2404&gt;=1,L2397,8888)</f>
        <v>8888</v>
      </c>
      <c r="I2406" s="160">
        <f ca="1">IF(G2404&gt;=1,E2417-P2401,8888)</f>
        <v>8888</v>
      </c>
      <c r="K2406" s="128" t="s">
        <v>396</v>
      </c>
      <c r="L2406" s="158">
        <f ca="1">IF(K2404&gt;=1,L2397,8888)</f>
        <v>8888</v>
      </c>
      <c r="M2406" s="160">
        <f ca="1">IF(K2404&gt;=1,IF(FUSELAGE_n_aisles=1,E2417-P2401,I2429-P2401),8888)</f>
        <v>8888</v>
      </c>
      <c r="O2406" s="128" t="s">
        <v>396</v>
      </c>
      <c r="P2406" s="158">
        <f ca="1">IF(O2404,$L2397,8888)</f>
        <v>8888</v>
      </c>
      <c r="Q2406" s="209">
        <f ca="1">IF(O2404,FUSELAGE_y_position_of_left_seat_YC-(FUSELAGE_nseats_right_YC-1)*(SEAT_w_cushion_YC+SEAT_w_armrest_YC)/2+T2402/2,8888)</f>
        <v>8888</v>
      </c>
      <c r="S2406" s="128" t="s">
        <v>396</v>
      </c>
      <c r="T2406" s="158">
        <f ca="1">IF(S2404,$L2397,8888)</f>
        <v>8888</v>
      </c>
      <c r="U2406" s="160">
        <f ca="1">IF(S2404,T2400/2,8888)</f>
        <v>8888</v>
      </c>
      <c r="W2406" s="128" t="s">
        <v>396</v>
      </c>
      <c r="X2406" s="158">
        <f ca="1">IF(W2404,$L2397,8888)</f>
        <v>8888</v>
      </c>
      <c r="Y2406" s="160">
        <f ca="1">IF(W2404,-FUSELAGE_y_position_of_left_seat_YC+(FUSELAGE_nseats_left_YC-1)*(SEAT_w_cushion_YC+SEAT_w_armrest_YC)/2-T2398/2,8888)</f>
        <v>8888</v>
      </c>
      <c r="AA2406" s="128" t="s">
        <v>396</v>
      </c>
      <c r="AB2406" s="158">
        <f ca="1">IF($AA2404,D2406,P2406)</f>
        <v>8888</v>
      </c>
      <c r="AC2406" s="174">
        <f ca="1">IF($AA2404,E2406,Q2406)</f>
        <v>8888</v>
      </c>
      <c r="AE2406" s="128" t="s">
        <v>396</v>
      </c>
      <c r="AF2406" s="158">
        <f ca="1">IF($AE2404,H2406,T2406)</f>
        <v>8888</v>
      </c>
      <c r="AG2406" s="174">
        <f ca="1">IF($AE2404,I2406,U2406)</f>
        <v>8888</v>
      </c>
      <c r="AI2406" s="128" t="s">
        <v>396</v>
      </c>
      <c r="AJ2406" s="158">
        <f ca="1">IF($AI2404,L2406,X2406)</f>
        <v>8888</v>
      </c>
      <c r="AK2406" s="174">
        <f ca="1">IF($AI2404,M2406,Y2406)</f>
        <v>8888</v>
      </c>
      <c r="AM2406" s="128" t="s">
        <v>396</v>
      </c>
      <c r="AN2406" s="158">
        <f ca="1">AN2375</f>
        <v>-18.624000000000006</v>
      </c>
      <c r="AO2406" s="174">
        <f ca="1">IF(AN2406&gt;-Fuselage!$D$366,(FUSELAGE_a_ellipse)*SQRT(1-((AN2406+Fuselage!$D$366)/(Fuselage!$K$364-FUSELAGE_t_fuselage))^2),IF(AN2406&gt;$L$2505+Fuselage!$K$370,FUSELAGE_a_ellipse,(FUSELAGE_a_ellipse+FUSELAGE_t_fuselage-FUSELAGE_d_fo/4)/Fuselage!$K$368*(AN2406-$L$2505-Fuselage!$K$370)+FUSELAGE_a_ellipse))</f>
        <v>1.4960570012328709</v>
      </c>
      <c r="AQ2406" s="128" t="s">
        <v>396</v>
      </c>
      <c r="AR2406" s="158">
        <f t="shared" ref="AR2406:AR2411" ca="1" si="188">AN2406</f>
        <v>-18.624000000000006</v>
      </c>
      <c r="AS2406" s="174">
        <f t="shared" ref="AS2406:AS2411" ca="1" si="189">-AO2406</f>
        <v>-1.4960570012328709</v>
      </c>
      <c r="BD2406" s="157"/>
    </row>
    <row r="2407" spans="2:56">
      <c r="B2407" s="156"/>
      <c r="C2407" s="128" t="s">
        <v>213</v>
      </c>
      <c r="D2407" s="128">
        <f ca="1">IF(X2399,D2406+P2398/4,D2406+P2398)</f>
        <v>8888</v>
      </c>
      <c r="E2407" s="139">
        <f ca="1">E2406</f>
        <v>8888</v>
      </c>
      <c r="G2407" s="128" t="s">
        <v>213</v>
      </c>
      <c r="H2407" s="128">
        <f ca="1">H2406+P2398</f>
        <v>8888</v>
      </c>
      <c r="I2407" s="139">
        <f ca="1">I2406</f>
        <v>8888</v>
      </c>
      <c r="K2407" s="128" t="s">
        <v>213</v>
      </c>
      <c r="L2407" s="128">
        <f ca="1">IF(X2399,IF(K2404=1,L2406+P2398/4,L2406+P2398),L2406+P2398)</f>
        <v>8888</v>
      </c>
      <c r="M2407" s="139">
        <f ca="1">M2406</f>
        <v>8888</v>
      </c>
      <c r="O2407" s="128" t="s">
        <v>213</v>
      </c>
      <c r="P2407" s="128">
        <f ca="1">P2406+$T2401</f>
        <v>8888</v>
      </c>
      <c r="Q2407" s="139">
        <f ca="1">Q2406</f>
        <v>8888</v>
      </c>
      <c r="S2407" s="128" t="s">
        <v>213</v>
      </c>
      <c r="T2407" s="128">
        <f ca="1">T2406+$T2399</f>
        <v>8888</v>
      </c>
      <c r="U2407" s="139">
        <f ca="1">U2406</f>
        <v>8888</v>
      </c>
      <c r="W2407" s="128" t="s">
        <v>213</v>
      </c>
      <c r="X2407" s="128">
        <f ca="1">X2406+$T2397</f>
        <v>8888</v>
      </c>
      <c r="Y2407" s="139">
        <f ca="1">Y2406</f>
        <v>8888</v>
      </c>
      <c r="AA2407" s="143" t="s">
        <v>213</v>
      </c>
      <c r="AB2407" s="128">
        <f ca="1">IF($AA2404,D2407,P2407)</f>
        <v>8888</v>
      </c>
      <c r="AC2407" s="129">
        <f ca="1">IF($AA2404,E2407,Q2407)</f>
        <v>8888</v>
      </c>
      <c r="AE2407" s="128" t="s">
        <v>213</v>
      </c>
      <c r="AF2407" s="128">
        <f ca="1">IF($AE2404,H2407,T2407)</f>
        <v>8888</v>
      </c>
      <c r="AG2407" s="129">
        <f ca="1">IF($AE2404,I2407,U2407)</f>
        <v>8888</v>
      </c>
      <c r="AI2407" s="128" t="s">
        <v>213</v>
      </c>
      <c r="AJ2407" s="128">
        <f ca="1">IF($AI2404,L2407,X2407)</f>
        <v>8888</v>
      </c>
      <c r="AK2407" s="129">
        <f ca="1">IF($AI2404,M2407,Y2407)</f>
        <v>8888</v>
      </c>
      <c r="AM2407" s="128" t="s">
        <v>213</v>
      </c>
      <c r="AN2407" s="128">
        <f ca="1">AN2406-AO2397/2</f>
        <v>-18.624000000000006</v>
      </c>
      <c r="AO2407" s="129">
        <f ca="1">IF(AN2407&gt;-Fuselage!$D$366,(FUSELAGE_a_ellipse)*SQRT(1-((AN2407+Fuselage!$D$366)/(Fuselage!$K$364-FUSELAGE_t_fuselage))^2),IF(AN2407&gt;$L$2505+Fuselage!$K$370,FUSELAGE_a_ellipse,(FUSELAGE_a_ellipse+FUSELAGE_t_fuselage-FUSELAGE_d_fo/4)/Fuselage!$K$368*(AN2407-$L$2505-Fuselage!$K$370)+FUSELAGE_a_ellipse))</f>
        <v>1.4960570012328709</v>
      </c>
      <c r="AQ2407" s="128" t="s">
        <v>213</v>
      </c>
      <c r="AR2407" s="128">
        <f t="shared" ca="1" si="188"/>
        <v>-18.624000000000006</v>
      </c>
      <c r="AS2407" s="129">
        <f t="shared" ca="1" si="189"/>
        <v>-1.4960570012328709</v>
      </c>
      <c r="BD2407" s="157"/>
    </row>
    <row r="2408" spans="2:56">
      <c r="B2408" s="156"/>
      <c r="C2408" s="128" t="s">
        <v>286</v>
      </c>
      <c r="D2408" s="128">
        <f ca="1">D2407</f>
        <v>8888</v>
      </c>
      <c r="E2408" s="139">
        <f ca="1">E2407-P2397</f>
        <v>8888</v>
      </c>
      <c r="G2408" s="128" t="s">
        <v>286</v>
      </c>
      <c r="H2408" s="128">
        <f ca="1">H2407</f>
        <v>8888</v>
      </c>
      <c r="I2408" s="139">
        <f ca="1">I2407-P2397</f>
        <v>8888</v>
      </c>
      <c r="K2408" s="128" t="s">
        <v>286</v>
      </c>
      <c r="L2408" s="128">
        <f ca="1">L2407</f>
        <v>8888</v>
      </c>
      <c r="M2408" s="139">
        <f ca="1">M2407-P2397</f>
        <v>8888</v>
      </c>
      <c r="O2408" s="128" t="s">
        <v>286</v>
      </c>
      <c r="P2408" s="128">
        <f ca="1">P2407</f>
        <v>8888</v>
      </c>
      <c r="Q2408" s="139">
        <f ca="1">Q2407-$T2402</f>
        <v>8888</v>
      </c>
      <c r="S2408" s="128" t="s">
        <v>286</v>
      </c>
      <c r="T2408" s="128">
        <f ca="1">T2407</f>
        <v>8888</v>
      </c>
      <c r="U2408" s="139">
        <f ca="1">U2407-$T2400</f>
        <v>8888</v>
      </c>
      <c r="W2408" s="128" t="s">
        <v>286</v>
      </c>
      <c r="X2408" s="128">
        <f ca="1">X2407</f>
        <v>8888</v>
      </c>
      <c r="Y2408" s="139">
        <f ca="1">Y2407+$T2398</f>
        <v>8888</v>
      </c>
      <c r="AA2408" s="143" t="s">
        <v>286</v>
      </c>
      <c r="AB2408" s="128">
        <f ca="1">IF($AA2404,D2408,P2408)</f>
        <v>8888</v>
      </c>
      <c r="AC2408" s="129">
        <f ca="1">IF($AA2404,E2408,Q2408)</f>
        <v>8888</v>
      </c>
      <c r="AE2408" s="128" t="s">
        <v>286</v>
      </c>
      <c r="AF2408" s="128">
        <f ca="1">IF($AE2404,H2408,T2408)</f>
        <v>8888</v>
      </c>
      <c r="AG2408" s="129">
        <f ca="1">IF($AE2404,I2408,U2408)</f>
        <v>8888</v>
      </c>
      <c r="AI2408" s="128" t="s">
        <v>286</v>
      </c>
      <c r="AJ2408" s="128">
        <f ca="1">IF($AI2404,L2408,X2408)</f>
        <v>8888</v>
      </c>
      <c r="AK2408" s="129">
        <f ca="1">IF($AI2404,M2408,Y2408)</f>
        <v>8888</v>
      </c>
      <c r="AM2408" s="128" t="s">
        <v>286</v>
      </c>
      <c r="AN2408" s="128">
        <f ca="1">AN2407</f>
        <v>-18.624000000000006</v>
      </c>
      <c r="AO2408" s="129">
        <f ca="1">IF(AN2408&gt;-Fuselage!$D$366,IF(AM2404,(FUSELAGE_a_ellipse+FUSELAGE_t_fuselage)*SQRT(1-((AN2408+Fuselage!$D$366)/Fuselage!$K$364)^2),(FUSELAGE_a_ellipse)*SQRT(1-((AN2408+Fuselage!$D$366)/Fuselage!$K$364)^2)),IF(AN2408&gt;$L$2505+Fuselage!$K$370,(IF(AM2404,FUSELAGE_a_ellipse+FUSELAGE_t_fuselage,FUSELAGE_a_ellipse)),IF(AM2404,(FUSELAGE_a_ellipse+FUSELAGE_t_fuselage-FUSELAGE_d_fo/4)/Fuselage!$K$368*(AN2408-$L$2505-Fuselage!$K$370)+FUSELAGE_a_ellipse+FUSELAGE_t_fuselage,(FUSELAGE_a_ellipse+FUSELAGE_t_fuselage-FUSELAGE_d_fo/4)/Fuselage!$K$368*(AN2408-$L$2505-Fuselage!$K$370)+FUSELAGE_a_ellipse)))</f>
        <v>1.4960570012328709</v>
      </c>
      <c r="AQ2408" s="128" t="s">
        <v>286</v>
      </c>
      <c r="AR2408" s="128">
        <f t="shared" ca="1" si="188"/>
        <v>-18.624000000000006</v>
      </c>
      <c r="AS2408" s="129">
        <f t="shared" ca="1" si="189"/>
        <v>-1.4960570012328709</v>
      </c>
      <c r="BD2408" s="157"/>
    </row>
    <row r="2409" spans="2:56">
      <c r="B2409" s="156"/>
      <c r="C2409" s="188" t="s">
        <v>522</v>
      </c>
      <c r="D2409" s="188">
        <f ca="1">D2406</f>
        <v>8888</v>
      </c>
      <c r="E2409" s="189">
        <f ca="1">E2408</f>
        <v>8888</v>
      </c>
      <c r="F2409" s="157"/>
      <c r="G2409" s="2" t="s">
        <v>522</v>
      </c>
      <c r="H2409" s="128">
        <f ca="1">H2406</f>
        <v>8888</v>
      </c>
      <c r="I2409" s="139">
        <f ca="1">I2408</f>
        <v>8888</v>
      </c>
      <c r="K2409" s="128" t="s">
        <v>522</v>
      </c>
      <c r="L2409" s="128">
        <f ca="1">L2406</f>
        <v>8888</v>
      </c>
      <c r="M2409" s="139">
        <f ca="1">M2408</f>
        <v>8888</v>
      </c>
      <c r="O2409" s="188" t="s">
        <v>522</v>
      </c>
      <c r="P2409" s="188">
        <f ca="1">P2406</f>
        <v>8888</v>
      </c>
      <c r="Q2409" s="189">
        <f ca="1">Q2408</f>
        <v>8888</v>
      </c>
      <c r="S2409" s="188" t="s">
        <v>522</v>
      </c>
      <c r="T2409" s="188">
        <f ca="1">T2406</f>
        <v>8888</v>
      </c>
      <c r="U2409" s="189">
        <f ca="1">U2408</f>
        <v>8888</v>
      </c>
      <c r="W2409" s="188" t="s">
        <v>522</v>
      </c>
      <c r="X2409" s="188">
        <f ca="1">X2406</f>
        <v>8888</v>
      </c>
      <c r="Y2409" s="189">
        <f ca="1">Y2408</f>
        <v>8888</v>
      </c>
      <c r="AA2409" s="195" t="s">
        <v>522</v>
      </c>
      <c r="AB2409" s="128">
        <f ca="1">IF($AA2404,D2409,P2409)</f>
        <v>8888</v>
      </c>
      <c r="AC2409" s="129">
        <f ca="1">IF($AA2404,E2409,Q2409)</f>
        <v>8888</v>
      </c>
      <c r="AD2409" s="157"/>
      <c r="AE2409" s="2" t="s">
        <v>522</v>
      </c>
      <c r="AF2409" s="188">
        <f ca="1">IF($AE2404,H2409,T2409)</f>
        <v>8888</v>
      </c>
      <c r="AG2409" s="196">
        <f ca="1">IF($AE2404,I2409,U2409)</f>
        <v>8888</v>
      </c>
      <c r="AI2409" s="128" t="s">
        <v>522</v>
      </c>
      <c r="AJ2409" s="188">
        <f ca="1">IF($AI2404,L2409,X2409)</f>
        <v>8888</v>
      </c>
      <c r="AK2409" s="196">
        <f ca="1">IF($AI2404,M2409,Y2409)</f>
        <v>8888</v>
      </c>
      <c r="AM2409" s="128" t="s">
        <v>522</v>
      </c>
      <c r="AN2409" s="128">
        <f ca="1">AN2408-X2398</f>
        <v>-18.624000000000006</v>
      </c>
      <c r="AO2409" s="129">
        <f ca="1">IF(AN2409&gt;-Fuselage!$D$366,IF(AM2404,(FUSELAGE_a_ellipse+FUSELAGE_t_fuselage)*SQRT(1-((AN2409+Fuselage!$D$366)/Fuselage!$K$364)^2),(FUSELAGE_a_ellipse)*SQRT(1-((AN2409+Fuselage!$D$366)/Fuselage!$K$364)^2)),IF(AN2409&gt;$L$2505+Fuselage!$K$370,(IF(AM2404,FUSELAGE_a_ellipse+FUSELAGE_t_fuselage,FUSELAGE_a_ellipse)),IF(AM2404,(FUSELAGE_a_ellipse+FUSELAGE_t_fuselage-FUSELAGE_d_fo/4)/Fuselage!$K$368*(AN2409-$L$2505-Fuselage!$K$370)+FUSELAGE_a_ellipse+FUSELAGE_t_fuselage,(FUSELAGE_a_ellipse+FUSELAGE_t_fuselage-FUSELAGE_d_fo/4)/Fuselage!$K$368*(AN2409-$L$2505-Fuselage!$K$370)+FUSELAGE_a_ellipse)))</f>
        <v>1.4960570012328709</v>
      </c>
      <c r="AQ2409" s="128" t="s">
        <v>522</v>
      </c>
      <c r="AR2409" s="128">
        <f t="shared" ca="1" si="188"/>
        <v>-18.624000000000006</v>
      </c>
      <c r="AS2409" s="129">
        <f t="shared" ca="1" si="189"/>
        <v>-1.4960570012328709</v>
      </c>
      <c r="BD2409" s="157"/>
    </row>
    <row r="2410" spans="2:56" ht="15" thickBot="1">
      <c r="B2410" s="156"/>
      <c r="C2410" s="128" t="s">
        <v>49</v>
      </c>
      <c r="D2410" s="128">
        <f ca="1">IF(C2404&gt;=2,D2406,D2409)</f>
        <v>8888</v>
      </c>
      <c r="E2410" s="139">
        <f ca="1">IF(C2404&gt;=2,E2409-P2399,E2409)</f>
        <v>8888</v>
      </c>
      <c r="F2410" s="157"/>
      <c r="G2410" s="192" t="s">
        <v>49</v>
      </c>
      <c r="H2410" s="190">
        <f ca="1">IF(G2404&gt;=2,H2406,H2409)</f>
        <v>8888</v>
      </c>
      <c r="I2410" s="191">
        <f ca="1">IF(G2404&gt;=2,I2409-P2399,I2409)</f>
        <v>8888</v>
      </c>
      <c r="K2410" s="190" t="s">
        <v>49</v>
      </c>
      <c r="L2410" s="190">
        <f ca="1">IF(K2404&gt;=2,L2406,L2409)</f>
        <v>8888</v>
      </c>
      <c r="M2410" s="191">
        <f ca="1">IF(K2404&gt;=2,M2409-P2399,M2409)</f>
        <v>8888</v>
      </c>
      <c r="O2410" s="130" t="s">
        <v>396</v>
      </c>
      <c r="P2410" s="130">
        <f ca="1">P2406</f>
        <v>8888</v>
      </c>
      <c r="Q2410" s="140">
        <f ca="1">Q2406</f>
        <v>8888</v>
      </c>
      <c r="S2410" s="130" t="s">
        <v>396</v>
      </c>
      <c r="T2410" s="130">
        <f ca="1">T2406</f>
        <v>8888</v>
      </c>
      <c r="U2410" s="140">
        <f ca="1">U2406</f>
        <v>8888</v>
      </c>
      <c r="W2410" s="130" t="s">
        <v>396</v>
      </c>
      <c r="X2410" s="130">
        <f ca="1">X2406</f>
        <v>8888</v>
      </c>
      <c r="Y2410" s="140">
        <f ca="1">Y2406</f>
        <v>8888</v>
      </c>
      <c r="AA2410" s="143" t="s">
        <v>49</v>
      </c>
      <c r="AB2410" s="128">
        <f ca="1">IF($AA2404,D2410,P2410)</f>
        <v>8888</v>
      </c>
      <c r="AC2410" s="129">
        <f ca="1">IF($AA2404,E2410,Q2410)</f>
        <v>8888</v>
      </c>
      <c r="AD2410" s="157"/>
      <c r="AE2410" s="192" t="s">
        <v>49</v>
      </c>
      <c r="AF2410" s="128">
        <f ca="1">IF($AE2404,H2410,T2410)</f>
        <v>8888</v>
      </c>
      <c r="AG2410" s="129">
        <f ca="1">IF($AE2404,I2410,U2410)</f>
        <v>8888</v>
      </c>
      <c r="AI2410" s="190" t="s">
        <v>49</v>
      </c>
      <c r="AJ2410" s="128">
        <f ca="1">IF($AI2404,L2410,X2410)</f>
        <v>8888</v>
      </c>
      <c r="AK2410" s="129">
        <f ca="1">IF($AI2404,M2410,Y2410)</f>
        <v>8888</v>
      </c>
      <c r="AM2410" s="128" t="s">
        <v>49</v>
      </c>
      <c r="AN2410" s="128">
        <f ca="1">AN2409</f>
        <v>-18.624000000000006</v>
      </c>
      <c r="AO2410" s="129">
        <f ca="1">IF(AN2410&gt;-Fuselage!$D$366,(FUSELAGE_a_ellipse)*SQRT(1-((AN2410+Fuselage!$D$366)/(Fuselage!$K$364-FUSELAGE_t_fuselage))^2),IF(AN2410&gt;$L$2505+Fuselage!$K$370,FUSELAGE_a_ellipse,(FUSELAGE_a_ellipse+FUSELAGE_t_fuselage-FUSELAGE_d_fo/4)/Fuselage!$K$368*(AN2410-$L$2505-Fuselage!$K$370)+FUSELAGE_a_ellipse))</f>
        <v>1.4960570012328709</v>
      </c>
      <c r="AQ2410" s="128" t="s">
        <v>49</v>
      </c>
      <c r="AR2410" s="128">
        <f t="shared" ca="1" si="188"/>
        <v>-18.624000000000006</v>
      </c>
      <c r="AS2410" s="129">
        <f t="shared" ca="1" si="189"/>
        <v>-1.4960570012328709</v>
      </c>
      <c r="BD2410" s="157"/>
    </row>
    <row r="2411" spans="2:56">
      <c r="B2411" s="156"/>
      <c r="C2411" s="128" t="s">
        <v>453</v>
      </c>
      <c r="D2411" s="128">
        <f ca="1">IF(C2404&gt;=2,D2406+P2398,D2409)</f>
        <v>8888</v>
      </c>
      <c r="E2411" s="139">
        <f ca="1">E2410</f>
        <v>8888</v>
      </c>
      <c r="F2411" s="157"/>
      <c r="G2411" s="2" t="s">
        <v>453</v>
      </c>
      <c r="H2411" s="128">
        <f ca="1">IF(G2404&gt;=2,H2407,H2409)</f>
        <v>8888</v>
      </c>
      <c r="I2411" s="139">
        <f ca="1">IF(G2404&gt;=2,I2410,I2409)</f>
        <v>8888</v>
      </c>
      <c r="K2411" s="128" t="s">
        <v>453</v>
      </c>
      <c r="L2411" s="128">
        <f ca="1">IF(K2404&gt;=2,IF(X2399,IF(K2404=2,L2406+P2398/4,L2406+P2398),L2406+P2398),L2409)</f>
        <v>8888</v>
      </c>
      <c r="M2411" s="139">
        <f ca="1">IF(K2404&gt;=2,M2410,M2409)</f>
        <v>8888</v>
      </c>
      <c r="AA2411" s="143" t="s">
        <v>453</v>
      </c>
      <c r="AB2411" s="128">
        <f ca="1">IF($AA2404,D2411,AB2410)</f>
        <v>8888</v>
      </c>
      <c r="AC2411" s="129">
        <f ca="1">IF($AA2404,E2411,AC2410)</f>
        <v>8888</v>
      </c>
      <c r="AD2411" s="157"/>
      <c r="AE2411" s="2" t="s">
        <v>453</v>
      </c>
      <c r="AF2411" s="128">
        <f ca="1">IF($AE2404,H2411,AF2410)</f>
        <v>8888</v>
      </c>
      <c r="AG2411" s="129">
        <f ca="1">IF($AE2404,I2411,AG2410)</f>
        <v>8888</v>
      </c>
      <c r="AI2411" s="128" t="s">
        <v>453</v>
      </c>
      <c r="AJ2411" s="128">
        <f ca="1">IF($AI2404,L2411,AJ2410)</f>
        <v>8888</v>
      </c>
      <c r="AK2411" s="129">
        <f ca="1">IF($AI2404,M2411,AK2410)</f>
        <v>8888</v>
      </c>
      <c r="AM2411" s="128" t="s">
        <v>453</v>
      </c>
      <c r="AN2411" s="128">
        <f ca="1">L2397</f>
        <v>-18.624000000000006</v>
      </c>
      <c r="AO2411" s="129">
        <f ca="1">IF(AN2411&gt;-Fuselage!$D$366,(FUSELAGE_a_ellipse)*SQRT(1-((AN2411+Fuselage!$D$366)/(Fuselage!$K$364-FUSELAGE_t_fuselage))^2),IF(AN2411&gt;$L$2505+Fuselage!$K$370,FUSELAGE_a_ellipse,(FUSELAGE_a_ellipse+FUSELAGE_t_fuselage-FUSELAGE_d_fo/4)/Fuselage!$K$368*(AN2411-$L$2505-Fuselage!$K$370)+FUSELAGE_a_ellipse))</f>
        <v>1.4960570012328709</v>
      </c>
      <c r="AQ2411" s="128" t="s">
        <v>453</v>
      </c>
      <c r="AR2411" s="128">
        <f t="shared" ca="1" si="188"/>
        <v>-18.624000000000006</v>
      </c>
      <c r="AS2411" s="129">
        <f t="shared" ca="1" si="189"/>
        <v>-1.4960570012328709</v>
      </c>
      <c r="BD2411" s="157"/>
    </row>
    <row r="2412" spans="2:56">
      <c r="B2412" s="156"/>
      <c r="C2412" s="128" t="s">
        <v>394</v>
      </c>
      <c r="D2412" s="128">
        <f ca="1">IF(C2404&gt;=2,D2411,D2409)</f>
        <v>8888</v>
      </c>
      <c r="E2412" s="139">
        <f ca="1">IF(C2404&gt;=2,E2410-P2397,E2409)</f>
        <v>8888</v>
      </c>
      <c r="F2412" s="157"/>
      <c r="G2412" s="2" t="s">
        <v>394</v>
      </c>
      <c r="H2412" s="128">
        <f ca="1">IF(G2404&gt;=2,H2407,H2409)</f>
        <v>8888</v>
      </c>
      <c r="I2412" s="139">
        <f ca="1">IF(G2404&gt;=2,I2411-P2397,I2409)</f>
        <v>8888</v>
      </c>
      <c r="K2412" s="128" t="s">
        <v>394</v>
      </c>
      <c r="L2412" s="128">
        <f ca="1">L2411</f>
        <v>8888</v>
      </c>
      <c r="M2412" s="139">
        <f ca="1">IF(K2404&gt;=2,M2411-P2397,M2409)</f>
        <v>8888</v>
      </c>
      <c r="AA2412" s="143" t="s">
        <v>394</v>
      </c>
      <c r="AB2412" s="128">
        <f ca="1">IF($AA2404,D2412,AB2410)</f>
        <v>8888</v>
      </c>
      <c r="AC2412" s="129">
        <f ca="1">IF($AA2404,E2412,AC2410)</f>
        <v>8888</v>
      </c>
      <c r="AD2412" s="157"/>
      <c r="AE2412" s="2" t="s">
        <v>394</v>
      </c>
      <c r="AF2412" s="128">
        <f ca="1">IF($AE2404,H2412,AF2410)</f>
        <v>8888</v>
      </c>
      <c r="AG2412" s="129">
        <f ca="1">IF($AE2404,I2412,AG2410)</f>
        <v>8888</v>
      </c>
      <c r="AI2412" s="128" t="s">
        <v>394</v>
      </c>
      <c r="AJ2412" s="128">
        <f ca="1">IF($AI2404,L2412,AJ2410)</f>
        <v>8888</v>
      </c>
      <c r="AK2412" s="129">
        <f ca="1">IF($AI2404,M2412,AK2410)</f>
        <v>8888</v>
      </c>
      <c r="BD2412" s="157"/>
    </row>
    <row r="2413" spans="2:56">
      <c r="B2413" s="156"/>
      <c r="C2413" s="188" t="s">
        <v>454</v>
      </c>
      <c r="D2413" s="188">
        <f ca="1">IF(C2404&gt;=2,D2406,D2409)</f>
        <v>8888</v>
      </c>
      <c r="E2413" s="189">
        <f ca="1">E2412</f>
        <v>8888</v>
      </c>
      <c r="F2413" s="157"/>
      <c r="G2413" s="115" t="s">
        <v>454</v>
      </c>
      <c r="H2413" s="188">
        <f ca="1">IF(G2404&gt;=2,H2406,H2409)</f>
        <v>8888</v>
      </c>
      <c r="I2413" s="189">
        <f ca="1">IF(G2404&gt;=2,I2412,I2409)</f>
        <v>8888</v>
      </c>
      <c r="K2413" s="188" t="s">
        <v>454</v>
      </c>
      <c r="L2413" s="188">
        <f ca="1">IF(K2404&gt;=2,L2406,L2409)</f>
        <v>8888</v>
      </c>
      <c r="M2413" s="189">
        <f ca="1">IF(K2404&gt;=2,M2412,M2409)</f>
        <v>8888</v>
      </c>
      <c r="AA2413" s="195" t="s">
        <v>454</v>
      </c>
      <c r="AB2413" s="128">
        <f ca="1">IF($AA2404,D2413,AB2410)</f>
        <v>8888</v>
      </c>
      <c r="AC2413" s="129">
        <f ca="1">IF($AA2404,E2413,AC2410)</f>
        <v>8888</v>
      </c>
      <c r="AD2413" s="157"/>
      <c r="AE2413" s="115" t="s">
        <v>454</v>
      </c>
      <c r="AF2413" s="188">
        <f ca="1">IF($AE2404,H2413,AF2410)</f>
        <v>8888</v>
      </c>
      <c r="AG2413" s="196">
        <f ca="1">IF($AE2404,I2413,AG2410)</f>
        <v>8888</v>
      </c>
      <c r="AI2413" s="188" t="s">
        <v>454</v>
      </c>
      <c r="AJ2413" s="188">
        <f ca="1">IF($AI2404,L2413,AJ2410)</f>
        <v>8888</v>
      </c>
      <c r="AK2413" s="196">
        <f ca="1">IF($AI2404,M2413,AK2410)</f>
        <v>8888</v>
      </c>
      <c r="BD2413" s="157"/>
    </row>
    <row r="2414" spans="2:56">
      <c r="B2414" s="156"/>
      <c r="C2414" s="128" t="s">
        <v>507</v>
      </c>
      <c r="D2414" s="128">
        <f ca="1">IF(C2404&gt;=3,D2406,D2413)</f>
        <v>8888</v>
      </c>
      <c r="E2414" s="139">
        <f ca="1">IF(C2404&gt;=3,E2413-P2399,E2413)</f>
        <v>8888</v>
      </c>
      <c r="F2414" s="157"/>
      <c r="G2414" s="2" t="s">
        <v>507</v>
      </c>
      <c r="H2414" s="128">
        <f ca="1">IF(G2404&gt;=3,H2406,H2413)</f>
        <v>8888</v>
      </c>
      <c r="I2414" s="139">
        <f ca="1">IF(G2404&gt;=3,I2413-P2399,I2413)</f>
        <v>8888</v>
      </c>
      <c r="K2414" s="128" t="s">
        <v>507</v>
      </c>
      <c r="L2414" s="128">
        <f ca="1">IF(K2404&gt;=3,L2406,L2413)</f>
        <v>8888</v>
      </c>
      <c r="M2414" s="139">
        <f ca="1">IF(K2404&gt;=3,M2413-P2399,M2413)</f>
        <v>8888</v>
      </c>
      <c r="AA2414" s="143" t="s">
        <v>507</v>
      </c>
      <c r="AB2414" s="128">
        <f ca="1">IF($AA2404,D2414,AB2410)</f>
        <v>8888</v>
      </c>
      <c r="AC2414" s="129">
        <f ca="1">IF($AA2404,E2414,AC2410)</f>
        <v>8888</v>
      </c>
      <c r="AD2414" s="157"/>
      <c r="AE2414" s="2" t="s">
        <v>507</v>
      </c>
      <c r="AF2414" s="128">
        <f ca="1">IF($AE2404,H2414,AF2410)</f>
        <v>8888</v>
      </c>
      <c r="AG2414" s="129">
        <f ca="1">IF($AE2404,I2414,AG2410)</f>
        <v>8888</v>
      </c>
      <c r="AI2414" s="128" t="s">
        <v>507</v>
      </c>
      <c r="AJ2414" s="128">
        <f ca="1">IF($AI2404,L2414,AJ2410)</f>
        <v>8888</v>
      </c>
      <c r="AK2414" s="129">
        <f ca="1">IF($AI2404,M2414,AK2410)</f>
        <v>8888</v>
      </c>
      <c r="BD2414" s="157"/>
    </row>
    <row r="2415" spans="2:56">
      <c r="B2415" s="156"/>
      <c r="C2415" s="128" t="s">
        <v>455</v>
      </c>
      <c r="D2415" s="128">
        <f ca="1">IF(C2404&gt;=3,D2411,D2413)</f>
        <v>8888</v>
      </c>
      <c r="E2415" s="139">
        <f ca="1">E2414</f>
        <v>8888</v>
      </c>
      <c r="F2415" s="157"/>
      <c r="G2415" s="2" t="s">
        <v>455</v>
      </c>
      <c r="H2415" s="128">
        <f ca="1">IF(G2404&gt;=3,H2407,H2413)</f>
        <v>8888</v>
      </c>
      <c r="I2415" s="139">
        <f ca="1">IF(G2404&gt;=3,I2414,I2413)</f>
        <v>8888</v>
      </c>
      <c r="K2415" s="128" t="s">
        <v>455</v>
      </c>
      <c r="L2415" s="128">
        <f ca="1">IF(K2404&gt;=3,IF(X2399,IF(K2404=3,L2406+P2398/4,L2406+P2398),L2406+P2398),L2409)</f>
        <v>8888</v>
      </c>
      <c r="M2415" s="139">
        <f ca="1">IF(K2404&gt;=3,M2414,M2413)</f>
        <v>8888</v>
      </c>
      <c r="AA2415" s="143" t="s">
        <v>455</v>
      </c>
      <c r="AB2415" s="128">
        <f ca="1">IF($AA2404,D2415,AB2410)</f>
        <v>8888</v>
      </c>
      <c r="AC2415" s="129">
        <f ca="1">IF($AA2404,E2415,AC2410)</f>
        <v>8888</v>
      </c>
      <c r="AD2415" s="157"/>
      <c r="AE2415" s="2" t="s">
        <v>455</v>
      </c>
      <c r="AF2415" s="128">
        <f ca="1">IF($AE2404,H2415,AF2410)</f>
        <v>8888</v>
      </c>
      <c r="AG2415" s="129">
        <f ca="1">IF($AE2404,I2415,AG2410)</f>
        <v>8888</v>
      </c>
      <c r="AI2415" s="128" t="s">
        <v>455</v>
      </c>
      <c r="AJ2415" s="128">
        <f ca="1">IF($AI2404,L2415,AJ2410)</f>
        <v>8888</v>
      </c>
      <c r="AK2415" s="129">
        <f ca="1">IF($AI2404,M2415,AK2410)</f>
        <v>8888</v>
      </c>
      <c r="AL2415" s="156"/>
      <c r="BD2415" s="157"/>
    </row>
    <row r="2416" spans="2:56">
      <c r="B2416" s="156"/>
      <c r="C2416" s="128" t="s">
        <v>311</v>
      </c>
      <c r="D2416" s="128">
        <f ca="1">IF(C2404&gt;=3,D2411,D2413)</f>
        <v>8888</v>
      </c>
      <c r="E2416" s="139">
        <f ca="1">IF(C2404&gt;=3,E2415-P2397,E2413)</f>
        <v>8888</v>
      </c>
      <c r="F2416" s="157"/>
      <c r="G2416" s="2" t="s">
        <v>311</v>
      </c>
      <c r="H2416" s="128">
        <f ca="1">IF(G2404&gt;=3,H2407,H2413)</f>
        <v>8888</v>
      </c>
      <c r="I2416" s="139">
        <f ca="1">IF(G2404&gt;=3,I2415-P2397,I2413)</f>
        <v>8888</v>
      </c>
      <c r="K2416" s="128" t="s">
        <v>311</v>
      </c>
      <c r="L2416" s="128">
        <f ca="1">L2415</f>
        <v>8888</v>
      </c>
      <c r="M2416" s="139">
        <f ca="1">IF(K2404&gt;=3,M2415-P2397,M2413)</f>
        <v>8888</v>
      </c>
      <c r="AA2416" s="143" t="s">
        <v>311</v>
      </c>
      <c r="AB2416" s="128">
        <f ca="1">IF($AA2404,D2416,AB2410)</f>
        <v>8888</v>
      </c>
      <c r="AC2416" s="129">
        <f ca="1">IF($AA2404,E2416,AC2410)</f>
        <v>8888</v>
      </c>
      <c r="AD2416" s="157"/>
      <c r="AE2416" s="2" t="s">
        <v>311</v>
      </c>
      <c r="AF2416" s="128">
        <f ca="1">IF($AE2404,H2416,AF2410)</f>
        <v>8888</v>
      </c>
      <c r="AG2416" s="129">
        <f ca="1">IF($AE2404,I2416,AG2410)</f>
        <v>8888</v>
      </c>
      <c r="AI2416" s="128" t="s">
        <v>311</v>
      </c>
      <c r="AJ2416" s="128">
        <f ca="1">IF($AI2404,L2416,AJ2410)</f>
        <v>8888</v>
      </c>
      <c r="AK2416" s="129">
        <f ca="1">IF($AI2404,M2416,AK2410)</f>
        <v>8888</v>
      </c>
      <c r="AL2416" s="156"/>
      <c r="BD2416" s="157"/>
    </row>
    <row r="2417" spans="2:56">
      <c r="B2417" s="156"/>
      <c r="C2417" s="188" t="s">
        <v>35</v>
      </c>
      <c r="D2417" s="188">
        <f ca="1">IF(C2404&gt;=3,D2406,D2413)</f>
        <v>8888</v>
      </c>
      <c r="E2417" s="189">
        <f ca="1">E2416</f>
        <v>8888</v>
      </c>
      <c r="F2417" s="157"/>
      <c r="G2417" s="2" t="s">
        <v>35</v>
      </c>
      <c r="H2417" s="188">
        <f ca="1">IF(G2404&gt;=3,H2406,H2413)</f>
        <v>8888</v>
      </c>
      <c r="I2417" s="189">
        <f ca="1">IF(G2404&gt;=3,I2416,I2413)</f>
        <v>8888</v>
      </c>
      <c r="K2417" s="188" t="s">
        <v>35</v>
      </c>
      <c r="L2417" s="188">
        <f ca="1">IF(K2404&gt;=3,L2406,L2413)</f>
        <v>8888</v>
      </c>
      <c r="M2417" s="189">
        <f ca="1">IF(K2404&gt;=3,M2416,M2413)</f>
        <v>8888</v>
      </c>
      <c r="AA2417" s="143" t="s">
        <v>35</v>
      </c>
      <c r="AB2417" s="128">
        <f ca="1">IF($AA2404,D2417,AB2410)</f>
        <v>8888</v>
      </c>
      <c r="AC2417" s="129">
        <f ca="1">IF($AA2404,E2417,AC2410)</f>
        <v>8888</v>
      </c>
      <c r="AD2417" s="157"/>
      <c r="AE2417" s="2" t="s">
        <v>35</v>
      </c>
      <c r="AF2417" s="188">
        <f ca="1">IF($AE2404,H2417,AF2410)</f>
        <v>8888</v>
      </c>
      <c r="AG2417" s="196">
        <f ca="1">IF($AE2404,I2417,AG2410)</f>
        <v>8888</v>
      </c>
      <c r="AI2417" s="128" t="s">
        <v>35</v>
      </c>
      <c r="AJ2417" s="128">
        <f ca="1">IF($AI2404,L2417,AJ2410)</f>
        <v>8888</v>
      </c>
      <c r="AK2417" s="129">
        <f ca="1">IF($AI2404,M2417,AK2410)</f>
        <v>8888</v>
      </c>
      <c r="AL2417" s="156"/>
      <c r="BD2417" s="157"/>
    </row>
    <row r="2418" spans="2:56" ht="15" thickBot="1">
      <c r="B2418" s="156"/>
      <c r="C2418" s="130" t="s">
        <v>396</v>
      </c>
      <c r="D2418" s="130">
        <f ca="1">D2406</f>
        <v>8888</v>
      </c>
      <c r="E2418" s="140">
        <f ca="1">E2406</f>
        <v>8888</v>
      </c>
      <c r="F2418" s="157"/>
      <c r="G2418" s="192" t="s">
        <v>312</v>
      </c>
      <c r="H2418" s="128">
        <f ca="1">IF(G2404&gt;=4,H2406,H2417)</f>
        <v>8888</v>
      </c>
      <c r="I2418" s="139">
        <f ca="1">IF(G2404&gt;=4,I2417-P2399,I2417)</f>
        <v>8888</v>
      </c>
      <c r="K2418" s="130" t="s">
        <v>396</v>
      </c>
      <c r="L2418" s="130">
        <f ca="1">L2406</f>
        <v>8888</v>
      </c>
      <c r="M2418" s="140">
        <f ca="1">M2406</f>
        <v>8888</v>
      </c>
      <c r="AA2418" s="144" t="s">
        <v>396</v>
      </c>
      <c r="AB2418" s="130">
        <f ca="1">IF($AA2404,D2418,AB2410)</f>
        <v>8888</v>
      </c>
      <c r="AC2418" s="132">
        <f ca="1">IF($AA2404,E2418,AC2410)</f>
        <v>8888</v>
      </c>
      <c r="AD2418" s="157"/>
      <c r="AE2418" s="192" t="s">
        <v>312</v>
      </c>
      <c r="AF2418" s="128">
        <f ca="1">IF($AE2404,H2418,AF2410)</f>
        <v>8888</v>
      </c>
      <c r="AG2418" s="129">
        <f ca="1">IF($AE2404,I2418,AG2410)</f>
        <v>8888</v>
      </c>
      <c r="AI2418" s="130" t="s">
        <v>396</v>
      </c>
      <c r="AJ2418" s="130">
        <f ca="1">IF($AI2404,L2418,AJ2410)</f>
        <v>8888</v>
      </c>
      <c r="AK2418" s="132">
        <f ca="1">IF($AI2404,M2418,AK2410)</f>
        <v>8888</v>
      </c>
      <c r="BD2418" s="157"/>
    </row>
    <row r="2419" spans="2:56">
      <c r="B2419" s="156"/>
      <c r="F2419" s="157"/>
      <c r="G2419" s="2" t="s">
        <v>313</v>
      </c>
      <c r="H2419" s="128">
        <f ca="1">IF(G2404&gt;=4,H2407,H2417)</f>
        <v>8888</v>
      </c>
      <c r="I2419" s="139">
        <f ca="1">IF(G2404&gt;=4,I2418,I2417)</f>
        <v>8888</v>
      </c>
      <c r="AD2419" s="157"/>
      <c r="AE2419" s="2" t="s">
        <v>313</v>
      </c>
      <c r="AF2419" s="128">
        <f ca="1">IF($AE2404,H2419,AF2410)</f>
        <v>8888</v>
      </c>
      <c r="AG2419" s="129">
        <f ca="1">IF($AE2404,I2419,AG2410)</f>
        <v>8888</v>
      </c>
      <c r="BD2419" s="157"/>
    </row>
    <row r="2420" spans="2:56">
      <c r="B2420" s="156"/>
      <c r="F2420" s="157"/>
      <c r="G2420" s="2" t="s">
        <v>7</v>
      </c>
      <c r="H2420" s="128">
        <f ca="1">IF(G2404&gt;=4,H2407,H2417)</f>
        <v>8888</v>
      </c>
      <c r="I2420" s="139">
        <f ca="1">IF(G2404&gt;=4,I2419-P2397,I2417)</f>
        <v>8888</v>
      </c>
      <c r="AD2420" s="157"/>
      <c r="AE2420" s="2" t="s">
        <v>7</v>
      </c>
      <c r="AF2420" s="128">
        <f ca="1">IF($AE2404,H2420,AF2410)</f>
        <v>8888</v>
      </c>
      <c r="AG2420" s="129">
        <f ca="1">IF($AE2404,I2420,AG2410)</f>
        <v>8888</v>
      </c>
      <c r="BD2420" s="157"/>
    </row>
    <row r="2421" spans="2:56">
      <c r="B2421" s="156"/>
      <c r="F2421" s="157"/>
      <c r="G2421" s="115" t="s">
        <v>8</v>
      </c>
      <c r="H2421" s="188">
        <f ca="1">IF(G2404&gt;=4,H2406,H2417)</f>
        <v>8888</v>
      </c>
      <c r="I2421" s="189">
        <f ca="1">IF(G2404&gt;=4,I2420,I2417)</f>
        <v>8888</v>
      </c>
      <c r="AD2421" s="157"/>
      <c r="AE2421" s="115" t="s">
        <v>8</v>
      </c>
      <c r="AF2421" s="188">
        <f ca="1">IF($AE2404,H2421,AF2410)</f>
        <v>8888</v>
      </c>
      <c r="AG2421" s="196">
        <f ca="1">IF($AE2404,I2421,AG2410)</f>
        <v>8888</v>
      </c>
      <c r="BD2421" s="157"/>
    </row>
    <row r="2422" spans="2:56">
      <c r="B2422" s="156"/>
      <c r="F2422" s="157"/>
      <c r="G2422" s="2" t="s">
        <v>9</v>
      </c>
      <c r="H2422" s="128">
        <f ca="1">IF(G2404&gt;=5,H2406,H2421)</f>
        <v>8888</v>
      </c>
      <c r="I2422" s="139">
        <f ca="1">IF(G2404&gt;=5,I2421-P2399,I2421)</f>
        <v>8888</v>
      </c>
      <c r="AD2422" s="157"/>
      <c r="AE2422" s="2" t="s">
        <v>9</v>
      </c>
      <c r="AF2422" s="128">
        <f ca="1">IF($AE2404,H2422,AF2410)</f>
        <v>8888</v>
      </c>
      <c r="AG2422" s="129">
        <f ca="1">IF($AE2404,I2422,AG2410)</f>
        <v>8888</v>
      </c>
      <c r="BD2422" s="157"/>
    </row>
    <row r="2423" spans="2:56">
      <c r="B2423" s="156"/>
      <c r="F2423" s="157"/>
      <c r="G2423" s="2" t="s">
        <v>196</v>
      </c>
      <c r="H2423" s="128">
        <f ca="1">IF(G2404&gt;=5,H2407,H2421)</f>
        <v>8888</v>
      </c>
      <c r="I2423" s="139">
        <f ca="1">IF(G2404&gt;=5,I2422,I2421)</f>
        <v>8888</v>
      </c>
      <c r="AD2423" s="157"/>
      <c r="AE2423" s="2" t="s">
        <v>196</v>
      </c>
      <c r="AF2423" s="128">
        <f ca="1">IF($AE2404,H2423,AF2410)</f>
        <v>8888</v>
      </c>
      <c r="AG2423" s="129">
        <f ca="1">IF($AE2404,I2423,AG2410)</f>
        <v>8888</v>
      </c>
      <c r="BD2423" s="157"/>
    </row>
    <row r="2424" spans="2:56">
      <c r="B2424" s="156"/>
      <c r="F2424" s="157"/>
      <c r="G2424" s="2" t="s">
        <v>10</v>
      </c>
      <c r="H2424" s="128">
        <f ca="1">IF(G2404&gt;=5,H2407,H2421)</f>
        <v>8888</v>
      </c>
      <c r="I2424" s="139">
        <f ca="1">IF(G2404&gt;=5,I2423-P2397,I2421)</f>
        <v>8888</v>
      </c>
      <c r="AD2424" s="157"/>
      <c r="AE2424" s="2" t="s">
        <v>10</v>
      </c>
      <c r="AF2424" s="128">
        <f ca="1">IF($AE2404,H2424,AF2410)</f>
        <v>8888</v>
      </c>
      <c r="AG2424" s="129">
        <f ca="1">IF($AE2404,I2424,AG2410)</f>
        <v>8888</v>
      </c>
      <c r="BD2424" s="157"/>
    </row>
    <row r="2425" spans="2:56">
      <c r="B2425" s="156"/>
      <c r="F2425" s="157"/>
      <c r="G2425" s="2" t="s">
        <v>161</v>
      </c>
      <c r="H2425" s="188">
        <f ca="1">IF(G2404&gt;=5,H2406,H2421)</f>
        <v>8888</v>
      </c>
      <c r="I2425" s="189">
        <f ca="1">IF(G2404&gt;=5,I2424,I2421)</f>
        <v>8888</v>
      </c>
      <c r="AD2425" s="157"/>
      <c r="AE2425" s="2" t="s">
        <v>161</v>
      </c>
      <c r="AF2425" s="188">
        <f ca="1">IF($AE2404,H2425,AF2410)</f>
        <v>8888</v>
      </c>
      <c r="AG2425" s="196">
        <f ca="1">IF($AE2404,I2425,AG2410)</f>
        <v>8888</v>
      </c>
      <c r="BD2425" s="157"/>
    </row>
    <row r="2426" spans="2:56">
      <c r="B2426" s="156"/>
      <c r="F2426" s="157"/>
      <c r="G2426" s="192" t="s">
        <v>11</v>
      </c>
      <c r="H2426" s="128">
        <f ca="1">IF(G2404&gt;=6,H2406,H2425)</f>
        <v>8888</v>
      </c>
      <c r="I2426" s="139">
        <f ca="1">IF(G2404&gt;=6,I2425-P2399,I2425)</f>
        <v>8888</v>
      </c>
      <c r="AD2426" s="157"/>
      <c r="AE2426" s="192" t="s">
        <v>11</v>
      </c>
      <c r="AF2426" s="128">
        <f ca="1">IF($AE2404,H2426,AF2410)</f>
        <v>8888</v>
      </c>
      <c r="AG2426" s="129">
        <f ca="1">IF($AE2404,I2426,AG2410)</f>
        <v>8888</v>
      </c>
      <c r="BD2426" s="157"/>
    </row>
    <row r="2427" spans="2:56">
      <c r="B2427" s="156"/>
      <c r="F2427" s="157"/>
      <c r="G2427" s="2" t="s">
        <v>12</v>
      </c>
      <c r="H2427" s="128">
        <f ca="1">IF(G2404&gt;=6,H2407,H2425)</f>
        <v>8888</v>
      </c>
      <c r="I2427" s="139">
        <f ca="1">IF(G2404&gt;=6,I2426,I2425)</f>
        <v>8888</v>
      </c>
      <c r="AD2427" s="157"/>
      <c r="AE2427" s="2" t="s">
        <v>12</v>
      </c>
      <c r="AF2427" s="128">
        <f ca="1">IF($AE2404,H2427,AF2410)</f>
        <v>8888</v>
      </c>
      <c r="AG2427" s="129">
        <f ca="1">IF($AE2404,I2427,AG2410)</f>
        <v>8888</v>
      </c>
      <c r="BD2427" s="157"/>
    </row>
    <row r="2428" spans="2:56">
      <c r="B2428" s="156"/>
      <c r="F2428" s="157"/>
      <c r="G2428" s="2" t="s">
        <v>13</v>
      </c>
      <c r="H2428" s="128">
        <f ca="1">IF(G2404&gt;=6,H2407,H2425)</f>
        <v>8888</v>
      </c>
      <c r="I2428" s="139">
        <f ca="1">IF(G2404&gt;=6,I2427-P2397,I2425)</f>
        <v>8888</v>
      </c>
      <c r="AD2428" s="157"/>
      <c r="AE2428" s="2" t="s">
        <v>13</v>
      </c>
      <c r="AF2428" s="128">
        <f ca="1">IF($AE2404,H2428,AF2410)</f>
        <v>8888</v>
      </c>
      <c r="AG2428" s="129">
        <f ca="1">IF($AE2404,I2428,AG2410)</f>
        <v>8888</v>
      </c>
      <c r="BD2428" s="157"/>
    </row>
    <row r="2429" spans="2:56">
      <c r="B2429" s="156"/>
      <c r="F2429" s="157"/>
      <c r="G2429" s="115" t="s">
        <v>14</v>
      </c>
      <c r="H2429" s="188">
        <f ca="1">IF(G2404&gt;=6,H2406,H2425)</f>
        <v>8888</v>
      </c>
      <c r="I2429" s="189">
        <f ca="1">IF(G2404&gt;=6,I2428,I2425)</f>
        <v>8888</v>
      </c>
      <c r="AD2429" s="157"/>
      <c r="AE2429" s="115" t="s">
        <v>14</v>
      </c>
      <c r="AF2429" s="188">
        <f ca="1">IF($AE2404,H2429,AF2410)</f>
        <v>8888</v>
      </c>
      <c r="AG2429" s="196">
        <f ca="1">IF($AE2404,I2429,AG2410)</f>
        <v>8888</v>
      </c>
      <c r="BD2429" s="157"/>
    </row>
    <row r="2430" spans="2:56" ht="15" thickBot="1">
      <c r="B2430" s="156"/>
      <c r="G2430" s="130" t="s">
        <v>396</v>
      </c>
      <c r="H2430" s="130">
        <f ca="1">H2406</f>
        <v>8888</v>
      </c>
      <c r="I2430" s="140">
        <f ca="1">I2406</f>
        <v>8888</v>
      </c>
      <c r="AE2430" s="130" t="s">
        <v>396</v>
      </c>
      <c r="AF2430" s="130">
        <f ca="1">IF($AE2404,H2430,AF2410)</f>
        <v>8888</v>
      </c>
      <c r="AG2430" s="132">
        <f ca="1">IF($AE2404,I2430,AG2410)</f>
        <v>8888</v>
      </c>
      <c r="BD2430" s="157"/>
    </row>
    <row r="2431" spans="2:56">
      <c r="B2431" s="156"/>
      <c r="BD2431" s="157"/>
    </row>
    <row r="2432" spans="2:56">
      <c r="B2432" s="156"/>
      <c r="BD2432" s="157"/>
    </row>
    <row r="2433" spans="2:56">
      <c r="B2433" s="156"/>
      <c r="C2433" s="200" t="s">
        <v>336</v>
      </c>
      <c r="D2433">
        <f>D2397+1</f>
        <v>63</v>
      </c>
      <c r="G2433" s="200" t="s">
        <v>638</v>
      </c>
      <c r="H2433">
        <f ca="1">LOOKUP(D2436,$C$191:$C$196,$D$191:$D$196)</f>
        <v>0</v>
      </c>
      <c r="K2433" s="200" t="s">
        <v>644</v>
      </c>
      <c r="L2433">
        <f ca="1">L2397-H2438</f>
        <v>-18.624000000000006</v>
      </c>
      <c r="O2433" s="200" t="s">
        <v>404</v>
      </c>
      <c r="P2433">
        <f ca="1">IF(D2435=1,SEAT_w_cushion_FC,IF(D2435=2,SEAT_w_cushion_BC,IF(D2435=3,SEAT_w_cushion_YC,0)))</f>
        <v>0</v>
      </c>
      <c r="S2433" s="200" t="s">
        <v>647</v>
      </c>
      <c r="T2433">
        <f ca="1">LOOKUP(D2436,$C$191:$C$196,$E$191:$E$196)</f>
        <v>0</v>
      </c>
      <c r="W2433" t="s">
        <v>130</v>
      </c>
      <c r="X2433" t="str">
        <f ca="1">OFFSET(Fuselage!$B$275,D2433,5)</f>
        <v>None</v>
      </c>
      <c r="AN2433" s="200" t="s">
        <v>135</v>
      </c>
      <c r="AO2433">
        <f ca="1">MAX(0,H2438-MAX(T2433,T2435,T2437,P2434)-X2434)</f>
        <v>0</v>
      </c>
      <c r="BD2433" s="157"/>
    </row>
    <row r="2434" spans="2:56">
      <c r="B2434" s="156"/>
      <c r="C2434" s="200" t="s">
        <v>200</v>
      </c>
      <c r="D2434" t="str">
        <f ca="1">OFFSET(Fuselage!$B$275,D2433,0)</f>
        <v/>
      </c>
      <c r="G2434" s="200" t="s">
        <v>639</v>
      </c>
      <c r="H2434">
        <f ca="1">LOOKUP(D2437,$C$191:$C$196,$D$191:$D$196)</f>
        <v>0</v>
      </c>
      <c r="O2434" s="200" t="s">
        <v>535</v>
      </c>
      <c r="P2434">
        <f ca="1">IF(D2435=1,SEAT_length_FC,IF(D2435=2,SEAT_length_BC,IF(D2435=3,SEAT_length_YC,0)))</f>
        <v>0</v>
      </c>
      <c r="S2434" s="200" t="s">
        <v>648</v>
      </c>
      <c r="T2434">
        <f ca="1">LOOKUP(D2436,$C$191:$C$196,$F$191:$F$196)</f>
        <v>0</v>
      </c>
      <c r="W2434" t="s">
        <v>131</v>
      </c>
      <c r="X2434">
        <f ca="1">LOOKUP(X2433,$I$191:$I$198,$J$191:$J$198)</f>
        <v>0</v>
      </c>
      <c r="BD2434" s="157"/>
    </row>
    <row r="2435" spans="2:56">
      <c r="B2435" s="156"/>
      <c r="C2435" s="200" t="s">
        <v>337</v>
      </c>
      <c r="D2435" t="str">
        <f ca="1">OFFSET(Fuselage!$B$275,D2433,4)</f>
        <v/>
      </c>
      <c r="G2435" s="200" t="s">
        <v>309</v>
      </c>
      <c r="H2435">
        <f ca="1">LOOKUP(D2438,$C$191:$C$196,$D$191:$D$196)</f>
        <v>0</v>
      </c>
      <c r="K2435" s="200" t="s">
        <v>645</v>
      </c>
      <c r="L2435">
        <f ca="1">IF(D2435=1,FUSELAGE_nseats_left_FC,IF(D2435=2,FUSELAGE_nseats_left_BC,IF(D2435=3,FUSELAGE_nseats_left_YC,0)))</f>
        <v>0</v>
      </c>
      <c r="O2435" s="200" t="s">
        <v>405</v>
      </c>
      <c r="P2435">
        <f ca="1">IF(D2435=1,SEAT_w_armrest_FC,IF(D2435=2,SEAT_w_armrest_BC,IF(D2435=3,SEAT_w_armrest_YC,0)))</f>
        <v>0</v>
      </c>
      <c r="S2435" s="200" t="s">
        <v>652</v>
      </c>
      <c r="T2435">
        <f ca="1">LOOKUP(D2437,$C$191:$C$196,$E$191:$E$196)</f>
        <v>0</v>
      </c>
      <c r="W2435" s="200" t="s">
        <v>393</v>
      </c>
      <c r="X2435" t="b">
        <f ca="1">IF(OFFSET(Fuselage!$B$275,D2433,6)="YES",TRUE(),FALSE())</f>
        <v>0</v>
      </c>
      <c r="BD2435" s="157"/>
    </row>
    <row r="2436" spans="2:56">
      <c r="B2436" s="156"/>
      <c r="C2436" s="200" t="s">
        <v>640</v>
      </c>
      <c r="D2436" t="str">
        <f ca="1">OFFSET(Fuselage!$B$275,D2433,1)</f>
        <v>None</v>
      </c>
      <c r="G2436" s="200" t="s">
        <v>132</v>
      </c>
      <c r="H2436">
        <f ca="1">IF(D2435=1,SEAT_pitch_FC,IF(D2435=2,SEAT_pitch_BC,IF(D2435=3,SEAT_pitch_YC,0)))</f>
        <v>0</v>
      </c>
      <c r="K2436" s="200" t="s">
        <v>646</v>
      </c>
      <c r="L2436">
        <f ca="1">IF(D2435=1,FUSELAGE_nseats_middle_FC,IF(D2435=2,FUSELAGE_nseats_middle_BC,IF(D2435=3,FUSELAGE_nseats_middle_YC,0)))</f>
        <v>0</v>
      </c>
      <c r="S2436" s="200" t="s">
        <v>653</v>
      </c>
      <c r="T2436">
        <f ca="1">LOOKUP(D2437,$C$191:$C$196,$F$191:$F$196)</f>
        <v>0</v>
      </c>
      <c r="BD2436" s="157"/>
    </row>
    <row r="2437" spans="2:56">
      <c r="B2437" s="156"/>
      <c r="C2437" s="200" t="s">
        <v>642</v>
      </c>
      <c r="D2437" t="str">
        <f ca="1">OFFSET(Fuselage!$B$275,D2433,2)</f>
        <v>None</v>
      </c>
      <c r="G2437" s="200" t="s">
        <v>129</v>
      </c>
      <c r="H2437">
        <f ca="1">IF(OR(X2433="Type A",X2433="Type B"),MAX(H2433:H2436)+42*0.0254,IF(X2433="Type C",MAX(H2433:H2436)+X2434,IF(X2433&lt;&gt;"None",24*0.0254,0)))</f>
        <v>0</v>
      </c>
      <c r="K2437" s="200" t="s">
        <v>655</v>
      </c>
      <c r="L2437">
        <f ca="1">IF(D2435=1,FUSELAGE_nseats_right_FC,IF(D2435=2,FUSELAGE_nseats_right_BC,IF(D2435=3,FUSELAGE_nseats_right_YC,0)))</f>
        <v>0</v>
      </c>
      <c r="O2437" s="200" t="s">
        <v>407</v>
      </c>
      <c r="P2437">
        <f ca="1">($C$13-(L2435+L2436+L2437)*(P2433+P2435)+(FUSELAGE_n_aisles-1)*P2435)/FUSELAGE_n_aisles</f>
        <v>2.76</v>
      </c>
      <c r="S2437" s="200" t="s">
        <v>651</v>
      </c>
      <c r="T2437">
        <f ca="1">LOOKUP(D2438,$C$191:$C$196,$E$191:$E$196)</f>
        <v>0</v>
      </c>
      <c r="BD2437" s="157"/>
    </row>
    <row r="2438" spans="2:56">
      <c r="B2438" s="156"/>
      <c r="C2438" s="200" t="s">
        <v>641</v>
      </c>
      <c r="D2438" t="str">
        <f ca="1">OFFSET(Fuselage!$B$275,D2433,3)</f>
        <v>None</v>
      </c>
      <c r="G2438" s="200" t="s">
        <v>643</v>
      </c>
      <c r="H2438">
        <f ca="1">MAX(H2433:H2437)</f>
        <v>0</v>
      </c>
      <c r="S2438" s="200" t="s">
        <v>654</v>
      </c>
      <c r="T2438">
        <f ca="1">LOOKUP(D2438,$C$191:$C$196,$F$191:$F$196)</f>
        <v>0</v>
      </c>
      <c r="BD2438" s="157"/>
    </row>
    <row r="2439" spans="2:56" ht="15" thickBot="1">
      <c r="B2439" s="156"/>
      <c r="BD2439" s="157"/>
    </row>
    <row r="2440" spans="2:56" ht="15" thickBot="1">
      <c r="B2440" s="156"/>
      <c r="C2440" s="141">
        <f ca="1">L2437</f>
        <v>0</v>
      </c>
      <c r="D2440" s="197" t="str">
        <f ca="1">IF($D2435=1,"FC",IF($D2435=2,"BC",IF($D2435=3,"YC","Nothing")))</f>
        <v>Nothing</v>
      </c>
      <c r="E2440" s="198"/>
      <c r="G2440" s="141">
        <f ca="1">L2436</f>
        <v>0</v>
      </c>
      <c r="H2440" s="197" t="str">
        <f ca="1">IF($D2435=1,"FC",IF($D2435=2,"BC",IF($D2435=3,"YC","Nothing")))</f>
        <v>Nothing</v>
      </c>
      <c r="I2440" s="198"/>
      <c r="K2440" s="141">
        <f ca="1" xml:space="preserve"> L2435</f>
        <v>0</v>
      </c>
      <c r="L2440" s="197" t="str">
        <f ca="1">IF($D2435=1,"FC",IF($D2435=2,"BC",IF($D2435=3,"YC","Nothing")))</f>
        <v>Nothing</v>
      </c>
      <c r="M2440" s="198"/>
      <c r="O2440" s="141">
        <f ca="1">IF($D2438&lt;&gt;"None",1,0)</f>
        <v>0</v>
      </c>
      <c r="P2440" s="326" t="s">
        <v>380</v>
      </c>
      <c r="Q2440" s="327"/>
      <c r="S2440" s="141">
        <f ca="1">IF($D2437&lt;&gt;"None",1,0)</f>
        <v>0</v>
      </c>
      <c r="T2440" s="326" t="s">
        <v>381</v>
      </c>
      <c r="U2440" s="327"/>
      <c r="W2440" s="141">
        <f ca="1">IF($D2436&lt;&gt;"None",1,0)</f>
        <v>0</v>
      </c>
      <c r="X2440" s="326" t="s">
        <v>382</v>
      </c>
      <c r="Y2440" s="327"/>
      <c r="AA2440" s="141">
        <f ca="1">IF($D2438="None",1,0)</f>
        <v>1</v>
      </c>
      <c r="AB2440" s="326" t="str">
        <f ca="1">IF(AA2440,D2440,$D2438)</f>
        <v>Nothing</v>
      </c>
      <c r="AC2440" s="327"/>
      <c r="AE2440" s="141">
        <f ca="1">IF($D2437="None",1,0)</f>
        <v>1</v>
      </c>
      <c r="AF2440" s="326" t="str">
        <f ca="1">IF(AE2440,H2440,$D2437)</f>
        <v>Nothing</v>
      </c>
      <c r="AG2440" s="327"/>
      <c r="AI2440" s="141">
        <f ca="1">IF($D2436="None",1,0)</f>
        <v>1</v>
      </c>
      <c r="AJ2440" s="326" t="str">
        <f ca="1">IF(AI2440,L2440,$D2436)</f>
        <v>Nothing</v>
      </c>
      <c r="AK2440" s="327"/>
      <c r="AM2440" s="141">
        <f ca="1">IF($X2433="None",0,1)</f>
        <v>0</v>
      </c>
      <c r="AN2440" s="197" t="s">
        <v>133</v>
      </c>
      <c r="AO2440" s="198"/>
      <c r="AQ2440" s="141">
        <f ca="1">IF($X2433="None",0,1)</f>
        <v>0</v>
      </c>
      <c r="AR2440" s="197" t="s">
        <v>134</v>
      </c>
      <c r="AS2440" s="198"/>
      <c r="BD2440" s="157"/>
    </row>
    <row r="2441" spans="2:56" ht="15" thickBot="1">
      <c r="B2441" s="156"/>
      <c r="C2441" s="136" t="s">
        <v>452</v>
      </c>
      <c r="D2441" s="136" t="s">
        <v>384</v>
      </c>
      <c r="E2441" s="138" t="s">
        <v>385</v>
      </c>
      <c r="G2441" s="136" t="s">
        <v>452</v>
      </c>
      <c r="H2441" s="136" t="s">
        <v>384</v>
      </c>
      <c r="I2441" s="138" t="s">
        <v>385</v>
      </c>
      <c r="K2441" s="193" t="s">
        <v>452</v>
      </c>
      <c r="L2441" s="193" t="s">
        <v>384</v>
      </c>
      <c r="M2441" s="194" t="s">
        <v>385</v>
      </c>
      <c r="O2441" s="136" t="s">
        <v>452</v>
      </c>
      <c r="P2441" s="136" t="s">
        <v>384</v>
      </c>
      <c r="Q2441" s="138" t="s">
        <v>385</v>
      </c>
      <c r="S2441" s="136" t="s">
        <v>452</v>
      </c>
      <c r="T2441" s="136" t="s">
        <v>384</v>
      </c>
      <c r="U2441" s="138" t="s">
        <v>385</v>
      </c>
      <c r="W2441" s="136" t="s">
        <v>452</v>
      </c>
      <c r="X2441" s="136" t="s">
        <v>384</v>
      </c>
      <c r="Y2441" s="138" t="s">
        <v>385</v>
      </c>
      <c r="AA2441" s="136" t="s">
        <v>452</v>
      </c>
      <c r="AB2441" s="136" t="s">
        <v>384</v>
      </c>
      <c r="AC2441" s="138" t="s">
        <v>385</v>
      </c>
      <c r="AE2441" s="136" t="s">
        <v>452</v>
      </c>
      <c r="AF2441" s="136" t="s">
        <v>384</v>
      </c>
      <c r="AG2441" s="138" t="s">
        <v>385</v>
      </c>
      <c r="AI2441" s="193" t="s">
        <v>452</v>
      </c>
      <c r="AJ2441" s="193" t="s">
        <v>384</v>
      </c>
      <c r="AK2441" s="194" t="s">
        <v>385</v>
      </c>
      <c r="AM2441" s="193" t="s">
        <v>452</v>
      </c>
      <c r="AN2441" s="193" t="s">
        <v>384</v>
      </c>
      <c r="AO2441" s="194" t="s">
        <v>385</v>
      </c>
      <c r="AQ2441" s="193" t="s">
        <v>452</v>
      </c>
      <c r="AR2441" s="193" t="s">
        <v>384</v>
      </c>
      <c r="AS2441" s="194" t="s">
        <v>385</v>
      </c>
      <c r="BD2441" s="157"/>
    </row>
    <row r="2442" spans="2:56">
      <c r="B2442" s="156"/>
      <c r="C2442" s="128" t="s">
        <v>396</v>
      </c>
      <c r="D2442" s="158">
        <f ca="1">IF(C2440&gt;=1,L2433,8888)</f>
        <v>8888</v>
      </c>
      <c r="E2442" s="160">
        <f ca="1">IF(C2440&gt;=1,1/2*($C$13-P2433-2*P2435)+1/2*P2433,8888)</f>
        <v>8888</v>
      </c>
      <c r="G2442" s="128" t="s">
        <v>396</v>
      </c>
      <c r="H2442" s="158">
        <f ca="1">IF(G2440&gt;=1,L2433,8888)</f>
        <v>8888</v>
      </c>
      <c r="I2442" s="160">
        <f ca="1">IF(G2440&gt;=1,E2453-P2437,8888)</f>
        <v>8888</v>
      </c>
      <c r="K2442" s="128" t="s">
        <v>396</v>
      </c>
      <c r="L2442" s="158">
        <f ca="1">IF(K2440&gt;=1,L2433,8888)</f>
        <v>8888</v>
      </c>
      <c r="M2442" s="160">
        <f ca="1">IF(K2440&gt;=1,IF(FUSELAGE_n_aisles=1,E2453-P2437,I2465-P2437),8888)</f>
        <v>8888</v>
      </c>
      <c r="O2442" s="128" t="s">
        <v>396</v>
      </c>
      <c r="P2442" s="158">
        <f ca="1">IF(O2440,$L2433,8888)</f>
        <v>8888</v>
      </c>
      <c r="Q2442" s="209">
        <f ca="1">IF(O2440,FUSELAGE_y_position_of_left_seat_YC-(FUSELAGE_nseats_right_YC-1)*(SEAT_w_cushion_YC+SEAT_w_armrest_YC)/2+T2438/2,8888)</f>
        <v>8888</v>
      </c>
      <c r="S2442" s="128" t="s">
        <v>396</v>
      </c>
      <c r="T2442" s="158">
        <f ca="1">IF(S2440,$L2433,8888)</f>
        <v>8888</v>
      </c>
      <c r="U2442" s="160">
        <f ca="1">IF(S2440,T2436/2,8888)</f>
        <v>8888</v>
      </c>
      <c r="W2442" s="128" t="s">
        <v>396</v>
      </c>
      <c r="X2442" s="158">
        <f ca="1">IF(W2440,$L2433,8888)</f>
        <v>8888</v>
      </c>
      <c r="Y2442" s="160">
        <f ca="1">IF(W2440,-FUSELAGE_y_position_of_left_seat_YC+(FUSELAGE_nseats_left_YC-1)*(SEAT_w_cushion_YC+SEAT_w_armrest_YC)/2-T2434/2,8888)</f>
        <v>8888</v>
      </c>
      <c r="AA2442" s="128" t="s">
        <v>396</v>
      </c>
      <c r="AB2442" s="158">
        <f ca="1">IF($AA2440,D2442,P2442)</f>
        <v>8888</v>
      </c>
      <c r="AC2442" s="174">
        <f ca="1">IF($AA2440,E2442,Q2442)</f>
        <v>8888</v>
      </c>
      <c r="AE2442" s="128" t="s">
        <v>396</v>
      </c>
      <c r="AF2442" s="158">
        <f ca="1">IF($AE2440,H2442,T2442)</f>
        <v>8888</v>
      </c>
      <c r="AG2442" s="174">
        <f ca="1">IF($AE2440,I2442,U2442)</f>
        <v>8888</v>
      </c>
      <c r="AI2442" s="128" t="s">
        <v>396</v>
      </c>
      <c r="AJ2442" s="158">
        <f ca="1">IF($AI2440,L2442,X2442)</f>
        <v>8888</v>
      </c>
      <c r="AK2442" s="174">
        <f ca="1">IF($AI2440,M2442,Y2442)</f>
        <v>8888</v>
      </c>
      <c r="AM2442" s="128" t="s">
        <v>396</v>
      </c>
      <c r="AN2442" s="158">
        <f ca="1">AN2411</f>
        <v>-18.624000000000006</v>
      </c>
      <c r="AO2442" s="174">
        <f ca="1">IF(AN2442&gt;-Fuselage!$D$366,(FUSELAGE_a_ellipse)*SQRT(1-((AN2442+Fuselage!$D$366)/(Fuselage!$K$364-FUSELAGE_t_fuselage))^2),IF(AN2442&gt;$L$2505+Fuselage!$K$370,FUSELAGE_a_ellipse,(FUSELAGE_a_ellipse+FUSELAGE_t_fuselage-FUSELAGE_d_fo/4)/Fuselage!$K$368*(AN2442-$L$2505-Fuselage!$K$370)+FUSELAGE_a_ellipse))</f>
        <v>1.4960570012328709</v>
      </c>
      <c r="AQ2442" s="128" t="s">
        <v>396</v>
      </c>
      <c r="AR2442" s="158">
        <f t="shared" ref="AR2442:AR2447" ca="1" si="190">AN2442</f>
        <v>-18.624000000000006</v>
      </c>
      <c r="AS2442" s="174">
        <f t="shared" ref="AS2442:AS2447" ca="1" si="191">-AO2442</f>
        <v>-1.4960570012328709</v>
      </c>
      <c r="BD2442" s="157"/>
    </row>
    <row r="2443" spans="2:56">
      <c r="B2443" s="156"/>
      <c r="C2443" s="128" t="s">
        <v>213</v>
      </c>
      <c r="D2443" s="128">
        <f ca="1">IF(X2435,D2442+P2434/4,D2442+P2434)</f>
        <v>8888</v>
      </c>
      <c r="E2443" s="139">
        <f ca="1">E2442</f>
        <v>8888</v>
      </c>
      <c r="G2443" s="128" t="s">
        <v>213</v>
      </c>
      <c r="H2443" s="128">
        <f ca="1">H2442+P2434</f>
        <v>8888</v>
      </c>
      <c r="I2443" s="139">
        <f ca="1">I2442</f>
        <v>8888</v>
      </c>
      <c r="K2443" s="128" t="s">
        <v>213</v>
      </c>
      <c r="L2443" s="128">
        <f ca="1">IF(X2435,IF(K2440=1,L2442+P2434/4,L2442+P2434),L2442+P2434)</f>
        <v>8888</v>
      </c>
      <c r="M2443" s="139">
        <f ca="1">M2442</f>
        <v>8888</v>
      </c>
      <c r="O2443" s="128" t="s">
        <v>213</v>
      </c>
      <c r="P2443" s="128">
        <f ca="1">P2442+$T2437</f>
        <v>8888</v>
      </c>
      <c r="Q2443" s="139">
        <f ca="1">Q2442</f>
        <v>8888</v>
      </c>
      <c r="S2443" s="128" t="s">
        <v>213</v>
      </c>
      <c r="T2443" s="128">
        <f ca="1">T2442+$T2435</f>
        <v>8888</v>
      </c>
      <c r="U2443" s="139">
        <f ca="1">U2442</f>
        <v>8888</v>
      </c>
      <c r="W2443" s="128" t="s">
        <v>213</v>
      </c>
      <c r="X2443" s="128">
        <f ca="1">X2442+$T2433</f>
        <v>8888</v>
      </c>
      <c r="Y2443" s="139">
        <f ca="1">Y2442</f>
        <v>8888</v>
      </c>
      <c r="AA2443" s="143" t="s">
        <v>213</v>
      </c>
      <c r="AB2443" s="128">
        <f ca="1">IF($AA2440,D2443,P2443)</f>
        <v>8888</v>
      </c>
      <c r="AC2443" s="129">
        <f ca="1">IF($AA2440,E2443,Q2443)</f>
        <v>8888</v>
      </c>
      <c r="AE2443" s="128" t="s">
        <v>213</v>
      </c>
      <c r="AF2443" s="128">
        <f ca="1">IF($AE2440,H2443,T2443)</f>
        <v>8888</v>
      </c>
      <c r="AG2443" s="129">
        <f ca="1">IF($AE2440,I2443,U2443)</f>
        <v>8888</v>
      </c>
      <c r="AI2443" s="128" t="s">
        <v>213</v>
      </c>
      <c r="AJ2443" s="128">
        <f ca="1">IF($AI2440,L2443,X2443)</f>
        <v>8888</v>
      </c>
      <c r="AK2443" s="129">
        <f ca="1">IF($AI2440,M2443,Y2443)</f>
        <v>8888</v>
      </c>
      <c r="AM2443" s="128" t="s">
        <v>213</v>
      </c>
      <c r="AN2443" s="128">
        <f ca="1">AN2442-AO2433/2</f>
        <v>-18.624000000000006</v>
      </c>
      <c r="AO2443" s="129">
        <f ca="1">IF(AN2443&gt;-Fuselage!$D$366,(FUSELAGE_a_ellipse)*SQRT(1-((AN2443+Fuselage!$D$366)/(Fuselage!$K$364-FUSELAGE_t_fuselage))^2),IF(AN2443&gt;$L$2505+Fuselage!$K$370,FUSELAGE_a_ellipse,(FUSELAGE_a_ellipse+FUSELAGE_t_fuselage-FUSELAGE_d_fo/4)/Fuselage!$K$368*(AN2443-$L$2505-Fuselage!$K$370)+FUSELAGE_a_ellipse))</f>
        <v>1.4960570012328709</v>
      </c>
      <c r="AQ2443" s="128" t="s">
        <v>213</v>
      </c>
      <c r="AR2443" s="128">
        <f t="shared" ca="1" si="190"/>
        <v>-18.624000000000006</v>
      </c>
      <c r="AS2443" s="129">
        <f t="shared" ca="1" si="191"/>
        <v>-1.4960570012328709</v>
      </c>
      <c r="BD2443" s="157"/>
    </row>
    <row r="2444" spans="2:56">
      <c r="B2444" s="156"/>
      <c r="C2444" s="128" t="s">
        <v>286</v>
      </c>
      <c r="D2444" s="128">
        <f ca="1">D2443</f>
        <v>8888</v>
      </c>
      <c r="E2444" s="139">
        <f ca="1">E2443-P2433</f>
        <v>8888</v>
      </c>
      <c r="G2444" s="128" t="s">
        <v>286</v>
      </c>
      <c r="H2444" s="128">
        <f ca="1">H2443</f>
        <v>8888</v>
      </c>
      <c r="I2444" s="139">
        <f ca="1">I2443-P2433</f>
        <v>8888</v>
      </c>
      <c r="K2444" s="128" t="s">
        <v>286</v>
      </c>
      <c r="L2444" s="128">
        <f ca="1">L2443</f>
        <v>8888</v>
      </c>
      <c r="M2444" s="139">
        <f ca="1">M2443-P2433</f>
        <v>8888</v>
      </c>
      <c r="O2444" s="128" t="s">
        <v>286</v>
      </c>
      <c r="P2444" s="128">
        <f ca="1">P2443</f>
        <v>8888</v>
      </c>
      <c r="Q2444" s="139">
        <f ca="1">Q2443-$T2438</f>
        <v>8888</v>
      </c>
      <c r="S2444" s="128" t="s">
        <v>286</v>
      </c>
      <c r="T2444" s="128">
        <f ca="1">T2443</f>
        <v>8888</v>
      </c>
      <c r="U2444" s="139">
        <f ca="1">U2443-$T2436</f>
        <v>8888</v>
      </c>
      <c r="W2444" s="128" t="s">
        <v>286</v>
      </c>
      <c r="X2444" s="128">
        <f ca="1">X2443</f>
        <v>8888</v>
      </c>
      <c r="Y2444" s="139">
        <f ca="1">Y2443+$T2434</f>
        <v>8888</v>
      </c>
      <c r="AA2444" s="143" t="s">
        <v>286</v>
      </c>
      <c r="AB2444" s="128">
        <f ca="1">IF($AA2440,D2444,P2444)</f>
        <v>8888</v>
      </c>
      <c r="AC2444" s="129">
        <f ca="1">IF($AA2440,E2444,Q2444)</f>
        <v>8888</v>
      </c>
      <c r="AE2444" s="128" t="s">
        <v>286</v>
      </c>
      <c r="AF2444" s="128">
        <f ca="1">IF($AE2440,H2444,T2444)</f>
        <v>8888</v>
      </c>
      <c r="AG2444" s="129">
        <f ca="1">IF($AE2440,I2444,U2444)</f>
        <v>8888</v>
      </c>
      <c r="AI2444" s="128" t="s">
        <v>286</v>
      </c>
      <c r="AJ2444" s="128">
        <f ca="1">IF($AI2440,L2444,X2444)</f>
        <v>8888</v>
      </c>
      <c r="AK2444" s="129">
        <f ca="1">IF($AI2440,M2444,Y2444)</f>
        <v>8888</v>
      </c>
      <c r="AM2444" s="128" t="s">
        <v>286</v>
      </c>
      <c r="AN2444" s="128">
        <f ca="1">AN2443</f>
        <v>-18.624000000000006</v>
      </c>
      <c r="AO2444" s="129">
        <f ca="1">IF(AN2444&gt;-Fuselage!$D$366,IF(AM2440,(FUSELAGE_a_ellipse+FUSELAGE_t_fuselage)*SQRT(1-((AN2444+Fuselage!$D$366)/Fuselage!$K$364)^2),(FUSELAGE_a_ellipse)*SQRT(1-((AN2444+Fuselage!$D$366)/Fuselage!$K$364)^2)),IF(AN2444&gt;$L$2505+Fuselage!$K$370,(IF(AM2440,FUSELAGE_a_ellipse+FUSELAGE_t_fuselage,FUSELAGE_a_ellipse)),IF(AM2440,(FUSELAGE_a_ellipse+FUSELAGE_t_fuselage-FUSELAGE_d_fo/4)/Fuselage!$K$368*(AN2444-$L$2505-Fuselage!$K$370)+FUSELAGE_a_ellipse+FUSELAGE_t_fuselage,(FUSELAGE_a_ellipse+FUSELAGE_t_fuselage-FUSELAGE_d_fo/4)/Fuselage!$K$368*(AN2444-$L$2505-Fuselage!$K$370)+FUSELAGE_a_ellipse)))</f>
        <v>1.4960570012328709</v>
      </c>
      <c r="AQ2444" s="128" t="s">
        <v>286</v>
      </c>
      <c r="AR2444" s="128">
        <f t="shared" ca="1" si="190"/>
        <v>-18.624000000000006</v>
      </c>
      <c r="AS2444" s="129">
        <f t="shared" ca="1" si="191"/>
        <v>-1.4960570012328709</v>
      </c>
      <c r="BD2444" s="157"/>
    </row>
    <row r="2445" spans="2:56">
      <c r="B2445" s="156"/>
      <c r="C2445" s="188" t="s">
        <v>522</v>
      </c>
      <c r="D2445" s="188">
        <f ca="1">D2442</f>
        <v>8888</v>
      </c>
      <c r="E2445" s="189">
        <f ca="1">E2444</f>
        <v>8888</v>
      </c>
      <c r="F2445" s="157"/>
      <c r="G2445" s="2" t="s">
        <v>522</v>
      </c>
      <c r="H2445" s="128">
        <f ca="1">H2442</f>
        <v>8888</v>
      </c>
      <c r="I2445" s="139">
        <f ca="1">I2444</f>
        <v>8888</v>
      </c>
      <c r="K2445" s="128" t="s">
        <v>522</v>
      </c>
      <c r="L2445" s="128">
        <f ca="1">L2442</f>
        <v>8888</v>
      </c>
      <c r="M2445" s="139">
        <f ca="1">M2444</f>
        <v>8888</v>
      </c>
      <c r="O2445" s="188" t="s">
        <v>522</v>
      </c>
      <c r="P2445" s="188">
        <f ca="1">P2442</f>
        <v>8888</v>
      </c>
      <c r="Q2445" s="189">
        <f ca="1">Q2444</f>
        <v>8888</v>
      </c>
      <c r="S2445" s="188" t="s">
        <v>522</v>
      </c>
      <c r="T2445" s="188">
        <f ca="1">T2442</f>
        <v>8888</v>
      </c>
      <c r="U2445" s="189">
        <f ca="1">U2444</f>
        <v>8888</v>
      </c>
      <c r="W2445" s="188" t="s">
        <v>522</v>
      </c>
      <c r="X2445" s="188">
        <f ca="1">X2442</f>
        <v>8888</v>
      </c>
      <c r="Y2445" s="189">
        <f ca="1">Y2444</f>
        <v>8888</v>
      </c>
      <c r="AA2445" s="195" t="s">
        <v>522</v>
      </c>
      <c r="AB2445" s="128">
        <f ca="1">IF($AA2440,D2445,P2445)</f>
        <v>8888</v>
      </c>
      <c r="AC2445" s="129">
        <f ca="1">IF($AA2440,E2445,Q2445)</f>
        <v>8888</v>
      </c>
      <c r="AD2445" s="157"/>
      <c r="AE2445" s="2" t="s">
        <v>522</v>
      </c>
      <c r="AF2445" s="188">
        <f ca="1">IF($AE2440,H2445,T2445)</f>
        <v>8888</v>
      </c>
      <c r="AG2445" s="196">
        <f ca="1">IF($AE2440,I2445,U2445)</f>
        <v>8888</v>
      </c>
      <c r="AI2445" s="128" t="s">
        <v>522</v>
      </c>
      <c r="AJ2445" s="188">
        <f ca="1">IF($AI2440,L2445,X2445)</f>
        <v>8888</v>
      </c>
      <c r="AK2445" s="196">
        <f ca="1">IF($AI2440,M2445,Y2445)</f>
        <v>8888</v>
      </c>
      <c r="AM2445" s="128" t="s">
        <v>522</v>
      </c>
      <c r="AN2445" s="128">
        <f ca="1">AN2444-X2434</f>
        <v>-18.624000000000006</v>
      </c>
      <c r="AO2445" s="129">
        <f ca="1">IF(AN2445&gt;-Fuselage!$D$366,IF(AM2440,(FUSELAGE_a_ellipse+FUSELAGE_t_fuselage)*SQRT(1-((AN2445+Fuselage!$D$366)/Fuselage!$K$364)^2),(FUSELAGE_a_ellipse)*SQRT(1-((AN2445+Fuselage!$D$366)/Fuselage!$K$364)^2)),IF(AN2445&gt;$L$2505+Fuselage!$K$370,(IF(AM2440,FUSELAGE_a_ellipse+FUSELAGE_t_fuselage,FUSELAGE_a_ellipse)),IF(AM2440,(FUSELAGE_a_ellipse+FUSELAGE_t_fuselage-FUSELAGE_d_fo/4)/Fuselage!$K$368*(AN2445-$L$2505-Fuselage!$K$370)+FUSELAGE_a_ellipse+FUSELAGE_t_fuselage,(FUSELAGE_a_ellipse+FUSELAGE_t_fuselage-FUSELAGE_d_fo/4)/Fuselage!$K$368*(AN2445-$L$2505-Fuselage!$K$370)+FUSELAGE_a_ellipse)))</f>
        <v>1.4960570012328709</v>
      </c>
      <c r="AQ2445" s="128" t="s">
        <v>522</v>
      </c>
      <c r="AR2445" s="128">
        <f t="shared" ca="1" si="190"/>
        <v>-18.624000000000006</v>
      </c>
      <c r="AS2445" s="129">
        <f t="shared" ca="1" si="191"/>
        <v>-1.4960570012328709</v>
      </c>
      <c r="BD2445" s="157"/>
    </row>
    <row r="2446" spans="2:56" ht="15" thickBot="1">
      <c r="B2446" s="156"/>
      <c r="C2446" s="128" t="s">
        <v>49</v>
      </c>
      <c r="D2446" s="128">
        <f ca="1">IF(C2440&gt;=2,D2442,D2445)</f>
        <v>8888</v>
      </c>
      <c r="E2446" s="139">
        <f ca="1">IF(C2440&gt;=2,E2445-P2435,E2445)</f>
        <v>8888</v>
      </c>
      <c r="F2446" s="157"/>
      <c r="G2446" s="192" t="s">
        <v>49</v>
      </c>
      <c r="H2446" s="190">
        <f ca="1">IF(G2440&gt;=2,H2442,H2445)</f>
        <v>8888</v>
      </c>
      <c r="I2446" s="191">
        <f ca="1">IF(G2440&gt;=2,I2445-P2435,I2445)</f>
        <v>8888</v>
      </c>
      <c r="K2446" s="190" t="s">
        <v>49</v>
      </c>
      <c r="L2446" s="190">
        <f ca="1">IF(K2440&gt;=2,L2442,L2445)</f>
        <v>8888</v>
      </c>
      <c r="M2446" s="191">
        <f ca="1">IF(K2440&gt;=2,M2445-P2435,M2445)</f>
        <v>8888</v>
      </c>
      <c r="O2446" s="130" t="s">
        <v>396</v>
      </c>
      <c r="P2446" s="130">
        <f ca="1">P2442</f>
        <v>8888</v>
      </c>
      <c r="Q2446" s="140">
        <f ca="1">Q2442</f>
        <v>8888</v>
      </c>
      <c r="S2446" s="130" t="s">
        <v>396</v>
      </c>
      <c r="T2446" s="130">
        <f ca="1">T2442</f>
        <v>8888</v>
      </c>
      <c r="U2446" s="140">
        <f ca="1">U2442</f>
        <v>8888</v>
      </c>
      <c r="W2446" s="130" t="s">
        <v>396</v>
      </c>
      <c r="X2446" s="130">
        <f ca="1">X2442</f>
        <v>8888</v>
      </c>
      <c r="Y2446" s="140">
        <f ca="1">Y2442</f>
        <v>8888</v>
      </c>
      <c r="AA2446" s="143" t="s">
        <v>49</v>
      </c>
      <c r="AB2446" s="128">
        <f ca="1">IF($AA2440,D2446,P2446)</f>
        <v>8888</v>
      </c>
      <c r="AC2446" s="129">
        <f ca="1">IF($AA2440,E2446,Q2446)</f>
        <v>8888</v>
      </c>
      <c r="AD2446" s="157"/>
      <c r="AE2446" s="192" t="s">
        <v>49</v>
      </c>
      <c r="AF2446" s="128">
        <f ca="1">IF($AE2440,H2446,T2446)</f>
        <v>8888</v>
      </c>
      <c r="AG2446" s="129">
        <f ca="1">IF($AE2440,I2446,U2446)</f>
        <v>8888</v>
      </c>
      <c r="AI2446" s="190" t="s">
        <v>49</v>
      </c>
      <c r="AJ2446" s="128">
        <f ca="1">IF($AI2440,L2446,X2446)</f>
        <v>8888</v>
      </c>
      <c r="AK2446" s="129">
        <f ca="1">IF($AI2440,M2446,Y2446)</f>
        <v>8888</v>
      </c>
      <c r="AM2446" s="128" t="s">
        <v>49</v>
      </c>
      <c r="AN2446" s="128">
        <f ca="1">AN2445</f>
        <v>-18.624000000000006</v>
      </c>
      <c r="AO2446" s="129">
        <f ca="1">IF(AN2446&gt;-Fuselage!$D$366,(FUSELAGE_a_ellipse)*SQRT(1-((AN2446+Fuselage!$D$366)/(Fuselage!$K$364-FUSELAGE_t_fuselage))^2),IF(AN2446&gt;$L$2505+Fuselage!$K$370,FUSELAGE_a_ellipse,(FUSELAGE_a_ellipse+FUSELAGE_t_fuselage-FUSELAGE_d_fo/4)/Fuselage!$K$368*(AN2446-$L$2505-Fuselage!$K$370)+FUSELAGE_a_ellipse))</f>
        <v>1.4960570012328709</v>
      </c>
      <c r="AQ2446" s="128" t="s">
        <v>49</v>
      </c>
      <c r="AR2446" s="128">
        <f t="shared" ca="1" si="190"/>
        <v>-18.624000000000006</v>
      </c>
      <c r="AS2446" s="129">
        <f t="shared" ca="1" si="191"/>
        <v>-1.4960570012328709</v>
      </c>
      <c r="BD2446" s="157"/>
    </row>
    <row r="2447" spans="2:56">
      <c r="B2447" s="156"/>
      <c r="C2447" s="128" t="s">
        <v>453</v>
      </c>
      <c r="D2447" s="128">
        <f ca="1">IF(C2440&gt;=2,D2442+P2434,D2445)</f>
        <v>8888</v>
      </c>
      <c r="E2447" s="139">
        <f ca="1">E2446</f>
        <v>8888</v>
      </c>
      <c r="F2447" s="157"/>
      <c r="G2447" s="2" t="s">
        <v>453</v>
      </c>
      <c r="H2447" s="128">
        <f ca="1">IF(G2440&gt;=2,H2443,H2445)</f>
        <v>8888</v>
      </c>
      <c r="I2447" s="139">
        <f ca="1">IF(G2440&gt;=2,I2446,I2445)</f>
        <v>8888</v>
      </c>
      <c r="K2447" s="128" t="s">
        <v>453</v>
      </c>
      <c r="L2447" s="128">
        <f ca="1">IF(K2440&gt;=2,IF(X2435,IF(K2440=2,L2442+P2434/4,L2442+P2434),L2442+P2434),L2445)</f>
        <v>8888</v>
      </c>
      <c r="M2447" s="139">
        <f ca="1">IF(K2440&gt;=2,M2446,M2445)</f>
        <v>8888</v>
      </c>
      <c r="AA2447" s="143" t="s">
        <v>453</v>
      </c>
      <c r="AB2447" s="128">
        <f ca="1">IF($AA2440,D2447,AB2446)</f>
        <v>8888</v>
      </c>
      <c r="AC2447" s="129">
        <f ca="1">IF($AA2440,E2447,AC2446)</f>
        <v>8888</v>
      </c>
      <c r="AD2447" s="157"/>
      <c r="AE2447" s="2" t="s">
        <v>453</v>
      </c>
      <c r="AF2447" s="128">
        <f ca="1">IF($AE2440,H2447,AF2446)</f>
        <v>8888</v>
      </c>
      <c r="AG2447" s="129">
        <f ca="1">IF($AE2440,I2447,AG2446)</f>
        <v>8888</v>
      </c>
      <c r="AI2447" s="128" t="s">
        <v>453</v>
      </c>
      <c r="AJ2447" s="128">
        <f ca="1">IF($AI2440,L2447,AJ2446)</f>
        <v>8888</v>
      </c>
      <c r="AK2447" s="129">
        <f ca="1">IF($AI2440,M2447,AK2446)</f>
        <v>8888</v>
      </c>
      <c r="AM2447" s="128" t="s">
        <v>453</v>
      </c>
      <c r="AN2447" s="128">
        <f ca="1">L2433</f>
        <v>-18.624000000000006</v>
      </c>
      <c r="AO2447" s="129">
        <f ca="1">IF(AN2447&gt;-Fuselage!$D$366,(FUSELAGE_a_ellipse)*SQRT(1-((AN2447+Fuselage!$D$366)/(Fuselage!$K$364-FUSELAGE_t_fuselage))^2),IF(AN2447&gt;$L$2505+Fuselage!$K$370,FUSELAGE_a_ellipse,(FUSELAGE_a_ellipse+FUSELAGE_t_fuselage-FUSELAGE_d_fo/4)/Fuselage!$K$368*(AN2447-$L$2505-Fuselage!$K$370)+FUSELAGE_a_ellipse))</f>
        <v>1.4960570012328709</v>
      </c>
      <c r="AQ2447" s="128" t="s">
        <v>453</v>
      </c>
      <c r="AR2447" s="128">
        <f t="shared" ca="1" si="190"/>
        <v>-18.624000000000006</v>
      </c>
      <c r="AS2447" s="129">
        <f t="shared" ca="1" si="191"/>
        <v>-1.4960570012328709</v>
      </c>
      <c r="BD2447" s="157"/>
    </row>
    <row r="2448" spans="2:56">
      <c r="B2448" s="156"/>
      <c r="C2448" s="128" t="s">
        <v>394</v>
      </c>
      <c r="D2448" s="128">
        <f ca="1">IF(C2440&gt;=2,D2447,D2445)</f>
        <v>8888</v>
      </c>
      <c r="E2448" s="139">
        <f ca="1">IF(C2440&gt;=2,E2446-P2433,E2445)</f>
        <v>8888</v>
      </c>
      <c r="F2448" s="157"/>
      <c r="G2448" s="2" t="s">
        <v>394</v>
      </c>
      <c r="H2448" s="128">
        <f ca="1">IF(G2440&gt;=2,H2443,H2445)</f>
        <v>8888</v>
      </c>
      <c r="I2448" s="139">
        <f ca="1">IF(G2440&gt;=2,I2447-P2433,I2445)</f>
        <v>8888</v>
      </c>
      <c r="K2448" s="128" t="s">
        <v>394</v>
      </c>
      <c r="L2448" s="128">
        <f ca="1">L2447</f>
        <v>8888</v>
      </c>
      <c r="M2448" s="139">
        <f ca="1">IF(K2440&gt;=2,M2447-P2433,M2445)</f>
        <v>8888</v>
      </c>
      <c r="AA2448" s="143" t="s">
        <v>394</v>
      </c>
      <c r="AB2448" s="128">
        <f ca="1">IF($AA2440,D2448,AB2446)</f>
        <v>8888</v>
      </c>
      <c r="AC2448" s="129">
        <f ca="1">IF($AA2440,E2448,AC2446)</f>
        <v>8888</v>
      </c>
      <c r="AD2448" s="157"/>
      <c r="AE2448" s="2" t="s">
        <v>394</v>
      </c>
      <c r="AF2448" s="128">
        <f ca="1">IF($AE2440,H2448,AF2446)</f>
        <v>8888</v>
      </c>
      <c r="AG2448" s="129">
        <f ca="1">IF($AE2440,I2448,AG2446)</f>
        <v>8888</v>
      </c>
      <c r="AI2448" s="128" t="s">
        <v>394</v>
      </c>
      <c r="AJ2448" s="128">
        <f ca="1">IF($AI2440,L2448,AJ2446)</f>
        <v>8888</v>
      </c>
      <c r="AK2448" s="129">
        <f ca="1">IF($AI2440,M2448,AK2446)</f>
        <v>8888</v>
      </c>
      <c r="BD2448" s="157"/>
    </row>
    <row r="2449" spans="2:56">
      <c r="B2449" s="156"/>
      <c r="C2449" s="188" t="s">
        <v>454</v>
      </c>
      <c r="D2449" s="188">
        <f ca="1">IF(C2440&gt;=2,D2442,D2445)</f>
        <v>8888</v>
      </c>
      <c r="E2449" s="189">
        <f ca="1">E2448</f>
        <v>8888</v>
      </c>
      <c r="F2449" s="157"/>
      <c r="G2449" s="115" t="s">
        <v>454</v>
      </c>
      <c r="H2449" s="188">
        <f ca="1">IF(G2440&gt;=2,H2442,H2445)</f>
        <v>8888</v>
      </c>
      <c r="I2449" s="189">
        <f ca="1">IF(G2440&gt;=2,I2448,I2445)</f>
        <v>8888</v>
      </c>
      <c r="K2449" s="188" t="s">
        <v>454</v>
      </c>
      <c r="L2449" s="188">
        <f ca="1">IF(K2440&gt;=2,L2442,L2445)</f>
        <v>8888</v>
      </c>
      <c r="M2449" s="189">
        <f ca="1">IF(K2440&gt;=2,M2448,M2445)</f>
        <v>8888</v>
      </c>
      <c r="AA2449" s="195" t="s">
        <v>454</v>
      </c>
      <c r="AB2449" s="128">
        <f ca="1">IF($AA2440,D2449,AB2446)</f>
        <v>8888</v>
      </c>
      <c r="AC2449" s="129">
        <f ca="1">IF($AA2440,E2449,AC2446)</f>
        <v>8888</v>
      </c>
      <c r="AD2449" s="157"/>
      <c r="AE2449" s="115" t="s">
        <v>454</v>
      </c>
      <c r="AF2449" s="188">
        <f ca="1">IF($AE2440,H2449,AF2446)</f>
        <v>8888</v>
      </c>
      <c r="AG2449" s="196">
        <f ca="1">IF($AE2440,I2449,AG2446)</f>
        <v>8888</v>
      </c>
      <c r="AI2449" s="188" t="s">
        <v>454</v>
      </c>
      <c r="AJ2449" s="188">
        <f ca="1">IF($AI2440,L2449,AJ2446)</f>
        <v>8888</v>
      </c>
      <c r="AK2449" s="196">
        <f ca="1">IF($AI2440,M2449,AK2446)</f>
        <v>8888</v>
      </c>
      <c r="BD2449" s="157"/>
    </row>
    <row r="2450" spans="2:56">
      <c r="B2450" s="156"/>
      <c r="C2450" s="128" t="s">
        <v>507</v>
      </c>
      <c r="D2450" s="128">
        <f ca="1">IF(C2440&gt;=3,D2442,D2449)</f>
        <v>8888</v>
      </c>
      <c r="E2450" s="139">
        <f ca="1">IF(C2440&gt;=3,E2449-P2435,E2449)</f>
        <v>8888</v>
      </c>
      <c r="F2450" s="157"/>
      <c r="G2450" s="2" t="s">
        <v>507</v>
      </c>
      <c r="H2450" s="128">
        <f ca="1">IF(G2440&gt;=3,H2442,H2449)</f>
        <v>8888</v>
      </c>
      <c r="I2450" s="139">
        <f ca="1">IF(G2440&gt;=3,I2449-P2435,I2449)</f>
        <v>8888</v>
      </c>
      <c r="K2450" s="128" t="s">
        <v>507</v>
      </c>
      <c r="L2450" s="128">
        <f ca="1">IF(K2440&gt;=3,L2442,L2449)</f>
        <v>8888</v>
      </c>
      <c r="M2450" s="139">
        <f ca="1">IF(K2440&gt;=3,M2449-P2435,M2449)</f>
        <v>8888</v>
      </c>
      <c r="AA2450" s="143" t="s">
        <v>507</v>
      </c>
      <c r="AB2450" s="128">
        <f ca="1">IF($AA2440,D2450,AB2446)</f>
        <v>8888</v>
      </c>
      <c r="AC2450" s="129">
        <f ca="1">IF($AA2440,E2450,AC2446)</f>
        <v>8888</v>
      </c>
      <c r="AD2450" s="157"/>
      <c r="AE2450" s="2" t="s">
        <v>507</v>
      </c>
      <c r="AF2450" s="128">
        <f ca="1">IF($AE2440,H2450,AF2446)</f>
        <v>8888</v>
      </c>
      <c r="AG2450" s="129">
        <f ca="1">IF($AE2440,I2450,AG2446)</f>
        <v>8888</v>
      </c>
      <c r="AI2450" s="128" t="s">
        <v>507</v>
      </c>
      <c r="AJ2450" s="128">
        <f ca="1">IF($AI2440,L2450,AJ2446)</f>
        <v>8888</v>
      </c>
      <c r="AK2450" s="129">
        <f ca="1">IF($AI2440,M2450,AK2446)</f>
        <v>8888</v>
      </c>
      <c r="BD2450" s="157"/>
    </row>
    <row r="2451" spans="2:56">
      <c r="B2451" s="156"/>
      <c r="C2451" s="128" t="s">
        <v>455</v>
      </c>
      <c r="D2451" s="128">
        <f ca="1">IF(C2440&gt;=3,D2447,D2449)</f>
        <v>8888</v>
      </c>
      <c r="E2451" s="139">
        <f ca="1">E2450</f>
        <v>8888</v>
      </c>
      <c r="F2451" s="157"/>
      <c r="G2451" s="2" t="s">
        <v>455</v>
      </c>
      <c r="H2451" s="128">
        <f ca="1">IF(G2440&gt;=3,H2443,H2449)</f>
        <v>8888</v>
      </c>
      <c r="I2451" s="139">
        <f ca="1">IF(G2440&gt;=3,I2450,I2449)</f>
        <v>8888</v>
      </c>
      <c r="K2451" s="128" t="s">
        <v>455</v>
      </c>
      <c r="L2451" s="128">
        <f ca="1">IF(K2440&gt;=3,IF(X2435,IF(K2440=3,L2442+P2434/4,L2442+P2434),L2442+P2434),L2445)</f>
        <v>8888</v>
      </c>
      <c r="M2451" s="139">
        <f ca="1">IF(K2440&gt;=3,M2450,M2449)</f>
        <v>8888</v>
      </c>
      <c r="AA2451" s="143" t="s">
        <v>455</v>
      </c>
      <c r="AB2451" s="128">
        <f ca="1">IF($AA2440,D2451,AB2446)</f>
        <v>8888</v>
      </c>
      <c r="AC2451" s="129">
        <f ca="1">IF($AA2440,E2451,AC2446)</f>
        <v>8888</v>
      </c>
      <c r="AD2451" s="157"/>
      <c r="AE2451" s="2" t="s">
        <v>455</v>
      </c>
      <c r="AF2451" s="128">
        <f ca="1">IF($AE2440,H2451,AF2446)</f>
        <v>8888</v>
      </c>
      <c r="AG2451" s="129">
        <f ca="1">IF($AE2440,I2451,AG2446)</f>
        <v>8888</v>
      </c>
      <c r="AI2451" s="128" t="s">
        <v>455</v>
      </c>
      <c r="AJ2451" s="128">
        <f ca="1">IF($AI2440,L2451,AJ2446)</f>
        <v>8888</v>
      </c>
      <c r="AK2451" s="129">
        <f ca="1">IF($AI2440,M2451,AK2446)</f>
        <v>8888</v>
      </c>
      <c r="AL2451" s="156"/>
      <c r="BD2451" s="157"/>
    </row>
    <row r="2452" spans="2:56">
      <c r="B2452" s="156"/>
      <c r="C2452" s="128" t="s">
        <v>311</v>
      </c>
      <c r="D2452" s="128">
        <f ca="1">IF(C2440&gt;=3,D2447,D2449)</f>
        <v>8888</v>
      </c>
      <c r="E2452" s="139">
        <f ca="1">IF(C2440&gt;=3,E2451-P2433,E2449)</f>
        <v>8888</v>
      </c>
      <c r="F2452" s="157"/>
      <c r="G2452" s="2" t="s">
        <v>311</v>
      </c>
      <c r="H2452" s="128">
        <f ca="1">IF(G2440&gt;=3,H2443,H2449)</f>
        <v>8888</v>
      </c>
      <c r="I2452" s="139">
        <f ca="1">IF(G2440&gt;=3,I2451-P2433,I2449)</f>
        <v>8888</v>
      </c>
      <c r="K2452" s="128" t="s">
        <v>311</v>
      </c>
      <c r="L2452" s="128">
        <f ca="1">L2451</f>
        <v>8888</v>
      </c>
      <c r="M2452" s="139">
        <f ca="1">IF(K2440&gt;=3,M2451-P2433,M2449)</f>
        <v>8888</v>
      </c>
      <c r="AA2452" s="143" t="s">
        <v>311</v>
      </c>
      <c r="AB2452" s="128">
        <f ca="1">IF($AA2440,D2452,AB2446)</f>
        <v>8888</v>
      </c>
      <c r="AC2452" s="129">
        <f ca="1">IF($AA2440,E2452,AC2446)</f>
        <v>8888</v>
      </c>
      <c r="AD2452" s="157"/>
      <c r="AE2452" s="2" t="s">
        <v>311</v>
      </c>
      <c r="AF2452" s="128">
        <f ca="1">IF($AE2440,H2452,AF2446)</f>
        <v>8888</v>
      </c>
      <c r="AG2452" s="129">
        <f ca="1">IF($AE2440,I2452,AG2446)</f>
        <v>8888</v>
      </c>
      <c r="AI2452" s="128" t="s">
        <v>311</v>
      </c>
      <c r="AJ2452" s="128">
        <f ca="1">IF($AI2440,L2452,AJ2446)</f>
        <v>8888</v>
      </c>
      <c r="AK2452" s="129">
        <f ca="1">IF($AI2440,M2452,AK2446)</f>
        <v>8888</v>
      </c>
      <c r="AL2452" s="156"/>
      <c r="BD2452" s="157"/>
    </row>
    <row r="2453" spans="2:56">
      <c r="B2453" s="156"/>
      <c r="C2453" s="188" t="s">
        <v>35</v>
      </c>
      <c r="D2453" s="188">
        <f ca="1">IF(C2440&gt;=3,D2442,D2449)</f>
        <v>8888</v>
      </c>
      <c r="E2453" s="189">
        <f ca="1">E2452</f>
        <v>8888</v>
      </c>
      <c r="F2453" s="157"/>
      <c r="G2453" s="2" t="s">
        <v>35</v>
      </c>
      <c r="H2453" s="188">
        <f ca="1">IF(G2440&gt;=3,H2442,H2449)</f>
        <v>8888</v>
      </c>
      <c r="I2453" s="189">
        <f ca="1">IF(G2440&gt;=3,I2452,I2449)</f>
        <v>8888</v>
      </c>
      <c r="K2453" s="188" t="s">
        <v>35</v>
      </c>
      <c r="L2453" s="188">
        <f ca="1">IF(K2440&gt;=3,L2442,L2449)</f>
        <v>8888</v>
      </c>
      <c r="M2453" s="189">
        <f ca="1">IF(K2440&gt;=3,M2452,M2449)</f>
        <v>8888</v>
      </c>
      <c r="AA2453" s="143" t="s">
        <v>35</v>
      </c>
      <c r="AB2453" s="128">
        <f ca="1">IF($AA2440,D2453,AB2446)</f>
        <v>8888</v>
      </c>
      <c r="AC2453" s="129">
        <f ca="1">IF($AA2440,E2453,AC2446)</f>
        <v>8888</v>
      </c>
      <c r="AD2453" s="157"/>
      <c r="AE2453" s="2" t="s">
        <v>35</v>
      </c>
      <c r="AF2453" s="188">
        <f ca="1">IF($AE2440,H2453,AF2446)</f>
        <v>8888</v>
      </c>
      <c r="AG2453" s="196">
        <f ca="1">IF($AE2440,I2453,AG2446)</f>
        <v>8888</v>
      </c>
      <c r="AI2453" s="128" t="s">
        <v>35</v>
      </c>
      <c r="AJ2453" s="128">
        <f ca="1">IF($AI2440,L2453,AJ2446)</f>
        <v>8888</v>
      </c>
      <c r="AK2453" s="129">
        <f ca="1">IF($AI2440,M2453,AK2446)</f>
        <v>8888</v>
      </c>
      <c r="AL2453" s="156"/>
      <c r="BD2453" s="157"/>
    </row>
    <row r="2454" spans="2:56" ht="15" thickBot="1">
      <c r="B2454" s="156"/>
      <c r="C2454" s="130" t="s">
        <v>396</v>
      </c>
      <c r="D2454" s="130">
        <f ca="1">D2442</f>
        <v>8888</v>
      </c>
      <c r="E2454" s="140">
        <f ca="1">E2442</f>
        <v>8888</v>
      </c>
      <c r="F2454" s="157"/>
      <c r="G2454" s="192" t="s">
        <v>312</v>
      </c>
      <c r="H2454" s="128">
        <f ca="1">IF(G2440&gt;=4,H2442,H2453)</f>
        <v>8888</v>
      </c>
      <c r="I2454" s="139">
        <f ca="1">IF(G2440&gt;=4,I2453-P2435,I2453)</f>
        <v>8888</v>
      </c>
      <c r="K2454" s="130" t="s">
        <v>396</v>
      </c>
      <c r="L2454" s="130">
        <f ca="1">L2442</f>
        <v>8888</v>
      </c>
      <c r="M2454" s="140">
        <f ca="1">M2442</f>
        <v>8888</v>
      </c>
      <c r="AA2454" s="144" t="s">
        <v>396</v>
      </c>
      <c r="AB2454" s="130">
        <f ca="1">IF($AA2440,D2454,AB2446)</f>
        <v>8888</v>
      </c>
      <c r="AC2454" s="132">
        <f ca="1">IF($AA2440,E2454,AC2446)</f>
        <v>8888</v>
      </c>
      <c r="AD2454" s="157"/>
      <c r="AE2454" s="192" t="s">
        <v>312</v>
      </c>
      <c r="AF2454" s="128">
        <f ca="1">IF($AE2440,H2454,AF2446)</f>
        <v>8888</v>
      </c>
      <c r="AG2454" s="129">
        <f ca="1">IF($AE2440,I2454,AG2446)</f>
        <v>8888</v>
      </c>
      <c r="AI2454" s="130" t="s">
        <v>396</v>
      </c>
      <c r="AJ2454" s="130">
        <f ca="1">IF($AI2440,L2454,AJ2446)</f>
        <v>8888</v>
      </c>
      <c r="AK2454" s="132">
        <f ca="1">IF($AI2440,M2454,AK2446)</f>
        <v>8888</v>
      </c>
      <c r="BD2454" s="157"/>
    </row>
    <row r="2455" spans="2:56">
      <c r="B2455" s="156"/>
      <c r="F2455" s="157"/>
      <c r="G2455" s="2" t="s">
        <v>313</v>
      </c>
      <c r="H2455" s="128">
        <f ca="1">IF(G2440&gt;=4,H2443,H2453)</f>
        <v>8888</v>
      </c>
      <c r="I2455" s="139">
        <f ca="1">IF(G2440&gt;=4,I2454,I2453)</f>
        <v>8888</v>
      </c>
      <c r="AD2455" s="157"/>
      <c r="AE2455" s="2" t="s">
        <v>313</v>
      </c>
      <c r="AF2455" s="128">
        <f ca="1">IF($AE2440,H2455,AF2446)</f>
        <v>8888</v>
      </c>
      <c r="AG2455" s="129">
        <f ca="1">IF($AE2440,I2455,AG2446)</f>
        <v>8888</v>
      </c>
      <c r="BD2455" s="157"/>
    </row>
    <row r="2456" spans="2:56">
      <c r="B2456" s="156"/>
      <c r="F2456" s="157"/>
      <c r="G2456" s="2" t="s">
        <v>7</v>
      </c>
      <c r="H2456" s="128">
        <f ca="1">IF(G2440&gt;=4,H2443,H2453)</f>
        <v>8888</v>
      </c>
      <c r="I2456" s="139">
        <f ca="1">IF(G2440&gt;=4,I2455-P2433,I2453)</f>
        <v>8888</v>
      </c>
      <c r="AD2456" s="157"/>
      <c r="AE2456" s="2" t="s">
        <v>7</v>
      </c>
      <c r="AF2456" s="128">
        <f ca="1">IF($AE2440,H2456,AF2446)</f>
        <v>8888</v>
      </c>
      <c r="AG2456" s="129">
        <f ca="1">IF($AE2440,I2456,AG2446)</f>
        <v>8888</v>
      </c>
      <c r="BD2456" s="157"/>
    </row>
    <row r="2457" spans="2:56">
      <c r="B2457" s="156"/>
      <c r="F2457" s="157"/>
      <c r="G2457" s="115" t="s">
        <v>8</v>
      </c>
      <c r="H2457" s="188">
        <f ca="1">IF(G2440&gt;=4,H2442,H2453)</f>
        <v>8888</v>
      </c>
      <c r="I2457" s="189">
        <f ca="1">IF(G2440&gt;=4,I2456,I2453)</f>
        <v>8888</v>
      </c>
      <c r="AD2457" s="157"/>
      <c r="AE2457" s="115" t="s">
        <v>8</v>
      </c>
      <c r="AF2457" s="188">
        <f ca="1">IF($AE2440,H2457,AF2446)</f>
        <v>8888</v>
      </c>
      <c r="AG2457" s="196">
        <f ca="1">IF($AE2440,I2457,AG2446)</f>
        <v>8888</v>
      </c>
      <c r="BD2457" s="157"/>
    </row>
    <row r="2458" spans="2:56">
      <c r="B2458" s="156"/>
      <c r="F2458" s="157"/>
      <c r="G2458" s="2" t="s">
        <v>9</v>
      </c>
      <c r="H2458" s="128">
        <f ca="1">IF(G2440&gt;=5,H2442,H2457)</f>
        <v>8888</v>
      </c>
      <c r="I2458" s="139">
        <f ca="1">IF(G2440&gt;=5,I2457-P2435,I2457)</f>
        <v>8888</v>
      </c>
      <c r="AD2458" s="157"/>
      <c r="AE2458" s="2" t="s">
        <v>9</v>
      </c>
      <c r="AF2458" s="128">
        <f ca="1">IF($AE2440,H2458,AF2446)</f>
        <v>8888</v>
      </c>
      <c r="AG2458" s="129">
        <f ca="1">IF($AE2440,I2458,AG2446)</f>
        <v>8888</v>
      </c>
      <c r="BD2458" s="157"/>
    </row>
    <row r="2459" spans="2:56">
      <c r="B2459" s="156"/>
      <c r="F2459" s="157"/>
      <c r="G2459" s="2" t="s">
        <v>196</v>
      </c>
      <c r="H2459" s="128">
        <f ca="1">IF(G2440&gt;=5,H2443,H2457)</f>
        <v>8888</v>
      </c>
      <c r="I2459" s="139">
        <f ca="1">IF(G2440&gt;=5,I2458,I2457)</f>
        <v>8888</v>
      </c>
      <c r="AD2459" s="157"/>
      <c r="AE2459" s="2" t="s">
        <v>196</v>
      </c>
      <c r="AF2459" s="128">
        <f ca="1">IF($AE2440,H2459,AF2446)</f>
        <v>8888</v>
      </c>
      <c r="AG2459" s="129">
        <f ca="1">IF($AE2440,I2459,AG2446)</f>
        <v>8888</v>
      </c>
      <c r="BD2459" s="157"/>
    </row>
    <row r="2460" spans="2:56">
      <c r="B2460" s="156"/>
      <c r="F2460" s="157"/>
      <c r="G2460" s="2" t="s">
        <v>10</v>
      </c>
      <c r="H2460" s="128">
        <f ca="1">IF(G2440&gt;=5,H2443,H2457)</f>
        <v>8888</v>
      </c>
      <c r="I2460" s="139">
        <f ca="1">IF(G2440&gt;=5,I2459-P2433,I2457)</f>
        <v>8888</v>
      </c>
      <c r="AD2460" s="157"/>
      <c r="AE2460" s="2" t="s">
        <v>10</v>
      </c>
      <c r="AF2460" s="128">
        <f ca="1">IF($AE2440,H2460,AF2446)</f>
        <v>8888</v>
      </c>
      <c r="AG2460" s="129">
        <f ca="1">IF($AE2440,I2460,AG2446)</f>
        <v>8888</v>
      </c>
      <c r="BD2460" s="157"/>
    </row>
    <row r="2461" spans="2:56">
      <c r="B2461" s="156"/>
      <c r="F2461" s="157"/>
      <c r="G2461" s="2" t="s">
        <v>161</v>
      </c>
      <c r="H2461" s="188">
        <f ca="1">IF(G2440&gt;=5,H2442,H2457)</f>
        <v>8888</v>
      </c>
      <c r="I2461" s="189">
        <f ca="1">IF(G2440&gt;=5,I2460,I2457)</f>
        <v>8888</v>
      </c>
      <c r="AD2461" s="157"/>
      <c r="AE2461" s="2" t="s">
        <v>161</v>
      </c>
      <c r="AF2461" s="188">
        <f ca="1">IF($AE2440,H2461,AF2446)</f>
        <v>8888</v>
      </c>
      <c r="AG2461" s="196">
        <f ca="1">IF($AE2440,I2461,AG2446)</f>
        <v>8888</v>
      </c>
      <c r="BD2461" s="157"/>
    </row>
    <row r="2462" spans="2:56">
      <c r="B2462" s="156"/>
      <c r="F2462" s="157"/>
      <c r="G2462" s="192" t="s">
        <v>11</v>
      </c>
      <c r="H2462" s="128">
        <f ca="1">IF(G2440&gt;=6,H2442,H2461)</f>
        <v>8888</v>
      </c>
      <c r="I2462" s="139">
        <f ca="1">IF(G2440&gt;=6,I2461-P2435,I2461)</f>
        <v>8888</v>
      </c>
      <c r="AD2462" s="157"/>
      <c r="AE2462" s="192" t="s">
        <v>11</v>
      </c>
      <c r="AF2462" s="128">
        <f ca="1">IF($AE2440,H2462,AF2446)</f>
        <v>8888</v>
      </c>
      <c r="AG2462" s="129">
        <f ca="1">IF($AE2440,I2462,AG2446)</f>
        <v>8888</v>
      </c>
      <c r="BD2462" s="157"/>
    </row>
    <row r="2463" spans="2:56">
      <c r="B2463" s="156"/>
      <c r="F2463" s="157"/>
      <c r="G2463" s="2" t="s">
        <v>12</v>
      </c>
      <c r="H2463" s="128">
        <f ca="1">IF(G2440&gt;=6,H2443,H2461)</f>
        <v>8888</v>
      </c>
      <c r="I2463" s="139">
        <f ca="1">IF(G2440&gt;=6,I2462,I2461)</f>
        <v>8888</v>
      </c>
      <c r="AD2463" s="157"/>
      <c r="AE2463" s="2" t="s">
        <v>12</v>
      </c>
      <c r="AF2463" s="128">
        <f ca="1">IF($AE2440,H2463,AF2446)</f>
        <v>8888</v>
      </c>
      <c r="AG2463" s="129">
        <f ca="1">IF($AE2440,I2463,AG2446)</f>
        <v>8888</v>
      </c>
      <c r="BD2463" s="157"/>
    </row>
    <row r="2464" spans="2:56">
      <c r="B2464" s="156"/>
      <c r="F2464" s="157"/>
      <c r="G2464" s="2" t="s">
        <v>13</v>
      </c>
      <c r="H2464" s="128">
        <f ca="1">IF(G2440&gt;=6,H2443,H2461)</f>
        <v>8888</v>
      </c>
      <c r="I2464" s="139">
        <f ca="1">IF(G2440&gt;=6,I2463-P2433,I2461)</f>
        <v>8888</v>
      </c>
      <c r="AD2464" s="157"/>
      <c r="AE2464" s="2" t="s">
        <v>13</v>
      </c>
      <c r="AF2464" s="128">
        <f ca="1">IF($AE2440,H2464,AF2446)</f>
        <v>8888</v>
      </c>
      <c r="AG2464" s="129">
        <f ca="1">IF($AE2440,I2464,AG2446)</f>
        <v>8888</v>
      </c>
      <c r="BD2464" s="157"/>
    </row>
    <row r="2465" spans="2:56">
      <c r="B2465" s="156"/>
      <c r="F2465" s="157"/>
      <c r="G2465" s="115" t="s">
        <v>14</v>
      </c>
      <c r="H2465" s="188">
        <f ca="1">IF(G2440&gt;=6,H2442,H2461)</f>
        <v>8888</v>
      </c>
      <c r="I2465" s="189">
        <f ca="1">IF(G2440&gt;=6,I2464,I2461)</f>
        <v>8888</v>
      </c>
      <c r="AD2465" s="157"/>
      <c r="AE2465" s="115" t="s">
        <v>14</v>
      </c>
      <c r="AF2465" s="188">
        <f ca="1">IF($AE2440,H2465,AF2446)</f>
        <v>8888</v>
      </c>
      <c r="AG2465" s="196">
        <f ca="1">IF($AE2440,I2465,AG2446)</f>
        <v>8888</v>
      </c>
      <c r="BD2465" s="157"/>
    </row>
    <row r="2466" spans="2:56" ht="15" thickBot="1">
      <c r="B2466" s="156"/>
      <c r="G2466" s="130" t="s">
        <v>396</v>
      </c>
      <c r="H2466" s="130">
        <f ca="1">H2442</f>
        <v>8888</v>
      </c>
      <c r="I2466" s="140">
        <f ca="1">I2442</f>
        <v>8888</v>
      </c>
      <c r="AE2466" s="130" t="s">
        <v>396</v>
      </c>
      <c r="AF2466" s="130">
        <f ca="1">IF($AE2440,H2466,AF2446)</f>
        <v>8888</v>
      </c>
      <c r="AG2466" s="132">
        <f ca="1">IF($AE2440,I2466,AG2446)</f>
        <v>8888</v>
      </c>
      <c r="BD2466" s="157"/>
    </row>
    <row r="2467" spans="2:56">
      <c r="B2467" s="156"/>
      <c r="BD2467" s="157"/>
    </row>
    <row r="2468" spans="2:56">
      <c r="B2468" s="156"/>
      <c r="BD2468" s="157"/>
    </row>
    <row r="2469" spans="2:56">
      <c r="B2469" s="156"/>
      <c r="C2469" s="200" t="s">
        <v>336</v>
      </c>
      <c r="D2469">
        <f>D2433+1</f>
        <v>64</v>
      </c>
      <c r="G2469" s="200" t="s">
        <v>638</v>
      </c>
      <c r="H2469">
        <f ca="1">LOOKUP(D2472,$C$191:$C$196,$D$191:$D$196)</f>
        <v>0</v>
      </c>
      <c r="K2469" s="200" t="s">
        <v>644</v>
      </c>
      <c r="L2469">
        <f ca="1">L2433-H2474</f>
        <v>-18.624000000000006</v>
      </c>
      <c r="O2469" s="200" t="s">
        <v>404</v>
      </c>
      <c r="P2469">
        <f ca="1">IF(D2471=1,SEAT_w_cushion_FC,IF(D2471=2,SEAT_w_cushion_BC,IF(D2471=3,SEAT_w_cushion_YC,0)))</f>
        <v>0</v>
      </c>
      <c r="S2469" s="200" t="s">
        <v>647</v>
      </c>
      <c r="T2469">
        <f ca="1">LOOKUP(D2472,$C$191:$C$196,$E$191:$E$196)</f>
        <v>0</v>
      </c>
      <c r="W2469" t="s">
        <v>130</v>
      </c>
      <c r="X2469" t="str">
        <f ca="1">OFFSET(Fuselage!$B$275,D2469,5)</f>
        <v>None</v>
      </c>
      <c r="AN2469" s="200" t="s">
        <v>135</v>
      </c>
      <c r="AO2469">
        <f ca="1">MAX(0,H2474-MAX(T2469,T2471,T2473,P2470)-X2470)</f>
        <v>0</v>
      </c>
      <c r="BD2469" s="157"/>
    </row>
    <row r="2470" spans="2:56">
      <c r="B2470" s="156"/>
      <c r="C2470" s="200" t="s">
        <v>200</v>
      </c>
      <c r="D2470" t="str">
        <f ca="1">OFFSET(Fuselage!$B$275,D2469,0)</f>
        <v/>
      </c>
      <c r="G2470" s="200" t="s">
        <v>639</v>
      </c>
      <c r="H2470">
        <f ca="1">LOOKUP(D2473,$C$191:$C$196,$D$191:$D$196)</f>
        <v>0</v>
      </c>
      <c r="O2470" s="200" t="s">
        <v>535</v>
      </c>
      <c r="P2470">
        <f ca="1">IF(D2471=1,SEAT_length_FC,IF(D2471=2,SEAT_length_BC,IF(D2471=3,SEAT_length_YC,0)))</f>
        <v>0</v>
      </c>
      <c r="S2470" s="200" t="s">
        <v>648</v>
      </c>
      <c r="T2470">
        <f ca="1">LOOKUP(D2472,$C$191:$C$196,$F$191:$F$196)</f>
        <v>0</v>
      </c>
      <c r="W2470" t="s">
        <v>131</v>
      </c>
      <c r="X2470">
        <f ca="1">LOOKUP(X2469,$I$191:$I$198,$J$191:$J$198)</f>
        <v>0</v>
      </c>
      <c r="BD2470" s="157"/>
    </row>
    <row r="2471" spans="2:56">
      <c r="B2471" s="156"/>
      <c r="C2471" s="200" t="s">
        <v>337</v>
      </c>
      <c r="D2471" t="str">
        <f ca="1">OFFSET(Fuselage!$B$275,D2469,4)</f>
        <v/>
      </c>
      <c r="G2471" s="200" t="s">
        <v>309</v>
      </c>
      <c r="H2471">
        <f ca="1">LOOKUP(D2474,$C$191:$C$196,$D$191:$D$196)</f>
        <v>0</v>
      </c>
      <c r="K2471" s="200" t="s">
        <v>645</v>
      </c>
      <c r="L2471">
        <f ca="1">IF(D2471=1,FUSELAGE_nseats_left_FC,IF(D2471=2,FUSELAGE_nseats_left_BC,IF(D2471=3,FUSELAGE_nseats_left_YC,0)))</f>
        <v>0</v>
      </c>
      <c r="O2471" s="200" t="s">
        <v>405</v>
      </c>
      <c r="P2471">
        <f ca="1">IF(D2471=1,SEAT_w_armrest_FC,IF(D2471=2,SEAT_w_armrest_BC,IF(D2471=3,SEAT_w_armrest_YC,0)))</f>
        <v>0</v>
      </c>
      <c r="S2471" s="200" t="s">
        <v>652</v>
      </c>
      <c r="T2471">
        <f ca="1">LOOKUP(D2473,$C$191:$C$196,$E$191:$E$196)</f>
        <v>0</v>
      </c>
      <c r="W2471" s="200" t="s">
        <v>393</v>
      </c>
      <c r="X2471" t="b">
        <f ca="1">IF(OFFSET(Fuselage!$B$275,D2469,6)="YES",TRUE(),FALSE())</f>
        <v>0</v>
      </c>
      <c r="BD2471" s="157"/>
    </row>
    <row r="2472" spans="2:56">
      <c r="B2472" s="156"/>
      <c r="C2472" s="200" t="s">
        <v>640</v>
      </c>
      <c r="D2472" t="str">
        <f ca="1">OFFSET(Fuselage!$B$275,D2469,1)</f>
        <v>None</v>
      </c>
      <c r="G2472" s="200" t="s">
        <v>132</v>
      </c>
      <c r="H2472">
        <f ca="1">IF(D2471=1,SEAT_pitch_FC,IF(D2471=2,SEAT_pitch_BC,IF(D2471=3,SEAT_pitch_YC,0)))</f>
        <v>0</v>
      </c>
      <c r="K2472" s="200" t="s">
        <v>646</v>
      </c>
      <c r="L2472">
        <f ca="1">IF(D2471=1,FUSELAGE_nseats_middle_FC,IF(D2471=2,FUSELAGE_nseats_middle_BC,IF(D2471=3,FUSELAGE_nseats_middle_YC,0)))</f>
        <v>0</v>
      </c>
      <c r="S2472" s="200" t="s">
        <v>653</v>
      </c>
      <c r="T2472">
        <f ca="1">LOOKUP(D2473,$C$191:$C$196,$F$191:$F$196)</f>
        <v>0</v>
      </c>
      <c r="BD2472" s="157"/>
    </row>
    <row r="2473" spans="2:56">
      <c r="B2473" s="156"/>
      <c r="C2473" s="200" t="s">
        <v>642</v>
      </c>
      <c r="D2473" t="str">
        <f ca="1">OFFSET(Fuselage!$B$275,D2469,2)</f>
        <v>None</v>
      </c>
      <c r="G2473" s="200" t="s">
        <v>129</v>
      </c>
      <c r="H2473">
        <f ca="1">IF(OR(X2469="Type A",X2469="Type B"),MAX(H2469:H2472)+42*0.0254,IF(X2469="Type C",MAX(H2469:H2472)+X2470,IF(X2469&lt;&gt;"None",24*0.0254,0)))</f>
        <v>0</v>
      </c>
      <c r="K2473" s="200" t="s">
        <v>655</v>
      </c>
      <c r="L2473">
        <f ca="1">IF(D2471=1,FUSELAGE_nseats_right_FC,IF(D2471=2,FUSELAGE_nseats_right_BC,IF(D2471=3,FUSELAGE_nseats_right_YC,0)))</f>
        <v>0</v>
      </c>
      <c r="O2473" s="200" t="s">
        <v>407</v>
      </c>
      <c r="P2473">
        <f ca="1">($C$13-(L2471+L2472+L2473)*(P2469+P2471)+(FUSELAGE_n_aisles-1)*P2471)/FUSELAGE_n_aisles</f>
        <v>2.76</v>
      </c>
      <c r="S2473" s="200" t="s">
        <v>651</v>
      </c>
      <c r="T2473">
        <f ca="1">LOOKUP(D2474,$C$191:$C$196,$E$191:$E$196)</f>
        <v>0</v>
      </c>
      <c r="BD2473" s="157"/>
    </row>
    <row r="2474" spans="2:56">
      <c r="B2474" s="156"/>
      <c r="C2474" s="200" t="s">
        <v>641</v>
      </c>
      <c r="D2474" t="str">
        <f ca="1">OFFSET(Fuselage!$B$275,D2469,3)</f>
        <v>None</v>
      </c>
      <c r="G2474" s="200" t="s">
        <v>643</v>
      </c>
      <c r="H2474">
        <f ca="1">MAX(H2469:H2473)</f>
        <v>0</v>
      </c>
      <c r="S2474" s="200" t="s">
        <v>654</v>
      </c>
      <c r="T2474">
        <f ca="1">LOOKUP(D2474,$C$191:$C$196,$F$191:$F$196)</f>
        <v>0</v>
      </c>
      <c r="BD2474" s="157"/>
    </row>
    <row r="2475" spans="2:56" ht="15" thickBot="1">
      <c r="B2475" s="156"/>
      <c r="BD2475" s="157"/>
    </row>
    <row r="2476" spans="2:56" ht="15" thickBot="1">
      <c r="B2476" s="156"/>
      <c r="C2476" s="141">
        <f ca="1">L2473</f>
        <v>0</v>
      </c>
      <c r="D2476" s="197" t="str">
        <f ca="1">IF($D2471=1,"FC",IF($D2471=2,"BC",IF($D2471=3,"YC","Nothing")))</f>
        <v>Nothing</v>
      </c>
      <c r="E2476" s="198"/>
      <c r="G2476" s="141">
        <f ca="1">L2472</f>
        <v>0</v>
      </c>
      <c r="H2476" s="197" t="str">
        <f ca="1">IF($D2471=1,"FC",IF($D2471=2,"BC",IF($D2471=3,"YC","Nothing")))</f>
        <v>Nothing</v>
      </c>
      <c r="I2476" s="198"/>
      <c r="K2476" s="141">
        <f ca="1" xml:space="preserve"> L2471</f>
        <v>0</v>
      </c>
      <c r="L2476" s="197" t="str">
        <f ca="1">IF($D2471=1,"FC",IF($D2471=2,"BC",IF($D2471=3,"YC","Nothing")))</f>
        <v>Nothing</v>
      </c>
      <c r="M2476" s="198"/>
      <c r="O2476" s="141">
        <f ca="1">IF($D2474&lt;&gt;"None",1,0)</f>
        <v>0</v>
      </c>
      <c r="P2476" s="326" t="s">
        <v>380</v>
      </c>
      <c r="Q2476" s="327"/>
      <c r="S2476" s="141">
        <f ca="1">IF($D2473&lt;&gt;"None",1,0)</f>
        <v>0</v>
      </c>
      <c r="T2476" s="326" t="s">
        <v>381</v>
      </c>
      <c r="U2476" s="327"/>
      <c r="W2476" s="141">
        <f ca="1">IF($D2472&lt;&gt;"None",1,0)</f>
        <v>0</v>
      </c>
      <c r="X2476" s="326" t="s">
        <v>382</v>
      </c>
      <c r="Y2476" s="327"/>
      <c r="AA2476" s="141">
        <f ca="1">IF($D2474="None",1,0)</f>
        <v>1</v>
      </c>
      <c r="AB2476" s="326" t="str">
        <f ca="1">IF(AA2476,D2476,$D2474)</f>
        <v>Nothing</v>
      </c>
      <c r="AC2476" s="327"/>
      <c r="AE2476" s="141">
        <f ca="1">IF($D2473="None",1,0)</f>
        <v>1</v>
      </c>
      <c r="AF2476" s="326" t="str">
        <f ca="1">IF(AE2476,H2476,$D2473)</f>
        <v>Nothing</v>
      </c>
      <c r="AG2476" s="327"/>
      <c r="AI2476" s="141">
        <f ca="1">IF($D2472="None",1,0)</f>
        <v>1</v>
      </c>
      <c r="AJ2476" s="326" t="str">
        <f ca="1">IF(AI2476,L2476,$D2472)</f>
        <v>Nothing</v>
      </c>
      <c r="AK2476" s="327"/>
      <c r="AM2476" s="141">
        <f ca="1">IF($X2469="None",0,1)</f>
        <v>0</v>
      </c>
      <c r="AN2476" s="197" t="s">
        <v>133</v>
      </c>
      <c r="AO2476" s="198"/>
      <c r="AQ2476" s="141">
        <f ca="1">IF($X2469="None",0,1)</f>
        <v>0</v>
      </c>
      <c r="AR2476" s="197" t="s">
        <v>134</v>
      </c>
      <c r="AS2476" s="198"/>
      <c r="BD2476" s="157"/>
    </row>
    <row r="2477" spans="2:56" ht="15" thickBot="1">
      <c r="B2477" s="156"/>
      <c r="C2477" s="136" t="s">
        <v>452</v>
      </c>
      <c r="D2477" s="136" t="s">
        <v>384</v>
      </c>
      <c r="E2477" s="138" t="s">
        <v>385</v>
      </c>
      <c r="G2477" s="136" t="s">
        <v>452</v>
      </c>
      <c r="H2477" s="136" t="s">
        <v>384</v>
      </c>
      <c r="I2477" s="138" t="s">
        <v>385</v>
      </c>
      <c r="K2477" s="193" t="s">
        <v>452</v>
      </c>
      <c r="L2477" s="193" t="s">
        <v>384</v>
      </c>
      <c r="M2477" s="194" t="s">
        <v>385</v>
      </c>
      <c r="O2477" s="136" t="s">
        <v>452</v>
      </c>
      <c r="P2477" s="136" t="s">
        <v>384</v>
      </c>
      <c r="Q2477" s="138" t="s">
        <v>385</v>
      </c>
      <c r="S2477" s="136" t="s">
        <v>452</v>
      </c>
      <c r="T2477" s="136" t="s">
        <v>384</v>
      </c>
      <c r="U2477" s="138" t="s">
        <v>385</v>
      </c>
      <c r="W2477" s="136" t="s">
        <v>452</v>
      </c>
      <c r="X2477" s="136" t="s">
        <v>384</v>
      </c>
      <c r="Y2477" s="138" t="s">
        <v>385</v>
      </c>
      <c r="AA2477" s="136" t="s">
        <v>452</v>
      </c>
      <c r="AB2477" s="136" t="s">
        <v>384</v>
      </c>
      <c r="AC2477" s="138" t="s">
        <v>385</v>
      </c>
      <c r="AE2477" s="136" t="s">
        <v>452</v>
      </c>
      <c r="AF2477" s="136" t="s">
        <v>384</v>
      </c>
      <c r="AG2477" s="138" t="s">
        <v>385</v>
      </c>
      <c r="AI2477" s="193" t="s">
        <v>452</v>
      </c>
      <c r="AJ2477" s="193" t="s">
        <v>384</v>
      </c>
      <c r="AK2477" s="194" t="s">
        <v>385</v>
      </c>
      <c r="AM2477" s="193" t="s">
        <v>452</v>
      </c>
      <c r="AN2477" s="193" t="s">
        <v>384</v>
      </c>
      <c r="AO2477" s="194" t="s">
        <v>385</v>
      </c>
      <c r="AQ2477" s="193" t="s">
        <v>452</v>
      </c>
      <c r="AR2477" s="193" t="s">
        <v>384</v>
      </c>
      <c r="AS2477" s="194" t="s">
        <v>385</v>
      </c>
      <c r="BD2477" s="157"/>
    </row>
    <row r="2478" spans="2:56">
      <c r="B2478" s="156"/>
      <c r="C2478" s="128" t="s">
        <v>396</v>
      </c>
      <c r="D2478" s="158">
        <f ca="1">IF(C2476&gt;=1,L2469,8888)</f>
        <v>8888</v>
      </c>
      <c r="E2478" s="160">
        <f ca="1">IF(C2476&gt;=1,1/2*($C$13-P2469-2*P2471)+1/2*P2469,8888)</f>
        <v>8888</v>
      </c>
      <c r="G2478" s="128" t="s">
        <v>396</v>
      </c>
      <c r="H2478" s="158">
        <f ca="1">IF(G2476&gt;=1,L2469,8888)</f>
        <v>8888</v>
      </c>
      <c r="I2478" s="160">
        <f ca="1">IF(G2476&gt;=1,E2489-P2473,8888)</f>
        <v>8888</v>
      </c>
      <c r="K2478" s="128" t="s">
        <v>396</v>
      </c>
      <c r="L2478" s="158">
        <f ca="1">IF(K2476&gt;=1,L2469,8888)</f>
        <v>8888</v>
      </c>
      <c r="M2478" s="160">
        <f ca="1">IF(K2476&gt;=1,IF(FUSELAGE_n_aisles=1,E2489-P2473,I2501-P2473),8888)</f>
        <v>8888</v>
      </c>
      <c r="O2478" s="128" t="s">
        <v>396</v>
      </c>
      <c r="P2478" s="158">
        <f ca="1">IF(O2476,$L2469,8888)</f>
        <v>8888</v>
      </c>
      <c r="Q2478" s="209">
        <f ca="1">IF(O2476,FUSELAGE_y_position_of_left_seat_YC-(FUSELAGE_nseats_right_YC-1)*(SEAT_w_cushion_YC+SEAT_w_armrest_YC)/2+T2474/2,8888)</f>
        <v>8888</v>
      </c>
      <c r="S2478" s="128" t="s">
        <v>396</v>
      </c>
      <c r="T2478" s="158">
        <f ca="1">IF(S2476,$L2469,8888)</f>
        <v>8888</v>
      </c>
      <c r="U2478" s="160">
        <f ca="1">IF(S2476,T2472/2,8888)</f>
        <v>8888</v>
      </c>
      <c r="W2478" s="128" t="s">
        <v>396</v>
      </c>
      <c r="X2478" s="158">
        <f ca="1">IF(W2476,$L2469,8888)</f>
        <v>8888</v>
      </c>
      <c r="Y2478" s="160">
        <f ca="1">IF(W2476,-FUSELAGE_y_position_of_left_seat_YC+(FUSELAGE_nseats_left_YC-1)*(SEAT_w_cushion_YC+SEAT_w_armrest_YC)/2-T2470/2,8888)</f>
        <v>8888</v>
      </c>
      <c r="AA2478" s="128" t="s">
        <v>396</v>
      </c>
      <c r="AB2478" s="158">
        <f ca="1">IF($AA2476,D2478,P2478)</f>
        <v>8888</v>
      </c>
      <c r="AC2478" s="174">
        <f ca="1">IF($AA2476,E2478,Q2478)</f>
        <v>8888</v>
      </c>
      <c r="AE2478" s="128" t="s">
        <v>396</v>
      </c>
      <c r="AF2478" s="158">
        <f ca="1">IF($AE2476,H2478,T2478)</f>
        <v>8888</v>
      </c>
      <c r="AG2478" s="174">
        <f ca="1">IF($AE2476,I2478,U2478)</f>
        <v>8888</v>
      </c>
      <c r="AI2478" s="128" t="s">
        <v>396</v>
      </c>
      <c r="AJ2478" s="158">
        <f ca="1">IF($AI2476,L2478,X2478)</f>
        <v>8888</v>
      </c>
      <c r="AK2478" s="174">
        <f ca="1">IF($AI2476,M2478,Y2478)</f>
        <v>8888</v>
      </c>
      <c r="AM2478" s="128" t="s">
        <v>396</v>
      </c>
      <c r="AN2478" s="158">
        <f ca="1">AN2447</f>
        <v>-18.624000000000006</v>
      </c>
      <c r="AO2478" s="174">
        <f ca="1">IF(AN2478&gt;-Fuselage!$D$366,(FUSELAGE_a_ellipse)*SQRT(1-((AN2478+Fuselage!$D$366)/(Fuselage!$K$364-FUSELAGE_t_fuselage))^2),IF(AN2478&gt;$L$2505+Fuselage!$K$370,FUSELAGE_a_ellipse,(FUSELAGE_a_ellipse+FUSELAGE_t_fuselage-FUSELAGE_d_fo/4)/Fuselage!$K$368*(AN2478-$L$2505-Fuselage!$K$370)+FUSELAGE_a_ellipse))</f>
        <v>1.4960570012328709</v>
      </c>
      <c r="AQ2478" s="128" t="s">
        <v>396</v>
      </c>
      <c r="AR2478" s="158">
        <f t="shared" ref="AR2478:AR2483" ca="1" si="192">AN2478</f>
        <v>-18.624000000000006</v>
      </c>
      <c r="AS2478" s="174">
        <f t="shared" ref="AS2478:AS2483" ca="1" si="193">-AO2478</f>
        <v>-1.4960570012328709</v>
      </c>
      <c r="BD2478" s="157"/>
    </row>
    <row r="2479" spans="2:56">
      <c r="B2479" s="156"/>
      <c r="C2479" s="128" t="s">
        <v>213</v>
      </c>
      <c r="D2479" s="128">
        <f ca="1">IF(X2471,D2478+P2470/4,D2478+P2470)</f>
        <v>8888</v>
      </c>
      <c r="E2479" s="139">
        <f ca="1">E2478</f>
        <v>8888</v>
      </c>
      <c r="G2479" s="128" t="s">
        <v>213</v>
      </c>
      <c r="H2479" s="128">
        <f ca="1">H2478+P2470</f>
        <v>8888</v>
      </c>
      <c r="I2479" s="139">
        <f ca="1">I2478</f>
        <v>8888</v>
      </c>
      <c r="K2479" s="128" t="s">
        <v>213</v>
      </c>
      <c r="L2479" s="128">
        <f ca="1">IF(X2471,IF(K2476=1,L2478+P2470/4,L2478+P2470),L2478+P2470)</f>
        <v>8888</v>
      </c>
      <c r="M2479" s="139">
        <f ca="1">M2478</f>
        <v>8888</v>
      </c>
      <c r="O2479" s="128" t="s">
        <v>213</v>
      </c>
      <c r="P2479" s="128">
        <f ca="1">P2478+$T2473</f>
        <v>8888</v>
      </c>
      <c r="Q2479" s="139">
        <f ca="1">Q2478</f>
        <v>8888</v>
      </c>
      <c r="S2479" s="128" t="s">
        <v>213</v>
      </c>
      <c r="T2479" s="128">
        <f ca="1">T2478+$T2471</f>
        <v>8888</v>
      </c>
      <c r="U2479" s="139">
        <f ca="1">U2478</f>
        <v>8888</v>
      </c>
      <c r="W2479" s="128" t="s">
        <v>213</v>
      </c>
      <c r="X2479" s="128">
        <f ca="1">X2478+$T2469</f>
        <v>8888</v>
      </c>
      <c r="Y2479" s="139">
        <f ca="1">Y2478</f>
        <v>8888</v>
      </c>
      <c r="AA2479" s="143" t="s">
        <v>213</v>
      </c>
      <c r="AB2479" s="128">
        <f ca="1">IF($AA2476,D2479,P2479)</f>
        <v>8888</v>
      </c>
      <c r="AC2479" s="129">
        <f ca="1">IF($AA2476,E2479,Q2479)</f>
        <v>8888</v>
      </c>
      <c r="AE2479" s="128" t="s">
        <v>213</v>
      </c>
      <c r="AF2479" s="128">
        <f ca="1">IF($AE2476,H2479,T2479)</f>
        <v>8888</v>
      </c>
      <c r="AG2479" s="129">
        <f ca="1">IF($AE2476,I2479,U2479)</f>
        <v>8888</v>
      </c>
      <c r="AI2479" s="128" t="s">
        <v>213</v>
      </c>
      <c r="AJ2479" s="128">
        <f ca="1">IF($AI2476,L2479,X2479)</f>
        <v>8888</v>
      </c>
      <c r="AK2479" s="129">
        <f ca="1">IF($AI2476,M2479,Y2479)</f>
        <v>8888</v>
      </c>
      <c r="AM2479" s="128" t="s">
        <v>213</v>
      </c>
      <c r="AN2479" s="128">
        <f ca="1">AN2478-AO2469/2</f>
        <v>-18.624000000000006</v>
      </c>
      <c r="AO2479" s="129">
        <f ca="1">IF(AN2479&gt;-Fuselage!$D$366,(FUSELAGE_a_ellipse)*SQRT(1-((AN2479+Fuselage!$D$366)/(Fuselage!$K$364-FUSELAGE_t_fuselage))^2),IF(AN2479&gt;$L$2505+Fuselage!$K$370,FUSELAGE_a_ellipse,(FUSELAGE_a_ellipse+FUSELAGE_t_fuselage-FUSELAGE_d_fo/4)/Fuselage!$K$368*(AN2479-$L$2505-Fuselage!$K$370)+FUSELAGE_a_ellipse))</f>
        <v>1.4960570012328709</v>
      </c>
      <c r="AQ2479" s="128" t="s">
        <v>213</v>
      </c>
      <c r="AR2479" s="128">
        <f t="shared" ca="1" si="192"/>
        <v>-18.624000000000006</v>
      </c>
      <c r="AS2479" s="129">
        <f t="shared" ca="1" si="193"/>
        <v>-1.4960570012328709</v>
      </c>
      <c r="BD2479" s="157"/>
    </row>
    <row r="2480" spans="2:56">
      <c r="B2480" s="156"/>
      <c r="C2480" s="128" t="s">
        <v>286</v>
      </c>
      <c r="D2480" s="128">
        <f ca="1">D2479</f>
        <v>8888</v>
      </c>
      <c r="E2480" s="139">
        <f ca="1">E2479-P2469</f>
        <v>8888</v>
      </c>
      <c r="G2480" s="128" t="s">
        <v>286</v>
      </c>
      <c r="H2480" s="128">
        <f ca="1">H2479</f>
        <v>8888</v>
      </c>
      <c r="I2480" s="139">
        <f ca="1">I2479-P2469</f>
        <v>8888</v>
      </c>
      <c r="K2480" s="128" t="s">
        <v>286</v>
      </c>
      <c r="L2480" s="128">
        <f ca="1">L2479</f>
        <v>8888</v>
      </c>
      <c r="M2480" s="139">
        <f ca="1">M2479-P2469</f>
        <v>8888</v>
      </c>
      <c r="O2480" s="128" t="s">
        <v>286</v>
      </c>
      <c r="P2480" s="128">
        <f ca="1">P2479</f>
        <v>8888</v>
      </c>
      <c r="Q2480" s="139">
        <f ca="1">Q2479-$T2474</f>
        <v>8888</v>
      </c>
      <c r="S2480" s="128" t="s">
        <v>286</v>
      </c>
      <c r="T2480" s="128">
        <f ca="1">T2479</f>
        <v>8888</v>
      </c>
      <c r="U2480" s="139">
        <f ca="1">U2479-$T2472</f>
        <v>8888</v>
      </c>
      <c r="W2480" s="128" t="s">
        <v>286</v>
      </c>
      <c r="X2480" s="128">
        <f ca="1">X2479</f>
        <v>8888</v>
      </c>
      <c r="Y2480" s="139">
        <f ca="1">Y2479+$T2470</f>
        <v>8888</v>
      </c>
      <c r="AA2480" s="143" t="s">
        <v>286</v>
      </c>
      <c r="AB2480" s="128">
        <f ca="1">IF($AA2476,D2480,P2480)</f>
        <v>8888</v>
      </c>
      <c r="AC2480" s="129">
        <f ca="1">IF($AA2476,E2480,Q2480)</f>
        <v>8888</v>
      </c>
      <c r="AE2480" s="128" t="s">
        <v>286</v>
      </c>
      <c r="AF2480" s="128">
        <f ca="1">IF($AE2476,H2480,T2480)</f>
        <v>8888</v>
      </c>
      <c r="AG2480" s="129">
        <f ca="1">IF($AE2476,I2480,U2480)</f>
        <v>8888</v>
      </c>
      <c r="AI2480" s="128" t="s">
        <v>286</v>
      </c>
      <c r="AJ2480" s="128">
        <f ca="1">IF($AI2476,L2480,X2480)</f>
        <v>8888</v>
      </c>
      <c r="AK2480" s="129">
        <f ca="1">IF($AI2476,M2480,Y2480)</f>
        <v>8888</v>
      </c>
      <c r="AM2480" s="128" t="s">
        <v>286</v>
      </c>
      <c r="AN2480" s="128">
        <f ca="1">AN2479</f>
        <v>-18.624000000000006</v>
      </c>
      <c r="AO2480" s="129">
        <f ca="1">IF(AN2480&gt;-Fuselage!$D$366,IF(AM2476,(FUSELAGE_a_ellipse+FUSELAGE_t_fuselage)*SQRT(1-((AN2480+Fuselage!$D$366)/Fuselage!$K$364)^2),(FUSELAGE_a_ellipse)*SQRT(1-((AN2480+Fuselage!$D$366)/Fuselage!$K$364)^2)),IF(AN2480&gt;$L$2505+Fuselage!$K$370,(IF(AM2476,FUSELAGE_a_ellipse+FUSELAGE_t_fuselage,FUSELAGE_a_ellipse)),IF(AM2476,(FUSELAGE_a_ellipse+FUSELAGE_t_fuselage-FUSELAGE_d_fo/4)/Fuselage!$K$368*(AN2480-$L$2505-Fuselage!$K$370)+FUSELAGE_a_ellipse+FUSELAGE_t_fuselage,(FUSELAGE_a_ellipse+FUSELAGE_t_fuselage-FUSELAGE_d_fo/4)/Fuselage!$K$368*(AN2480-$L$2505-Fuselage!$K$370)+FUSELAGE_a_ellipse)))</f>
        <v>1.4960570012328709</v>
      </c>
      <c r="AQ2480" s="128" t="s">
        <v>286</v>
      </c>
      <c r="AR2480" s="128">
        <f t="shared" ca="1" si="192"/>
        <v>-18.624000000000006</v>
      </c>
      <c r="AS2480" s="129">
        <f t="shared" ca="1" si="193"/>
        <v>-1.4960570012328709</v>
      </c>
      <c r="BD2480" s="157"/>
    </row>
    <row r="2481" spans="2:56">
      <c r="B2481" s="156"/>
      <c r="C2481" s="188" t="s">
        <v>522</v>
      </c>
      <c r="D2481" s="188">
        <f ca="1">D2478</f>
        <v>8888</v>
      </c>
      <c r="E2481" s="189">
        <f ca="1">E2480</f>
        <v>8888</v>
      </c>
      <c r="F2481" s="157"/>
      <c r="G2481" s="2" t="s">
        <v>522</v>
      </c>
      <c r="H2481" s="128">
        <f ca="1">H2478</f>
        <v>8888</v>
      </c>
      <c r="I2481" s="139">
        <f ca="1">I2480</f>
        <v>8888</v>
      </c>
      <c r="K2481" s="128" t="s">
        <v>522</v>
      </c>
      <c r="L2481" s="128">
        <f ca="1">L2478</f>
        <v>8888</v>
      </c>
      <c r="M2481" s="139">
        <f ca="1">M2480</f>
        <v>8888</v>
      </c>
      <c r="O2481" s="188" t="s">
        <v>522</v>
      </c>
      <c r="P2481" s="188">
        <f ca="1">P2478</f>
        <v>8888</v>
      </c>
      <c r="Q2481" s="189">
        <f ca="1">Q2480</f>
        <v>8888</v>
      </c>
      <c r="S2481" s="188" t="s">
        <v>522</v>
      </c>
      <c r="T2481" s="188">
        <f ca="1">T2478</f>
        <v>8888</v>
      </c>
      <c r="U2481" s="189">
        <f ca="1">U2480</f>
        <v>8888</v>
      </c>
      <c r="W2481" s="188" t="s">
        <v>522</v>
      </c>
      <c r="X2481" s="188">
        <f ca="1">X2478</f>
        <v>8888</v>
      </c>
      <c r="Y2481" s="189">
        <f ca="1">Y2480</f>
        <v>8888</v>
      </c>
      <c r="AA2481" s="195" t="s">
        <v>522</v>
      </c>
      <c r="AB2481" s="128">
        <f ca="1">IF($AA2476,D2481,P2481)</f>
        <v>8888</v>
      </c>
      <c r="AC2481" s="129">
        <f ca="1">IF($AA2476,E2481,Q2481)</f>
        <v>8888</v>
      </c>
      <c r="AD2481" s="157"/>
      <c r="AE2481" s="2" t="s">
        <v>522</v>
      </c>
      <c r="AF2481" s="188">
        <f ca="1">IF($AE2476,H2481,T2481)</f>
        <v>8888</v>
      </c>
      <c r="AG2481" s="196">
        <f ca="1">IF($AE2476,I2481,U2481)</f>
        <v>8888</v>
      </c>
      <c r="AI2481" s="128" t="s">
        <v>522</v>
      </c>
      <c r="AJ2481" s="188">
        <f ca="1">IF($AI2476,L2481,X2481)</f>
        <v>8888</v>
      </c>
      <c r="AK2481" s="196">
        <f ca="1">IF($AI2476,M2481,Y2481)</f>
        <v>8888</v>
      </c>
      <c r="AM2481" s="128" t="s">
        <v>522</v>
      </c>
      <c r="AN2481" s="128">
        <f ca="1">AN2480-X2470</f>
        <v>-18.624000000000006</v>
      </c>
      <c r="AO2481" s="129">
        <f ca="1">IF(AN2481&gt;-Fuselage!$D$366,IF(AM2476,(FUSELAGE_a_ellipse+FUSELAGE_t_fuselage)*SQRT(1-((AN2481+Fuselage!$D$366)/Fuselage!$K$364)^2),(FUSELAGE_a_ellipse)*SQRT(1-((AN2481+Fuselage!$D$366)/Fuselage!$K$364)^2)),IF(AN2481&gt;$L$2505+Fuselage!$K$370,(IF(AM2476,FUSELAGE_a_ellipse+FUSELAGE_t_fuselage,FUSELAGE_a_ellipse)),IF(AM2476,(FUSELAGE_a_ellipse+FUSELAGE_t_fuselage-FUSELAGE_d_fo/4)/Fuselage!$K$368*(AN2481-$L$2505-Fuselage!$K$370)+FUSELAGE_a_ellipse+FUSELAGE_t_fuselage,(FUSELAGE_a_ellipse+FUSELAGE_t_fuselage-FUSELAGE_d_fo/4)/Fuselage!$K$368*(AN2481-$L$2505-Fuselage!$K$370)+FUSELAGE_a_ellipse)))</f>
        <v>1.4960570012328709</v>
      </c>
      <c r="AQ2481" s="128" t="s">
        <v>522</v>
      </c>
      <c r="AR2481" s="128">
        <f t="shared" ca="1" si="192"/>
        <v>-18.624000000000006</v>
      </c>
      <c r="AS2481" s="129">
        <f t="shared" ca="1" si="193"/>
        <v>-1.4960570012328709</v>
      </c>
      <c r="BD2481" s="157"/>
    </row>
    <row r="2482" spans="2:56" ht="15" thickBot="1">
      <c r="B2482" s="156"/>
      <c r="C2482" s="128" t="s">
        <v>49</v>
      </c>
      <c r="D2482" s="128">
        <f ca="1">IF(C2476&gt;=2,D2478,D2481)</f>
        <v>8888</v>
      </c>
      <c r="E2482" s="139">
        <f ca="1">IF(C2476&gt;=2,E2481-P2471,E2481)</f>
        <v>8888</v>
      </c>
      <c r="F2482" s="157"/>
      <c r="G2482" s="192" t="s">
        <v>49</v>
      </c>
      <c r="H2482" s="190">
        <f ca="1">IF(G2476&gt;=2,H2478,H2481)</f>
        <v>8888</v>
      </c>
      <c r="I2482" s="191">
        <f ca="1">IF(G2476&gt;=2,I2481-P2471,I2481)</f>
        <v>8888</v>
      </c>
      <c r="K2482" s="190" t="s">
        <v>49</v>
      </c>
      <c r="L2482" s="190">
        <f ca="1">IF(K2476&gt;=2,L2478,L2481)</f>
        <v>8888</v>
      </c>
      <c r="M2482" s="191">
        <f ca="1">IF(K2476&gt;=2,M2481-P2471,M2481)</f>
        <v>8888</v>
      </c>
      <c r="O2482" s="130" t="s">
        <v>396</v>
      </c>
      <c r="P2482" s="130">
        <f ca="1">P2478</f>
        <v>8888</v>
      </c>
      <c r="Q2482" s="140">
        <f ca="1">Q2478</f>
        <v>8888</v>
      </c>
      <c r="S2482" s="130" t="s">
        <v>396</v>
      </c>
      <c r="T2482" s="130">
        <f ca="1">T2478</f>
        <v>8888</v>
      </c>
      <c r="U2482" s="140">
        <f ca="1">U2478</f>
        <v>8888</v>
      </c>
      <c r="W2482" s="130" t="s">
        <v>396</v>
      </c>
      <c r="X2482" s="130">
        <f ca="1">X2478</f>
        <v>8888</v>
      </c>
      <c r="Y2482" s="140">
        <f ca="1">Y2478</f>
        <v>8888</v>
      </c>
      <c r="AA2482" s="143" t="s">
        <v>49</v>
      </c>
      <c r="AB2482" s="128">
        <f ca="1">IF($AA2476,D2482,P2482)</f>
        <v>8888</v>
      </c>
      <c r="AC2482" s="129">
        <f ca="1">IF($AA2476,E2482,Q2482)</f>
        <v>8888</v>
      </c>
      <c r="AD2482" s="157"/>
      <c r="AE2482" s="192" t="s">
        <v>49</v>
      </c>
      <c r="AF2482" s="128">
        <f ca="1">IF($AE2476,H2482,T2482)</f>
        <v>8888</v>
      </c>
      <c r="AG2482" s="129">
        <f ca="1">IF($AE2476,I2482,U2482)</f>
        <v>8888</v>
      </c>
      <c r="AI2482" s="190" t="s">
        <v>49</v>
      </c>
      <c r="AJ2482" s="128">
        <f ca="1">IF($AI2476,L2482,X2482)</f>
        <v>8888</v>
      </c>
      <c r="AK2482" s="129">
        <f ca="1">IF($AI2476,M2482,Y2482)</f>
        <v>8888</v>
      </c>
      <c r="AM2482" s="128" t="s">
        <v>49</v>
      </c>
      <c r="AN2482" s="128">
        <f ca="1">AN2481</f>
        <v>-18.624000000000006</v>
      </c>
      <c r="AO2482" s="129">
        <f ca="1">IF(AN2482&gt;-Fuselage!$D$366,(FUSELAGE_a_ellipse)*SQRT(1-((AN2482+Fuselage!$D$366)/(Fuselage!$K$364-FUSELAGE_t_fuselage))^2),IF(AN2482&gt;$L$2505+Fuselage!$K$370,FUSELAGE_a_ellipse,(FUSELAGE_a_ellipse+FUSELAGE_t_fuselage-FUSELAGE_d_fo/4)/Fuselage!$K$368*(AN2482-$L$2505-Fuselage!$K$370)+FUSELAGE_a_ellipse))</f>
        <v>1.4960570012328709</v>
      </c>
      <c r="AQ2482" s="128" t="s">
        <v>49</v>
      </c>
      <c r="AR2482" s="128">
        <f t="shared" ca="1" si="192"/>
        <v>-18.624000000000006</v>
      </c>
      <c r="AS2482" s="129">
        <f t="shared" ca="1" si="193"/>
        <v>-1.4960570012328709</v>
      </c>
      <c r="BD2482" s="157"/>
    </row>
    <row r="2483" spans="2:56">
      <c r="B2483" s="156"/>
      <c r="C2483" s="128" t="s">
        <v>453</v>
      </c>
      <c r="D2483" s="128">
        <f ca="1">IF(C2476&gt;=2,D2478+P2470,D2481)</f>
        <v>8888</v>
      </c>
      <c r="E2483" s="139">
        <f ca="1">E2482</f>
        <v>8888</v>
      </c>
      <c r="F2483" s="157"/>
      <c r="G2483" s="2" t="s">
        <v>453</v>
      </c>
      <c r="H2483" s="128">
        <f ca="1">IF(G2476&gt;=2,H2479,H2481)</f>
        <v>8888</v>
      </c>
      <c r="I2483" s="139">
        <f ca="1">IF(G2476&gt;=2,I2482,I2481)</f>
        <v>8888</v>
      </c>
      <c r="K2483" s="128" t="s">
        <v>453</v>
      </c>
      <c r="L2483" s="128">
        <f ca="1">IF(K2476&gt;=2,IF(X2471,IF(K2476=2,L2478+P2470/4,L2478+P2470),L2478+P2470),L2481)</f>
        <v>8888</v>
      </c>
      <c r="M2483" s="139">
        <f ca="1">IF(K2476&gt;=2,M2482,M2481)</f>
        <v>8888</v>
      </c>
      <c r="AA2483" s="143" t="s">
        <v>453</v>
      </c>
      <c r="AB2483" s="128">
        <f ca="1">IF($AA2476,D2483,AB2482)</f>
        <v>8888</v>
      </c>
      <c r="AC2483" s="129">
        <f ca="1">IF($AA2476,E2483,AC2482)</f>
        <v>8888</v>
      </c>
      <c r="AD2483" s="157"/>
      <c r="AE2483" s="2" t="s">
        <v>453</v>
      </c>
      <c r="AF2483" s="128">
        <f ca="1">IF($AE2476,H2483,AF2482)</f>
        <v>8888</v>
      </c>
      <c r="AG2483" s="129">
        <f ca="1">IF($AE2476,I2483,AG2482)</f>
        <v>8888</v>
      </c>
      <c r="AI2483" s="128" t="s">
        <v>453</v>
      </c>
      <c r="AJ2483" s="128">
        <f ca="1">IF($AI2476,L2483,AJ2482)</f>
        <v>8888</v>
      </c>
      <c r="AK2483" s="129">
        <f ca="1">IF($AI2476,M2483,AK2482)</f>
        <v>8888</v>
      </c>
      <c r="AM2483" s="128" t="s">
        <v>453</v>
      </c>
      <c r="AN2483" s="128">
        <f ca="1">L2469</f>
        <v>-18.624000000000006</v>
      </c>
      <c r="AO2483" s="129">
        <f ca="1">IF(AN2483&gt;-Fuselage!$D$366,(FUSELAGE_a_ellipse)*SQRT(1-((AN2483+Fuselage!$D$366)/(Fuselage!$K$364-FUSELAGE_t_fuselage))^2),IF(AN2483&gt;$L$2505+Fuselage!$K$370,FUSELAGE_a_ellipse,(FUSELAGE_a_ellipse+FUSELAGE_t_fuselage-FUSELAGE_d_fo/4)/Fuselage!$K$368*(AN2483-$L$2505-Fuselage!$K$370)+FUSELAGE_a_ellipse))</f>
        <v>1.4960570012328709</v>
      </c>
      <c r="AQ2483" s="128" t="s">
        <v>453</v>
      </c>
      <c r="AR2483" s="128">
        <f t="shared" ca="1" si="192"/>
        <v>-18.624000000000006</v>
      </c>
      <c r="AS2483" s="129">
        <f t="shared" ca="1" si="193"/>
        <v>-1.4960570012328709</v>
      </c>
      <c r="BD2483" s="157"/>
    </row>
    <row r="2484" spans="2:56">
      <c r="B2484" s="156"/>
      <c r="C2484" s="128" t="s">
        <v>394</v>
      </c>
      <c r="D2484" s="128">
        <f ca="1">IF(C2476&gt;=2,D2483,D2481)</f>
        <v>8888</v>
      </c>
      <c r="E2484" s="139">
        <f ca="1">IF(C2476&gt;=2,E2482-P2469,E2481)</f>
        <v>8888</v>
      </c>
      <c r="F2484" s="157"/>
      <c r="G2484" s="2" t="s">
        <v>394</v>
      </c>
      <c r="H2484" s="128">
        <f ca="1">IF(G2476&gt;=2,H2479,H2481)</f>
        <v>8888</v>
      </c>
      <c r="I2484" s="139">
        <f ca="1">IF(G2476&gt;=2,I2483-P2469,I2481)</f>
        <v>8888</v>
      </c>
      <c r="K2484" s="128" t="s">
        <v>394</v>
      </c>
      <c r="L2484" s="128">
        <f ca="1">L2483</f>
        <v>8888</v>
      </c>
      <c r="M2484" s="139">
        <f ca="1">IF(K2476&gt;=2,M2483-P2469,M2481)</f>
        <v>8888</v>
      </c>
      <c r="AA2484" s="143" t="s">
        <v>394</v>
      </c>
      <c r="AB2484" s="128">
        <f ca="1">IF($AA2476,D2484,AB2482)</f>
        <v>8888</v>
      </c>
      <c r="AC2484" s="129">
        <f ca="1">IF($AA2476,E2484,AC2482)</f>
        <v>8888</v>
      </c>
      <c r="AD2484" s="157"/>
      <c r="AE2484" s="2" t="s">
        <v>394</v>
      </c>
      <c r="AF2484" s="128">
        <f ca="1">IF($AE2476,H2484,AF2482)</f>
        <v>8888</v>
      </c>
      <c r="AG2484" s="129">
        <f ca="1">IF($AE2476,I2484,AG2482)</f>
        <v>8888</v>
      </c>
      <c r="AI2484" s="128" t="s">
        <v>394</v>
      </c>
      <c r="AJ2484" s="128">
        <f ca="1">IF($AI2476,L2484,AJ2482)</f>
        <v>8888</v>
      </c>
      <c r="AK2484" s="129">
        <f ca="1">IF($AI2476,M2484,AK2482)</f>
        <v>8888</v>
      </c>
      <c r="BD2484" s="157"/>
    </row>
    <row r="2485" spans="2:56">
      <c r="B2485" s="156"/>
      <c r="C2485" s="188" t="s">
        <v>454</v>
      </c>
      <c r="D2485" s="188">
        <f ca="1">IF(C2476&gt;=2,D2478,D2481)</f>
        <v>8888</v>
      </c>
      <c r="E2485" s="189">
        <f ca="1">E2484</f>
        <v>8888</v>
      </c>
      <c r="F2485" s="157"/>
      <c r="G2485" s="115" t="s">
        <v>454</v>
      </c>
      <c r="H2485" s="188">
        <f ca="1">IF(G2476&gt;=2,H2478,H2481)</f>
        <v>8888</v>
      </c>
      <c r="I2485" s="189">
        <f ca="1">IF(G2476&gt;=2,I2484,I2481)</f>
        <v>8888</v>
      </c>
      <c r="K2485" s="188" t="s">
        <v>454</v>
      </c>
      <c r="L2485" s="188">
        <f ca="1">IF(K2476&gt;=2,L2478,L2481)</f>
        <v>8888</v>
      </c>
      <c r="M2485" s="189">
        <f ca="1">IF(K2476&gt;=2,M2484,M2481)</f>
        <v>8888</v>
      </c>
      <c r="AA2485" s="195" t="s">
        <v>454</v>
      </c>
      <c r="AB2485" s="128">
        <f ca="1">IF($AA2476,D2485,AB2482)</f>
        <v>8888</v>
      </c>
      <c r="AC2485" s="129">
        <f ca="1">IF($AA2476,E2485,AC2482)</f>
        <v>8888</v>
      </c>
      <c r="AD2485" s="157"/>
      <c r="AE2485" s="115" t="s">
        <v>454</v>
      </c>
      <c r="AF2485" s="188">
        <f ca="1">IF($AE2476,H2485,AF2482)</f>
        <v>8888</v>
      </c>
      <c r="AG2485" s="196">
        <f ca="1">IF($AE2476,I2485,AG2482)</f>
        <v>8888</v>
      </c>
      <c r="AI2485" s="188" t="s">
        <v>454</v>
      </c>
      <c r="AJ2485" s="188">
        <f ca="1">IF($AI2476,L2485,AJ2482)</f>
        <v>8888</v>
      </c>
      <c r="AK2485" s="196">
        <f ca="1">IF($AI2476,M2485,AK2482)</f>
        <v>8888</v>
      </c>
      <c r="BD2485" s="157"/>
    </row>
    <row r="2486" spans="2:56">
      <c r="B2486" s="156"/>
      <c r="C2486" s="128" t="s">
        <v>507</v>
      </c>
      <c r="D2486" s="128">
        <f ca="1">IF(C2476&gt;=3,D2478,D2485)</f>
        <v>8888</v>
      </c>
      <c r="E2486" s="139">
        <f ca="1">IF(C2476&gt;=3,E2485-P2471,E2485)</f>
        <v>8888</v>
      </c>
      <c r="F2486" s="157"/>
      <c r="G2486" s="2" t="s">
        <v>507</v>
      </c>
      <c r="H2486" s="128">
        <f ca="1">IF(G2476&gt;=3,H2478,H2485)</f>
        <v>8888</v>
      </c>
      <c r="I2486" s="139">
        <f ca="1">IF(G2476&gt;=3,I2485-P2471,I2485)</f>
        <v>8888</v>
      </c>
      <c r="K2486" s="128" t="s">
        <v>507</v>
      </c>
      <c r="L2486" s="128">
        <f ca="1">IF(K2476&gt;=3,L2478,L2485)</f>
        <v>8888</v>
      </c>
      <c r="M2486" s="139">
        <f ca="1">IF(K2476&gt;=3,M2485-P2471,M2485)</f>
        <v>8888</v>
      </c>
      <c r="AA2486" s="143" t="s">
        <v>507</v>
      </c>
      <c r="AB2486" s="128">
        <f ca="1">IF($AA2476,D2486,AB2482)</f>
        <v>8888</v>
      </c>
      <c r="AC2486" s="129">
        <f ca="1">IF($AA2476,E2486,AC2482)</f>
        <v>8888</v>
      </c>
      <c r="AD2486" s="157"/>
      <c r="AE2486" s="2" t="s">
        <v>507</v>
      </c>
      <c r="AF2486" s="128">
        <f ca="1">IF($AE2476,H2486,AF2482)</f>
        <v>8888</v>
      </c>
      <c r="AG2486" s="129">
        <f ca="1">IF($AE2476,I2486,AG2482)</f>
        <v>8888</v>
      </c>
      <c r="AI2486" s="128" t="s">
        <v>507</v>
      </c>
      <c r="AJ2486" s="128">
        <f ca="1">IF($AI2476,L2486,AJ2482)</f>
        <v>8888</v>
      </c>
      <c r="AK2486" s="129">
        <f ca="1">IF($AI2476,M2486,AK2482)</f>
        <v>8888</v>
      </c>
      <c r="BD2486" s="157"/>
    </row>
    <row r="2487" spans="2:56">
      <c r="B2487" s="156"/>
      <c r="C2487" s="128" t="s">
        <v>455</v>
      </c>
      <c r="D2487" s="128">
        <f ca="1">IF(C2476&gt;=3,D2483,D2485)</f>
        <v>8888</v>
      </c>
      <c r="E2487" s="139">
        <f ca="1">E2486</f>
        <v>8888</v>
      </c>
      <c r="F2487" s="157"/>
      <c r="G2487" s="2" t="s">
        <v>455</v>
      </c>
      <c r="H2487" s="128">
        <f ca="1">IF(G2476&gt;=3,H2479,H2485)</f>
        <v>8888</v>
      </c>
      <c r="I2487" s="139">
        <f ca="1">IF(G2476&gt;=3,I2486,I2485)</f>
        <v>8888</v>
      </c>
      <c r="K2487" s="128" t="s">
        <v>455</v>
      </c>
      <c r="L2487" s="128">
        <f ca="1">IF(K2476&gt;=3,IF(X2471,IF(K2476=3,L2478+P2470/4,L2478+P2470),L2478+P2470),L2481)</f>
        <v>8888</v>
      </c>
      <c r="M2487" s="139">
        <f ca="1">IF(K2476&gt;=3,M2486,M2485)</f>
        <v>8888</v>
      </c>
      <c r="AA2487" s="143" t="s">
        <v>455</v>
      </c>
      <c r="AB2487" s="128">
        <f ca="1">IF($AA2476,D2487,AB2482)</f>
        <v>8888</v>
      </c>
      <c r="AC2487" s="129">
        <f ca="1">IF($AA2476,E2487,AC2482)</f>
        <v>8888</v>
      </c>
      <c r="AD2487" s="157"/>
      <c r="AE2487" s="2" t="s">
        <v>455</v>
      </c>
      <c r="AF2487" s="128">
        <f ca="1">IF($AE2476,H2487,AF2482)</f>
        <v>8888</v>
      </c>
      <c r="AG2487" s="129">
        <f ca="1">IF($AE2476,I2487,AG2482)</f>
        <v>8888</v>
      </c>
      <c r="AI2487" s="128" t="s">
        <v>455</v>
      </c>
      <c r="AJ2487" s="128">
        <f ca="1">IF($AI2476,L2487,AJ2482)</f>
        <v>8888</v>
      </c>
      <c r="AK2487" s="129">
        <f ca="1">IF($AI2476,M2487,AK2482)</f>
        <v>8888</v>
      </c>
      <c r="AL2487" s="156"/>
      <c r="BD2487" s="157"/>
    </row>
    <row r="2488" spans="2:56">
      <c r="B2488" s="156"/>
      <c r="C2488" s="128" t="s">
        <v>311</v>
      </c>
      <c r="D2488" s="128">
        <f ca="1">IF(C2476&gt;=3,D2483,D2485)</f>
        <v>8888</v>
      </c>
      <c r="E2488" s="139">
        <f ca="1">IF(C2476&gt;=3,E2487-P2469,E2485)</f>
        <v>8888</v>
      </c>
      <c r="F2488" s="157"/>
      <c r="G2488" s="2" t="s">
        <v>311</v>
      </c>
      <c r="H2488" s="128">
        <f ca="1">IF(G2476&gt;=3,H2479,H2485)</f>
        <v>8888</v>
      </c>
      <c r="I2488" s="139">
        <f ca="1">IF(G2476&gt;=3,I2487-P2469,I2485)</f>
        <v>8888</v>
      </c>
      <c r="K2488" s="128" t="s">
        <v>311</v>
      </c>
      <c r="L2488" s="128">
        <f ca="1">L2487</f>
        <v>8888</v>
      </c>
      <c r="M2488" s="139">
        <f ca="1">IF(K2476&gt;=3,M2487-P2469,M2485)</f>
        <v>8888</v>
      </c>
      <c r="AA2488" s="143" t="s">
        <v>311</v>
      </c>
      <c r="AB2488" s="128">
        <f ca="1">IF($AA2476,D2488,AB2482)</f>
        <v>8888</v>
      </c>
      <c r="AC2488" s="129">
        <f ca="1">IF($AA2476,E2488,AC2482)</f>
        <v>8888</v>
      </c>
      <c r="AD2488" s="157"/>
      <c r="AE2488" s="2" t="s">
        <v>311</v>
      </c>
      <c r="AF2488" s="128">
        <f ca="1">IF($AE2476,H2488,AF2482)</f>
        <v>8888</v>
      </c>
      <c r="AG2488" s="129">
        <f ca="1">IF($AE2476,I2488,AG2482)</f>
        <v>8888</v>
      </c>
      <c r="AI2488" s="128" t="s">
        <v>311</v>
      </c>
      <c r="AJ2488" s="128">
        <f ca="1">IF($AI2476,L2488,AJ2482)</f>
        <v>8888</v>
      </c>
      <c r="AK2488" s="129">
        <f ca="1">IF($AI2476,M2488,AK2482)</f>
        <v>8888</v>
      </c>
      <c r="AL2488" s="156"/>
      <c r="BD2488" s="157"/>
    </row>
    <row r="2489" spans="2:56">
      <c r="B2489" s="156"/>
      <c r="C2489" s="188" t="s">
        <v>35</v>
      </c>
      <c r="D2489" s="188">
        <f ca="1">IF(C2476&gt;=3,D2478,D2485)</f>
        <v>8888</v>
      </c>
      <c r="E2489" s="189">
        <f ca="1">E2488</f>
        <v>8888</v>
      </c>
      <c r="F2489" s="157"/>
      <c r="G2489" s="2" t="s">
        <v>35</v>
      </c>
      <c r="H2489" s="188">
        <f ca="1">IF(G2476&gt;=3,H2478,H2485)</f>
        <v>8888</v>
      </c>
      <c r="I2489" s="189">
        <f ca="1">IF(G2476&gt;=3,I2488,I2485)</f>
        <v>8888</v>
      </c>
      <c r="K2489" s="188" t="s">
        <v>35</v>
      </c>
      <c r="L2489" s="188">
        <f ca="1">IF(K2476&gt;=3,L2478,L2485)</f>
        <v>8888</v>
      </c>
      <c r="M2489" s="189">
        <f ca="1">IF(K2476&gt;=3,M2488,M2485)</f>
        <v>8888</v>
      </c>
      <c r="AA2489" s="143" t="s">
        <v>35</v>
      </c>
      <c r="AB2489" s="128">
        <f ca="1">IF($AA2476,D2489,AB2482)</f>
        <v>8888</v>
      </c>
      <c r="AC2489" s="129">
        <f ca="1">IF($AA2476,E2489,AC2482)</f>
        <v>8888</v>
      </c>
      <c r="AD2489" s="157"/>
      <c r="AE2489" s="2" t="s">
        <v>35</v>
      </c>
      <c r="AF2489" s="188">
        <f ca="1">IF($AE2476,H2489,AF2482)</f>
        <v>8888</v>
      </c>
      <c r="AG2489" s="196">
        <f ca="1">IF($AE2476,I2489,AG2482)</f>
        <v>8888</v>
      </c>
      <c r="AI2489" s="128" t="s">
        <v>35</v>
      </c>
      <c r="AJ2489" s="128">
        <f ca="1">IF($AI2476,L2489,AJ2482)</f>
        <v>8888</v>
      </c>
      <c r="AK2489" s="129">
        <f ca="1">IF($AI2476,M2489,AK2482)</f>
        <v>8888</v>
      </c>
      <c r="AL2489" s="156"/>
      <c r="BD2489" s="157"/>
    </row>
    <row r="2490" spans="2:56" ht="15" thickBot="1">
      <c r="B2490" s="156"/>
      <c r="C2490" s="130" t="s">
        <v>396</v>
      </c>
      <c r="D2490" s="130">
        <f ca="1">D2478</f>
        <v>8888</v>
      </c>
      <c r="E2490" s="140">
        <f ca="1">E2478</f>
        <v>8888</v>
      </c>
      <c r="F2490" s="157"/>
      <c r="G2490" s="192" t="s">
        <v>312</v>
      </c>
      <c r="H2490" s="128">
        <f ca="1">IF(G2476&gt;=4,H2478,H2489)</f>
        <v>8888</v>
      </c>
      <c r="I2490" s="139">
        <f ca="1">IF(G2476&gt;=4,I2489-P2471,I2489)</f>
        <v>8888</v>
      </c>
      <c r="K2490" s="130" t="s">
        <v>396</v>
      </c>
      <c r="L2490" s="130">
        <f ca="1">L2478</f>
        <v>8888</v>
      </c>
      <c r="M2490" s="140">
        <f ca="1">M2478</f>
        <v>8888</v>
      </c>
      <c r="AA2490" s="144" t="s">
        <v>396</v>
      </c>
      <c r="AB2490" s="130">
        <f ca="1">IF($AA2476,D2490,AB2482)</f>
        <v>8888</v>
      </c>
      <c r="AC2490" s="132">
        <f ca="1">IF($AA2476,E2490,AC2482)</f>
        <v>8888</v>
      </c>
      <c r="AD2490" s="157"/>
      <c r="AE2490" s="192" t="s">
        <v>312</v>
      </c>
      <c r="AF2490" s="128">
        <f ca="1">IF($AE2476,H2490,AF2482)</f>
        <v>8888</v>
      </c>
      <c r="AG2490" s="129">
        <f ca="1">IF($AE2476,I2490,AG2482)</f>
        <v>8888</v>
      </c>
      <c r="AI2490" s="130" t="s">
        <v>396</v>
      </c>
      <c r="AJ2490" s="130">
        <f ca="1">IF($AI2476,L2490,AJ2482)</f>
        <v>8888</v>
      </c>
      <c r="AK2490" s="132">
        <f ca="1">IF($AI2476,M2490,AK2482)</f>
        <v>8888</v>
      </c>
      <c r="BD2490" s="157"/>
    </row>
    <row r="2491" spans="2:56">
      <c r="B2491" s="156"/>
      <c r="F2491" s="157"/>
      <c r="G2491" s="2" t="s">
        <v>313</v>
      </c>
      <c r="H2491" s="128">
        <f ca="1">IF(G2476&gt;=4,H2479,H2489)</f>
        <v>8888</v>
      </c>
      <c r="I2491" s="139">
        <f ca="1">IF(G2476&gt;=4,I2490,I2489)</f>
        <v>8888</v>
      </c>
      <c r="AD2491" s="157"/>
      <c r="AE2491" s="2" t="s">
        <v>313</v>
      </c>
      <c r="AF2491" s="128">
        <f ca="1">IF($AE2476,H2491,AF2482)</f>
        <v>8888</v>
      </c>
      <c r="AG2491" s="129">
        <f ca="1">IF($AE2476,I2491,AG2482)</f>
        <v>8888</v>
      </c>
      <c r="BD2491" s="157"/>
    </row>
    <row r="2492" spans="2:56">
      <c r="B2492" s="156"/>
      <c r="F2492" s="157"/>
      <c r="G2492" s="2" t="s">
        <v>7</v>
      </c>
      <c r="H2492" s="128">
        <f ca="1">IF(G2476&gt;=4,H2479,H2489)</f>
        <v>8888</v>
      </c>
      <c r="I2492" s="139">
        <f ca="1">IF(G2476&gt;=4,I2491-P2469,I2489)</f>
        <v>8888</v>
      </c>
      <c r="AD2492" s="157"/>
      <c r="AE2492" s="2" t="s">
        <v>7</v>
      </c>
      <c r="AF2492" s="128">
        <f ca="1">IF($AE2476,H2492,AF2482)</f>
        <v>8888</v>
      </c>
      <c r="AG2492" s="129">
        <f ca="1">IF($AE2476,I2492,AG2482)</f>
        <v>8888</v>
      </c>
      <c r="BD2492" s="157"/>
    </row>
    <row r="2493" spans="2:56">
      <c r="B2493" s="156"/>
      <c r="F2493" s="157"/>
      <c r="G2493" s="115" t="s">
        <v>8</v>
      </c>
      <c r="H2493" s="188">
        <f ca="1">IF(G2476&gt;=4,H2478,H2489)</f>
        <v>8888</v>
      </c>
      <c r="I2493" s="189">
        <f ca="1">IF(G2476&gt;=4,I2492,I2489)</f>
        <v>8888</v>
      </c>
      <c r="AD2493" s="157"/>
      <c r="AE2493" s="115" t="s">
        <v>8</v>
      </c>
      <c r="AF2493" s="188">
        <f ca="1">IF($AE2476,H2493,AF2482)</f>
        <v>8888</v>
      </c>
      <c r="AG2493" s="196">
        <f ca="1">IF($AE2476,I2493,AG2482)</f>
        <v>8888</v>
      </c>
      <c r="BD2493" s="157"/>
    </row>
    <row r="2494" spans="2:56">
      <c r="B2494" s="156"/>
      <c r="F2494" s="157"/>
      <c r="G2494" s="2" t="s">
        <v>9</v>
      </c>
      <c r="H2494" s="128">
        <f ca="1">IF(G2476&gt;=5,H2478,H2493)</f>
        <v>8888</v>
      </c>
      <c r="I2494" s="139">
        <f ca="1">IF(G2476&gt;=5,I2493-P2471,I2493)</f>
        <v>8888</v>
      </c>
      <c r="AD2494" s="157"/>
      <c r="AE2494" s="2" t="s">
        <v>9</v>
      </c>
      <c r="AF2494" s="128">
        <f ca="1">IF($AE2476,H2494,AF2482)</f>
        <v>8888</v>
      </c>
      <c r="AG2494" s="129">
        <f ca="1">IF($AE2476,I2494,AG2482)</f>
        <v>8888</v>
      </c>
      <c r="BD2494" s="157"/>
    </row>
    <row r="2495" spans="2:56">
      <c r="B2495" s="156"/>
      <c r="F2495" s="157"/>
      <c r="G2495" s="2" t="s">
        <v>196</v>
      </c>
      <c r="H2495" s="128">
        <f ca="1">IF(G2476&gt;=5,H2479,H2493)</f>
        <v>8888</v>
      </c>
      <c r="I2495" s="139">
        <f ca="1">IF(G2476&gt;=5,I2494,I2493)</f>
        <v>8888</v>
      </c>
      <c r="AD2495" s="157"/>
      <c r="AE2495" s="2" t="s">
        <v>196</v>
      </c>
      <c r="AF2495" s="128">
        <f ca="1">IF($AE2476,H2495,AF2482)</f>
        <v>8888</v>
      </c>
      <c r="AG2495" s="129">
        <f ca="1">IF($AE2476,I2495,AG2482)</f>
        <v>8888</v>
      </c>
      <c r="BD2495" s="157"/>
    </row>
    <row r="2496" spans="2:56">
      <c r="B2496" s="156"/>
      <c r="F2496" s="157"/>
      <c r="G2496" s="2" t="s">
        <v>10</v>
      </c>
      <c r="H2496" s="128">
        <f ca="1">IF(G2476&gt;=5,H2479,H2493)</f>
        <v>8888</v>
      </c>
      <c r="I2496" s="139">
        <f ca="1">IF(G2476&gt;=5,I2495-P2469,I2493)</f>
        <v>8888</v>
      </c>
      <c r="AD2496" s="157"/>
      <c r="AE2496" s="2" t="s">
        <v>10</v>
      </c>
      <c r="AF2496" s="128">
        <f ca="1">IF($AE2476,H2496,AF2482)</f>
        <v>8888</v>
      </c>
      <c r="AG2496" s="129">
        <f ca="1">IF($AE2476,I2496,AG2482)</f>
        <v>8888</v>
      </c>
      <c r="BD2496" s="157"/>
    </row>
    <row r="2497" spans="2:56">
      <c r="B2497" s="156"/>
      <c r="F2497" s="157"/>
      <c r="G2497" s="2" t="s">
        <v>161</v>
      </c>
      <c r="H2497" s="188">
        <f ca="1">IF(G2476&gt;=5,H2478,H2493)</f>
        <v>8888</v>
      </c>
      <c r="I2497" s="189">
        <f ca="1">IF(G2476&gt;=5,I2496,I2493)</f>
        <v>8888</v>
      </c>
      <c r="AD2497" s="157"/>
      <c r="AE2497" s="2" t="s">
        <v>161</v>
      </c>
      <c r="AF2497" s="188">
        <f ca="1">IF($AE2476,H2497,AF2482)</f>
        <v>8888</v>
      </c>
      <c r="AG2497" s="196">
        <f ca="1">IF($AE2476,I2497,AG2482)</f>
        <v>8888</v>
      </c>
      <c r="BD2497" s="157"/>
    </row>
    <row r="2498" spans="2:56">
      <c r="B2498" s="156"/>
      <c r="F2498" s="157"/>
      <c r="G2498" s="192" t="s">
        <v>11</v>
      </c>
      <c r="H2498" s="128">
        <f ca="1">IF(G2476&gt;=6,H2478,H2497)</f>
        <v>8888</v>
      </c>
      <c r="I2498" s="139">
        <f ca="1">IF(G2476&gt;=6,I2497-P2471,I2497)</f>
        <v>8888</v>
      </c>
      <c r="AD2498" s="157"/>
      <c r="AE2498" s="192" t="s">
        <v>11</v>
      </c>
      <c r="AF2498" s="128">
        <f ca="1">IF($AE2476,H2498,AF2482)</f>
        <v>8888</v>
      </c>
      <c r="AG2498" s="129">
        <f ca="1">IF($AE2476,I2498,AG2482)</f>
        <v>8888</v>
      </c>
      <c r="BD2498" s="157"/>
    </row>
    <row r="2499" spans="2:56">
      <c r="B2499" s="156"/>
      <c r="F2499" s="157"/>
      <c r="G2499" s="2" t="s">
        <v>12</v>
      </c>
      <c r="H2499" s="128">
        <f ca="1">IF(G2476&gt;=6,H2479,H2497)</f>
        <v>8888</v>
      </c>
      <c r="I2499" s="139">
        <f ca="1">IF(G2476&gt;=6,I2498,I2497)</f>
        <v>8888</v>
      </c>
      <c r="AD2499" s="157"/>
      <c r="AE2499" s="2" t="s">
        <v>12</v>
      </c>
      <c r="AF2499" s="128">
        <f ca="1">IF($AE2476,H2499,AF2482)</f>
        <v>8888</v>
      </c>
      <c r="AG2499" s="129">
        <f ca="1">IF($AE2476,I2499,AG2482)</f>
        <v>8888</v>
      </c>
      <c r="BD2499" s="157"/>
    </row>
    <row r="2500" spans="2:56">
      <c r="B2500" s="156"/>
      <c r="F2500" s="157"/>
      <c r="G2500" s="2" t="s">
        <v>13</v>
      </c>
      <c r="H2500" s="128">
        <f ca="1">IF(G2476&gt;=6,H2479,H2497)</f>
        <v>8888</v>
      </c>
      <c r="I2500" s="139">
        <f ca="1">IF(G2476&gt;=6,I2499-P2469,I2497)</f>
        <v>8888</v>
      </c>
      <c r="AD2500" s="157"/>
      <c r="AE2500" s="2" t="s">
        <v>13</v>
      </c>
      <c r="AF2500" s="128">
        <f ca="1">IF($AE2476,H2500,AF2482)</f>
        <v>8888</v>
      </c>
      <c r="AG2500" s="129">
        <f ca="1">IF($AE2476,I2500,AG2482)</f>
        <v>8888</v>
      </c>
      <c r="BD2500" s="157"/>
    </row>
    <row r="2501" spans="2:56">
      <c r="B2501" s="156"/>
      <c r="F2501" s="157"/>
      <c r="G2501" s="115" t="s">
        <v>14</v>
      </c>
      <c r="H2501" s="188">
        <f ca="1">IF(G2476&gt;=6,H2478,H2497)</f>
        <v>8888</v>
      </c>
      <c r="I2501" s="189">
        <f ca="1">IF(G2476&gt;=6,I2500,I2497)</f>
        <v>8888</v>
      </c>
      <c r="AD2501" s="157"/>
      <c r="AE2501" s="115" t="s">
        <v>14</v>
      </c>
      <c r="AF2501" s="188">
        <f ca="1">IF($AE2476,H2501,AF2482)</f>
        <v>8888</v>
      </c>
      <c r="AG2501" s="196">
        <f ca="1">IF($AE2476,I2501,AG2482)</f>
        <v>8888</v>
      </c>
      <c r="BD2501" s="157"/>
    </row>
    <row r="2502" spans="2:56" ht="15" thickBot="1">
      <c r="B2502" s="156"/>
      <c r="G2502" s="130" t="s">
        <v>396</v>
      </c>
      <c r="H2502" s="130">
        <f ca="1">H2478</f>
        <v>8888</v>
      </c>
      <c r="I2502" s="140">
        <f ca="1">I2478</f>
        <v>8888</v>
      </c>
      <c r="AE2502" s="130" t="s">
        <v>396</v>
      </c>
      <c r="AF2502" s="130">
        <f ca="1">IF($AE2476,H2502,AF2482)</f>
        <v>8888</v>
      </c>
      <c r="AG2502" s="132">
        <f ca="1">IF($AE2476,I2502,AG2482)</f>
        <v>8888</v>
      </c>
      <c r="BD2502" s="157"/>
    </row>
    <row r="2503" spans="2:56">
      <c r="B2503" s="156"/>
      <c r="BD2503" s="157"/>
    </row>
    <row r="2504" spans="2:56">
      <c r="B2504" s="156"/>
      <c r="BD2504" s="157"/>
    </row>
    <row r="2505" spans="2:56">
      <c r="B2505" s="156"/>
      <c r="C2505" s="200" t="s">
        <v>336</v>
      </c>
      <c r="D2505">
        <f>D2469+1</f>
        <v>65</v>
      </c>
      <c r="G2505" s="200" t="s">
        <v>638</v>
      </c>
      <c r="H2505">
        <f ca="1">LOOKUP(D2508,$C$191:$C$196,$D$191:$D$196)</f>
        <v>0</v>
      </c>
      <c r="K2505" s="200" t="s">
        <v>644</v>
      </c>
      <c r="L2505">
        <f ca="1">L2469-H2510</f>
        <v>-18.624000000000006</v>
      </c>
      <c r="O2505" s="200" t="s">
        <v>404</v>
      </c>
      <c r="P2505">
        <f ca="1">IF(D2507=1,SEAT_w_cushion_FC,IF(D2507=2,SEAT_w_cushion_BC,IF(D2507=3,SEAT_w_cushion_YC,0)))</f>
        <v>0</v>
      </c>
      <c r="S2505" s="200" t="s">
        <v>647</v>
      </c>
      <c r="T2505">
        <f ca="1">LOOKUP(D2508,$C$191:$C$196,$E$191:$E$196)</f>
        <v>0</v>
      </c>
      <c r="W2505" t="s">
        <v>130</v>
      </c>
      <c r="X2505" t="str">
        <f ca="1">OFFSET(Fuselage!$B$275,D2505,5)</f>
        <v>None</v>
      </c>
      <c r="AN2505" s="200" t="s">
        <v>135</v>
      </c>
      <c r="AO2505">
        <f ca="1">MAX(0,H2510-MAX(T2505,T2507,T2509,P2506)-X2506)</f>
        <v>0</v>
      </c>
      <c r="BD2505" s="157"/>
    </row>
    <row r="2506" spans="2:56">
      <c r="B2506" s="156"/>
      <c r="C2506" s="200" t="s">
        <v>200</v>
      </c>
      <c r="D2506" t="str">
        <f ca="1">OFFSET(Fuselage!$B$275,D2505,0)</f>
        <v/>
      </c>
      <c r="G2506" s="200" t="s">
        <v>639</v>
      </c>
      <c r="H2506">
        <f ca="1">LOOKUP(D2509,$C$191:$C$196,$D$191:$D$196)</f>
        <v>0</v>
      </c>
      <c r="O2506" s="200" t="s">
        <v>535</v>
      </c>
      <c r="P2506">
        <f ca="1">IF(D2507=1,SEAT_length_FC,IF(D2507=2,SEAT_length_BC,IF(D2507=3,SEAT_length_YC,0)))</f>
        <v>0</v>
      </c>
      <c r="S2506" s="200" t="s">
        <v>648</v>
      </c>
      <c r="T2506">
        <f ca="1">LOOKUP(D2508,$C$191:$C$196,$F$191:$F$196)</f>
        <v>0</v>
      </c>
      <c r="W2506" t="s">
        <v>131</v>
      </c>
      <c r="X2506">
        <f ca="1">LOOKUP(X2505,$I$191:$I$198,$J$191:$J$198)</f>
        <v>0</v>
      </c>
      <c r="BD2506" s="157"/>
    </row>
    <row r="2507" spans="2:56">
      <c r="B2507" s="156"/>
      <c r="C2507" s="200" t="s">
        <v>337</v>
      </c>
      <c r="D2507" t="str">
        <f ca="1">OFFSET(Fuselage!$B$275,D2505,4)</f>
        <v/>
      </c>
      <c r="G2507" s="200" t="s">
        <v>309</v>
      </c>
      <c r="H2507">
        <f ca="1">LOOKUP(D2510,$C$191:$C$196,$D$191:$D$196)</f>
        <v>0</v>
      </c>
      <c r="K2507" s="200" t="s">
        <v>645</v>
      </c>
      <c r="L2507">
        <f ca="1">IF(D2507=1,FUSELAGE_nseats_left_FC,IF(D2507=2,FUSELAGE_nseats_left_BC,IF(D2507=3,FUSELAGE_nseats_left_YC,0)))</f>
        <v>0</v>
      </c>
      <c r="O2507" s="200" t="s">
        <v>405</v>
      </c>
      <c r="P2507">
        <f ca="1">IF(D2507=1,SEAT_w_armrest_FC,IF(D2507=2,SEAT_w_armrest_BC,IF(D2507=3,SEAT_w_armrest_YC,0)))</f>
        <v>0</v>
      </c>
      <c r="S2507" s="200" t="s">
        <v>652</v>
      </c>
      <c r="T2507">
        <f ca="1">LOOKUP(D2509,$C$191:$C$196,$E$191:$E$196)</f>
        <v>0</v>
      </c>
      <c r="W2507" s="200" t="s">
        <v>393</v>
      </c>
      <c r="X2507" t="b">
        <f ca="1">IF(OFFSET(Fuselage!$B$275,D2505,6)="YES",TRUE(),FALSE())</f>
        <v>0</v>
      </c>
      <c r="BD2507" s="157"/>
    </row>
    <row r="2508" spans="2:56">
      <c r="B2508" s="156"/>
      <c r="C2508" s="200" t="s">
        <v>640</v>
      </c>
      <c r="D2508" t="str">
        <f ca="1">OFFSET(Fuselage!$B$275,D2505,1)</f>
        <v>None</v>
      </c>
      <c r="G2508" s="200" t="s">
        <v>132</v>
      </c>
      <c r="H2508">
        <f ca="1">IF(D2507=1,SEAT_pitch_FC,IF(D2507=2,SEAT_pitch_BC,IF(D2507=3,SEAT_pitch_YC,0)))</f>
        <v>0</v>
      </c>
      <c r="K2508" s="200" t="s">
        <v>646</v>
      </c>
      <c r="L2508">
        <f ca="1">IF(D2507=1,FUSELAGE_nseats_middle_FC,IF(D2507=2,FUSELAGE_nseats_middle_BC,IF(D2507=3,FUSELAGE_nseats_middle_YC,0)))</f>
        <v>0</v>
      </c>
      <c r="S2508" s="200" t="s">
        <v>653</v>
      </c>
      <c r="T2508">
        <f ca="1">LOOKUP(D2509,$C$191:$C$196,$F$191:$F$196)</f>
        <v>0</v>
      </c>
      <c r="BD2508" s="157"/>
    </row>
    <row r="2509" spans="2:56">
      <c r="B2509" s="156"/>
      <c r="C2509" s="200" t="s">
        <v>642</v>
      </c>
      <c r="D2509" t="str">
        <f ca="1">OFFSET(Fuselage!$B$275,D2505,2)</f>
        <v>None</v>
      </c>
      <c r="G2509" s="200" t="s">
        <v>129</v>
      </c>
      <c r="H2509">
        <f ca="1">IF(OR(X2505="Type A",X2505="Type B"),MAX(H2505:H2508)+42*0.0254,IF(X2505="Type C",MAX(H2505:H2508)+X2506,IF(X2505&lt;&gt;"None",24*0.0254,0)))</f>
        <v>0</v>
      </c>
      <c r="K2509" s="200" t="s">
        <v>655</v>
      </c>
      <c r="L2509">
        <f ca="1">IF(D2507=1,FUSELAGE_nseats_right_FC,IF(D2507=2,FUSELAGE_nseats_right_BC,IF(D2507=3,FUSELAGE_nseats_right_YC,0)))</f>
        <v>0</v>
      </c>
      <c r="O2509" s="200" t="s">
        <v>407</v>
      </c>
      <c r="P2509">
        <f ca="1">($C$13-(L2507+L2508+L2509)*(P2505+P2507)+(FUSELAGE_n_aisles-1)*P2507)/FUSELAGE_n_aisles</f>
        <v>2.76</v>
      </c>
      <c r="S2509" s="200" t="s">
        <v>651</v>
      </c>
      <c r="T2509">
        <f ca="1">LOOKUP(D2510,$C$191:$C$196,$E$191:$E$196)</f>
        <v>0</v>
      </c>
      <c r="BD2509" s="157"/>
    </row>
    <row r="2510" spans="2:56">
      <c r="B2510" s="156"/>
      <c r="C2510" s="200" t="s">
        <v>641</v>
      </c>
      <c r="D2510" t="str">
        <f ca="1">OFFSET(Fuselage!$B$275,D2505,3)</f>
        <v>None</v>
      </c>
      <c r="G2510" s="200" t="s">
        <v>643</v>
      </c>
      <c r="H2510">
        <f ca="1">MAX(H2505:H2509)</f>
        <v>0</v>
      </c>
      <c r="S2510" s="200" t="s">
        <v>654</v>
      </c>
      <c r="T2510">
        <f ca="1">LOOKUP(D2510,$C$191:$C$196,$F$191:$F$196)</f>
        <v>0</v>
      </c>
      <c r="BD2510" s="157"/>
    </row>
    <row r="2511" spans="2:56" ht="15" thickBot="1">
      <c r="B2511" s="156"/>
      <c r="BD2511" s="157"/>
    </row>
    <row r="2512" spans="2:56" ht="15" thickBot="1">
      <c r="B2512" s="156"/>
      <c r="C2512" s="141">
        <f ca="1">L2509</f>
        <v>0</v>
      </c>
      <c r="D2512" s="197" t="str">
        <f ca="1">IF($D2507=1,"FC",IF($D2507=2,"BC",IF($D2507=3,"YC","Nothing")))</f>
        <v>Nothing</v>
      </c>
      <c r="E2512" s="198"/>
      <c r="G2512" s="141">
        <f ca="1">L2508</f>
        <v>0</v>
      </c>
      <c r="H2512" s="197" t="str">
        <f ca="1">IF($D2507=1,"FC",IF($D2507=2,"BC",IF($D2507=3,"YC","Nothing")))</f>
        <v>Nothing</v>
      </c>
      <c r="I2512" s="198"/>
      <c r="K2512" s="141">
        <f ca="1" xml:space="preserve"> L2507</f>
        <v>0</v>
      </c>
      <c r="L2512" s="197" t="str">
        <f ca="1">IF($D2507=1,"FC",IF($D2507=2,"BC",IF($D2507=3,"YC","Nothing")))</f>
        <v>Nothing</v>
      </c>
      <c r="M2512" s="198"/>
      <c r="O2512" s="141">
        <f ca="1">IF($D2510&lt;&gt;"None",1,0)</f>
        <v>0</v>
      </c>
      <c r="P2512" s="326" t="s">
        <v>380</v>
      </c>
      <c r="Q2512" s="327"/>
      <c r="S2512" s="141">
        <f ca="1">IF($D2509&lt;&gt;"None",1,0)</f>
        <v>0</v>
      </c>
      <c r="T2512" s="326" t="s">
        <v>381</v>
      </c>
      <c r="U2512" s="327"/>
      <c r="W2512" s="141">
        <f ca="1">IF($D2508&lt;&gt;"None",1,0)</f>
        <v>0</v>
      </c>
      <c r="X2512" s="326" t="s">
        <v>382</v>
      </c>
      <c r="Y2512" s="327"/>
      <c r="AA2512" s="141">
        <f ca="1">IF($D2510="None",1,0)</f>
        <v>1</v>
      </c>
      <c r="AB2512" s="326" t="str">
        <f ca="1">IF(AA2512,D2512,$D2510)</f>
        <v>Nothing</v>
      </c>
      <c r="AC2512" s="327"/>
      <c r="AE2512" s="141">
        <f ca="1">IF($D2509="None",1,0)</f>
        <v>1</v>
      </c>
      <c r="AF2512" s="326" t="str">
        <f ca="1">IF(AE2512,H2512,$D2509)</f>
        <v>Nothing</v>
      </c>
      <c r="AG2512" s="327"/>
      <c r="AI2512" s="141">
        <f ca="1">IF($D2508="None",1,0)</f>
        <v>1</v>
      </c>
      <c r="AJ2512" s="326" t="str">
        <f ca="1">IF(AI2512,L2512,$D2508)</f>
        <v>Nothing</v>
      </c>
      <c r="AK2512" s="327"/>
      <c r="AM2512" s="141">
        <f ca="1">IF($X2505="None",0,1)</f>
        <v>0</v>
      </c>
      <c r="AN2512" s="197" t="s">
        <v>133</v>
      </c>
      <c r="AO2512" s="198"/>
      <c r="AQ2512" s="141">
        <f ca="1">IF($X2505="None",0,1)</f>
        <v>0</v>
      </c>
      <c r="AR2512" s="197" t="s">
        <v>134</v>
      </c>
      <c r="AS2512" s="198"/>
      <c r="BD2512" s="157"/>
    </row>
    <row r="2513" spans="2:56" ht="15" thickBot="1">
      <c r="B2513" s="156"/>
      <c r="C2513" s="136" t="s">
        <v>452</v>
      </c>
      <c r="D2513" s="136" t="s">
        <v>384</v>
      </c>
      <c r="E2513" s="138" t="s">
        <v>385</v>
      </c>
      <c r="G2513" s="136" t="s">
        <v>452</v>
      </c>
      <c r="H2513" s="136" t="s">
        <v>384</v>
      </c>
      <c r="I2513" s="138" t="s">
        <v>385</v>
      </c>
      <c r="K2513" s="193" t="s">
        <v>452</v>
      </c>
      <c r="L2513" s="193" t="s">
        <v>384</v>
      </c>
      <c r="M2513" s="194" t="s">
        <v>385</v>
      </c>
      <c r="O2513" s="136" t="s">
        <v>452</v>
      </c>
      <c r="P2513" s="136" t="s">
        <v>384</v>
      </c>
      <c r="Q2513" s="138" t="s">
        <v>385</v>
      </c>
      <c r="S2513" s="136" t="s">
        <v>452</v>
      </c>
      <c r="T2513" s="136" t="s">
        <v>384</v>
      </c>
      <c r="U2513" s="138" t="s">
        <v>385</v>
      </c>
      <c r="W2513" s="136" t="s">
        <v>452</v>
      </c>
      <c r="X2513" s="136" t="s">
        <v>384</v>
      </c>
      <c r="Y2513" s="138" t="s">
        <v>385</v>
      </c>
      <c r="AA2513" s="136" t="s">
        <v>452</v>
      </c>
      <c r="AB2513" s="136" t="s">
        <v>384</v>
      </c>
      <c r="AC2513" s="138" t="s">
        <v>385</v>
      </c>
      <c r="AE2513" s="136" t="s">
        <v>452</v>
      </c>
      <c r="AF2513" s="136" t="s">
        <v>384</v>
      </c>
      <c r="AG2513" s="138" t="s">
        <v>385</v>
      </c>
      <c r="AI2513" s="193" t="s">
        <v>452</v>
      </c>
      <c r="AJ2513" s="193" t="s">
        <v>384</v>
      </c>
      <c r="AK2513" s="194" t="s">
        <v>385</v>
      </c>
      <c r="AM2513" s="193" t="s">
        <v>452</v>
      </c>
      <c r="AN2513" s="193" t="s">
        <v>384</v>
      </c>
      <c r="AO2513" s="194" t="s">
        <v>385</v>
      </c>
      <c r="AQ2513" s="193" t="s">
        <v>452</v>
      </c>
      <c r="AR2513" s="193" t="s">
        <v>384</v>
      </c>
      <c r="AS2513" s="194" t="s">
        <v>385</v>
      </c>
      <c r="BD2513" s="157"/>
    </row>
    <row r="2514" spans="2:56">
      <c r="B2514" s="156"/>
      <c r="C2514" s="128" t="s">
        <v>396</v>
      </c>
      <c r="D2514" s="158">
        <f ca="1">IF(C2512&gt;=1,L2505,8888)</f>
        <v>8888</v>
      </c>
      <c r="E2514" s="160">
        <f ca="1">IF(C2512&gt;=1,1/2*($C$13-P2505-2*P2507)+1/2*P2505,8888)</f>
        <v>8888</v>
      </c>
      <c r="G2514" s="128" t="s">
        <v>396</v>
      </c>
      <c r="H2514" s="158">
        <f ca="1">IF(G2512&gt;=1,L2505,8888)</f>
        <v>8888</v>
      </c>
      <c r="I2514" s="160">
        <f ca="1">IF(G2512&gt;=1,E2525-P2509,8888)</f>
        <v>8888</v>
      </c>
      <c r="K2514" s="128" t="s">
        <v>396</v>
      </c>
      <c r="L2514" s="158">
        <f ca="1">IF(K2512&gt;=1,L2505,8888)</f>
        <v>8888</v>
      </c>
      <c r="M2514" s="160">
        <f ca="1">IF(K2512&gt;=1,IF(FUSELAGE_n_aisles=1,E2525-P2509,I2537-P2509),8888)</f>
        <v>8888</v>
      </c>
      <c r="O2514" s="128" t="s">
        <v>396</v>
      </c>
      <c r="P2514" s="158">
        <f ca="1">IF(O2512,$L2505,8888)</f>
        <v>8888</v>
      </c>
      <c r="Q2514" s="209">
        <f ca="1">IF(O2512,FUSELAGE_y_position_of_left_seat_YC-(FUSELAGE_nseats_right_YC-1)*(SEAT_w_cushion_YC+SEAT_w_armrest_YC)/2+T2510/2,8888)</f>
        <v>8888</v>
      </c>
      <c r="S2514" s="128" t="s">
        <v>396</v>
      </c>
      <c r="T2514" s="158">
        <f ca="1">IF(S2512,$L2505,8888)</f>
        <v>8888</v>
      </c>
      <c r="U2514" s="160">
        <f ca="1">IF(S2512,T2508/2,8888)</f>
        <v>8888</v>
      </c>
      <c r="W2514" s="128" t="s">
        <v>396</v>
      </c>
      <c r="X2514" s="158">
        <f ca="1">IF(W2512,$L2505,8888)</f>
        <v>8888</v>
      </c>
      <c r="Y2514" s="160">
        <f ca="1">IF(W2512,-FUSELAGE_y_position_of_left_seat_YC+(FUSELAGE_nseats_left_YC-1)*(SEAT_w_cushion_YC+SEAT_w_armrest_YC)/2-T2506/2,8888)</f>
        <v>8888</v>
      </c>
      <c r="AA2514" s="128" t="s">
        <v>396</v>
      </c>
      <c r="AB2514" s="158">
        <f ca="1">IF($AA2512,D2514,P2514)</f>
        <v>8888</v>
      </c>
      <c r="AC2514" s="174">
        <f ca="1">IF($AA2512,E2514,Q2514)</f>
        <v>8888</v>
      </c>
      <c r="AE2514" s="128" t="s">
        <v>396</v>
      </c>
      <c r="AF2514" s="158">
        <f ca="1">IF($AE2512,H2514,T2514)</f>
        <v>8888</v>
      </c>
      <c r="AG2514" s="174">
        <f ca="1">IF($AE2512,I2514,U2514)</f>
        <v>8888</v>
      </c>
      <c r="AI2514" s="128" t="s">
        <v>396</v>
      </c>
      <c r="AJ2514" s="158">
        <f ca="1">IF($AI2512,L2514,X2514)</f>
        <v>8888</v>
      </c>
      <c r="AK2514" s="174">
        <f ca="1">IF($AI2512,M2514,Y2514)</f>
        <v>8888</v>
      </c>
      <c r="AM2514" s="128" t="s">
        <v>396</v>
      </c>
      <c r="AN2514" s="158">
        <f ca="1">AN2483</f>
        <v>-18.624000000000006</v>
      </c>
      <c r="AO2514" s="174">
        <f ca="1">IF(AN2514&gt;-Fuselage!$D$366,(FUSELAGE_a_ellipse)*SQRT(1-((AN2514+Fuselage!$D$366)/(Fuselage!$K$364-FUSELAGE_t_fuselage))^2),IF(AN2514&gt;$L$2505+Fuselage!$K$370,FUSELAGE_a_ellipse,(FUSELAGE_a_ellipse+FUSELAGE_t_fuselage-FUSELAGE_d_fo/4)/Fuselage!$K$368*(AN2514-$L$2505-Fuselage!$K$370)+FUSELAGE_a_ellipse))</f>
        <v>1.4960570012328709</v>
      </c>
      <c r="AQ2514" s="128" t="s">
        <v>396</v>
      </c>
      <c r="AR2514" s="158">
        <f t="shared" ref="AR2514:AR2519" ca="1" si="194">AN2514</f>
        <v>-18.624000000000006</v>
      </c>
      <c r="AS2514" s="174">
        <f t="shared" ref="AS2514:AS2519" ca="1" si="195">-AO2514</f>
        <v>-1.4960570012328709</v>
      </c>
      <c r="BD2514" s="157"/>
    </row>
    <row r="2515" spans="2:56">
      <c r="B2515" s="156"/>
      <c r="C2515" s="128" t="s">
        <v>213</v>
      </c>
      <c r="D2515" s="128">
        <f ca="1">IF(X2507,D2514+P2506/4,D2514+P2506)</f>
        <v>8888</v>
      </c>
      <c r="E2515" s="139">
        <f ca="1">E2514</f>
        <v>8888</v>
      </c>
      <c r="G2515" s="128" t="s">
        <v>213</v>
      </c>
      <c r="H2515" s="128">
        <f ca="1">H2514+P2506</f>
        <v>8888</v>
      </c>
      <c r="I2515" s="139">
        <f ca="1">I2514</f>
        <v>8888</v>
      </c>
      <c r="K2515" s="128" t="s">
        <v>213</v>
      </c>
      <c r="L2515" s="128">
        <f ca="1">IF(X2507,IF(K2512=1,L2514+P2506/4,L2514+P2506),L2514+P2506)</f>
        <v>8888</v>
      </c>
      <c r="M2515" s="139">
        <f ca="1">M2514</f>
        <v>8888</v>
      </c>
      <c r="O2515" s="128" t="s">
        <v>213</v>
      </c>
      <c r="P2515" s="128">
        <f ca="1">P2514+$T2509</f>
        <v>8888</v>
      </c>
      <c r="Q2515" s="139">
        <f ca="1">Q2514</f>
        <v>8888</v>
      </c>
      <c r="S2515" s="128" t="s">
        <v>213</v>
      </c>
      <c r="T2515" s="128">
        <f ca="1">T2514+$T2507</f>
        <v>8888</v>
      </c>
      <c r="U2515" s="139">
        <f ca="1">U2514</f>
        <v>8888</v>
      </c>
      <c r="W2515" s="128" t="s">
        <v>213</v>
      </c>
      <c r="X2515" s="128">
        <f ca="1">X2514+$T2505</f>
        <v>8888</v>
      </c>
      <c r="Y2515" s="139">
        <f ca="1">Y2514</f>
        <v>8888</v>
      </c>
      <c r="AA2515" s="143" t="s">
        <v>213</v>
      </c>
      <c r="AB2515" s="128">
        <f ca="1">IF($AA2512,D2515,P2515)</f>
        <v>8888</v>
      </c>
      <c r="AC2515" s="129">
        <f ca="1">IF($AA2512,E2515,Q2515)</f>
        <v>8888</v>
      </c>
      <c r="AE2515" s="128" t="s">
        <v>213</v>
      </c>
      <c r="AF2515" s="128">
        <f ca="1">IF($AE2512,H2515,T2515)</f>
        <v>8888</v>
      </c>
      <c r="AG2515" s="129">
        <f ca="1">IF($AE2512,I2515,U2515)</f>
        <v>8888</v>
      </c>
      <c r="AI2515" s="128" t="s">
        <v>213</v>
      </c>
      <c r="AJ2515" s="128">
        <f ca="1">IF($AI2512,L2515,X2515)</f>
        <v>8888</v>
      </c>
      <c r="AK2515" s="129">
        <f ca="1">IF($AI2512,M2515,Y2515)</f>
        <v>8888</v>
      </c>
      <c r="AM2515" s="128" t="s">
        <v>213</v>
      </c>
      <c r="AN2515" s="128">
        <f ca="1">AN2514-AO2505/2</f>
        <v>-18.624000000000006</v>
      </c>
      <c r="AO2515" s="129">
        <f ca="1">IF(AN2515&gt;-Fuselage!$D$366,(FUSELAGE_a_ellipse)*SQRT(1-((AN2515+Fuselage!$D$366)/(Fuselage!$K$364-FUSELAGE_t_fuselage))^2),IF(AN2515&gt;$L$2505+Fuselage!$K$370,FUSELAGE_a_ellipse,(FUSELAGE_a_ellipse+FUSELAGE_t_fuselage-FUSELAGE_d_fo/4)/Fuselage!$K$368*(AN2515-$L$2505-Fuselage!$K$370)+FUSELAGE_a_ellipse))</f>
        <v>1.4960570012328709</v>
      </c>
      <c r="AQ2515" s="128" t="s">
        <v>213</v>
      </c>
      <c r="AR2515" s="128">
        <f t="shared" ca="1" si="194"/>
        <v>-18.624000000000006</v>
      </c>
      <c r="AS2515" s="129">
        <f t="shared" ca="1" si="195"/>
        <v>-1.4960570012328709</v>
      </c>
      <c r="BD2515" s="157"/>
    </row>
    <row r="2516" spans="2:56">
      <c r="B2516" s="156"/>
      <c r="C2516" s="128" t="s">
        <v>286</v>
      </c>
      <c r="D2516" s="128">
        <f ca="1">D2515</f>
        <v>8888</v>
      </c>
      <c r="E2516" s="139">
        <f ca="1">E2515-P2505</f>
        <v>8888</v>
      </c>
      <c r="G2516" s="128" t="s">
        <v>286</v>
      </c>
      <c r="H2516" s="128">
        <f ca="1">H2515</f>
        <v>8888</v>
      </c>
      <c r="I2516" s="139">
        <f ca="1">I2515-P2505</f>
        <v>8888</v>
      </c>
      <c r="K2516" s="128" t="s">
        <v>286</v>
      </c>
      <c r="L2516" s="128">
        <f ca="1">L2515</f>
        <v>8888</v>
      </c>
      <c r="M2516" s="139">
        <f ca="1">M2515-P2505</f>
        <v>8888</v>
      </c>
      <c r="O2516" s="128" t="s">
        <v>286</v>
      </c>
      <c r="P2516" s="128">
        <f ca="1">P2515</f>
        <v>8888</v>
      </c>
      <c r="Q2516" s="139">
        <f ca="1">Q2515-$T2510</f>
        <v>8888</v>
      </c>
      <c r="S2516" s="128" t="s">
        <v>286</v>
      </c>
      <c r="T2516" s="128">
        <f ca="1">T2515</f>
        <v>8888</v>
      </c>
      <c r="U2516" s="139">
        <f ca="1">U2515-$T2508</f>
        <v>8888</v>
      </c>
      <c r="W2516" s="128" t="s">
        <v>286</v>
      </c>
      <c r="X2516" s="128">
        <f ca="1">X2515</f>
        <v>8888</v>
      </c>
      <c r="Y2516" s="139">
        <f ca="1">Y2515+$T2506</f>
        <v>8888</v>
      </c>
      <c r="AA2516" s="143" t="s">
        <v>286</v>
      </c>
      <c r="AB2516" s="128">
        <f ca="1">IF($AA2512,D2516,P2516)</f>
        <v>8888</v>
      </c>
      <c r="AC2516" s="129">
        <f ca="1">IF($AA2512,E2516,Q2516)</f>
        <v>8888</v>
      </c>
      <c r="AE2516" s="128" t="s">
        <v>286</v>
      </c>
      <c r="AF2516" s="128">
        <f ca="1">IF($AE2512,H2516,T2516)</f>
        <v>8888</v>
      </c>
      <c r="AG2516" s="129">
        <f ca="1">IF($AE2512,I2516,U2516)</f>
        <v>8888</v>
      </c>
      <c r="AI2516" s="128" t="s">
        <v>286</v>
      </c>
      <c r="AJ2516" s="128">
        <f ca="1">IF($AI2512,L2516,X2516)</f>
        <v>8888</v>
      </c>
      <c r="AK2516" s="129">
        <f ca="1">IF($AI2512,M2516,Y2516)</f>
        <v>8888</v>
      </c>
      <c r="AM2516" s="128" t="s">
        <v>286</v>
      </c>
      <c r="AN2516" s="128">
        <f ca="1">AN2515</f>
        <v>-18.624000000000006</v>
      </c>
      <c r="AO2516" s="129">
        <f ca="1">IF(AN2516&gt;-Fuselage!$D$366,IF(AM2512,(FUSELAGE_a_ellipse+FUSELAGE_t_fuselage)*SQRT(1-((AN2516+Fuselage!$D$366)/Fuselage!$K$364)^2),(FUSELAGE_a_ellipse)*SQRT(1-((AN2516+Fuselage!$D$366)/Fuselage!$K$364)^2)),IF(AN2516&gt;$L$2505+Fuselage!$K$370,(IF(AM2512,FUSELAGE_a_ellipse+FUSELAGE_t_fuselage,FUSELAGE_a_ellipse)),IF(AM2512,(FUSELAGE_a_ellipse+FUSELAGE_t_fuselage-FUSELAGE_d_fo/4)/Fuselage!$K$368*(AN2516-$L$2505-Fuselage!$K$370)+FUSELAGE_a_ellipse+FUSELAGE_t_fuselage,(FUSELAGE_a_ellipse+FUSELAGE_t_fuselage-FUSELAGE_d_fo/4)/Fuselage!$K$368*(AN2516-$L$2505-Fuselage!$K$370)+FUSELAGE_a_ellipse)))</f>
        <v>1.4960570012328709</v>
      </c>
      <c r="AQ2516" s="128" t="s">
        <v>286</v>
      </c>
      <c r="AR2516" s="128">
        <f t="shared" ca="1" si="194"/>
        <v>-18.624000000000006</v>
      </c>
      <c r="AS2516" s="129">
        <f t="shared" ca="1" si="195"/>
        <v>-1.4960570012328709</v>
      </c>
      <c r="BD2516" s="157"/>
    </row>
    <row r="2517" spans="2:56">
      <c r="B2517" s="156"/>
      <c r="C2517" s="188" t="s">
        <v>522</v>
      </c>
      <c r="D2517" s="188">
        <f ca="1">D2514</f>
        <v>8888</v>
      </c>
      <c r="E2517" s="189">
        <f ca="1">E2516</f>
        <v>8888</v>
      </c>
      <c r="F2517" s="157"/>
      <c r="G2517" s="2" t="s">
        <v>522</v>
      </c>
      <c r="H2517" s="128">
        <f ca="1">H2514</f>
        <v>8888</v>
      </c>
      <c r="I2517" s="139">
        <f ca="1">I2516</f>
        <v>8888</v>
      </c>
      <c r="K2517" s="128" t="s">
        <v>522</v>
      </c>
      <c r="L2517" s="128">
        <f ca="1">L2514</f>
        <v>8888</v>
      </c>
      <c r="M2517" s="139">
        <f ca="1">M2516</f>
        <v>8888</v>
      </c>
      <c r="O2517" s="188" t="s">
        <v>522</v>
      </c>
      <c r="P2517" s="188">
        <f ca="1">P2514</f>
        <v>8888</v>
      </c>
      <c r="Q2517" s="189">
        <f ca="1">Q2516</f>
        <v>8888</v>
      </c>
      <c r="S2517" s="188" t="s">
        <v>522</v>
      </c>
      <c r="T2517" s="188">
        <f ca="1">T2514</f>
        <v>8888</v>
      </c>
      <c r="U2517" s="189">
        <f ca="1">U2516</f>
        <v>8888</v>
      </c>
      <c r="W2517" s="188" t="s">
        <v>522</v>
      </c>
      <c r="X2517" s="188">
        <f ca="1">X2514</f>
        <v>8888</v>
      </c>
      <c r="Y2517" s="189">
        <f ca="1">Y2516</f>
        <v>8888</v>
      </c>
      <c r="AA2517" s="195" t="s">
        <v>522</v>
      </c>
      <c r="AB2517" s="128">
        <f ca="1">IF($AA2512,D2517,P2517)</f>
        <v>8888</v>
      </c>
      <c r="AC2517" s="129">
        <f ca="1">IF($AA2512,E2517,Q2517)</f>
        <v>8888</v>
      </c>
      <c r="AD2517" s="157"/>
      <c r="AE2517" s="2" t="s">
        <v>522</v>
      </c>
      <c r="AF2517" s="188">
        <f ca="1">IF($AE2512,H2517,T2517)</f>
        <v>8888</v>
      </c>
      <c r="AG2517" s="196">
        <f ca="1">IF($AE2512,I2517,U2517)</f>
        <v>8888</v>
      </c>
      <c r="AI2517" s="128" t="s">
        <v>522</v>
      </c>
      <c r="AJ2517" s="188">
        <f ca="1">IF($AI2512,L2517,X2517)</f>
        <v>8888</v>
      </c>
      <c r="AK2517" s="196">
        <f ca="1">IF($AI2512,M2517,Y2517)</f>
        <v>8888</v>
      </c>
      <c r="AM2517" s="128" t="s">
        <v>522</v>
      </c>
      <c r="AN2517" s="128">
        <f ca="1">AN2516-X2506</f>
        <v>-18.624000000000006</v>
      </c>
      <c r="AO2517" s="129">
        <f ca="1">IF(AN2517&gt;-Fuselage!$D$366,IF(AM2512,(FUSELAGE_a_ellipse+FUSELAGE_t_fuselage)*SQRT(1-((AN2517+Fuselage!$D$366)/Fuselage!$K$364)^2),(FUSELAGE_a_ellipse)*SQRT(1-((AN2517+Fuselage!$D$366)/Fuselage!$K$364)^2)),IF(AN2517&gt;$L$2505+Fuselage!$K$370,(IF(AM2512,FUSELAGE_a_ellipse+FUSELAGE_t_fuselage,FUSELAGE_a_ellipse)),IF(AM2512,(FUSELAGE_a_ellipse+FUSELAGE_t_fuselage-FUSELAGE_d_fo/4)/Fuselage!$K$368*(AN2517-$L$2505-Fuselage!$K$370)+FUSELAGE_a_ellipse+FUSELAGE_t_fuselage,(FUSELAGE_a_ellipse+FUSELAGE_t_fuselage-FUSELAGE_d_fo/4)/Fuselage!$K$368*(AN2517-$L$2505-Fuselage!$K$370)+FUSELAGE_a_ellipse)))</f>
        <v>1.4960570012328709</v>
      </c>
      <c r="AQ2517" s="128" t="s">
        <v>522</v>
      </c>
      <c r="AR2517" s="128">
        <f t="shared" ca="1" si="194"/>
        <v>-18.624000000000006</v>
      </c>
      <c r="AS2517" s="129">
        <f t="shared" ca="1" si="195"/>
        <v>-1.4960570012328709</v>
      </c>
      <c r="BD2517" s="157"/>
    </row>
    <row r="2518" spans="2:56" ht="15" thickBot="1">
      <c r="B2518" s="156"/>
      <c r="C2518" s="128" t="s">
        <v>49</v>
      </c>
      <c r="D2518" s="128">
        <f ca="1">IF(C2512&gt;=2,D2514,D2517)</f>
        <v>8888</v>
      </c>
      <c r="E2518" s="139">
        <f ca="1">IF(C2512&gt;=2,E2517-P2507,E2517)</f>
        <v>8888</v>
      </c>
      <c r="F2518" s="157"/>
      <c r="G2518" s="192" t="s">
        <v>49</v>
      </c>
      <c r="H2518" s="190">
        <f ca="1">IF(G2512&gt;=2,H2514,H2517)</f>
        <v>8888</v>
      </c>
      <c r="I2518" s="191">
        <f ca="1">IF(G2512&gt;=2,I2517-P2507,I2517)</f>
        <v>8888</v>
      </c>
      <c r="K2518" s="190" t="s">
        <v>49</v>
      </c>
      <c r="L2518" s="190">
        <f ca="1">IF(K2512&gt;=2,L2514,L2517)</f>
        <v>8888</v>
      </c>
      <c r="M2518" s="191">
        <f ca="1">IF(K2512&gt;=2,M2517-P2507,M2517)</f>
        <v>8888</v>
      </c>
      <c r="O2518" s="130" t="s">
        <v>396</v>
      </c>
      <c r="P2518" s="130">
        <f ca="1">P2514</f>
        <v>8888</v>
      </c>
      <c r="Q2518" s="140">
        <f ca="1">Q2514</f>
        <v>8888</v>
      </c>
      <c r="S2518" s="130" t="s">
        <v>396</v>
      </c>
      <c r="T2518" s="130">
        <f ca="1">T2514</f>
        <v>8888</v>
      </c>
      <c r="U2518" s="140">
        <f ca="1">U2514</f>
        <v>8888</v>
      </c>
      <c r="W2518" s="130" t="s">
        <v>396</v>
      </c>
      <c r="X2518" s="130">
        <f ca="1">X2514</f>
        <v>8888</v>
      </c>
      <c r="Y2518" s="140">
        <f ca="1">Y2514</f>
        <v>8888</v>
      </c>
      <c r="AA2518" s="143" t="s">
        <v>49</v>
      </c>
      <c r="AB2518" s="128">
        <f ca="1">IF($AA2512,D2518,P2518)</f>
        <v>8888</v>
      </c>
      <c r="AC2518" s="129">
        <f ca="1">IF($AA2512,E2518,Q2518)</f>
        <v>8888</v>
      </c>
      <c r="AD2518" s="157"/>
      <c r="AE2518" s="192" t="s">
        <v>49</v>
      </c>
      <c r="AF2518" s="128">
        <f ca="1">IF($AE2512,H2518,T2518)</f>
        <v>8888</v>
      </c>
      <c r="AG2518" s="129">
        <f ca="1">IF($AE2512,I2518,U2518)</f>
        <v>8888</v>
      </c>
      <c r="AI2518" s="190" t="s">
        <v>49</v>
      </c>
      <c r="AJ2518" s="128">
        <f ca="1">IF($AI2512,L2518,X2518)</f>
        <v>8888</v>
      </c>
      <c r="AK2518" s="129">
        <f ca="1">IF($AI2512,M2518,Y2518)</f>
        <v>8888</v>
      </c>
      <c r="AM2518" s="128" t="s">
        <v>49</v>
      </c>
      <c r="AN2518" s="128">
        <f ca="1">AN2517</f>
        <v>-18.624000000000006</v>
      </c>
      <c r="AO2518" s="129">
        <f ca="1">IF(AN2518&gt;-Fuselage!$D$366,(FUSELAGE_a_ellipse)*SQRT(1-((AN2518+Fuselage!$D$366)/(Fuselage!$K$364-FUSELAGE_t_fuselage))^2),IF(AN2518&gt;$L$2505+Fuselage!$K$370,FUSELAGE_a_ellipse,(FUSELAGE_a_ellipse+FUSELAGE_t_fuselage-FUSELAGE_d_fo/4)/Fuselage!$K$368*(AN2518-$L$2505-Fuselage!$K$370)+FUSELAGE_a_ellipse))</f>
        <v>1.4960570012328709</v>
      </c>
      <c r="AQ2518" s="128" t="s">
        <v>49</v>
      </c>
      <c r="AR2518" s="128">
        <f t="shared" ca="1" si="194"/>
        <v>-18.624000000000006</v>
      </c>
      <c r="AS2518" s="129">
        <f t="shared" ca="1" si="195"/>
        <v>-1.4960570012328709</v>
      </c>
      <c r="BD2518" s="157"/>
    </row>
    <row r="2519" spans="2:56">
      <c r="B2519" s="156"/>
      <c r="C2519" s="128" t="s">
        <v>453</v>
      </c>
      <c r="D2519" s="128">
        <f ca="1">IF(C2512&gt;=2,D2514+P2506,D2517)</f>
        <v>8888</v>
      </c>
      <c r="E2519" s="139">
        <f ca="1">E2518</f>
        <v>8888</v>
      </c>
      <c r="F2519" s="157"/>
      <c r="G2519" s="2" t="s">
        <v>453</v>
      </c>
      <c r="H2519" s="128">
        <f ca="1">IF(G2512&gt;=2,H2515,H2517)</f>
        <v>8888</v>
      </c>
      <c r="I2519" s="139">
        <f ca="1">IF(G2512&gt;=2,I2518,I2517)</f>
        <v>8888</v>
      </c>
      <c r="K2519" s="128" t="s">
        <v>453</v>
      </c>
      <c r="L2519" s="128">
        <f ca="1">IF(K2512&gt;=2,IF(X2507,IF(K2512=2,L2514+P2506/4,L2514+P2506),L2514+P2506),L2517)</f>
        <v>8888</v>
      </c>
      <c r="M2519" s="139">
        <f ca="1">IF(K2512&gt;=2,M2518,M2517)</f>
        <v>8888</v>
      </c>
      <c r="AA2519" s="143" t="s">
        <v>453</v>
      </c>
      <c r="AB2519" s="128">
        <f ca="1">IF($AA2512,D2519,AB2518)</f>
        <v>8888</v>
      </c>
      <c r="AC2519" s="129">
        <f ca="1">IF($AA2512,E2519,AC2518)</f>
        <v>8888</v>
      </c>
      <c r="AD2519" s="157"/>
      <c r="AE2519" s="2" t="s">
        <v>453</v>
      </c>
      <c r="AF2519" s="128">
        <f ca="1">IF($AE2512,H2519,AF2518)</f>
        <v>8888</v>
      </c>
      <c r="AG2519" s="129">
        <f ca="1">IF($AE2512,I2519,AG2518)</f>
        <v>8888</v>
      </c>
      <c r="AI2519" s="128" t="s">
        <v>453</v>
      </c>
      <c r="AJ2519" s="128">
        <f ca="1">IF($AI2512,L2519,AJ2518)</f>
        <v>8888</v>
      </c>
      <c r="AK2519" s="129">
        <f ca="1">IF($AI2512,M2519,AK2518)</f>
        <v>8888</v>
      </c>
      <c r="AM2519" s="128" t="s">
        <v>453</v>
      </c>
      <c r="AN2519" s="128">
        <f ca="1">L2505</f>
        <v>-18.624000000000006</v>
      </c>
      <c r="AO2519" s="129">
        <f ca="1">IF(AN2519&gt;-Fuselage!$D$366,(FUSELAGE_a_ellipse)*SQRT(1-((AN2519+Fuselage!$D$366)/(Fuselage!$K$364-FUSELAGE_t_fuselage))^2),IF(AN2519&gt;$L$2505+Fuselage!$K$370,FUSELAGE_a_ellipse,(FUSELAGE_a_ellipse+FUSELAGE_t_fuselage-FUSELAGE_d_fo/4)/Fuselage!$K$368*(AN2519-$L$2505-Fuselage!$K$370)+FUSELAGE_a_ellipse))</f>
        <v>1.4960570012328709</v>
      </c>
      <c r="AQ2519" s="128" t="s">
        <v>453</v>
      </c>
      <c r="AR2519" s="128">
        <f t="shared" ca="1" si="194"/>
        <v>-18.624000000000006</v>
      </c>
      <c r="AS2519" s="129">
        <f t="shared" ca="1" si="195"/>
        <v>-1.4960570012328709</v>
      </c>
      <c r="BD2519" s="157"/>
    </row>
    <row r="2520" spans="2:56">
      <c r="B2520" s="156"/>
      <c r="C2520" s="128" t="s">
        <v>394</v>
      </c>
      <c r="D2520" s="128">
        <f ca="1">IF(C2512&gt;=2,D2519,D2517)</f>
        <v>8888</v>
      </c>
      <c r="E2520" s="139">
        <f ca="1">IF(C2512&gt;=2,E2518-P2505,E2517)</f>
        <v>8888</v>
      </c>
      <c r="F2520" s="157"/>
      <c r="G2520" s="2" t="s">
        <v>394</v>
      </c>
      <c r="H2520" s="128">
        <f ca="1">IF(G2512&gt;=2,H2515,H2517)</f>
        <v>8888</v>
      </c>
      <c r="I2520" s="139">
        <f ca="1">IF(G2512&gt;=2,I2519-P2505,I2517)</f>
        <v>8888</v>
      </c>
      <c r="K2520" s="128" t="s">
        <v>394</v>
      </c>
      <c r="L2520" s="128">
        <f ca="1">L2519</f>
        <v>8888</v>
      </c>
      <c r="M2520" s="139">
        <f ca="1">IF(K2512&gt;=2,M2519-P2505,M2517)</f>
        <v>8888</v>
      </c>
      <c r="AA2520" s="143" t="s">
        <v>394</v>
      </c>
      <c r="AB2520" s="128">
        <f ca="1">IF($AA2512,D2520,AB2518)</f>
        <v>8888</v>
      </c>
      <c r="AC2520" s="129">
        <f ca="1">IF($AA2512,E2520,AC2518)</f>
        <v>8888</v>
      </c>
      <c r="AD2520" s="157"/>
      <c r="AE2520" s="2" t="s">
        <v>394</v>
      </c>
      <c r="AF2520" s="128">
        <f ca="1">IF($AE2512,H2520,AF2518)</f>
        <v>8888</v>
      </c>
      <c r="AG2520" s="129">
        <f ca="1">IF($AE2512,I2520,AG2518)</f>
        <v>8888</v>
      </c>
      <c r="AI2520" s="128" t="s">
        <v>394</v>
      </c>
      <c r="AJ2520" s="128">
        <f ca="1">IF($AI2512,L2520,AJ2518)</f>
        <v>8888</v>
      </c>
      <c r="AK2520" s="129">
        <f ca="1">IF($AI2512,M2520,AK2518)</f>
        <v>8888</v>
      </c>
      <c r="BD2520" s="157"/>
    </row>
    <row r="2521" spans="2:56">
      <c r="B2521" s="156"/>
      <c r="C2521" s="188" t="s">
        <v>454</v>
      </c>
      <c r="D2521" s="188">
        <f ca="1">IF(C2512&gt;=2,D2514,D2517)</f>
        <v>8888</v>
      </c>
      <c r="E2521" s="189">
        <f ca="1">E2520</f>
        <v>8888</v>
      </c>
      <c r="F2521" s="157"/>
      <c r="G2521" s="115" t="s">
        <v>454</v>
      </c>
      <c r="H2521" s="188">
        <f ca="1">IF(G2512&gt;=2,H2514,H2517)</f>
        <v>8888</v>
      </c>
      <c r="I2521" s="189">
        <f ca="1">IF(G2512&gt;=2,I2520,I2517)</f>
        <v>8888</v>
      </c>
      <c r="K2521" s="188" t="s">
        <v>454</v>
      </c>
      <c r="L2521" s="188">
        <f ca="1">IF(K2512&gt;=2,L2514,L2517)</f>
        <v>8888</v>
      </c>
      <c r="M2521" s="189">
        <f ca="1">IF(K2512&gt;=2,M2520,M2517)</f>
        <v>8888</v>
      </c>
      <c r="AA2521" s="195" t="s">
        <v>454</v>
      </c>
      <c r="AB2521" s="128">
        <f ca="1">IF($AA2512,D2521,AB2518)</f>
        <v>8888</v>
      </c>
      <c r="AC2521" s="129">
        <f ca="1">IF($AA2512,E2521,AC2518)</f>
        <v>8888</v>
      </c>
      <c r="AD2521" s="157"/>
      <c r="AE2521" s="115" t="s">
        <v>454</v>
      </c>
      <c r="AF2521" s="188">
        <f ca="1">IF($AE2512,H2521,AF2518)</f>
        <v>8888</v>
      </c>
      <c r="AG2521" s="196">
        <f ca="1">IF($AE2512,I2521,AG2518)</f>
        <v>8888</v>
      </c>
      <c r="AI2521" s="188" t="s">
        <v>454</v>
      </c>
      <c r="AJ2521" s="188">
        <f ca="1">IF($AI2512,L2521,AJ2518)</f>
        <v>8888</v>
      </c>
      <c r="AK2521" s="196">
        <f ca="1">IF($AI2512,M2521,AK2518)</f>
        <v>8888</v>
      </c>
      <c r="BD2521" s="157"/>
    </row>
    <row r="2522" spans="2:56">
      <c r="B2522" s="156"/>
      <c r="C2522" s="128" t="s">
        <v>507</v>
      </c>
      <c r="D2522" s="128">
        <f ca="1">IF(C2512&gt;=3,D2514,D2521)</f>
        <v>8888</v>
      </c>
      <c r="E2522" s="139">
        <f ca="1">IF(C2512&gt;=3,E2521-P2507,E2521)</f>
        <v>8888</v>
      </c>
      <c r="F2522" s="157"/>
      <c r="G2522" s="2" t="s">
        <v>507</v>
      </c>
      <c r="H2522" s="128">
        <f ca="1">IF(G2512&gt;=3,H2514,H2521)</f>
        <v>8888</v>
      </c>
      <c r="I2522" s="139">
        <f ca="1">IF(G2512&gt;=3,I2521-P2507,I2521)</f>
        <v>8888</v>
      </c>
      <c r="K2522" s="128" t="s">
        <v>507</v>
      </c>
      <c r="L2522" s="128">
        <f ca="1">IF(K2512&gt;=3,L2514,L2521)</f>
        <v>8888</v>
      </c>
      <c r="M2522" s="139">
        <f ca="1">IF(K2512&gt;=3,M2521-P2507,M2521)</f>
        <v>8888</v>
      </c>
      <c r="AA2522" s="143" t="s">
        <v>507</v>
      </c>
      <c r="AB2522" s="128">
        <f ca="1">IF($AA2512,D2522,AB2518)</f>
        <v>8888</v>
      </c>
      <c r="AC2522" s="129">
        <f ca="1">IF($AA2512,E2522,AC2518)</f>
        <v>8888</v>
      </c>
      <c r="AD2522" s="157"/>
      <c r="AE2522" s="2" t="s">
        <v>507</v>
      </c>
      <c r="AF2522" s="128">
        <f ca="1">IF($AE2512,H2522,AF2518)</f>
        <v>8888</v>
      </c>
      <c r="AG2522" s="129">
        <f ca="1">IF($AE2512,I2522,AG2518)</f>
        <v>8888</v>
      </c>
      <c r="AI2522" s="128" t="s">
        <v>507</v>
      </c>
      <c r="AJ2522" s="128">
        <f ca="1">IF($AI2512,L2522,AJ2518)</f>
        <v>8888</v>
      </c>
      <c r="AK2522" s="129">
        <f ca="1">IF($AI2512,M2522,AK2518)</f>
        <v>8888</v>
      </c>
      <c r="BD2522" s="157"/>
    </row>
    <row r="2523" spans="2:56">
      <c r="B2523" s="156"/>
      <c r="C2523" s="128" t="s">
        <v>455</v>
      </c>
      <c r="D2523" s="128">
        <f ca="1">IF(C2512&gt;=3,D2519,D2521)</f>
        <v>8888</v>
      </c>
      <c r="E2523" s="139">
        <f ca="1">E2522</f>
        <v>8888</v>
      </c>
      <c r="F2523" s="157"/>
      <c r="G2523" s="2" t="s">
        <v>455</v>
      </c>
      <c r="H2523" s="128">
        <f ca="1">IF(G2512&gt;=3,H2515,H2521)</f>
        <v>8888</v>
      </c>
      <c r="I2523" s="139">
        <f ca="1">IF(G2512&gt;=3,I2522,I2521)</f>
        <v>8888</v>
      </c>
      <c r="K2523" s="128" t="s">
        <v>455</v>
      </c>
      <c r="L2523" s="128">
        <f ca="1">IF(K2512&gt;=3,IF(X2507,IF(K2512=3,L2514+P2506/4,L2514+P2506),L2514+P2506),L2517)</f>
        <v>8888</v>
      </c>
      <c r="M2523" s="139">
        <f ca="1">IF(K2512&gt;=3,M2522,M2521)</f>
        <v>8888</v>
      </c>
      <c r="AA2523" s="143" t="s">
        <v>455</v>
      </c>
      <c r="AB2523" s="128">
        <f ca="1">IF($AA2512,D2523,AB2518)</f>
        <v>8888</v>
      </c>
      <c r="AC2523" s="129">
        <f ca="1">IF($AA2512,E2523,AC2518)</f>
        <v>8888</v>
      </c>
      <c r="AD2523" s="157"/>
      <c r="AE2523" s="2" t="s">
        <v>455</v>
      </c>
      <c r="AF2523" s="128">
        <f ca="1">IF($AE2512,H2523,AF2518)</f>
        <v>8888</v>
      </c>
      <c r="AG2523" s="129">
        <f ca="1">IF($AE2512,I2523,AG2518)</f>
        <v>8888</v>
      </c>
      <c r="AI2523" s="128" t="s">
        <v>455</v>
      </c>
      <c r="AJ2523" s="128">
        <f ca="1">IF($AI2512,L2523,AJ2518)</f>
        <v>8888</v>
      </c>
      <c r="AK2523" s="129">
        <f ca="1">IF($AI2512,M2523,AK2518)</f>
        <v>8888</v>
      </c>
      <c r="AL2523" s="156"/>
      <c r="BD2523" s="157"/>
    </row>
    <row r="2524" spans="2:56">
      <c r="B2524" s="156"/>
      <c r="C2524" s="128" t="s">
        <v>311</v>
      </c>
      <c r="D2524" s="128">
        <f ca="1">IF(C2512&gt;=3,D2519,D2521)</f>
        <v>8888</v>
      </c>
      <c r="E2524" s="139">
        <f ca="1">IF(C2512&gt;=3,E2523-P2505,E2521)</f>
        <v>8888</v>
      </c>
      <c r="F2524" s="157"/>
      <c r="G2524" s="2" t="s">
        <v>311</v>
      </c>
      <c r="H2524" s="128">
        <f ca="1">IF(G2512&gt;=3,H2515,H2521)</f>
        <v>8888</v>
      </c>
      <c r="I2524" s="139">
        <f ca="1">IF(G2512&gt;=3,I2523-P2505,I2521)</f>
        <v>8888</v>
      </c>
      <c r="K2524" s="128" t="s">
        <v>311</v>
      </c>
      <c r="L2524" s="128">
        <f ca="1">L2523</f>
        <v>8888</v>
      </c>
      <c r="M2524" s="139">
        <f ca="1">IF(K2512&gt;=3,M2523-P2505,M2521)</f>
        <v>8888</v>
      </c>
      <c r="AA2524" s="143" t="s">
        <v>311</v>
      </c>
      <c r="AB2524" s="128">
        <f ca="1">IF($AA2512,D2524,AB2518)</f>
        <v>8888</v>
      </c>
      <c r="AC2524" s="129">
        <f ca="1">IF($AA2512,E2524,AC2518)</f>
        <v>8888</v>
      </c>
      <c r="AD2524" s="157"/>
      <c r="AE2524" s="2" t="s">
        <v>311</v>
      </c>
      <c r="AF2524" s="128">
        <f ca="1">IF($AE2512,H2524,AF2518)</f>
        <v>8888</v>
      </c>
      <c r="AG2524" s="129">
        <f ca="1">IF($AE2512,I2524,AG2518)</f>
        <v>8888</v>
      </c>
      <c r="AI2524" s="128" t="s">
        <v>311</v>
      </c>
      <c r="AJ2524" s="128">
        <f ca="1">IF($AI2512,L2524,AJ2518)</f>
        <v>8888</v>
      </c>
      <c r="AK2524" s="129">
        <f ca="1">IF($AI2512,M2524,AK2518)</f>
        <v>8888</v>
      </c>
      <c r="AL2524" s="156"/>
      <c r="BD2524" s="157"/>
    </row>
    <row r="2525" spans="2:56">
      <c r="B2525" s="156"/>
      <c r="C2525" s="188" t="s">
        <v>35</v>
      </c>
      <c r="D2525" s="188">
        <f ca="1">IF(C2512&gt;=3,D2514,D2521)</f>
        <v>8888</v>
      </c>
      <c r="E2525" s="189">
        <f ca="1">E2524</f>
        <v>8888</v>
      </c>
      <c r="F2525" s="157"/>
      <c r="G2525" s="2" t="s">
        <v>35</v>
      </c>
      <c r="H2525" s="188">
        <f ca="1">IF(G2512&gt;=3,H2514,H2521)</f>
        <v>8888</v>
      </c>
      <c r="I2525" s="189">
        <f ca="1">IF(G2512&gt;=3,I2524,I2521)</f>
        <v>8888</v>
      </c>
      <c r="K2525" s="188" t="s">
        <v>35</v>
      </c>
      <c r="L2525" s="188">
        <f ca="1">IF(K2512&gt;=3,L2514,L2521)</f>
        <v>8888</v>
      </c>
      <c r="M2525" s="189">
        <f ca="1">IF(K2512&gt;=3,M2524,M2521)</f>
        <v>8888</v>
      </c>
      <c r="AA2525" s="143" t="s">
        <v>35</v>
      </c>
      <c r="AB2525" s="128">
        <f ca="1">IF($AA2512,D2525,AB2518)</f>
        <v>8888</v>
      </c>
      <c r="AC2525" s="129">
        <f ca="1">IF($AA2512,E2525,AC2518)</f>
        <v>8888</v>
      </c>
      <c r="AD2525" s="157"/>
      <c r="AE2525" s="2" t="s">
        <v>35</v>
      </c>
      <c r="AF2525" s="188">
        <f ca="1">IF($AE2512,H2525,AF2518)</f>
        <v>8888</v>
      </c>
      <c r="AG2525" s="196">
        <f ca="1">IF($AE2512,I2525,AG2518)</f>
        <v>8888</v>
      </c>
      <c r="AI2525" s="128" t="s">
        <v>35</v>
      </c>
      <c r="AJ2525" s="128">
        <f ca="1">IF($AI2512,L2525,AJ2518)</f>
        <v>8888</v>
      </c>
      <c r="AK2525" s="129">
        <f ca="1">IF($AI2512,M2525,AK2518)</f>
        <v>8888</v>
      </c>
      <c r="AL2525" s="156"/>
      <c r="BD2525" s="157"/>
    </row>
    <row r="2526" spans="2:56" ht="15" thickBot="1">
      <c r="B2526" s="156"/>
      <c r="C2526" s="130" t="s">
        <v>396</v>
      </c>
      <c r="D2526" s="130">
        <f ca="1">D2514</f>
        <v>8888</v>
      </c>
      <c r="E2526" s="140">
        <f ca="1">E2514</f>
        <v>8888</v>
      </c>
      <c r="F2526" s="157"/>
      <c r="G2526" s="192" t="s">
        <v>312</v>
      </c>
      <c r="H2526" s="128">
        <f ca="1">IF(G2512&gt;=4,H2514,H2525)</f>
        <v>8888</v>
      </c>
      <c r="I2526" s="139">
        <f ca="1">IF(G2512&gt;=4,I2525-P2507,I2525)</f>
        <v>8888</v>
      </c>
      <c r="K2526" s="130" t="s">
        <v>396</v>
      </c>
      <c r="L2526" s="130">
        <f ca="1">L2514</f>
        <v>8888</v>
      </c>
      <c r="M2526" s="140">
        <f ca="1">M2514</f>
        <v>8888</v>
      </c>
      <c r="AA2526" s="144" t="s">
        <v>396</v>
      </c>
      <c r="AB2526" s="130">
        <f ca="1">IF($AA2512,D2526,AB2518)</f>
        <v>8888</v>
      </c>
      <c r="AC2526" s="132">
        <f ca="1">IF($AA2512,E2526,AC2518)</f>
        <v>8888</v>
      </c>
      <c r="AD2526" s="157"/>
      <c r="AE2526" s="192" t="s">
        <v>312</v>
      </c>
      <c r="AF2526" s="128">
        <f ca="1">IF($AE2512,H2526,AF2518)</f>
        <v>8888</v>
      </c>
      <c r="AG2526" s="129">
        <f ca="1">IF($AE2512,I2526,AG2518)</f>
        <v>8888</v>
      </c>
      <c r="AI2526" s="130" t="s">
        <v>396</v>
      </c>
      <c r="AJ2526" s="130">
        <f ca="1">IF($AI2512,L2526,AJ2518)</f>
        <v>8888</v>
      </c>
      <c r="AK2526" s="132">
        <f ca="1">IF($AI2512,M2526,AK2518)</f>
        <v>8888</v>
      </c>
      <c r="BD2526" s="157"/>
    </row>
    <row r="2527" spans="2:56">
      <c r="B2527" s="156"/>
      <c r="F2527" s="157"/>
      <c r="G2527" s="2" t="s">
        <v>313</v>
      </c>
      <c r="H2527" s="128">
        <f ca="1">IF(G2512&gt;=4,H2515,H2525)</f>
        <v>8888</v>
      </c>
      <c r="I2527" s="139">
        <f ca="1">IF(G2512&gt;=4,I2526,I2525)</f>
        <v>8888</v>
      </c>
      <c r="AD2527" s="157"/>
      <c r="AE2527" s="2" t="s">
        <v>313</v>
      </c>
      <c r="AF2527" s="128">
        <f ca="1">IF($AE2512,H2527,AF2518)</f>
        <v>8888</v>
      </c>
      <c r="AG2527" s="129">
        <f ca="1">IF($AE2512,I2527,AG2518)</f>
        <v>8888</v>
      </c>
      <c r="BD2527" s="157"/>
    </row>
    <row r="2528" spans="2:56">
      <c r="B2528" s="156"/>
      <c r="F2528" s="157"/>
      <c r="G2528" s="2" t="s">
        <v>7</v>
      </c>
      <c r="H2528" s="128">
        <f ca="1">IF(G2512&gt;=4,H2515,H2525)</f>
        <v>8888</v>
      </c>
      <c r="I2528" s="139">
        <f ca="1">IF(G2512&gt;=4,I2527-P2505,I2525)</f>
        <v>8888</v>
      </c>
      <c r="AD2528" s="157"/>
      <c r="AE2528" s="2" t="s">
        <v>7</v>
      </c>
      <c r="AF2528" s="128">
        <f ca="1">IF($AE2512,H2528,AF2518)</f>
        <v>8888</v>
      </c>
      <c r="AG2528" s="129">
        <f ca="1">IF($AE2512,I2528,AG2518)</f>
        <v>8888</v>
      </c>
      <c r="BD2528" s="157"/>
    </row>
    <row r="2529" spans="2:56">
      <c r="B2529" s="156"/>
      <c r="F2529" s="157"/>
      <c r="G2529" s="115" t="s">
        <v>8</v>
      </c>
      <c r="H2529" s="188">
        <f ca="1">IF(G2512&gt;=4,H2514,H2525)</f>
        <v>8888</v>
      </c>
      <c r="I2529" s="189">
        <f ca="1">IF(G2512&gt;=4,I2528,I2525)</f>
        <v>8888</v>
      </c>
      <c r="AD2529" s="157"/>
      <c r="AE2529" s="115" t="s">
        <v>8</v>
      </c>
      <c r="AF2529" s="188">
        <f ca="1">IF($AE2512,H2529,AF2518)</f>
        <v>8888</v>
      </c>
      <c r="AG2529" s="196">
        <f ca="1">IF($AE2512,I2529,AG2518)</f>
        <v>8888</v>
      </c>
      <c r="BD2529" s="157"/>
    </row>
    <row r="2530" spans="2:56">
      <c r="B2530" s="156"/>
      <c r="F2530" s="157"/>
      <c r="G2530" s="2" t="s">
        <v>9</v>
      </c>
      <c r="H2530" s="128">
        <f ca="1">IF(G2512&gt;=5,H2514,H2529)</f>
        <v>8888</v>
      </c>
      <c r="I2530" s="139">
        <f ca="1">IF(G2512&gt;=5,I2529-P2507,I2529)</f>
        <v>8888</v>
      </c>
      <c r="AD2530" s="157"/>
      <c r="AE2530" s="2" t="s">
        <v>9</v>
      </c>
      <c r="AF2530" s="128">
        <f ca="1">IF($AE2512,H2530,AF2518)</f>
        <v>8888</v>
      </c>
      <c r="AG2530" s="129">
        <f ca="1">IF($AE2512,I2530,AG2518)</f>
        <v>8888</v>
      </c>
      <c r="BD2530" s="157"/>
    </row>
    <row r="2531" spans="2:56">
      <c r="B2531" s="156"/>
      <c r="F2531" s="157"/>
      <c r="G2531" s="2" t="s">
        <v>196</v>
      </c>
      <c r="H2531" s="128">
        <f ca="1">IF(G2512&gt;=5,H2515,H2529)</f>
        <v>8888</v>
      </c>
      <c r="I2531" s="139">
        <f ca="1">IF(G2512&gt;=5,I2530,I2529)</f>
        <v>8888</v>
      </c>
      <c r="AD2531" s="157"/>
      <c r="AE2531" s="2" t="s">
        <v>196</v>
      </c>
      <c r="AF2531" s="128">
        <f ca="1">IF($AE2512,H2531,AF2518)</f>
        <v>8888</v>
      </c>
      <c r="AG2531" s="129">
        <f ca="1">IF($AE2512,I2531,AG2518)</f>
        <v>8888</v>
      </c>
      <c r="BD2531" s="157"/>
    </row>
    <row r="2532" spans="2:56">
      <c r="B2532" s="156"/>
      <c r="F2532" s="157"/>
      <c r="G2532" s="2" t="s">
        <v>10</v>
      </c>
      <c r="H2532" s="128">
        <f ca="1">IF(G2512&gt;=5,H2515,H2529)</f>
        <v>8888</v>
      </c>
      <c r="I2532" s="139">
        <f ca="1">IF(G2512&gt;=5,I2531-P2505,I2529)</f>
        <v>8888</v>
      </c>
      <c r="AD2532" s="157"/>
      <c r="AE2532" s="2" t="s">
        <v>10</v>
      </c>
      <c r="AF2532" s="128">
        <f ca="1">IF($AE2512,H2532,AF2518)</f>
        <v>8888</v>
      </c>
      <c r="AG2532" s="129">
        <f ca="1">IF($AE2512,I2532,AG2518)</f>
        <v>8888</v>
      </c>
      <c r="BD2532" s="157"/>
    </row>
    <row r="2533" spans="2:56">
      <c r="B2533" s="156"/>
      <c r="F2533" s="157"/>
      <c r="G2533" s="2" t="s">
        <v>161</v>
      </c>
      <c r="H2533" s="188">
        <f ca="1">IF(G2512&gt;=5,H2514,H2529)</f>
        <v>8888</v>
      </c>
      <c r="I2533" s="189">
        <f ca="1">IF(G2512&gt;=5,I2532,I2529)</f>
        <v>8888</v>
      </c>
      <c r="AD2533" s="157"/>
      <c r="AE2533" s="2" t="s">
        <v>161</v>
      </c>
      <c r="AF2533" s="188">
        <f ca="1">IF($AE2512,H2533,AF2518)</f>
        <v>8888</v>
      </c>
      <c r="AG2533" s="196">
        <f ca="1">IF($AE2512,I2533,AG2518)</f>
        <v>8888</v>
      </c>
      <c r="BD2533" s="157"/>
    </row>
    <row r="2534" spans="2:56">
      <c r="B2534" s="156"/>
      <c r="F2534" s="157"/>
      <c r="G2534" s="192" t="s">
        <v>11</v>
      </c>
      <c r="H2534" s="128">
        <f ca="1">IF(G2512&gt;=6,H2514,H2533)</f>
        <v>8888</v>
      </c>
      <c r="I2534" s="139">
        <f ca="1">IF(G2512&gt;=6,I2533-P2507,I2533)</f>
        <v>8888</v>
      </c>
      <c r="AD2534" s="157"/>
      <c r="AE2534" s="192" t="s">
        <v>11</v>
      </c>
      <c r="AF2534" s="128">
        <f ca="1">IF($AE2512,H2534,AF2518)</f>
        <v>8888</v>
      </c>
      <c r="AG2534" s="129">
        <f ca="1">IF($AE2512,I2534,AG2518)</f>
        <v>8888</v>
      </c>
      <c r="BD2534" s="157"/>
    </row>
    <row r="2535" spans="2:56">
      <c r="B2535" s="156"/>
      <c r="F2535" s="157"/>
      <c r="G2535" s="2" t="s">
        <v>12</v>
      </c>
      <c r="H2535" s="128">
        <f ca="1">IF(G2512&gt;=6,H2515,H2533)</f>
        <v>8888</v>
      </c>
      <c r="I2535" s="139">
        <f ca="1">IF(G2512&gt;=6,I2534,I2533)</f>
        <v>8888</v>
      </c>
      <c r="AD2535" s="157"/>
      <c r="AE2535" s="2" t="s">
        <v>12</v>
      </c>
      <c r="AF2535" s="128">
        <f ca="1">IF($AE2512,H2535,AF2518)</f>
        <v>8888</v>
      </c>
      <c r="AG2535" s="129">
        <f ca="1">IF($AE2512,I2535,AG2518)</f>
        <v>8888</v>
      </c>
      <c r="BD2535" s="157"/>
    </row>
    <row r="2536" spans="2:56">
      <c r="B2536" s="156"/>
      <c r="F2536" s="157"/>
      <c r="G2536" s="2" t="s">
        <v>13</v>
      </c>
      <c r="H2536" s="128">
        <f ca="1">IF(G2512&gt;=6,H2515,H2533)</f>
        <v>8888</v>
      </c>
      <c r="I2536" s="139">
        <f ca="1">IF(G2512&gt;=6,I2535-P2505,I2533)</f>
        <v>8888</v>
      </c>
      <c r="AD2536" s="157"/>
      <c r="AE2536" s="2" t="s">
        <v>13</v>
      </c>
      <c r="AF2536" s="128">
        <f ca="1">IF($AE2512,H2536,AF2518)</f>
        <v>8888</v>
      </c>
      <c r="AG2536" s="129">
        <f ca="1">IF($AE2512,I2536,AG2518)</f>
        <v>8888</v>
      </c>
      <c r="BD2536" s="157"/>
    </row>
    <row r="2537" spans="2:56">
      <c r="B2537" s="156"/>
      <c r="F2537" s="157"/>
      <c r="G2537" s="115" t="s">
        <v>14</v>
      </c>
      <c r="H2537" s="188">
        <f ca="1">IF(G2512&gt;=6,H2514,H2533)</f>
        <v>8888</v>
      </c>
      <c r="I2537" s="189">
        <f ca="1">IF(G2512&gt;=6,I2536,I2533)</f>
        <v>8888</v>
      </c>
      <c r="AD2537" s="157"/>
      <c r="AE2537" s="115" t="s">
        <v>14</v>
      </c>
      <c r="AF2537" s="188">
        <f ca="1">IF($AE2512,H2537,AF2518)</f>
        <v>8888</v>
      </c>
      <c r="AG2537" s="196">
        <f ca="1">IF($AE2512,I2537,AG2518)</f>
        <v>8888</v>
      </c>
      <c r="BD2537" s="157"/>
    </row>
    <row r="2538" spans="2:56" ht="15" thickBot="1">
      <c r="B2538" s="156"/>
      <c r="G2538" s="130" t="s">
        <v>396</v>
      </c>
      <c r="H2538" s="130">
        <f ca="1">H2514</f>
        <v>8888</v>
      </c>
      <c r="I2538" s="140">
        <f ca="1">I2514</f>
        <v>8888</v>
      </c>
      <c r="AE2538" s="130" t="s">
        <v>396</v>
      </c>
      <c r="AF2538" s="130">
        <f ca="1">IF($AE2512,H2538,AF2518)</f>
        <v>8888</v>
      </c>
      <c r="AG2538" s="132">
        <f ca="1">IF($AE2512,I2538,AG2518)</f>
        <v>8888</v>
      </c>
      <c r="BD2538" s="157"/>
    </row>
    <row r="2539" spans="2:56">
      <c r="B2539" s="156"/>
      <c r="BD2539" s="157"/>
    </row>
    <row r="2540" spans="2:56" ht="15" thickBot="1">
      <c r="B2540" s="156"/>
      <c r="AE2540" s="2" t="s">
        <v>447</v>
      </c>
      <c r="AF2540">
        <f>FUSELAGE_lnose-FUSELAGE_Dxnose</f>
        <v>5.0034614728423517</v>
      </c>
      <c r="BD2540" s="157"/>
    </row>
    <row r="2541" spans="2:56" ht="15" thickBot="1">
      <c r="B2541" s="156"/>
      <c r="C2541" s="141"/>
      <c r="D2541" s="326" t="s">
        <v>214</v>
      </c>
      <c r="E2541" s="327"/>
      <c r="G2541" s="141" t="s">
        <v>104</v>
      </c>
      <c r="H2541" s="326" t="s">
        <v>214</v>
      </c>
      <c r="I2541" s="327"/>
      <c r="K2541" s="141" t="s">
        <v>104</v>
      </c>
      <c r="L2541" s="326" t="s">
        <v>214</v>
      </c>
      <c r="M2541" s="327"/>
      <c r="O2541" s="141" t="b">
        <f>FUSELAGE_show_seat_rails</f>
        <v>0</v>
      </c>
      <c r="P2541" s="326" t="s">
        <v>549</v>
      </c>
      <c r="Q2541" s="327"/>
      <c r="S2541" s="141"/>
      <c r="T2541" s="326" t="s">
        <v>204</v>
      </c>
      <c r="U2541" s="327"/>
      <c r="W2541" s="141" t="s">
        <v>34</v>
      </c>
      <c r="X2541" s="326" t="s">
        <v>214</v>
      </c>
      <c r="Y2541" s="327"/>
      <c r="AA2541" s="213" t="s">
        <v>695</v>
      </c>
      <c r="AB2541" s="326" t="s">
        <v>214</v>
      </c>
      <c r="AC2541" s="327"/>
      <c r="AE2541" s="213" t="s">
        <v>698</v>
      </c>
      <c r="AF2541" s="326" t="s">
        <v>214</v>
      </c>
      <c r="AG2541" s="327"/>
      <c r="AI2541" s="213" t="s">
        <v>700</v>
      </c>
      <c r="AJ2541" s="326" t="s">
        <v>214</v>
      </c>
      <c r="AK2541" s="327"/>
      <c r="AN2541" s="200"/>
      <c r="BD2541" s="157"/>
    </row>
    <row r="2542" spans="2:56" ht="15" thickBot="1">
      <c r="B2542" s="156"/>
      <c r="C2542" s="136" t="s">
        <v>452</v>
      </c>
      <c r="D2542" s="136" t="s">
        <v>384</v>
      </c>
      <c r="E2542" s="138" t="s">
        <v>385</v>
      </c>
      <c r="G2542" s="136" t="s">
        <v>452</v>
      </c>
      <c r="H2542" s="136" t="s">
        <v>384</v>
      </c>
      <c r="I2542" s="138" t="s">
        <v>385</v>
      </c>
      <c r="K2542" s="136" t="s">
        <v>452</v>
      </c>
      <c r="L2542" s="136" t="s">
        <v>384</v>
      </c>
      <c r="M2542" s="138" t="s">
        <v>385</v>
      </c>
      <c r="O2542" s="136" t="s">
        <v>452</v>
      </c>
      <c r="P2542" s="136" t="s">
        <v>384</v>
      </c>
      <c r="Q2542" s="138" t="s">
        <v>385</v>
      </c>
      <c r="S2542" s="136" t="s">
        <v>452</v>
      </c>
      <c r="T2542" s="136" t="s">
        <v>384</v>
      </c>
      <c r="U2542" s="138" t="s">
        <v>385</v>
      </c>
      <c r="W2542" s="136" t="s">
        <v>452</v>
      </c>
      <c r="X2542" s="136" t="s">
        <v>384</v>
      </c>
      <c r="Y2542" s="138" t="s">
        <v>385</v>
      </c>
      <c r="AA2542" s="136" t="s">
        <v>452</v>
      </c>
      <c r="AB2542" s="136" t="s">
        <v>384</v>
      </c>
      <c r="AC2542" s="138" t="s">
        <v>385</v>
      </c>
      <c r="AE2542" s="136" t="s">
        <v>452</v>
      </c>
      <c r="AF2542" s="136" t="s">
        <v>384</v>
      </c>
      <c r="AG2542" s="138" t="s">
        <v>385</v>
      </c>
      <c r="AI2542" s="136" t="s">
        <v>452</v>
      </c>
      <c r="AJ2542" s="136" t="s">
        <v>384</v>
      </c>
      <c r="AK2542" s="138" t="s">
        <v>385</v>
      </c>
      <c r="BD2542" s="157"/>
    </row>
    <row r="2543" spans="2:56">
      <c r="B2543" s="156"/>
      <c r="C2543" s="128" t="s">
        <v>396</v>
      </c>
      <c r="D2543" s="203">
        <f>-Fuselage!D366</f>
        <v>9.0999999999999998E-2</v>
      </c>
      <c r="E2543" s="160">
        <f>FUSELAGE_a_ellipse+FUSELAGE_t_fuselage</f>
        <v>1.6053795662883501</v>
      </c>
      <c r="G2543" s="128"/>
      <c r="H2543" s="203">
        <f>Fuselage!$K$364*0-Fuselage!$D$366</f>
        <v>9.0999999999999998E-2</v>
      </c>
      <c r="I2543" s="160">
        <f>(FUSELAGE_a_ellipse+FUSELAGE_t_fuselage)*SQRT(1-((H2543+Fuselage!$D$366)/Fuselage!$K$364)^2)</f>
        <v>1.6053795662883501</v>
      </c>
      <c r="K2543" s="128"/>
      <c r="L2543" s="203">
        <f>MAX(0,Fuselage!$K$364*0-Fuselage!$D$366)</f>
        <v>9.0999999999999998E-2</v>
      </c>
      <c r="M2543" s="160">
        <f>(FUSELAGE_a_ellipse)*SQRT(1-((L2543+Fuselage!$D$366)/(Fuselage!$K$364-FUSELAGE_t_fuselage))^2)</f>
        <v>1.4960570012328709</v>
      </c>
      <c r="O2543" s="128">
        <v>1</v>
      </c>
      <c r="P2543" s="203">
        <f>IF(FUSELAGE_show_seat_rails,Fuselage!$K$364*0,8888)</f>
        <v>8888</v>
      </c>
      <c r="Q2543" s="160">
        <f ca="1">OFFSET($D$152,0,4*O2543)</f>
        <v>0.4599999999999998</v>
      </c>
      <c r="S2543" s="128" t="s">
        <v>396</v>
      </c>
      <c r="T2543" s="203">
        <f>$T$2558</f>
        <v>2</v>
      </c>
      <c r="U2543" s="160">
        <f>$T$2559/2</f>
        <v>1</v>
      </c>
      <c r="W2543" s="128" t="s">
        <v>396</v>
      </c>
      <c r="X2543" s="203">
        <f ca="1">$L$2505</f>
        <v>-18.624000000000006</v>
      </c>
      <c r="Y2543" s="160">
        <f ca="1">(FUSELAGE_a_ellipse+FUSELAGE_t_fuselage-FUSELAGE_d_fo/4)/Fuselage!$K$368*(X2543-$L$2505-Fuselage!$K$370)+FUSELAGE_a_ellipse</f>
        <v>1.5287379424037408</v>
      </c>
      <c r="AA2543" s="128" t="s">
        <v>396</v>
      </c>
      <c r="AB2543" s="203">
        <v>0.05</v>
      </c>
      <c r="AC2543" s="160">
        <f>(FUSELAGE_a_ellipse)*SQRT(1-((AB2543+Fuselage!$D$366)/(Fuselage!$K$364-FUSELAGE_t_fuselage))^2)</f>
        <v>1.496002495337696</v>
      </c>
      <c r="AE2543" s="128"/>
      <c r="AF2543" s="203">
        <f>IF(FUSELAGE_show_wings,$AF$2540-#REF!,8888)</f>
        <v>8888</v>
      </c>
      <c r="AG2543" s="160">
        <f>IF(FUSELAGE_show_wings,#REF!,8888)</f>
        <v>8888</v>
      </c>
      <c r="AI2543" s="128"/>
      <c r="AJ2543" s="203">
        <f t="shared" ref="AJ2543:AJ2548" si="196">AF2543</f>
        <v>8888</v>
      </c>
      <c r="AK2543" s="160">
        <f t="shared" ref="AK2543:AK2548" si="197">-AG2543</f>
        <v>-8888</v>
      </c>
      <c r="BD2543" s="157"/>
    </row>
    <row r="2544" spans="2:56">
      <c r="B2544" s="156"/>
      <c r="C2544" s="128" t="s">
        <v>213</v>
      </c>
      <c r="D2544" s="201">
        <f ca="1">L2505+Fuselage!K370</f>
        <v>-18.99002654111375</v>
      </c>
      <c r="E2544" s="139">
        <f>E2543</f>
        <v>1.6053795662883501</v>
      </c>
      <c r="G2544" s="128"/>
      <c r="H2544" s="201">
        <f>Fuselage!$K$364*0.1-Fuselage!$D$366</f>
        <v>0.58224614728423518</v>
      </c>
      <c r="I2544" s="139">
        <f>(FUSELAGE_a_ellipse+FUSELAGE_t_fuselage)*SQRT(1-((H2544+Fuselage!$D$366)/Fuselage!$K$364)^2)</f>
        <v>1.5973325002445826</v>
      </c>
      <c r="K2544" s="128"/>
      <c r="L2544" s="201">
        <f>MAX(0,Fuselage!$K$364*0.1-Fuselage!$D$366)</f>
        <v>0.58224614728423518</v>
      </c>
      <c r="M2544" s="139">
        <f>(FUSELAGE_a_ellipse)*SQRT(1-((L2544+Fuselage!$D$366)/(Fuselage!$K$364-FUSELAGE_t_fuselage))^2)</f>
        <v>1.4882117587687416</v>
      </c>
      <c r="O2544" s="128">
        <v>1</v>
      </c>
      <c r="P2544" s="201">
        <f>IF(FUSELAGE_show_seat_rails,-MIN(ABS($L$2505),ABS((ABS(Q2544)-(FUSELAGE_a_ellipse))*Fuselage!$K$368/(FUSELAGE_a_ellipse+FUSELAGE_t_fuselage-FUSELAGE_d_fo/4)+$L$2505+Fuselage!$K$370)),8888)</f>
        <v>8888</v>
      </c>
      <c r="Q2544" s="139">
        <f t="shared" ref="Q2544:Q2562" ca="1" si="198">OFFSET($D$152,0,4*O2544)</f>
        <v>0.4599999999999998</v>
      </c>
      <c r="S2544" s="128" t="s">
        <v>213</v>
      </c>
      <c r="T2544" s="201">
        <f>T2543-$T$2560</f>
        <v>1.6</v>
      </c>
      <c r="U2544" s="139">
        <f>U2543</f>
        <v>1</v>
      </c>
      <c r="W2544" s="128" t="s">
        <v>213</v>
      </c>
      <c r="X2544" s="201">
        <f ca="1">X2543-0.3</f>
        <v>-18.924000000000007</v>
      </c>
      <c r="Y2544" s="139">
        <v>0</v>
      </c>
      <c r="AA2544" s="128" t="s">
        <v>213</v>
      </c>
      <c r="AB2544" s="201">
        <f>AB2543</f>
        <v>0.05</v>
      </c>
      <c r="AC2544" s="139">
        <f>0.3</f>
        <v>0.3</v>
      </c>
      <c r="AE2544" s="128"/>
      <c r="AF2544" s="201">
        <f>IF(FUSELAGE_show_wings,$AF$2540-#REF!,8888)</f>
        <v>8888</v>
      </c>
      <c r="AG2544" s="139">
        <f>IF(FUSELAGE_show_wings,#REF!,8888)</f>
        <v>8888</v>
      </c>
      <c r="AI2544" s="128"/>
      <c r="AJ2544" s="201">
        <f t="shared" si="196"/>
        <v>8888</v>
      </c>
      <c r="AK2544" s="139">
        <f t="shared" si="197"/>
        <v>-8888</v>
      </c>
      <c r="BD2544" s="157"/>
    </row>
    <row r="2545" spans="2:56">
      <c r="B2545" s="156"/>
      <c r="C2545" s="128" t="s">
        <v>286</v>
      </c>
      <c r="D2545" s="201">
        <f ca="1">$L$2505</f>
        <v>-18.624000000000006</v>
      </c>
      <c r="E2545" s="139">
        <f ca="1">(FUSELAGE_a_ellipse+FUSELAGE_t_fuselage-FUSELAGE_d_fo/4)/Fuselage!$K$368*(D2545-$L$2505-Fuselage!$K$370)+FUSELAGE_a_ellipse+FUSELAGE_t_fuselage</f>
        <v>1.63806050745922</v>
      </c>
      <c r="G2545" s="128"/>
      <c r="H2545" s="201">
        <f>Fuselage!$K$364*0.2-Fuselage!$D$366</f>
        <v>1.0734922945684704</v>
      </c>
      <c r="I2545" s="139">
        <f>(FUSELAGE_a_ellipse+FUSELAGE_t_fuselage)*SQRT(1-((H2545+Fuselage!$D$366)/Fuselage!$K$364)^2)</f>
        <v>1.5729443123588083</v>
      </c>
      <c r="K2545" s="128"/>
      <c r="L2545" s="201">
        <f>MAX(0,Fuselage!$K$364*0.2-Fuselage!$D$366)</f>
        <v>1.0734922945684704</v>
      </c>
      <c r="M2545" s="139">
        <f>(FUSELAGE_a_ellipse)*SQRT(1-((L2545+Fuselage!$D$366)/(Fuselage!$K$364-FUSELAGE_t_fuselage))^2)</f>
        <v>1.4644238808953278</v>
      </c>
      <c r="O2545" s="128">
        <v>2</v>
      </c>
      <c r="P2545" s="201">
        <f>IF(FUSELAGE_show_seat_rails,Fuselage!$K$364*0,8888)</f>
        <v>8888</v>
      </c>
      <c r="Q2545" s="139">
        <f t="shared" ca="1" si="198"/>
        <v>1.1199999999999999</v>
      </c>
      <c r="S2545" s="128" t="s">
        <v>286</v>
      </c>
      <c r="T2545" s="201">
        <f>T2544</f>
        <v>1.6</v>
      </c>
      <c r="U2545" s="139">
        <f>-U2543</f>
        <v>-1</v>
      </c>
      <c r="W2545" s="128" t="s">
        <v>286</v>
      </c>
      <c r="X2545" s="201">
        <f ca="1">X2543</f>
        <v>-18.624000000000006</v>
      </c>
      <c r="Y2545" s="139">
        <f ca="1">-Y2543</f>
        <v>-1.5287379424037408</v>
      </c>
      <c r="AA2545" s="128" t="s">
        <v>286</v>
      </c>
      <c r="AB2545" s="201">
        <f>AB2543+0.05</f>
        <v>0.1</v>
      </c>
      <c r="AC2545" s="139">
        <v>0.3</v>
      </c>
      <c r="AE2545" s="128"/>
      <c r="AF2545" s="201">
        <f>IF(FUSELAGE_show_wings,$AF$2540-#REF!,8888)</f>
        <v>8888</v>
      </c>
      <c r="AG2545" s="139">
        <f>IF(FUSELAGE_show_wings,#REF!,8888)</f>
        <v>8888</v>
      </c>
      <c r="AI2545" s="128"/>
      <c r="AJ2545" s="201">
        <f t="shared" si="196"/>
        <v>8888</v>
      </c>
      <c r="AK2545" s="139">
        <f t="shared" si="197"/>
        <v>-8888</v>
      </c>
      <c r="BD2545" s="157"/>
    </row>
    <row r="2546" spans="2:56" ht="15" thickBot="1">
      <c r="B2546" s="156"/>
      <c r="C2546" s="143" t="s">
        <v>522</v>
      </c>
      <c r="D2546" s="201">
        <f ca="1">D2544-Fuselage!K368</f>
        <v>-27.980152112328511</v>
      </c>
      <c r="E2546" s="139">
        <f>FUSELAGE_d_fo/10</f>
        <v>0.32107591325767004</v>
      </c>
      <c r="G2546" s="188"/>
      <c r="H2546" s="202">
        <f>Fuselage!$K$364*0.3-Fuselage!$D$366</f>
        <v>1.5647384418527053</v>
      </c>
      <c r="I2546" s="139">
        <f>(FUSELAGE_a_ellipse+FUSELAGE_t_fuselage)*SQRT(1-((H2546+Fuselage!$D$366)/Fuselage!$K$364)^2)</f>
        <v>1.5314345014361912</v>
      </c>
      <c r="K2546" s="188"/>
      <c r="L2546" s="202">
        <f>MAX(0,Fuselage!$K$364*0.3-Fuselage!$D$366)</f>
        <v>1.5647384418527053</v>
      </c>
      <c r="M2546" s="139">
        <f>(FUSELAGE_a_ellipse)*SQRT(1-((L2546+Fuselage!$D$366)/(Fuselage!$K$364-FUSELAGE_t_fuselage))^2)</f>
        <v>1.4238945687567028</v>
      </c>
      <c r="O2546" s="188">
        <v>2</v>
      </c>
      <c r="P2546" s="201">
        <f>IF(FUSELAGE_show_seat_rails,-MIN(ABS($L$2505),ABS((ABS(Q2546)-(FUSELAGE_a_ellipse))*Fuselage!$K$368/(FUSELAGE_a_ellipse+FUSELAGE_t_fuselage-FUSELAGE_d_fo/4)+$L$2505+Fuselage!$K$370)),8888)</f>
        <v>8888</v>
      </c>
      <c r="Q2546" s="139">
        <f t="shared" ca="1" si="198"/>
        <v>1.1199999999999999</v>
      </c>
      <c r="S2546" s="188" t="s">
        <v>522</v>
      </c>
      <c r="T2546" s="202">
        <f>T2543</f>
        <v>2</v>
      </c>
      <c r="U2546" s="139">
        <f>-U2543</f>
        <v>-1</v>
      </c>
      <c r="AA2546" s="128" t="s">
        <v>522</v>
      </c>
      <c r="AB2546" s="201">
        <f>AB2545</f>
        <v>0.1</v>
      </c>
      <c r="AC2546" s="139">
        <f>-AC2545</f>
        <v>-0.3</v>
      </c>
      <c r="AE2546" s="128"/>
      <c r="AF2546" s="201">
        <f>IF(FUSELAGE_show_wings,$AF$2540-#REF!,8888)</f>
        <v>8888</v>
      </c>
      <c r="AG2546" s="139">
        <f>IF(FUSELAGE_show_wings,#REF!,8888)</f>
        <v>8888</v>
      </c>
      <c r="AI2546" s="128"/>
      <c r="AJ2546" s="201">
        <f t="shared" si="196"/>
        <v>8888</v>
      </c>
      <c r="AK2546" s="139">
        <f t="shared" si="197"/>
        <v>-8888</v>
      </c>
      <c r="BD2546" s="157"/>
    </row>
    <row r="2547" spans="2:56">
      <c r="B2547" s="156"/>
      <c r="C2547" s="128" t="s">
        <v>49</v>
      </c>
      <c r="D2547" s="201">
        <f ca="1">D2546</f>
        <v>-27.980152112328511</v>
      </c>
      <c r="E2547" s="139">
        <f>-E2546</f>
        <v>-0.32107591325767004</v>
      </c>
      <c r="G2547" s="128"/>
      <c r="H2547" s="128">
        <f>Fuselage!$K$364*0.4-Fuselage!$D$366</f>
        <v>2.0559845891369406</v>
      </c>
      <c r="I2547" s="139">
        <f>(FUSELAGE_a_ellipse+FUSELAGE_t_fuselage)*SQRT(1-((H2547+Fuselage!$D$366)/Fuselage!$K$364)^2)</f>
        <v>1.4713546763303482</v>
      </c>
      <c r="K2547" s="128"/>
      <c r="L2547" s="128">
        <f>MAX(0,Fuselage!$K$364*0.4-Fuselage!$D$366)</f>
        <v>2.0559845891369406</v>
      </c>
      <c r="M2547" s="139">
        <f>(FUSELAGE_a_ellipse)*SQRT(1-((L2547+Fuselage!$D$366)/(Fuselage!$K$364-FUSELAGE_t_fuselage))^2)</f>
        <v>1.3651335315391171</v>
      </c>
      <c r="O2547" s="128">
        <v>3</v>
      </c>
      <c r="P2547" s="203">
        <f>IF(FUSELAGE_show_seat_rails,Fuselage!$K$364*0,8888)</f>
        <v>8888</v>
      </c>
      <c r="Q2547" s="139">
        <f t="shared" ca="1" si="198"/>
        <v>-0.46000000000000024</v>
      </c>
      <c r="S2547" s="128" t="s">
        <v>396</v>
      </c>
      <c r="T2547" s="201">
        <f>T2543</f>
        <v>2</v>
      </c>
      <c r="U2547" s="139">
        <f>U2543</f>
        <v>1</v>
      </c>
      <c r="AA2547" s="156"/>
      <c r="AB2547" s="201">
        <f>AB2543</f>
        <v>0.05</v>
      </c>
      <c r="AC2547" s="139">
        <f>-AC2544</f>
        <v>-0.3</v>
      </c>
      <c r="AE2547" s="128"/>
      <c r="AF2547" s="201">
        <f>IF(FUSELAGE_show_wings,$AF$2540-#REF!,8888)</f>
        <v>8888</v>
      </c>
      <c r="AG2547" s="139">
        <f>IF(FUSELAGE_show_wings,#REF!,8888)</f>
        <v>8888</v>
      </c>
      <c r="AI2547" s="128"/>
      <c r="AJ2547" s="201">
        <f t="shared" si="196"/>
        <v>8888</v>
      </c>
      <c r="AK2547" s="139">
        <f t="shared" si="197"/>
        <v>-8888</v>
      </c>
      <c r="BD2547" s="157"/>
    </row>
    <row r="2548" spans="2:56">
      <c r="B2548" s="156"/>
      <c r="C2548" s="128" t="s">
        <v>453</v>
      </c>
      <c r="D2548" s="201">
        <f ca="1">$L$2505</f>
        <v>-18.624000000000006</v>
      </c>
      <c r="E2548" s="139">
        <f ca="1">-(FUSELAGE_a_ellipse+FUSELAGE_t_fuselage-FUSELAGE_d_fo/4)/Fuselage!$K$368*(D2548-$L$2505-Fuselage!$K$370)-FUSELAGE_a_ellipse-FUSELAGE_t_fuselage</f>
        <v>-1.63806050745922</v>
      </c>
      <c r="G2548" s="128"/>
      <c r="H2548" s="128">
        <f>Fuselage!$K$364*0.5-Fuselage!$D$366</f>
        <v>2.5472307364211759</v>
      </c>
      <c r="I2548" s="139">
        <f>(FUSELAGE_a_ellipse+FUSELAGE_t_fuselage)*SQRT(1-((H2548+Fuselage!$D$366)/Fuselage!$K$364)^2)</f>
        <v>1.3902994871221552</v>
      </c>
      <c r="K2548" s="128"/>
      <c r="L2548" s="128">
        <f>MAX(0,Fuselage!$K$364*0.5-Fuselage!$D$366)</f>
        <v>2.5472307364211759</v>
      </c>
      <c r="M2548" s="139">
        <f>(FUSELAGE_a_ellipse)*SQRT(1-((L2548+Fuselage!$D$366)/(Fuselage!$K$364-FUSELAGE_t_fuselage))^2)</f>
        <v>1.2856433218157393</v>
      </c>
      <c r="O2548" s="128">
        <v>3</v>
      </c>
      <c r="P2548" s="201">
        <f>IF(FUSELAGE_show_seat_rails,-MIN(ABS($L$2505),ABS((ABS(Q2548)-(FUSELAGE_a_ellipse))*Fuselage!$K$368/(FUSELAGE_a_ellipse+FUSELAGE_t_fuselage-FUSELAGE_d_fo/4)+$L$2505+Fuselage!$K$370)),8888)</f>
        <v>8888</v>
      </c>
      <c r="Q2548" s="139">
        <f t="shared" ca="1" si="198"/>
        <v>-0.46000000000000024</v>
      </c>
      <c r="S2548" s="128" t="s">
        <v>49</v>
      </c>
      <c r="T2548" s="201">
        <f>T2544-$T$2561</f>
        <v>0.8</v>
      </c>
      <c r="U2548" s="139">
        <f>U2543</f>
        <v>1</v>
      </c>
      <c r="AB2548" s="201">
        <f>AB2543</f>
        <v>0.05</v>
      </c>
      <c r="AC2548" s="139">
        <f>-AC2543</f>
        <v>-1.496002495337696</v>
      </c>
      <c r="AE2548" s="128"/>
      <c r="AF2548" s="201">
        <f>IF(FUSELAGE_show_wings,$AF$2540-#REF!,8888)</f>
        <v>8888</v>
      </c>
      <c r="AG2548" s="139">
        <f>IF(FUSELAGE_show_wings,#REF!,8888)</f>
        <v>8888</v>
      </c>
      <c r="AI2548" s="128"/>
      <c r="AJ2548" s="201">
        <f t="shared" si="196"/>
        <v>8888</v>
      </c>
      <c r="AK2548" s="139">
        <f t="shared" si="197"/>
        <v>-8888</v>
      </c>
      <c r="AN2548" s="328"/>
      <c r="AO2548" s="328"/>
      <c r="AR2548" s="328"/>
      <c r="AS2548" s="328"/>
      <c r="BD2548" s="157"/>
    </row>
    <row r="2549" spans="2:56">
      <c r="B2549" s="156"/>
      <c r="C2549" s="128" t="s">
        <v>394</v>
      </c>
      <c r="D2549" s="128">
        <f ca="1">D2544</f>
        <v>-18.99002654111375</v>
      </c>
      <c r="E2549" s="139">
        <f>-E2544</f>
        <v>-1.6053795662883501</v>
      </c>
      <c r="G2549" s="128"/>
      <c r="H2549" s="128">
        <f>Fuselage!$K$364*0.6-Fuselage!$D$366</f>
        <v>3.0384768837054108</v>
      </c>
      <c r="I2549" s="139">
        <f>(FUSELAGE_a_ellipse+FUSELAGE_t_fuselage)*SQRT(1-((H2549+Fuselage!$D$366)/Fuselage!$K$364)^2)</f>
        <v>1.2843036530306802</v>
      </c>
      <c r="K2549" s="128"/>
      <c r="L2549" s="128">
        <f>MAX(0,Fuselage!$K$364*0.6-Fuselage!$D$366)</f>
        <v>3.0384768837054108</v>
      </c>
      <c r="M2549" s="139">
        <f>(FUSELAGE_a_ellipse)*SQRT(1-((L2549+Fuselage!$D$366)/(Fuselage!$K$364-FUSELAGE_t_fuselage))^2)</f>
        <v>1.1812465106512173</v>
      </c>
      <c r="O2549" s="128">
        <v>4</v>
      </c>
      <c r="P2549" s="201">
        <f>IF(FUSELAGE_show_seat_rails,Fuselage!$K$364*0,8888)</f>
        <v>8888</v>
      </c>
      <c r="Q2549" s="139">
        <f t="shared" ca="1" si="198"/>
        <v>-1.1200000000000003</v>
      </c>
      <c r="S2549" s="128" t="s">
        <v>453</v>
      </c>
      <c r="T2549" s="201">
        <f>T2548</f>
        <v>0.8</v>
      </c>
      <c r="U2549" s="139">
        <f>U2543-$T$2562</f>
        <v>0.30000000000000004</v>
      </c>
      <c r="BD2549" s="157"/>
    </row>
    <row r="2550" spans="2:56" ht="15" thickBot="1">
      <c r="B2550" s="156"/>
      <c r="C2550" s="143" t="s">
        <v>454</v>
      </c>
      <c r="D2550" s="128">
        <f>D2543</f>
        <v>9.0999999999999998E-2</v>
      </c>
      <c r="E2550" s="139">
        <f>E2549</f>
        <v>-1.6053795662883501</v>
      </c>
      <c r="G2550" s="188"/>
      <c r="H2550" s="128">
        <f>Fuselage!$K$364*0.7-Fuselage!$D$366</f>
        <v>3.5297230309896461</v>
      </c>
      <c r="I2550" s="139">
        <f>(FUSELAGE_a_ellipse+FUSELAGE_t_fuselage)*SQRT(1-((H2550+Fuselage!$D$366)/Fuselage!$K$364)^2)</f>
        <v>1.1464703273293413</v>
      </c>
      <c r="K2550" s="188"/>
      <c r="L2550" s="128">
        <f>MAX(0,Fuselage!$K$364*0.7-Fuselage!$D$366)</f>
        <v>3.5297230309896461</v>
      </c>
      <c r="M2550" s="139">
        <f>(FUSELAGE_a_ellipse)*SQRT(1-((L2550+Fuselage!$D$366)/(Fuselage!$K$364-FUSELAGE_t_fuselage))^2)</f>
        <v>1.0445014422782122</v>
      </c>
      <c r="O2550" s="128">
        <v>4</v>
      </c>
      <c r="P2550" s="201">
        <f>IF(FUSELAGE_show_seat_rails,-MIN(ABS($L$2505),ABS((ABS(Q2550)-(FUSELAGE_a_ellipse))*Fuselage!$K$368/(FUSELAGE_a_ellipse+FUSELAGE_t_fuselage-FUSELAGE_d_fo/4)+$L$2505+Fuselage!$K$370)),8888)</f>
        <v>8888</v>
      </c>
      <c r="Q2550" s="139">
        <f t="shared" ca="1" si="198"/>
        <v>-1.1200000000000003</v>
      </c>
      <c r="S2550" s="188" t="s">
        <v>394</v>
      </c>
      <c r="T2550" s="201">
        <f>T2544</f>
        <v>1.6</v>
      </c>
      <c r="U2550" s="139">
        <f>U2549</f>
        <v>0.30000000000000004</v>
      </c>
      <c r="BD2550" s="157"/>
    </row>
    <row r="2551" spans="2:56">
      <c r="B2551" s="156"/>
      <c r="C2551" s="188" t="s">
        <v>507</v>
      </c>
      <c r="D2551" s="188"/>
      <c r="E2551" s="189"/>
      <c r="G2551" s="188"/>
      <c r="H2551" s="128">
        <f>Fuselage!$K$364*0.8-Fuselage!$D$366</f>
        <v>4.020969178273881</v>
      </c>
      <c r="I2551" s="139">
        <f>(FUSELAGE_a_ellipse+FUSELAGE_t_fuselage)*SQRT(1-((H2551+Fuselage!$D$366)/Fuselage!$K$364)^2)</f>
        <v>0.96322773977301024</v>
      </c>
      <c r="K2551" s="188"/>
      <c r="L2551" s="128">
        <f>MAX(0,Fuselage!$K$364*0.8-Fuselage!$D$366)</f>
        <v>4.020969178273881</v>
      </c>
      <c r="M2551" s="139">
        <f>(FUSELAGE_a_ellipse)*SQRT(1-((L2551+Fuselage!$D$366)/(Fuselage!$K$364-FUSELAGE_t_fuselage))^2)</f>
        <v>0.86011544743492241</v>
      </c>
      <c r="O2551" s="128">
        <v>5</v>
      </c>
      <c r="P2551" s="203">
        <f>IF(FUSELAGE_show_seat_rails,Fuselage!$K$364*0,8888)</f>
        <v>8888</v>
      </c>
      <c r="Q2551" s="139">
        <f t="shared" ca="1" si="198"/>
        <v>8888</v>
      </c>
      <c r="S2551" s="188" t="s">
        <v>454</v>
      </c>
      <c r="T2551" s="201">
        <f>T2544</f>
        <v>1.6</v>
      </c>
      <c r="U2551" s="139">
        <f>-U2549</f>
        <v>-0.30000000000000004</v>
      </c>
      <c r="BD2551" s="157"/>
    </row>
    <row r="2552" spans="2:56">
      <c r="B2552" s="156"/>
      <c r="H2552" s="201">
        <f>Fuselage!$K$364*0.9-Fuselage!$D$366</f>
        <v>4.5122153255581168</v>
      </c>
      <c r="I2552" s="139">
        <f>(FUSELAGE_a_ellipse+FUSELAGE_t_fuselage)*SQRT(1-((H2552+Fuselage!$D$366)/Fuselage!$K$364)^2)</f>
        <v>0.69976872954760727</v>
      </c>
      <c r="L2552" s="128">
        <f>MAX(0,Fuselage!$K$364*0.9-Fuselage!$D$366)</f>
        <v>4.5122153255581168</v>
      </c>
      <c r="M2552" s="139">
        <f>(FUSELAGE_a_ellipse)*SQRT(1-((L2552+Fuselage!$D$366)/(Fuselage!$K$364-FUSELAGE_t_fuselage))^2)</f>
        <v>0.58462747019825245</v>
      </c>
      <c r="O2552" s="128">
        <v>5</v>
      </c>
      <c r="P2552" s="201">
        <f>IF(FUSELAGE_show_seat_rails,-MIN(ABS($L$2505),ABS((ABS(Q2552)-(FUSELAGE_a_ellipse))*Fuselage!$K$368/(FUSELAGE_a_ellipse+FUSELAGE_t_fuselage-FUSELAGE_d_fo/4)+$L$2505+Fuselage!$K$370)),8888)</f>
        <v>8888</v>
      </c>
      <c r="Q2552" s="139">
        <f t="shared" ca="1" si="198"/>
        <v>8888</v>
      </c>
      <c r="S2552" s="128" t="s">
        <v>507</v>
      </c>
      <c r="T2552" s="201">
        <f>T2548</f>
        <v>0.8</v>
      </c>
      <c r="U2552" s="139">
        <f>-U2549</f>
        <v>-0.30000000000000004</v>
      </c>
      <c r="BD2552" s="157"/>
    </row>
    <row r="2553" spans="2:56">
      <c r="B2553" s="156"/>
      <c r="H2553" s="128">
        <f>Fuselage!$K$364*1-Fuselage!$D$366</f>
        <v>5.0034614728423517</v>
      </c>
      <c r="I2553" s="139">
        <f>(FUSELAGE_a_ellipse+FUSELAGE_t_fuselage)*SQRT(1-((H2553+Fuselage!$D$366)/Fuselage!$K$364)^2)</f>
        <v>0</v>
      </c>
      <c r="L2553" s="201">
        <f>MAX(0,Fuselage!$K$364-FUSELAGE_t_fuselage-Fuselage!$D$366)</f>
        <v>4.8941389077868722</v>
      </c>
      <c r="M2553" s="139">
        <v>0</v>
      </c>
      <c r="O2553" s="2">
        <v>6</v>
      </c>
      <c r="P2553" s="201">
        <f>IF(FUSELAGE_show_seat_rails,Fuselage!$K$364*0,8888)</f>
        <v>8888</v>
      </c>
      <c r="Q2553" s="139">
        <f t="shared" ca="1" si="198"/>
        <v>8888</v>
      </c>
      <c r="S2553" s="128" t="s">
        <v>455</v>
      </c>
      <c r="T2553" s="201">
        <f>T2548</f>
        <v>0.8</v>
      </c>
      <c r="U2553" s="139">
        <f>-U2543</f>
        <v>-1</v>
      </c>
      <c r="BD2553" s="157"/>
    </row>
    <row r="2554" spans="2:56" ht="15" thickBot="1">
      <c r="B2554" s="156"/>
      <c r="H2554" s="128">
        <f>H2552</f>
        <v>4.5122153255581168</v>
      </c>
      <c r="I2554" s="139">
        <f>-(FUSELAGE_a_ellipse+FUSELAGE_t_fuselage)*SQRT(1-((H2554+Fuselage!$D$366)/Fuselage!$K$364)^2)</f>
        <v>-0.69976872954760727</v>
      </c>
      <c r="L2554" s="128">
        <f>L2552</f>
        <v>4.5122153255581168</v>
      </c>
      <c r="M2554" s="139">
        <f>-(FUSELAGE_a_ellipse)*SQRT(1-((L2554+Fuselage!$D$366)/(Fuselage!$K$364-FUSELAGE_t_fuselage))^2)</f>
        <v>-0.58462747019825245</v>
      </c>
      <c r="O2554" s="2">
        <v>6</v>
      </c>
      <c r="P2554" s="201">
        <f>IF(FUSELAGE_show_seat_rails,-MIN(ABS($L$2505),ABS((ABS(Q2554)-(FUSELAGE_a_ellipse))*Fuselage!$K$368/(FUSELAGE_a_ellipse+FUSELAGE_t_fuselage-FUSELAGE_d_fo/4)+$L$2505+Fuselage!$K$370)),8888)</f>
        <v>8888</v>
      </c>
      <c r="Q2554" s="139">
        <f t="shared" ca="1" si="198"/>
        <v>8888</v>
      </c>
      <c r="S2554" s="128" t="s">
        <v>522</v>
      </c>
      <c r="T2554" s="201">
        <f>T2543</f>
        <v>2</v>
      </c>
      <c r="U2554" s="139">
        <f>-U2543</f>
        <v>-1</v>
      </c>
      <c r="BD2554" s="157"/>
    </row>
    <row r="2555" spans="2:56">
      <c r="B2555" s="156"/>
      <c r="H2555" s="128">
        <f>H2551</f>
        <v>4.020969178273881</v>
      </c>
      <c r="I2555" s="139">
        <f>-(FUSELAGE_a_ellipse+FUSELAGE_t_fuselage)*SQRT(1-((H2555+Fuselage!$D$366)/Fuselage!$K$364)^2)</f>
        <v>-0.96322773977301024</v>
      </c>
      <c r="L2555" s="128">
        <f>L2551</f>
        <v>4.020969178273881</v>
      </c>
      <c r="M2555" s="139">
        <f>-(FUSELAGE_a_ellipse)*SQRT(1-((L2555+Fuselage!$D$366)/(Fuselage!$K$364-FUSELAGE_t_fuselage))^2)</f>
        <v>-0.86011544743492241</v>
      </c>
      <c r="O2555" s="2">
        <v>7</v>
      </c>
      <c r="P2555" s="203">
        <f>IF(FUSELAGE_show_seat_rails,Fuselage!$K$364*0,8888)</f>
        <v>8888</v>
      </c>
      <c r="Q2555" s="139">
        <f t="shared" ca="1" si="198"/>
        <v>8888</v>
      </c>
      <c r="S2555" s="128" t="s">
        <v>396</v>
      </c>
      <c r="T2555" s="201">
        <f>T2543</f>
        <v>2</v>
      </c>
      <c r="U2555" s="139">
        <f>U2543</f>
        <v>1</v>
      </c>
      <c r="BD2555" s="157"/>
    </row>
    <row r="2556" spans="2:56">
      <c r="B2556" s="156"/>
      <c r="H2556" s="128">
        <f>H2550</f>
        <v>3.5297230309896461</v>
      </c>
      <c r="I2556" s="139">
        <f>-(FUSELAGE_a_ellipse+FUSELAGE_t_fuselage)*SQRT(1-((H2556+Fuselage!$D$366)/Fuselage!$K$364)^2)</f>
        <v>-1.1464703273293413</v>
      </c>
      <c r="L2556" s="128">
        <f>L2550</f>
        <v>3.5297230309896461</v>
      </c>
      <c r="M2556" s="139">
        <f>-(FUSELAGE_a_ellipse)*SQRT(1-((L2556+Fuselage!$D$366)/(Fuselage!$K$364-FUSELAGE_t_fuselage))^2)</f>
        <v>-1.0445014422782122</v>
      </c>
      <c r="O2556" s="2">
        <v>7</v>
      </c>
      <c r="P2556" s="201">
        <f>IF(FUSELAGE_show_seat_rails,-MIN(ABS($L$2505),ABS((ABS(Q2556)-(FUSELAGE_a_ellipse))*Fuselage!$K$368/(FUSELAGE_a_ellipse+FUSELAGE_t_fuselage-FUSELAGE_d_fo/4)+$L$2505+Fuselage!$K$370)),8888)</f>
        <v>8888</v>
      </c>
      <c r="Q2556" s="139">
        <f t="shared" ca="1" si="198"/>
        <v>8888</v>
      </c>
      <c r="BD2556" s="157"/>
    </row>
    <row r="2557" spans="2:56">
      <c r="B2557" s="156"/>
      <c r="H2557" s="128">
        <f>H2549</f>
        <v>3.0384768837054108</v>
      </c>
      <c r="I2557" s="139">
        <f>-(FUSELAGE_a_ellipse+FUSELAGE_t_fuselage)*SQRT(1-((H2557+Fuselage!$D$366)/Fuselage!$K$364)^2)</f>
        <v>-1.2843036530306802</v>
      </c>
      <c r="L2557" s="128">
        <f>L2549</f>
        <v>3.0384768837054108</v>
      </c>
      <c r="M2557" s="139">
        <f>-(FUSELAGE_a_ellipse)*SQRT(1-((L2557+Fuselage!$D$366)/(Fuselage!$K$364-FUSELAGE_t_fuselage))^2)</f>
        <v>-1.1812465106512173</v>
      </c>
      <c r="O2557" s="2">
        <v>8</v>
      </c>
      <c r="P2557" s="201">
        <f>IF(FUSELAGE_show_seat_rails,Fuselage!$K$364*0,8888)</f>
        <v>8888</v>
      </c>
      <c r="Q2557" s="139">
        <f t="shared" ca="1" si="198"/>
        <v>8888</v>
      </c>
      <c r="BD2557" s="157"/>
    </row>
    <row r="2558" spans="2:56" ht="15" thickBot="1">
      <c r="B2558" s="156"/>
      <c r="E2558" s="1"/>
      <c r="H2558" s="128">
        <f>H2548</f>
        <v>2.5472307364211759</v>
      </c>
      <c r="I2558" s="139">
        <f>-(FUSELAGE_a_ellipse+FUSELAGE_t_fuselage)*SQRT(1-((H2558+Fuselage!$D$366)/Fuselage!$K$364)^2)</f>
        <v>-1.3902994871221552</v>
      </c>
      <c r="L2558" s="128">
        <f>L2548</f>
        <v>2.5472307364211759</v>
      </c>
      <c r="M2558" s="139">
        <f>-(FUSELAGE_a_ellipse)*SQRT(1-((L2558+Fuselage!$D$366)/(Fuselage!$K$364-FUSELAGE_t_fuselage))^2)</f>
        <v>-1.2856433218157393</v>
      </c>
      <c r="O2558" s="2">
        <v>8</v>
      </c>
      <c r="P2558" s="201">
        <f>IF(FUSELAGE_show_seat_rails,-MIN(ABS($L$2505),ABS((ABS(Q2558)-(FUSELAGE_a_ellipse))*Fuselage!$K$368/(FUSELAGE_a_ellipse+FUSELAGE_t_fuselage-FUSELAGE_d_fo/4)+$L$2505+Fuselage!$K$370)),8888)</f>
        <v>8888</v>
      </c>
      <c r="Q2558" s="139">
        <f t="shared" ca="1" si="198"/>
        <v>8888</v>
      </c>
      <c r="S2558" s="247" t="s">
        <v>39</v>
      </c>
      <c r="T2558" s="178">
        <f>Fuselage!AA347</f>
        <v>2</v>
      </c>
      <c r="BD2558" s="157"/>
    </row>
    <row r="2559" spans="2:56">
      <c r="B2559" s="156"/>
      <c r="E2559" s="1"/>
      <c r="H2559" s="128">
        <f>H2547</f>
        <v>2.0559845891369406</v>
      </c>
      <c r="I2559" s="139">
        <f>-(FUSELAGE_a_ellipse+FUSELAGE_t_fuselage)*SQRT(1-((H2559+Fuselage!$D$366)/Fuselage!$K$364)^2)</f>
        <v>-1.4713546763303482</v>
      </c>
      <c r="L2559" s="128">
        <f>L2547</f>
        <v>2.0559845891369406</v>
      </c>
      <c r="M2559" s="139">
        <f>-(FUSELAGE_a_ellipse)*SQRT(1-((L2559+Fuselage!$D$366)/(Fuselage!$K$364-FUSELAGE_t_fuselage))^2)</f>
        <v>-1.3651335315391171</v>
      </c>
      <c r="O2559" s="2">
        <v>9</v>
      </c>
      <c r="P2559" s="203">
        <f>IF(FUSELAGE_show_seat_rails,Fuselage!$K$364*0,8888)</f>
        <v>8888</v>
      </c>
      <c r="Q2559" s="139">
        <f t="shared" ca="1" si="198"/>
        <v>8888</v>
      </c>
      <c r="S2559" s="247" t="s">
        <v>42</v>
      </c>
      <c r="T2559" s="178">
        <f>Fuselage!AA348</f>
        <v>2</v>
      </c>
      <c r="BD2559" s="157"/>
    </row>
    <row r="2560" spans="2:56">
      <c r="B2560" s="156"/>
      <c r="E2560" s="1"/>
      <c r="H2560" s="201">
        <f>H2546</f>
        <v>1.5647384418527053</v>
      </c>
      <c r="I2560" s="139">
        <f>-(FUSELAGE_a_ellipse+FUSELAGE_t_fuselage)*SQRT(1-((H2560+Fuselage!$D$366)/Fuselage!$K$364)^2)</f>
        <v>-1.5314345014361912</v>
      </c>
      <c r="L2560" s="201">
        <f>L2546</f>
        <v>1.5647384418527053</v>
      </c>
      <c r="M2560" s="139">
        <f>-(FUSELAGE_a_ellipse)*SQRT(1-((L2560+Fuselage!$D$366)/(Fuselage!$K$364-FUSELAGE_t_fuselage))^2)</f>
        <v>-1.4238945687567028</v>
      </c>
      <c r="O2560" s="2">
        <v>9</v>
      </c>
      <c r="P2560" s="201">
        <f>IF(FUSELAGE_show_seat_rails,-MIN(ABS($L$2505),ABS((ABS(Q2560)-(FUSELAGE_a_ellipse))*Fuselage!$K$368/(FUSELAGE_a_ellipse+FUSELAGE_t_fuselage-FUSELAGE_d_fo/4)+$L$2505+Fuselage!$K$370)),8888)</f>
        <v>8888</v>
      </c>
      <c r="Q2560" s="139">
        <f t="shared" ca="1" si="198"/>
        <v>8888</v>
      </c>
      <c r="S2560" s="247" t="s">
        <v>40</v>
      </c>
      <c r="T2560" s="178">
        <f>Fuselage!AA349</f>
        <v>0.4</v>
      </c>
      <c r="BD2560" s="157"/>
    </row>
    <row r="2561" spans="2:56">
      <c r="B2561" s="156"/>
      <c r="E2561" s="1"/>
      <c r="H2561" s="201">
        <f>H2545</f>
        <v>1.0734922945684704</v>
      </c>
      <c r="I2561" s="139">
        <f>-(FUSELAGE_a_ellipse+FUSELAGE_t_fuselage)*SQRT(1-((H2561+Fuselage!$D$366)/Fuselage!$K$364)^2)</f>
        <v>-1.5729443123588083</v>
      </c>
      <c r="L2561" s="201">
        <f>L2545</f>
        <v>1.0734922945684704</v>
      </c>
      <c r="M2561" s="139">
        <f>-(FUSELAGE_a_ellipse)*SQRT(1-((L2561+Fuselage!$D$366)/(Fuselage!$K$364-FUSELAGE_t_fuselage))^2)</f>
        <v>-1.4644238808953278</v>
      </c>
      <c r="O2561" s="2">
        <v>10</v>
      </c>
      <c r="P2561" s="201">
        <f>IF(FUSELAGE_show_seat_rails,Fuselage!$K$364*0,8888)</f>
        <v>8888</v>
      </c>
      <c r="Q2561" s="139">
        <f t="shared" ca="1" si="198"/>
        <v>8888</v>
      </c>
      <c r="S2561" s="247" t="s">
        <v>38</v>
      </c>
      <c r="T2561" s="178">
        <f>Fuselage!AA350</f>
        <v>0.8</v>
      </c>
      <c r="BD2561" s="157"/>
    </row>
    <row r="2562" spans="2:56" ht="15" thickBot="1">
      <c r="B2562" s="156"/>
      <c r="E2562" s="1"/>
      <c r="H2562" s="201">
        <f>H2544</f>
        <v>0.58224614728423518</v>
      </c>
      <c r="I2562" s="139">
        <f>-(FUSELAGE_a_ellipse+FUSELAGE_t_fuselage)*SQRT(1-((H2562+Fuselage!$D$366)/Fuselage!$K$364)^2)</f>
        <v>-1.5973325002445826</v>
      </c>
      <c r="L2562" s="201">
        <f>L2544</f>
        <v>0.58224614728423518</v>
      </c>
      <c r="M2562" s="139">
        <f>-(FUSELAGE_a_ellipse)*SQRT(1-((L2562+Fuselage!$D$366)/(Fuselage!$K$364-FUSELAGE_t_fuselage))^2)</f>
        <v>-1.4882117587687416</v>
      </c>
      <c r="O2562" s="2">
        <v>10</v>
      </c>
      <c r="P2562" s="201">
        <f>IF(FUSELAGE_show_seat_rails,-MIN(ABS($L$2505),ABS((ABS(Q2562)-(FUSELAGE_a_ellipse))*Fuselage!$K$368/(FUSELAGE_a_ellipse+FUSELAGE_t_fuselage-FUSELAGE_d_fo/4)+$L$2505+Fuselage!$K$370)),8888)</f>
        <v>8888</v>
      </c>
      <c r="Q2562" s="139">
        <f t="shared" ca="1" si="198"/>
        <v>8888</v>
      </c>
      <c r="S2562" s="247" t="s">
        <v>41</v>
      </c>
      <c r="T2562" s="178">
        <f>Fuselage!AA351</f>
        <v>0.7</v>
      </c>
      <c r="BD2562" s="157"/>
    </row>
    <row r="2563" spans="2:56">
      <c r="B2563" s="156"/>
      <c r="E2563" s="1"/>
      <c r="H2563" s="201">
        <f>H2543</f>
        <v>9.0999999999999998E-2</v>
      </c>
      <c r="I2563" s="139">
        <f>-(FUSELAGE_a_ellipse+FUSELAGE_t_fuselage)*SQRT(1-((H2563+Fuselage!$D$366)/Fuselage!$K$364)^2)</f>
        <v>-1.6053795662883501</v>
      </c>
      <c r="L2563" s="201">
        <f>L2543</f>
        <v>9.0999999999999998E-2</v>
      </c>
      <c r="M2563" s="139">
        <f>-(FUSELAGE_a_ellipse)*SQRT(1-((L2563+Fuselage!$D$366)/(Fuselage!$K$364-FUSELAGE_t_fuselage))^2)</f>
        <v>-1.4960570012328709</v>
      </c>
      <c r="O2563" s="2"/>
      <c r="P2563" s="203"/>
      <c r="Q2563" s="139"/>
      <c r="BD2563" s="157"/>
    </row>
    <row r="2564" spans="2:56">
      <c r="B2564" s="156"/>
      <c r="E2564" s="1"/>
      <c r="L2564" s="201"/>
      <c r="M2564" s="139"/>
      <c r="O2564" s="2"/>
      <c r="P2564" s="201"/>
      <c r="Q2564" s="139"/>
      <c r="BD2564" s="157"/>
    </row>
    <row r="2565" spans="2:56">
      <c r="B2565" s="156"/>
      <c r="O2565" s="2"/>
      <c r="P2565" s="201"/>
      <c r="Q2565" s="139"/>
      <c r="BD2565" s="157"/>
    </row>
    <row r="2566" spans="2:56">
      <c r="B2566" s="156"/>
      <c r="O2566" s="2"/>
      <c r="P2566" s="201"/>
      <c r="Q2566" s="139"/>
      <c r="BD2566" s="157"/>
    </row>
    <row r="2567" spans="2:56">
      <c r="B2567" s="156"/>
      <c r="BD2567" s="157"/>
    </row>
    <row r="2568" spans="2:56" ht="15" thickBot="1">
      <c r="B2568" s="105"/>
      <c r="C2568" s="106"/>
      <c r="D2568" s="106"/>
      <c r="E2568" s="106"/>
      <c r="F2568" s="106"/>
      <c r="G2568" s="106"/>
      <c r="H2568" s="106"/>
      <c r="I2568" s="106"/>
      <c r="J2568" s="106"/>
      <c r="K2568" s="106"/>
      <c r="L2568" s="106"/>
      <c r="M2568" s="106"/>
      <c r="N2568" s="106"/>
      <c r="O2568" s="106"/>
      <c r="P2568" s="106"/>
      <c r="Q2568" s="106"/>
      <c r="R2568" s="106"/>
      <c r="S2568" s="106"/>
      <c r="T2568" s="106"/>
      <c r="U2568" s="106"/>
      <c r="V2568" s="106"/>
      <c r="W2568" s="106"/>
      <c r="X2568" s="106"/>
      <c r="Y2568" s="106"/>
      <c r="Z2568" s="106"/>
      <c r="AA2568" s="106"/>
      <c r="AB2568" s="106"/>
      <c r="AC2568" s="106"/>
      <c r="AD2568" s="106"/>
      <c r="AE2568" s="106"/>
      <c r="AF2568" s="106"/>
      <c r="AG2568" s="106"/>
      <c r="AH2568" s="106"/>
      <c r="AI2568" s="106"/>
      <c r="AJ2568" s="106"/>
      <c r="AK2568" s="106"/>
      <c r="AL2568" s="106"/>
      <c r="AM2568" s="106"/>
      <c r="AN2568" s="106"/>
      <c r="AO2568" s="106"/>
      <c r="AP2568" s="106"/>
      <c r="AQ2568" s="106"/>
      <c r="AR2568" s="106"/>
      <c r="AS2568" s="106"/>
      <c r="AT2568" s="106"/>
      <c r="AU2568" s="106"/>
      <c r="AV2568" s="106"/>
      <c r="AW2568" s="106"/>
      <c r="AX2568" s="106"/>
      <c r="AY2568" s="106"/>
      <c r="AZ2568" s="106"/>
      <c r="BA2568" s="106"/>
      <c r="BB2568" s="106"/>
      <c r="BC2568" s="106"/>
      <c r="BD2568" s="107"/>
    </row>
  </sheetData>
  <mergeCells count="445">
    <mergeCell ref="P280:Q280"/>
    <mergeCell ref="T280:U280"/>
    <mergeCell ref="X280:Y280"/>
    <mergeCell ref="D2541:E2541"/>
    <mergeCell ref="H2541:I2541"/>
    <mergeCell ref="L2541:M2541"/>
    <mergeCell ref="P2541:Q2541"/>
    <mergeCell ref="T2541:U2541"/>
    <mergeCell ref="X2541:Y2541"/>
    <mergeCell ref="X316:Y316"/>
    <mergeCell ref="P352:Q352"/>
    <mergeCell ref="T352:U352"/>
    <mergeCell ref="X352:Y352"/>
    <mergeCell ref="P316:Q316"/>
    <mergeCell ref="T316:U316"/>
    <mergeCell ref="P568:Q568"/>
    <mergeCell ref="T568:U568"/>
    <mergeCell ref="X568:Y568"/>
    <mergeCell ref="P748:Q748"/>
    <mergeCell ref="T748:U748"/>
    <mergeCell ref="X748:Y748"/>
    <mergeCell ref="T784:U784"/>
    <mergeCell ref="X784:Y784"/>
    <mergeCell ref="P676:Q676"/>
    <mergeCell ref="D136:E136"/>
    <mergeCell ref="H182:I182"/>
    <mergeCell ref="L182:M182"/>
    <mergeCell ref="D182:E182"/>
    <mergeCell ref="H136:I136"/>
    <mergeCell ref="L136:M136"/>
    <mergeCell ref="P244:Q244"/>
    <mergeCell ref="T244:U244"/>
    <mergeCell ref="X244:Y244"/>
    <mergeCell ref="J25:K25"/>
    <mergeCell ref="P95:Q95"/>
    <mergeCell ref="H95:I95"/>
    <mergeCell ref="L95:M95"/>
    <mergeCell ref="D116:E116"/>
    <mergeCell ref="H116:I116"/>
    <mergeCell ref="T95:U95"/>
    <mergeCell ref="B22:R22"/>
    <mergeCell ref="D74:E74"/>
    <mergeCell ref="H74:I74"/>
    <mergeCell ref="L74:M74"/>
    <mergeCell ref="J36:K36"/>
    <mergeCell ref="J44:K44"/>
    <mergeCell ref="D25:E25"/>
    <mergeCell ref="F25:G25"/>
    <mergeCell ref="B67:BB67"/>
    <mergeCell ref="C24:G24"/>
    <mergeCell ref="L25:M25"/>
    <mergeCell ref="P30:Q30"/>
    <mergeCell ref="X95:Y95"/>
    <mergeCell ref="D95:E95"/>
    <mergeCell ref="L116:M116"/>
    <mergeCell ref="AV154:AW154"/>
    <mergeCell ref="AZ154:BA154"/>
    <mergeCell ref="AN154:AO154"/>
    <mergeCell ref="AR154:AS154"/>
    <mergeCell ref="AN208:AO208"/>
    <mergeCell ref="AF208:AG208"/>
    <mergeCell ref="AJ208:AK208"/>
    <mergeCell ref="AR208:AS208"/>
    <mergeCell ref="B188:BD188"/>
    <mergeCell ref="AB154:AC154"/>
    <mergeCell ref="AF154:AG154"/>
    <mergeCell ref="AJ154:AK154"/>
    <mergeCell ref="P208:Q208"/>
    <mergeCell ref="T154:U154"/>
    <mergeCell ref="P154:Q154"/>
    <mergeCell ref="X154:Y154"/>
    <mergeCell ref="T208:U208"/>
    <mergeCell ref="X208:Y208"/>
    <mergeCell ref="AB208:AC208"/>
    <mergeCell ref="D154:E154"/>
    <mergeCell ref="H154:I154"/>
    <mergeCell ref="L154:M154"/>
    <mergeCell ref="AN2548:AO2548"/>
    <mergeCell ref="AR2548:AS2548"/>
    <mergeCell ref="AB2541:AC2541"/>
    <mergeCell ref="P388:Q388"/>
    <mergeCell ref="T388:U388"/>
    <mergeCell ref="P460:Q460"/>
    <mergeCell ref="T460:U460"/>
    <mergeCell ref="X460:Y460"/>
    <mergeCell ref="P496:Q496"/>
    <mergeCell ref="T496:U496"/>
    <mergeCell ref="X388:Y388"/>
    <mergeCell ref="P424:Q424"/>
    <mergeCell ref="T424:U424"/>
    <mergeCell ref="X424:Y424"/>
    <mergeCell ref="P604:Q604"/>
    <mergeCell ref="T604:U604"/>
    <mergeCell ref="X604:Y604"/>
    <mergeCell ref="P640:Q640"/>
    <mergeCell ref="T640:U640"/>
    <mergeCell ref="X640:Y640"/>
    <mergeCell ref="X496:Y496"/>
    <mergeCell ref="P532:Q532"/>
    <mergeCell ref="T532:U532"/>
    <mergeCell ref="X532:Y532"/>
    <mergeCell ref="T676:U676"/>
    <mergeCell ref="X676:Y676"/>
    <mergeCell ref="P712:Q712"/>
    <mergeCell ref="T712:U712"/>
    <mergeCell ref="X712:Y712"/>
    <mergeCell ref="P892:Q892"/>
    <mergeCell ref="T892:U892"/>
    <mergeCell ref="X892:Y892"/>
    <mergeCell ref="P784:Q784"/>
    <mergeCell ref="P928:Q928"/>
    <mergeCell ref="T928:U928"/>
    <mergeCell ref="X928:Y928"/>
    <mergeCell ref="P820:Q820"/>
    <mergeCell ref="T820:U820"/>
    <mergeCell ref="X820:Y820"/>
    <mergeCell ref="P856:Q856"/>
    <mergeCell ref="T856:U856"/>
    <mergeCell ref="X856:Y856"/>
    <mergeCell ref="P1036:Q1036"/>
    <mergeCell ref="T1036:U1036"/>
    <mergeCell ref="X1036:Y1036"/>
    <mergeCell ref="P1072:Q1072"/>
    <mergeCell ref="T1072:U1072"/>
    <mergeCell ref="X1072:Y1072"/>
    <mergeCell ref="P964:Q964"/>
    <mergeCell ref="T964:U964"/>
    <mergeCell ref="X964:Y964"/>
    <mergeCell ref="P1000:Q1000"/>
    <mergeCell ref="T1000:U1000"/>
    <mergeCell ref="X1000:Y1000"/>
    <mergeCell ref="P1180:Q1180"/>
    <mergeCell ref="T1180:U1180"/>
    <mergeCell ref="X1180:Y1180"/>
    <mergeCell ref="P1216:Q1216"/>
    <mergeCell ref="T1216:U1216"/>
    <mergeCell ref="X1216:Y1216"/>
    <mergeCell ref="P1108:Q1108"/>
    <mergeCell ref="T1108:U1108"/>
    <mergeCell ref="X1108:Y1108"/>
    <mergeCell ref="P1144:Q1144"/>
    <mergeCell ref="T1144:U1144"/>
    <mergeCell ref="X1144:Y1144"/>
    <mergeCell ref="P1324:Q1324"/>
    <mergeCell ref="T1324:U1324"/>
    <mergeCell ref="X1324:Y1324"/>
    <mergeCell ref="P1360:Q1360"/>
    <mergeCell ref="T1360:U1360"/>
    <mergeCell ref="X1360:Y1360"/>
    <mergeCell ref="P1252:Q1252"/>
    <mergeCell ref="T1252:U1252"/>
    <mergeCell ref="X1252:Y1252"/>
    <mergeCell ref="P1288:Q1288"/>
    <mergeCell ref="T1288:U1288"/>
    <mergeCell ref="X1288:Y1288"/>
    <mergeCell ref="P1468:Q1468"/>
    <mergeCell ref="T1468:U1468"/>
    <mergeCell ref="X1468:Y1468"/>
    <mergeCell ref="P1504:Q1504"/>
    <mergeCell ref="T1504:U1504"/>
    <mergeCell ref="X1504:Y1504"/>
    <mergeCell ref="P1396:Q1396"/>
    <mergeCell ref="T1396:U1396"/>
    <mergeCell ref="X1396:Y1396"/>
    <mergeCell ref="P1432:Q1432"/>
    <mergeCell ref="T1432:U1432"/>
    <mergeCell ref="X1432:Y1432"/>
    <mergeCell ref="P1612:Q1612"/>
    <mergeCell ref="T1612:U1612"/>
    <mergeCell ref="X1612:Y1612"/>
    <mergeCell ref="P1648:Q1648"/>
    <mergeCell ref="T1648:U1648"/>
    <mergeCell ref="X1648:Y1648"/>
    <mergeCell ref="P1540:Q1540"/>
    <mergeCell ref="T1540:U1540"/>
    <mergeCell ref="X1540:Y1540"/>
    <mergeCell ref="P1576:Q1576"/>
    <mergeCell ref="T1576:U1576"/>
    <mergeCell ref="X1576:Y1576"/>
    <mergeCell ref="P1756:Q1756"/>
    <mergeCell ref="T1756:U1756"/>
    <mergeCell ref="X1756:Y1756"/>
    <mergeCell ref="P1792:Q1792"/>
    <mergeCell ref="T1792:U1792"/>
    <mergeCell ref="X1792:Y1792"/>
    <mergeCell ref="P1684:Q1684"/>
    <mergeCell ref="T1684:U1684"/>
    <mergeCell ref="X1684:Y1684"/>
    <mergeCell ref="P1720:Q1720"/>
    <mergeCell ref="T1720:U1720"/>
    <mergeCell ref="X1720:Y1720"/>
    <mergeCell ref="P1900:Q1900"/>
    <mergeCell ref="T1900:U1900"/>
    <mergeCell ref="X1900:Y1900"/>
    <mergeCell ref="P1936:Q1936"/>
    <mergeCell ref="T1936:U1936"/>
    <mergeCell ref="X1936:Y1936"/>
    <mergeCell ref="P1828:Q1828"/>
    <mergeCell ref="T1828:U1828"/>
    <mergeCell ref="X1828:Y1828"/>
    <mergeCell ref="P1864:Q1864"/>
    <mergeCell ref="T1864:U1864"/>
    <mergeCell ref="X1864:Y1864"/>
    <mergeCell ref="P2044:Q2044"/>
    <mergeCell ref="T2044:U2044"/>
    <mergeCell ref="X2044:Y2044"/>
    <mergeCell ref="P2080:Q2080"/>
    <mergeCell ref="T2080:U2080"/>
    <mergeCell ref="X2080:Y2080"/>
    <mergeCell ref="P1972:Q1972"/>
    <mergeCell ref="T1972:U1972"/>
    <mergeCell ref="X1972:Y1972"/>
    <mergeCell ref="P2008:Q2008"/>
    <mergeCell ref="T2008:U2008"/>
    <mergeCell ref="X2008:Y2008"/>
    <mergeCell ref="P2224:Q2224"/>
    <mergeCell ref="T2224:U2224"/>
    <mergeCell ref="X2224:Y2224"/>
    <mergeCell ref="P2116:Q2116"/>
    <mergeCell ref="T2116:U2116"/>
    <mergeCell ref="X2116:Y2116"/>
    <mergeCell ref="P2152:Q2152"/>
    <mergeCell ref="T2152:U2152"/>
    <mergeCell ref="X2152:Y2152"/>
    <mergeCell ref="P2512:Q2512"/>
    <mergeCell ref="T2512:U2512"/>
    <mergeCell ref="X2512:Y2512"/>
    <mergeCell ref="P2404:Q2404"/>
    <mergeCell ref="T2404:U2404"/>
    <mergeCell ref="X2404:Y2404"/>
    <mergeCell ref="P2440:Q2440"/>
    <mergeCell ref="T2440:U2440"/>
    <mergeCell ref="X2440:Y2440"/>
    <mergeCell ref="AB244:AC244"/>
    <mergeCell ref="AF244:AG244"/>
    <mergeCell ref="AJ244:AK244"/>
    <mergeCell ref="AB280:AC280"/>
    <mergeCell ref="AF280:AG280"/>
    <mergeCell ref="AJ280:AK280"/>
    <mergeCell ref="P2476:Q2476"/>
    <mergeCell ref="T2476:U2476"/>
    <mergeCell ref="X2476:Y2476"/>
    <mergeCell ref="P2332:Q2332"/>
    <mergeCell ref="T2332:U2332"/>
    <mergeCell ref="X2332:Y2332"/>
    <mergeCell ref="P2368:Q2368"/>
    <mergeCell ref="T2368:U2368"/>
    <mergeCell ref="X2368:Y2368"/>
    <mergeCell ref="P2260:Q2260"/>
    <mergeCell ref="T2260:U2260"/>
    <mergeCell ref="X2260:Y2260"/>
    <mergeCell ref="P2296:Q2296"/>
    <mergeCell ref="T2296:U2296"/>
    <mergeCell ref="X2296:Y2296"/>
    <mergeCell ref="P2188:Q2188"/>
    <mergeCell ref="T2188:U2188"/>
    <mergeCell ref="X2188:Y2188"/>
    <mergeCell ref="AB388:AC388"/>
    <mergeCell ref="AF388:AG388"/>
    <mergeCell ref="AJ388:AK388"/>
    <mergeCell ref="AB424:AC424"/>
    <mergeCell ref="AF424:AG424"/>
    <mergeCell ref="AJ424:AK424"/>
    <mergeCell ref="AB316:AC316"/>
    <mergeCell ref="AF316:AG316"/>
    <mergeCell ref="AJ316:AK316"/>
    <mergeCell ref="AB352:AC352"/>
    <mergeCell ref="AF352:AG352"/>
    <mergeCell ref="AJ352:AK352"/>
    <mergeCell ref="AB532:AC532"/>
    <mergeCell ref="AF532:AG532"/>
    <mergeCell ref="AJ532:AK532"/>
    <mergeCell ref="AB568:AC568"/>
    <mergeCell ref="AF568:AG568"/>
    <mergeCell ref="AJ568:AK568"/>
    <mergeCell ref="AB460:AC460"/>
    <mergeCell ref="AF460:AG460"/>
    <mergeCell ref="AJ460:AK460"/>
    <mergeCell ref="AB496:AC496"/>
    <mergeCell ref="AF496:AG496"/>
    <mergeCell ref="AJ496:AK496"/>
    <mergeCell ref="AB676:AC676"/>
    <mergeCell ref="AF676:AG676"/>
    <mergeCell ref="AJ676:AK676"/>
    <mergeCell ref="AB712:AC712"/>
    <mergeCell ref="AF712:AG712"/>
    <mergeCell ref="AJ712:AK712"/>
    <mergeCell ref="AB604:AC604"/>
    <mergeCell ref="AF604:AG604"/>
    <mergeCell ref="AJ604:AK604"/>
    <mergeCell ref="AB640:AC640"/>
    <mergeCell ref="AF640:AG640"/>
    <mergeCell ref="AJ640:AK640"/>
    <mergeCell ref="AB820:AC820"/>
    <mergeCell ref="AF820:AG820"/>
    <mergeCell ref="AJ820:AK820"/>
    <mergeCell ref="AB856:AC856"/>
    <mergeCell ref="AF856:AG856"/>
    <mergeCell ref="AJ856:AK856"/>
    <mergeCell ref="AB748:AC748"/>
    <mergeCell ref="AF748:AG748"/>
    <mergeCell ref="AJ748:AK748"/>
    <mergeCell ref="AB784:AC784"/>
    <mergeCell ref="AF784:AG784"/>
    <mergeCell ref="AJ784:AK784"/>
    <mergeCell ref="AB964:AC964"/>
    <mergeCell ref="AF964:AG964"/>
    <mergeCell ref="AJ964:AK964"/>
    <mergeCell ref="AB1000:AC1000"/>
    <mergeCell ref="AF1000:AG1000"/>
    <mergeCell ref="AJ1000:AK1000"/>
    <mergeCell ref="AB892:AC892"/>
    <mergeCell ref="AF892:AG892"/>
    <mergeCell ref="AJ892:AK892"/>
    <mergeCell ref="AB928:AC928"/>
    <mergeCell ref="AF928:AG928"/>
    <mergeCell ref="AJ928:AK928"/>
    <mergeCell ref="AB1108:AC1108"/>
    <mergeCell ref="AF1108:AG1108"/>
    <mergeCell ref="AJ1108:AK1108"/>
    <mergeCell ref="AB1144:AC1144"/>
    <mergeCell ref="AF1144:AG1144"/>
    <mergeCell ref="AJ1144:AK1144"/>
    <mergeCell ref="AB1036:AC1036"/>
    <mergeCell ref="AF1036:AG1036"/>
    <mergeCell ref="AJ1036:AK1036"/>
    <mergeCell ref="AB1072:AC1072"/>
    <mergeCell ref="AF1072:AG1072"/>
    <mergeCell ref="AJ1072:AK1072"/>
    <mergeCell ref="AB1252:AC1252"/>
    <mergeCell ref="AF1252:AG1252"/>
    <mergeCell ref="AJ1252:AK1252"/>
    <mergeCell ref="AB1288:AC1288"/>
    <mergeCell ref="AF1288:AG1288"/>
    <mergeCell ref="AJ1288:AK1288"/>
    <mergeCell ref="AB1180:AC1180"/>
    <mergeCell ref="AF1180:AG1180"/>
    <mergeCell ref="AJ1180:AK1180"/>
    <mergeCell ref="AB1216:AC1216"/>
    <mergeCell ref="AF1216:AG1216"/>
    <mergeCell ref="AJ1216:AK1216"/>
    <mergeCell ref="AB1396:AC1396"/>
    <mergeCell ref="AF1396:AG1396"/>
    <mergeCell ref="AJ1396:AK1396"/>
    <mergeCell ref="AB1432:AC1432"/>
    <mergeCell ref="AF1432:AG1432"/>
    <mergeCell ref="AJ1432:AK1432"/>
    <mergeCell ref="AB1324:AC1324"/>
    <mergeCell ref="AF1324:AG1324"/>
    <mergeCell ref="AJ1324:AK1324"/>
    <mergeCell ref="AB1360:AC1360"/>
    <mergeCell ref="AF1360:AG1360"/>
    <mergeCell ref="AJ1360:AK1360"/>
    <mergeCell ref="AB1540:AC1540"/>
    <mergeCell ref="AF1540:AG1540"/>
    <mergeCell ref="AJ1540:AK1540"/>
    <mergeCell ref="AB1576:AC1576"/>
    <mergeCell ref="AF1576:AG1576"/>
    <mergeCell ref="AJ1576:AK1576"/>
    <mergeCell ref="AB1468:AC1468"/>
    <mergeCell ref="AF1468:AG1468"/>
    <mergeCell ref="AJ1468:AK1468"/>
    <mergeCell ref="AB1504:AC1504"/>
    <mergeCell ref="AF1504:AG1504"/>
    <mergeCell ref="AJ1504:AK1504"/>
    <mergeCell ref="AB1684:AC1684"/>
    <mergeCell ref="AF1684:AG1684"/>
    <mergeCell ref="AJ1684:AK1684"/>
    <mergeCell ref="AB1720:AC1720"/>
    <mergeCell ref="AF1720:AG1720"/>
    <mergeCell ref="AJ1720:AK1720"/>
    <mergeCell ref="AB1612:AC1612"/>
    <mergeCell ref="AF1612:AG1612"/>
    <mergeCell ref="AJ1612:AK1612"/>
    <mergeCell ref="AB1648:AC1648"/>
    <mergeCell ref="AF1648:AG1648"/>
    <mergeCell ref="AJ1648:AK1648"/>
    <mergeCell ref="AB1828:AC1828"/>
    <mergeCell ref="AF1828:AG1828"/>
    <mergeCell ref="AJ1828:AK1828"/>
    <mergeCell ref="AB1864:AC1864"/>
    <mergeCell ref="AF1864:AG1864"/>
    <mergeCell ref="AJ1864:AK1864"/>
    <mergeCell ref="AB1756:AC1756"/>
    <mergeCell ref="AF1756:AG1756"/>
    <mergeCell ref="AJ1756:AK1756"/>
    <mergeCell ref="AB1792:AC1792"/>
    <mergeCell ref="AF1792:AG1792"/>
    <mergeCell ref="AJ1792:AK1792"/>
    <mergeCell ref="AB1972:AC1972"/>
    <mergeCell ref="AF1972:AG1972"/>
    <mergeCell ref="AJ1972:AK1972"/>
    <mergeCell ref="AB2008:AC2008"/>
    <mergeCell ref="AF2008:AG2008"/>
    <mergeCell ref="AJ2008:AK2008"/>
    <mergeCell ref="AB1900:AC1900"/>
    <mergeCell ref="AF1900:AG1900"/>
    <mergeCell ref="AJ1900:AK1900"/>
    <mergeCell ref="AB1936:AC1936"/>
    <mergeCell ref="AF1936:AG1936"/>
    <mergeCell ref="AJ1936:AK1936"/>
    <mergeCell ref="AB2116:AC2116"/>
    <mergeCell ref="AF2116:AG2116"/>
    <mergeCell ref="AJ2116:AK2116"/>
    <mergeCell ref="AB2152:AC2152"/>
    <mergeCell ref="AF2152:AG2152"/>
    <mergeCell ref="AJ2152:AK2152"/>
    <mergeCell ref="AB2044:AC2044"/>
    <mergeCell ref="AF2044:AG2044"/>
    <mergeCell ref="AJ2044:AK2044"/>
    <mergeCell ref="AB2080:AC2080"/>
    <mergeCell ref="AF2080:AG2080"/>
    <mergeCell ref="AJ2080:AK2080"/>
    <mergeCell ref="AB2260:AC2260"/>
    <mergeCell ref="AF2260:AG2260"/>
    <mergeCell ref="AJ2260:AK2260"/>
    <mergeCell ref="AB2296:AC2296"/>
    <mergeCell ref="AF2296:AG2296"/>
    <mergeCell ref="AJ2296:AK2296"/>
    <mergeCell ref="AB2188:AC2188"/>
    <mergeCell ref="AF2188:AG2188"/>
    <mergeCell ref="AJ2188:AK2188"/>
    <mergeCell ref="AB2224:AC2224"/>
    <mergeCell ref="AF2224:AG2224"/>
    <mergeCell ref="AJ2224:AK2224"/>
    <mergeCell ref="AF2541:AG2541"/>
    <mergeCell ref="AJ2541:AK2541"/>
    <mergeCell ref="AB2476:AC2476"/>
    <mergeCell ref="AF2476:AG2476"/>
    <mergeCell ref="AJ2476:AK2476"/>
    <mergeCell ref="AB2512:AC2512"/>
    <mergeCell ref="AB2332:AC2332"/>
    <mergeCell ref="AF2332:AG2332"/>
    <mergeCell ref="AJ2332:AK2332"/>
    <mergeCell ref="AF2512:AG2512"/>
    <mergeCell ref="AB2368:AC2368"/>
    <mergeCell ref="AF2368:AG2368"/>
    <mergeCell ref="AJ2368:AK2368"/>
    <mergeCell ref="AB2404:AC2404"/>
    <mergeCell ref="AF2404:AG2404"/>
    <mergeCell ref="AJ2404:AK2404"/>
    <mergeCell ref="AJ2512:AK2512"/>
    <mergeCell ref="AB2440:AC2440"/>
    <mergeCell ref="AF2440:AG2440"/>
    <mergeCell ref="AJ2440:AK2440"/>
  </mergeCells>
  <phoneticPr fontId="11" type="noConversion"/>
  <pageMargins left="0.75" right="0.75" top="1" bottom="1" header="0.4921259845" footer="0.4921259845"/>
  <pageSetup paperSize="9" orientation="portrait" verticalDpi="90" r:id="rId1"/>
  <headerFooter alignWithMargins="0"/>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202</vt:i4>
      </vt:variant>
    </vt:vector>
  </HeadingPairs>
  <TitlesOfParts>
    <vt:vector size="206" baseType="lpstr">
      <vt:lpstr>Title Page</vt:lpstr>
      <vt:lpstr>Fuselage</vt:lpstr>
      <vt:lpstr>Analysis</vt:lpstr>
      <vt:lpstr>Data Fuselage</vt:lpstr>
      <vt:lpstr>area_fuselage_bc_1</vt:lpstr>
      <vt:lpstr>area_fuselage_bc_2</vt:lpstr>
      <vt:lpstr>area_fuselage_bc_3</vt:lpstr>
      <vt:lpstr>area_fuselage_bc_4</vt:lpstr>
      <vt:lpstr>area_fuselage_bc_5</vt:lpstr>
      <vt:lpstr>area_fuselage_bc_6</vt:lpstr>
      <vt:lpstr>area_fuselage_bc_7</vt:lpstr>
      <vt:lpstr>area_fuselage_bc_lavatories</vt:lpstr>
      <vt:lpstr>area_fuselage_double_container</vt:lpstr>
      <vt:lpstr>area_fuselage_fc_1</vt:lpstr>
      <vt:lpstr>area_fuselage_fc_2</vt:lpstr>
      <vt:lpstr>area_fuselage_fc_3</vt:lpstr>
      <vt:lpstr>area_fuselage_fc_4</vt:lpstr>
      <vt:lpstr>area_fuselage_fc_5</vt:lpstr>
      <vt:lpstr>area_fuselage_fc_6</vt:lpstr>
      <vt:lpstr>area_fuselage_fc_7</vt:lpstr>
      <vt:lpstr>area_fuselage_fc_lavatories</vt:lpstr>
      <vt:lpstr>area_fuselage_middle_aisle_BC</vt:lpstr>
      <vt:lpstr>area_fuselage_middle_aisle_FC</vt:lpstr>
      <vt:lpstr>area_fuselage_middle_aisle_rails</vt:lpstr>
      <vt:lpstr>area_fuselage_middle_aisle_rails_distance</vt:lpstr>
      <vt:lpstr>area_fuselage_middle_aisle_YC</vt:lpstr>
      <vt:lpstr>CONTAINER_base_width</vt:lpstr>
      <vt:lpstr>CONTAINER_height</vt:lpstr>
      <vt:lpstr>CONTAINER_is_half_sized</vt:lpstr>
      <vt:lpstr>CONTAINER_is_rectangular</vt:lpstr>
      <vt:lpstr>CONTAINER_overall_width</vt:lpstr>
      <vt:lpstr>Analysis!Criteria</vt:lpstr>
      <vt:lpstr>FUSELAGE_a_ellipse</vt:lpstr>
      <vt:lpstr>FUSELAGE_attendant_seat_choice_list</vt:lpstr>
      <vt:lpstr>FUSELAGE_automatic_cross_section_optimization</vt:lpstr>
      <vt:lpstr>FUSELAGE_automatic_seatrails_positionning</vt:lpstr>
      <vt:lpstr>FUSELAGE_b_ellipse</vt:lpstr>
      <vt:lpstr>FUSELAGE_classes_list</vt:lpstr>
      <vt:lpstr>FUSELAGE_classes_result</vt:lpstr>
      <vt:lpstr>FUSELAGE_containers_list</vt:lpstr>
      <vt:lpstr>FUSELAGE_containers_result</vt:lpstr>
      <vt:lpstr>FUSELAGE_d_fi</vt:lpstr>
      <vt:lpstr>FUSELAGE_d_fo</vt:lpstr>
      <vt:lpstr>FUSELAGE_delta_yrails_left</vt:lpstr>
      <vt:lpstr>FUSELAGE_delta_yrails_left_saved_value</vt:lpstr>
      <vt:lpstr>FUSELAGE_delta_yrails_right</vt:lpstr>
      <vt:lpstr>FUSELAGE_delta_yrails_right_saved_value</vt:lpstr>
      <vt:lpstr>FUSELAGE_display_class</vt:lpstr>
      <vt:lpstr>FUSELAGE_display_class_list</vt:lpstr>
      <vt:lpstr>FUSELAGE_display_class_result</vt:lpstr>
      <vt:lpstr>FUSELAGE_double_containers_list</vt:lpstr>
      <vt:lpstr>FUSELAGE_double_containers_result</vt:lpstr>
      <vt:lpstr>FUSELAGE_drails_left</vt:lpstr>
      <vt:lpstr>FUSELAGE_drails_left_saved_value</vt:lpstr>
      <vt:lpstr>FUSELAGE_drails_middle</vt:lpstr>
      <vt:lpstr>FUSELAGE_drails_middle_saved_value</vt:lpstr>
      <vt:lpstr>FUSELAGE_drails_right</vt:lpstr>
      <vt:lpstr>FUSELAGE_drails_right_saved_value</vt:lpstr>
      <vt:lpstr>FUSELAGE_dseat_seat_rail</vt:lpstr>
      <vt:lpstr>FUSELAGE_dseat_seat_rail_saved_value</vt:lpstr>
      <vt:lpstr>FUSELAGE_Dxnose</vt:lpstr>
      <vt:lpstr>FUSELAGE_Dxtail</vt:lpstr>
      <vt:lpstr>FUSELAGE_Dz_floor</vt:lpstr>
      <vt:lpstr>FUSELAGE_exit_limit_choice_list</vt:lpstr>
      <vt:lpstr>FUSELAGE_exit_type_list</vt:lpstr>
      <vt:lpstr>FUSELAGE_h_aisle</vt:lpstr>
      <vt:lpstr>FUSELAGE_h_fo</vt:lpstr>
      <vt:lpstr>FUSELAGE_h_w</vt:lpstr>
      <vt:lpstr>FUSELAGE_has_container</vt:lpstr>
      <vt:lpstr>FUSELAGE_height_width_ratio_scrollbar</vt:lpstr>
      <vt:lpstr>FUSELAGE_hside_seatrail</vt:lpstr>
      <vt:lpstr>FUSELAGE_hside_seatrail_saved_value</vt:lpstr>
      <vt:lpstr>FUSELAGE_include_nose_for_water_ditching</vt:lpstr>
      <vt:lpstr>FUSELAGE_include_tail_for_water_ditching</vt:lpstr>
      <vt:lpstr>FUSELAGE_is_double_container</vt:lpstr>
      <vt:lpstr>FUSELAGE_k_galley</vt:lpstr>
      <vt:lpstr>FUSELAGE_kCC</vt:lpstr>
      <vt:lpstr>FUSELAGE_kOS</vt:lpstr>
      <vt:lpstr>FUSELAGE_l_cabin</vt:lpstr>
      <vt:lpstr>FUSELAGE_l_fuselage</vt:lpstr>
      <vt:lpstr>FUSELAGE_l_galley_BC</vt:lpstr>
      <vt:lpstr>FUSELAGE_l_galley_FC</vt:lpstr>
      <vt:lpstr>FUSELAGE_l_galley_YC</vt:lpstr>
      <vt:lpstr>FUSELAGE_l_lavatory</vt:lpstr>
      <vt:lpstr>FUSELAGE_lavatory_recommandation_BC</vt:lpstr>
      <vt:lpstr>FUSELAGE_lavatory_recommandation_FC</vt:lpstr>
      <vt:lpstr>FUSELAGE_lavatory_recommandation_YC</vt:lpstr>
      <vt:lpstr>FUSELAGE_lnose</vt:lpstr>
      <vt:lpstr>FUSELAGE_lnose_df</vt:lpstr>
      <vt:lpstr>FUSELAGE_ltail</vt:lpstr>
      <vt:lpstr>FUSELAGE_ltail_df</vt:lpstr>
      <vt:lpstr>FUSELAGE_mbaggage</vt:lpstr>
      <vt:lpstr>FUSELAGE_mbaggage_total</vt:lpstr>
      <vt:lpstr>FUSELAGE_monuments_center_list</vt:lpstr>
      <vt:lpstr>FUSELAGE_monuments_side_list</vt:lpstr>
      <vt:lpstr>FUSELAGE_n_aisles</vt:lpstr>
      <vt:lpstr>FUSELAGE_n_aisles_list</vt:lpstr>
      <vt:lpstr>FUSELAGE_n_aisles_result</vt:lpstr>
      <vt:lpstr>FUSELAGE_n_galley_BC</vt:lpstr>
      <vt:lpstr>FUSELAGE_n_galley_FC</vt:lpstr>
      <vt:lpstr>FUSELAGE_n_galley_YC</vt:lpstr>
      <vt:lpstr>FUSELAGE_n_lavatories_BC</vt:lpstr>
      <vt:lpstr>FUSELAGE_n_lavatories_FC</vt:lpstr>
      <vt:lpstr>FUSELAGE_n_lavatories_YC</vt:lpstr>
      <vt:lpstr>FUSELAGE_n_pax</vt:lpstr>
      <vt:lpstr>FUSELAGE_n_pax_BC</vt:lpstr>
      <vt:lpstr>FUSELAGE_n_pax_FC</vt:lpstr>
      <vt:lpstr>FUSELAGE_n_pax_YC</vt:lpstr>
      <vt:lpstr>FUSELAGE_n_rows_BC</vt:lpstr>
      <vt:lpstr>FUSELAGE_n_rows_FC</vt:lpstr>
      <vt:lpstr>FUSELAGE_n_rows_YC</vt:lpstr>
      <vt:lpstr>FUSELAGE_n_SA_BC</vt:lpstr>
      <vt:lpstr>FUSELAGE_n_SA_FC</vt:lpstr>
      <vt:lpstr>FUSELAGE_n_SA_YC</vt:lpstr>
      <vt:lpstr>FUSELAGE_nclasses</vt:lpstr>
      <vt:lpstr>FUSELAGE_nOS_ce</vt:lpstr>
      <vt:lpstr>FUSELAGE_nOS_lat</vt:lpstr>
      <vt:lpstr>FUSELAGE_nrails_left</vt:lpstr>
      <vt:lpstr>FUSELAGE_nrails_middle</vt:lpstr>
      <vt:lpstr>FUSELAGE_nrails_right</vt:lpstr>
      <vt:lpstr>FUSELAGE_nseats_left</vt:lpstr>
      <vt:lpstr>FUSELAGE_nseats_left_BC</vt:lpstr>
      <vt:lpstr>FUSELAGE_nseats_left_FC</vt:lpstr>
      <vt:lpstr>FUSELAGE_nseats_left_YC</vt:lpstr>
      <vt:lpstr>FUSELAGE_nseats_middle</vt:lpstr>
      <vt:lpstr>FUSELAGE_nseats_middle_BC</vt:lpstr>
      <vt:lpstr>FUSELAGE_nseats_middle_FC</vt:lpstr>
      <vt:lpstr>FUSELAGE_nseats_middle_YC</vt:lpstr>
      <vt:lpstr>FUSELAGE_nseats_right</vt:lpstr>
      <vt:lpstr>FUSELAGE_nseats_right_BC</vt:lpstr>
      <vt:lpstr>FUSELAGE_nseats_right_FC</vt:lpstr>
      <vt:lpstr>FUSELAGE_nseats_right_YC</vt:lpstr>
      <vt:lpstr>FUSELAGE_pourcentage_BC</vt:lpstr>
      <vt:lpstr>FUSELAGE_pourcentage_FC</vt:lpstr>
      <vt:lpstr>FUSELAGE_pourcentage_YC</vt:lpstr>
      <vt:lpstr>FUSELAGE_S_galley_BC</vt:lpstr>
      <vt:lpstr>FUSELAGE_S_galley_FC</vt:lpstr>
      <vt:lpstr>FUSELAGE_S_galley_YC</vt:lpstr>
      <vt:lpstr>FUSELAGE_S_galleys</vt:lpstr>
      <vt:lpstr>FUSELAGE_S_galleys_BC</vt:lpstr>
      <vt:lpstr>FUSELAGE_S_galleys_FC</vt:lpstr>
      <vt:lpstr>FUSELAGE_S_galleys_YC</vt:lpstr>
      <vt:lpstr>FUSELAGE_SCC</vt:lpstr>
      <vt:lpstr>FUSELAGE_show_seat_rails</vt:lpstr>
      <vt:lpstr>FUSELAGE_show_wings</vt:lpstr>
      <vt:lpstr>FUSELAGE_SOS_ce</vt:lpstr>
      <vt:lpstr>FUSELAGE_SOS_lat</vt:lpstr>
      <vt:lpstr>FUSELAGE_SOS_tot</vt:lpstr>
      <vt:lpstr>FUSELAGE_t_floor</vt:lpstr>
      <vt:lpstr>FUSELAGE_t_fuselage</vt:lpstr>
      <vt:lpstr>FUSELAGE_units_choice</vt:lpstr>
      <vt:lpstr>FUSELAGE_units_choice2</vt:lpstr>
      <vt:lpstr>FUSELAGE_use_central_hatrack</vt:lpstr>
      <vt:lpstr>FUSELAGE_use_side_seatrails</vt:lpstr>
      <vt:lpstr>FUSELAGE_VB</vt:lpstr>
      <vt:lpstr>FUSELAGE_VC</vt:lpstr>
      <vt:lpstr>FUSELAGE_Vcargo</vt:lpstr>
      <vt:lpstr>FUSELAGE_VOSS</vt:lpstr>
      <vt:lpstr>FUSELAGE_w_aisle</vt:lpstr>
      <vt:lpstr>FUSELAGE_w_aisle_BC</vt:lpstr>
      <vt:lpstr>FUSELAGE_w_aisle_FC</vt:lpstr>
      <vt:lpstr>FUSELAGE_w_aisle_YC</vt:lpstr>
      <vt:lpstr>FUSELAGE_w_fo</vt:lpstr>
      <vt:lpstr>FUSELAGE_w_galley_BC</vt:lpstr>
      <vt:lpstr>FUSELAGE_w_galley_FC</vt:lpstr>
      <vt:lpstr>FUSELAGE_w_galley_YC</vt:lpstr>
      <vt:lpstr>FUSELAGE_w_lavatory</vt:lpstr>
      <vt:lpstr>FUSELAGE_y_position_of_left_seat</vt:lpstr>
      <vt:lpstr>FUSELAGE_y_position_of_left_seat_YC</vt:lpstr>
      <vt:lpstr>FUSELAGE_Δxnose</vt:lpstr>
      <vt:lpstr>FUSELAGE_Δxtail</vt:lpstr>
      <vt:lpstr>FUSELAGE_Δyrails_left</vt:lpstr>
      <vt:lpstr>FUSELAGE_Δyrails_left_saved_value</vt:lpstr>
      <vt:lpstr>FUSELAGE_Δyrails_right</vt:lpstr>
      <vt:lpstr>FUSELAGE_Δyrails_right_saved_value</vt:lpstr>
      <vt:lpstr>LOWERDECK_h_ld</vt:lpstr>
      <vt:lpstr>LOWERDECK_w_ldbottom</vt:lpstr>
      <vt:lpstr>LOWERDECK_w_ldtop</vt:lpstr>
      <vt:lpstr>PAX_d_hw</vt:lpstr>
      <vt:lpstr>PAX_d_sw</vt:lpstr>
      <vt:lpstr>PAX_Dy_eye</vt:lpstr>
      <vt:lpstr>PAX_Dy_midshoulder</vt:lpstr>
      <vt:lpstr>PAX_w_shoulder</vt:lpstr>
      <vt:lpstr>Preliminary_Sizing_mMTO</vt:lpstr>
      <vt:lpstr>REQUIREMENT_mcargo</vt:lpstr>
      <vt:lpstr>REQUIREMENT_R</vt:lpstr>
      <vt:lpstr>SEAT_delta_width_floor</vt:lpstr>
      <vt:lpstr>SEAT_Dy_cushion</vt:lpstr>
      <vt:lpstr>SEAT_h_armrest_bottom</vt:lpstr>
      <vt:lpstr>SEAT_h_armrest_top</vt:lpstr>
      <vt:lpstr>SEAT_h_backrest</vt:lpstr>
      <vt:lpstr>SEAT_length_BC</vt:lpstr>
      <vt:lpstr>SEAT_length_FC</vt:lpstr>
      <vt:lpstr>SEAT_length_YC</vt:lpstr>
      <vt:lpstr>SEAT_pitch_BC</vt:lpstr>
      <vt:lpstr>SEAT_pitch_FC</vt:lpstr>
      <vt:lpstr>SEAT_pitch_YC</vt:lpstr>
      <vt:lpstr>SEAT_t_cushion</vt:lpstr>
      <vt:lpstr>SEAT_w_armrest</vt:lpstr>
      <vt:lpstr>SEAT_w_armrest_BC</vt:lpstr>
      <vt:lpstr>SEAT_w_armrest_FC</vt:lpstr>
      <vt:lpstr>SEAT_w_armrest_YC</vt:lpstr>
      <vt:lpstr>SEAT_w_cushion</vt:lpstr>
      <vt:lpstr>SEAT_w_cushion_BC</vt:lpstr>
      <vt:lpstr>SEAT_w_cushion_FC</vt:lpstr>
      <vt:lpstr>SEAT_w_cushion_YC</vt:lpstr>
    </vt:vector>
  </TitlesOfParts>
  <Company>HAW Hamburg</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Aero - Aircraft Design and Systems Group</dc:creator>
  <cp:lastModifiedBy>Sherine Sung</cp:lastModifiedBy>
  <cp:lastPrinted>2010-05-27T08:15:13Z</cp:lastPrinted>
  <dcterms:created xsi:type="dcterms:W3CDTF">2008-03-24T14:25:55Z</dcterms:created>
  <dcterms:modified xsi:type="dcterms:W3CDTF">2026-05-06T07:30:11Z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given_sLFL" linkTarget="PROP_given_sLFL">
    <vt:r8>229.06180298405</vt:r8>
  </property>
  <property fmtid="{D5CDD505-2E9C-101B-9397-08002B2CF9AE}" pid="3" name="given_VAPP" linkTarget="PROP_given_VAPP">
    <vt:r8>229.06180298405</vt:r8>
  </property>
  <property fmtid="{D5CDD505-2E9C-101B-9397-08002B2CF9AE}" pid="4" name="mcargo" linkTarget="PROP_mcargo">
    <vt:lpwstr/>
  </property>
  <property fmtid="{D5CDD505-2E9C-101B-9397-08002B2CF9AE}" pid="5" name="MCR" linkTarget="PROP_MCR">
    <vt:lpwstr/>
  </property>
  <property fmtid="{D5CDD505-2E9C-101B-9397-08002B2CF9AE}" pid="6" name="nE" linkTarget="PROP_nE">
    <vt:lpwstr/>
  </property>
  <property fmtid="{D5CDD505-2E9C-101B-9397-08002B2CF9AE}" pid="7" name="nPAX" linkTarget="PROP_nPAX">
    <vt:r8>445.26052415906</vt:r8>
  </property>
  <property fmtid="{D5CDD505-2E9C-101B-9397-08002B2CF9AE}" pid="8" name="R_design" linkTarget="PROP_R_design">
    <vt:r8>445.26052415906</vt:r8>
  </property>
  <property fmtid="{D5CDD505-2E9C-101B-9397-08002B2CF9AE}" pid="9" name="sTOFL" linkTarget="PROP_sTOFL">
    <vt:r8>445.26052415906</vt:r8>
  </property>
  <property fmtid="{D5CDD505-2E9C-101B-9397-08002B2CF9AE}" pid="10" name="CLmaxL" linkTarget="PROP_CLmaxL">
    <vt:lpwstr>#REF!</vt:lpwstr>
  </property>
  <property fmtid="{D5CDD505-2E9C-101B-9397-08002B2CF9AE}" pid="11" name="DTL_landing" linkTarget="PROP_DTL_landing">
    <vt:lpwstr>#REF!</vt:lpwstr>
  </property>
  <property fmtid="{D5CDD505-2E9C-101B-9397-08002B2CF9AE}" pid="12" name="given_kL" linkTarget="PROP_given_kL">
    <vt:lpwstr>#REF!</vt:lpwstr>
  </property>
  <property fmtid="{D5CDD505-2E9C-101B-9397-08002B2CF9AE}" pid="13" name="is_landing_field_length_given" linkTarget="PROP_is_landing_field_length_given">
    <vt:r8>229.06180298405</vt:r8>
  </property>
  <property fmtid="{D5CDD505-2E9C-101B-9397-08002B2CF9AE}" pid="14" name="kAPP" linkTarget="PROP_kAPP">
    <vt:lpwstr>#REF!</vt:lpwstr>
  </property>
  <property fmtid="{D5CDD505-2E9C-101B-9397-08002B2CF9AE}" pid="15" name="kL" linkTarget="PROP_kL">
    <vt:lpwstr>#REF!</vt:lpwstr>
  </property>
  <property fmtid="{D5CDD505-2E9C-101B-9397-08002B2CF9AE}" pid="16" name="LANDING_is_fixed_value" linkTarget="PROP_LANDING_is_fixed_value">
    <vt:lpwstr>#REF!</vt:lpwstr>
  </property>
  <property fmtid="{D5CDD505-2E9C-101B-9397-08002B2CF9AE}" pid="17" name="mML_mTO" linkTarget="PROP_mML_mTO">
    <vt:lpwstr/>
  </property>
  <property fmtid="{D5CDD505-2E9C-101B-9397-08002B2CF9AE}" pid="18" name="mML_SW" linkTarget="PROP_mML_SW">
    <vt:lpwstr>#REF!</vt:lpwstr>
  </property>
  <property fmtid="{D5CDD505-2E9C-101B-9397-08002B2CF9AE}" pid="19" name="mMTO_SW" linkTarget="PROP_mMTO_SW">
    <vt:lpwstr>#REF!</vt:lpwstr>
  </property>
  <property fmtid="{D5CDD505-2E9C-101B-9397-08002B2CF9AE}" pid="20" name="sLFL" linkTarget="PROP_sLFL">
    <vt:lpwstr>#REF!</vt:lpwstr>
  </property>
  <property fmtid="{D5CDD505-2E9C-101B-9397-08002B2CF9AE}" pid="21" name="VAPP" linkTarget="PROP_VAPP">
    <vt:lpwstr>#REF!</vt:lpwstr>
  </property>
  <property fmtid="{D5CDD505-2E9C-101B-9397-08002B2CF9AE}" pid="22" name="σ_landing" linkTarget="PROP_σ_landing">
    <vt:lpwstr>#REF!</vt:lpwstr>
  </property>
  <property fmtid="{D5CDD505-2E9C-101B-9397-08002B2CF9AE}" pid="23" name="CLmaxL_experience" linkTarget="PROP_CLmaxL_experience">
    <vt:lpwstr/>
  </property>
  <property fmtid="{D5CDD505-2E9C-101B-9397-08002B2CF9AE}" pid="24" name="CLmaxTO" linkTarget="PROP_CLmaxTO">
    <vt:lpwstr>#REF!</vt:lpwstr>
  </property>
  <property fmtid="{D5CDD505-2E9C-101B-9397-08002B2CF9AE}" pid="25" name="dD" linkTarget="PROP_dD">
    <vt:lpwstr>#REF!</vt:lpwstr>
  </property>
  <property fmtid="{D5CDD505-2E9C-101B-9397-08002B2CF9AE}" pid="26" name="DTL_takeoff" linkTarget="PROP_DTL_takeoff">
    <vt:lpwstr/>
  </property>
  <property fmtid="{D5CDD505-2E9C-101B-9397-08002B2CF9AE}" pid="27" name="kTO" linkTarget="PROP_kTO">
    <vt:lpwstr>#REF!</vt:lpwstr>
  </property>
  <property fmtid="{D5CDD505-2E9C-101B-9397-08002B2CF9AE}" pid="28" name="PSTO_nE" linkTarget="PROP_PSTO_nE">
    <vt:lpwstr>#REF!</vt:lpwstr>
  </property>
  <property fmtid="{D5CDD505-2E9C-101B-9397-08002B2CF9AE}" pid="29" name="SD" linkTarget="PROP_SD">
    <vt:lpwstr>#REF!</vt:lpwstr>
  </property>
  <property fmtid="{D5CDD505-2E9C-101B-9397-08002B2CF9AE}" pid="30" name="takeoff_slope" linkTarget="PROP_takeoff_slope">
    <vt:lpwstr>#REF!</vt:lpwstr>
  </property>
  <property fmtid="{D5CDD505-2E9C-101B-9397-08002B2CF9AE}" pid="31" name="thrust_to_weight_ratio_takeoff" linkTarget="PROP_thrust_to_weight_ratio_takeoff">
    <vt:lpwstr/>
  </property>
  <property fmtid="{D5CDD505-2E9C-101B-9397-08002B2CF9AE}" pid="32" name="VS0" linkTarget="PROP_VS0">
    <vt:lpwstr>#REF!</vt:lpwstr>
  </property>
  <property fmtid="{D5CDD505-2E9C-101B-9397-08002B2CF9AE}" pid="33" name="VS1" linkTarget="PROP_VS1">
    <vt:lpwstr>#REF!</vt:lpwstr>
  </property>
  <property fmtid="{D5CDD505-2E9C-101B-9397-08002B2CF9AE}" pid="34" name="VS2" linkTarget="PROP_VS2">
    <vt:lpwstr/>
  </property>
  <property fmtid="{D5CDD505-2E9C-101B-9397-08002B2CF9AE}" pid="35" name="x1" linkTarget="PROP_x1">
    <vt:lpwstr>#REF!</vt:lpwstr>
  </property>
  <property fmtid="{D5CDD505-2E9C-101B-9397-08002B2CF9AE}" pid="36" name="x2" linkTarget="PROP_x2">
    <vt:lpwstr>#REF!</vt:lpwstr>
  </property>
  <property fmtid="{D5CDD505-2E9C-101B-9397-08002B2CF9AE}" pid="37" name="x3" linkTarget="PROP_x3">
    <vt:lpwstr>#REF!</vt:lpwstr>
  </property>
  <property fmtid="{D5CDD505-2E9C-101B-9397-08002B2CF9AE}" pid="38" name="x4" linkTarget="PROP_x4">
    <vt:lpwstr>#REF!</vt:lpwstr>
  </property>
  <property fmtid="{D5CDD505-2E9C-101B-9397-08002B2CF9AE}" pid="39" name="σ_takeoff" linkTarget="PROP_σ_takeoff">
    <vt:lpwstr>#REF!</vt:lpwstr>
  </property>
  <property fmtid="{D5CDD505-2E9C-101B-9397-08002B2CF9AE}" pid="40" name="average_V2" linkTarget="PROP_average_V2">
    <vt:lpwstr>#REF!</vt:lpwstr>
  </property>
  <property fmtid="{D5CDD505-2E9C-101B-9397-08002B2CF9AE}" pid="41" name="LD" linkTarget="PROP_LD">
    <vt:lpwstr>#REF!</vt:lpwstr>
  </property>
  <property fmtid="{D5CDD505-2E9C-101B-9397-08002B2CF9AE}" pid="42" name="automatic_propeller_efficiency_takeoff" linkTarget="PROP_automatic_propeller_efficiency_takeoff">
    <vt:lpwstr>#REF!</vt:lpwstr>
  </property>
  <property fmtid="{D5CDD505-2E9C-101B-9397-08002B2CF9AE}" pid="43" name="given_propeller_efficiency_takeoff" linkTarget="PROP_given_propeller_efficiency_takeoff">
    <vt:lpwstr>#REF!</vt:lpwstr>
  </property>
  <property fmtid="{D5CDD505-2E9C-101B-9397-08002B2CF9AE}" pid="44" name="is_prop_efficiency_takeoff_fixed_value" linkTarget="PROP_is_prop_efficiency_takeoff_fixed_value">
    <vt:lpwstr>#REF!</vt:lpwstr>
  </property>
  <property fmtid="{D5CDD505-2E9C-101B-9397-08002B2CF9AE}" pid="45" name="ηP_takeoff" linkTarget="PROP_ηP_takeoff">
    <vt:lpwstr>#REF!</vt:lpwstr>
  </property>
  <property fmtid="{D5CDD505-2E9C-101B-9397-08002B2CF9AE}" pid="46" name="A" linkTarget="PROP_A">
    <vt:lpwstr>#REF!</vt:lpwstr>
  </property>
  <property fmtid="{D5CDD505-2E9C-101B-9397-08002B2CF9AE}" pid="47" name="CD0_2nd" linkTarget="PROP_CD0_2nd">
    <vt:lpwstr>#REF!</vt:lpwstr>
  </property>
  <property fmtid="{D5CDD505-2E9C-101B-9397-08002B2CF9AE}" pid="48" name="CDP_2nd" linkTarget="PROP_CDP_2nd">
    <vt:lpwstr>#REF!</vt:lpwstr>
  </property>
  <property fmtid="{D5CDD505-2E9C-101B-9397-08002B2CF9AE}" pid="49" name="CLL_2nd" linkTarget="PROP_CLL_2nd">
    <vt:lpwstr>#REF!</vt:lpwstr>
  </property>
  <property fmtid="{D5CDD505-2E9C-101B-9397-08002B2CF9AE}" pid="50" name="CLTO" linkTarget="PROP_CLTO">
    <vt:lpwstr>#REF!</vt:lpwstr>
  </property>
  <property fmtid="{D5CDD505-2E9C-101B-9397-08002B2CF9AE}" pid="51" name="DCDflap_2nd" linkTarget="PROP_DCDflap_2nd">
    <vt:lpwstr>#REF!</vt:lpwstr>
  </property>
  <property fmtid="{D5CDD505-2E9C-101B-9397-08002B2CF9AE}" pid="52" name="DCDslat_2nd" linkTarget="PROP_DCDslat_2nd">
    <vt:lpwstr>#REF!</vt:lpwstr>
  </property>
  <property fmtid="{D5CDD505-2E9C-101B-9397-08002B2CF9AE}" pid="53" name="e_landing" linkTarget="PROP_e_landing">
    <vt:lpwstr>#REF!</vt:lpwstr>
  </property>
  <property fmtid="{D5CDD505-2E9C-101B-9397-08002B2CF9AE}" pid="54" name="ETO" linkTarget="PROP_ETO">
    <vt:lpwstr>#REF!</vt:lpwstr>
  </property>
  <property fmtid="{D5CDD505-2E9C-101B-9397-08002B2CF9AE}" pid="55" name="sin_gamma_2nd" linkTarget="PROP_sin_gamma_2nd">
    <vt:lpwstr>#REF!</vt:lpwstr>
  </property>
  <property fmtid="{D5CDD505-2E9C-101B-9397-08002B2CF9AE}" pid="56" name="automatic_propeller_efficiency_2nd" linkTarget="PROP_automatic_propeller_efficiency_2nd">
    <vt:lpwstr>#REF!</vt:lpwstr>
  </property>
  <property fmtid="{D5CDD505-2E9C-101B-9397-08002B2CF9AE}" pid="57" name="given_propeller_efficiency_2nd" linkTarget="PROP_given_propeller_efficiency_2nd">
    <vt:lpwstr>#REF!</vt:lpwstr>
  </property>
  <property fmtid="{D5CDD505-2E9C-101B-9397-08002B2CF9AE}" pid="58" name="is_prop_efficiency_2nd_fixed_value" linkTarget="PROP_is_prop_efficiency_2nd_fixed_value">
    <vt:lpwstr>#REF!</vt:lpwstr>
  </property>
  <property fmtid="{D5CDD505-2E9C-101B-9397-08002B2CF9AE}" pid="59" name="ηP_2nd" linkTarget="PROP_ηP_2nd">
    <vt:lpwstr>#REF!</vt:lpwstr>
  </property>
  <property fmtid="{D5CDD505-2E9C-101B-9397-08002B2CF9AE}" pid="60" name="power_to_mass_ratio_takeoff" linkTarget="PROP_power_to_mass_ratio_takeoff">
    <vt:lpwstr>#REF!</vt:lpwstr>
  </property>
  <property fmtid="{D5CDD505-2E9C-101B-9397-08002B2CF9AE}" pid="61" name="power_to_weight_ratio_takeoff" linkTarget="PROP_power_to_weight_ratio_takeoff">
    <vt:lpwstr/>
  </property>
  <property fmtid="{D5CDD505-2E9C-101B-9397-08002B2CF9AE}" pid="62" name="V" linkTarget="PROP_V">
    <vt:lpwstr/>
  </property>
  <property fmtid="{D5CDD505-2E9C-101B-9397-08002B2CF9AE}" pid="63" name="V2" linkTarget="PROP_V2">
    <vt:lpwstr>#REF!</vt:lpwstr>
  </property>
  <property fmtid="{D5CDD505-2E9C-101B-9397-08002B2CF9AE}" pid="64" name="automatic_propeller_efficiency_missed_approach" linkTarget="PROP_automatic_propeller_efficiency_missed_approach">
    <vt:lpwstr>#REF!</vt:lpwstr>
  </property>
  <property fmtid="{D5CDD505-2E9C-101B-9397-08002B2CF9AE}" pid="65" name="CD0_missed_approach" linkTarget="PROP_CD0_missed_approach">
    <vt:lpwstr>#REF!</vt:lpwstr>
  </property>
  <property fmtid="{D5CDD505-2E9C-101B-9397-08002B2CF9AE}" pid="66" name="CDP_missed_approach" linkTarget="PROP_CDP_missed_approach">
    <vt:lpwstr>#REF!</vt:lpwstr>
  </property>
  <property fmtid="{D5CDD505-2E9C-101B-9397-08002B2CF9AE}" pid="67" name="CLL_missed_approach" linkTarget="PROP_CLL_missed_approach">
    <vt:lpwstr>#REF!</vt:lpwstr>
  </property>
  <property fmtid="{D5CDD505-2E9C-101B-9397-08002B2CF9AE}" pid="68" name="DCDflap_missed_approach" linkTarget="PROP_DCDflap_missed_approach">
    <vt:lpwstr>#REF!</vt:lpwstr>
  </property>
  <property fmtid="{D5CDD505-2E9C-101B-9397-08002B2CF9AE}" pid="69" name="DCDgear_missed_approach" linkTarget="PROP_DCDgear_missed_approach">
    <vt:lpwstr>#REF!</vt:lpwstr>
  </property>
  <property fmtid="{D5CDD505-2E9C-101B-9397-08002B2CF9AE}" pid="70" name="DCDslat_missed_approach" linkTarget="PROP_DCDslat_missed_approach">
    <vt:lpwstr>#REF!</vt:lpwstr>
  </property>
  <property fmtid="{D5CDD505-2E9C-101B-9397-08002B2CF9AE}" pid="71" name="EL_missed_approach" linkTarget="PROP_EL_missed_approach">
    <vt:lpwstr>#REF!</vt:lpwstr>
  </property>
  <property fmtid="{D5CDD505-2E9C-101B-9397-08002B2CF9AE}" pid="72" name="given_propeller_efficiency_missed_approach" linkTarget="PROP_given_propeller_efficiency_missed_approach">
    <vt:lpwstr>#REF!</vt:lpwstr>
  </property>
  <property fmtid="{D5CDD505-2E9C-101B-9397-08002B2CF9AE}" pid="73" name="sin_gamma_missed_approach" linkTarget="PROP_sin_gamma_missed_approach">
    <vt:lpwstr>#REF!</vt:lpwstr>
  </property>
  <property fmtid="{D5CDD505-2E9C-101B-9397-08002B2CF9AE}" pid="74" name="ηP_missed_approach" linkTarget="PROP_ηP_missed_approach">
    <vt:lpwstr>#REF!</vt:lpwstr>
  </property>
  <property fmtid="{D5CDD505-2E9C-101B-9397-08002B2CF9AE}" pid="75" name="chosen_missed_approach_certification" linkTarget="PROP_chosen_missed_approach_certification">
    <vt:lpwstr>#REF!</vt:lpwstr>
  </property>
  <property fmtid="{D5CDD505-2E9C-101B-9397-08002B2CF9AE}" pid="76" name="DCDgear_FAR25" linkTarget="PROP_DCDgear_FAR25">
    <vt:lpwstr>#REF!</vt:lpwstr>
  </property>
  <property fmtid="{D5CDD505-2E9C-101B-9397-08002B2CF9AE}" pid="77" name="DCDgear_JAR25" linkTarget="PROP_DCDgear_JAR25">
    <vt:lpwstr>#REF!</vt:lpwstr>
  </property>
  <property fmtid="{D5CDD505-2E9C-101B-9397-08002B2CF9AE}" pid="78" name="is_prop_efficiency_missed_approach_fixed_value" linkTarget="PROP_is_prop_efficiency_missed_approach_fixed_value">
    <vt:lpwstr>#REF!</vt:lpwstr>
  </property>
  <property fmtid="{D5CDD505-2E9C-101B-9397-08002B2CF9AE}" pid="79" name="mML_mMTO" linkTarget="PROP_mML_mMTO">
    <vt:lpwstr>#REF!</vt:lpwstr>
  </property>
  <property fmtid="{D5CDD505-2E9C-101B-9397-08002B2CF9AE}" pid="80" name="n" linkTarget="PROP_n">
    <vt:lpwstr/>
  </property>
  <property fmtid="{D5CDD505-2E9C-101B-9397-08002B2CF9AE}" pid="81" name="Cfeqv" linkTarget="PROP_Cfeqv">
    <vt:lpwstr>#REF!</vt:lpwstr>
  </property>
  <property fmtid="{D5CDD505-2E9C-101B-9397-08002B2CF9AE}" pid="82" name="chosen_kE" linkTarget="PROP_chosen_kE">
    <vt:lpwstr>#REF!</vt:lpwstr>
  </property>
  <property fmtid="{D5CDD505-2E9C-101B-9397-08002B2CF9AE}" pid="83" name="e_for_kE" linkTarget="PROP_e_for_kE">
    <vt:lpwstr>#REF!</vt:lpwstr>
  </property>
  <property fmtid="{D5CDD505-2E9C-101B-9397-08002B2CF9AE}" pid="84" name="Emax_chosen" linkTarget="PROP_Emax_chosen">
    <vt:lpwstr>#REF!</vt:lpwstr>
  </property>
  <property fmtid="{D5CDD505-2E9C-101B-9397-08002B2CF9AE}" pid="85" name="Swet_Sw" linkTarget="PROP_Swet_Sw">
    <vt:lpwstr>#REF!</vt:lpwstr>
  </property>
  <property fmtid="{D5CDD505-2E9C-101B-9397-08002B2CF9AE}" pid="86" name="CD0_cruise" linkTarget="PROP_CD0_cruise">
    <vt:lpwstr>#REF!</vt:lpwstr>
  </property>
  <property fmtid="{D5CDD505-2E9C-101B-9397-08002B2CF9AE}" pid="87" name="CL_CLm" linkTarget="PROP_CL_CLm">
    <vt:lpwstr/>
  </property>
  <property fmtid="{D5CDD505-2E9C-101B-9397-08002B2CF9AE}" pid="88" name="CLcr" linkTarget="PROP_CLcr">
    <vt:lpwstr>#REF!</vt:lpwstr>
  </property>
  <property fmtid="{D5CDD505-2E9C-101B-9397-08002B2CF9AE}" pid="89" name="CLmd" linkTarget="PROP_CLmd">
    <vt:lpwstr>#REF!</vt:lpwstr>
  </property>
  <property fmtid="{D5CDD505-2E9C-101B-9397-08002B2CF9AE}" pid="90" name="E" linkTarget="PROP_E">
    <vt:lpwstr>#REF!</vt:lpwstr>
  </property>
  <property fmtid="{D5CDD505-2E9C-101B-9397-08002B2CF9AE}" pid="91" name="e_cruise" linkTarget="PROP_e_cruise">
    <vt:lpwstr>#REF!</vt:lpwstr>
  </property>
  <property fmtid="{D5CDD505-2E9C-101B-9397-08002B2CF9AE}" pid="92" name="V_Vmd" linkTarget="PROP_V_Vmd">
    <vt:lpwstr>#REF!</vt:lpwstr>
  </property>
  <property fmtid="{D5CDD505-2E9C-101B-9397-08002B2CF9AE}" pid="93" name="given_propeller_efficiency_cruise" linkTarget="PROP_given_propeller_efficiency_cruise">
    <vt:lpwstr>#REF!</vt:lpwstr>
  </property>
  <property fmtid="{D5CDD505-2E9C-101B-9397-08002B2CF9AE}" pid="94" name="is_prop_efficiency_cruise_fixed_value" linkTarget="PROP_is_prop_efficiency_cruise_fixed_value">
    <vt:lpwstr>#REF!</vt:lpwstr>
  </property>
  <property fmtid="{D5CDD505-2E9C-101B-9397-08002B2CF9AE}" pid="95" name="aCR_iteration0" linkTarget="PROP_aCR_iteration0">
    <vt:lpwstr>#REF!</vt:lpwstr>
  </property>
  <property fmtid="{D5CDD505-2E9C-101B-9397-08002B2CF9AE}" pid="96" name="aCR_iteration1" linkTarget="PROP_aCR_iteration1">
    <vt:lpwstr>#REF!</vt:lpwstr>
  </property>
  <property fmtid="{D5CDD505-2E9C-101B-9397-08002B2CF9AE}" pid="97" name="aCR_iteration2" linkTarget="PROP_aCR_iteration2">
    <vt:lpwstr>#REF!</vt:lpwstr>
  </property>
  <property fmtid="{D5CDD505-2E9C-101B-9397-08002B2CF9AE}" pid="98" name="aCR_iteration3" linkTarget="PROP_aCR_iteration3">
    <vt:lpwstr>#REF!</vt:lpwstr>
  </property>
  <property fmtid="{D5CDD505-2E9C-101B-9397-08002B2CF9AE}" pid="99" name="LD_iteration1" linkTarget="PROP_LD_iteration1">
    <vt:lpwstr>#REF!</vt:lpwstr>
  </property>
  <property fmtid="{D5CDD505-2E9C-101B-9397-08002B2CF9AE}" pid="100" name="LD_iteration2" linkTarget="PROP_LD_iteration2">
    <vt:lpwstr>#REF!</vt:lpwstr>
  </property>
  <property fmtid="{D5CDD505-2E9C-101B-9397-08002B2CF9AE}" pid="101" name="LD_iteration3" linkTarget="PROP_LD_iteration3">
    <vt:lpwstr>#REF!</vt:lpwstr>
  </property>
  <property fmtid="{D5CDD505-2E9C-101B-9397-08002B2CF9AE}" pid="102" name="PCR_PSTO_iteration1" linkTarget="PROP_PCR_PSTO_iteration1">
    <vt:lpwstr>#REF!</vt:lpwstr>
  </property>
  <property fmtid="{D5CDD505-2E9C-101B-9397-08002B2CF9AE}" pid="103" name="PCR_PSTO_iteration2" linkTarget="PROP_PCR_PSTO_iteration2">
    <vt:lpwstr>#REF!</vt:lpwstr>
  </property>
  <property fmtid="{D5CDD505-2E9C-101B-9397-08002B2CF9AE}" pid="104" name="PCR_PSTO_iteration3" linkTarget="PROP_PCR_PSTO_iteration3">
    <vt:lpwstr>#REF!</vt:lpwstr>
  </property>
  <property fmtid="{D5CDD505-2E9C-101B-9397-08002B2CF9AE}" pid="105" name="PSCR_nE_iteration1" linkTarget="PROP_PSCR_nE_iteration1">
    <vt:lpwstr>#REF!</vt:lpwstr>
  </property>
  <property fmtid="{D5CDD505-2E9C-101B-9397-08002B2CF9AE}" pid="106" name="PSCR_nE_iteration2" linkTarget="PROP_PSCR_nE_iteration2">
    <vt:lpwstr>#REF!</vt:lpwstr>
  </property>
  <property fmtid="{D5CDD505-2E9C-101B-9397-08002B2CF9AE}" pid="107" name="PSCR_nE_iteration3" linkTarget="PROP_PSCR_nE_iteration3">
    <vt:lpwstr>#REF!</vt:lpwstr>
  </property>
  <property fmtid="{D5CDD505-2E9C-101B-9397-08002B2CF9AE}" pid="108" name="T_iteration0" linkTarget="PROP_T_iteration0">
    <vt:lpwstr>#REF!</vt:lpwstr>
  </property>
  <property fmtid="{D5CDD505-2E9C-101B-9397-08002B2CF9AE}" pid="109" name="T_iteration1" linkTarget="PROP_T_iteration1">
    <vt:lpwstr>#REF!</vt:lpwstr>
  </property>
  <property fmtid="{D5CDD505-2E9C-101B-9397-08002B2CF9AE}" pid="110" name="T_iteration2" linkTarget="PROP_T_iteration2">
    <vt:lpwstr>#REF!</vt:lpwstr>
  </property>
  <property fmtid="{D5CDD505-2E9C-101B-9397-08002B2CF9AE}" pid="111" name="T_iteration3" linkTarget="PROP_T_iteration3">
    <vt:lpwstr>#REF!</vt:lpwstr>
  </property>
  <property fmtid="{D5CDD505-2E9C-101B-9397-08002B2CF9AE}" pid="112" name="VCR_iteration1" linkTarget="PROP_VCR_iteration1">
    <vt:lpwstr>#REF!</vt:lpwstr>
  </property>
  <property fmtid="{D5CDD505-2E9C-101B-9397-08002B2CF9AE}" pid="113" name="VCR_iteration2" linkTarget="PROP_VCR_iteration2">
    <vt:lpwstr>#REF!</vt:lpwstr>
  </property>
  <property fmtid="{D5CDD505-2E9C-101B-9397-08002B2CF9AE}" pid="114" name="VCR_iteration3" linkTarget="PROP_VCR_iteration3">
    <vt:lpwstr>#REF!</vt:lpwstr>
  </property>
  <property fmtid="{D5CDD505-2E9C-101B-9397-08002B2CF9AE}" pid="115" name="ηP_iteration0" linkTarget="PROP_ηP_iteration0">
    <vt:lpwstr>#REF!</vt:lpwstr>
  </property>
  <property fmtid="{D5CDD505-2E9C-101B-9397-08002B2CF9AE}" pid="116" name="ηP_iteration1" linkTarget="PROP_ηP_iteration1">
    <vt:lpwstr>#REF!</vt:lpwstr>
  </property>
  <property fmtid="{D5CDD505-2E9C-101B-9397-08002B2CF9AE}" pid="117" name="ηP_iteration2" linkTarget="PROP_ηP_iteration2">
    <vt:lpwstr>#REF!</vt:lpwstr>
  </property>
  <property fmtid="{D5CDD505-2E9C-101B-9397-08002B2CF9AE}" pid="118" name="ηP_iteration3" linkTarget="PROP_ηP_iteration3">
    <vt:lpwstr/>
  </property>
  <property fmtid="{D5CDD505-2E9C-101B-9397-08002B2CF9AE}" pid="119" name="σ_iteration1" linkTarget="PROP_σ_iteration1">
    <vt:lpwstr>#REF!</vt:lpwstr>
  </property>
  <property fmtid="{D5CDD505-2E9C-101B-9397-08002B2CF9AE}" pid="120" name="σ_iteration2" linkTarget="PROP_σ_iteration2">
    <vt:lpwstr>#REF!</vt:lpwstr>
  </property>
  <property fmtid="{D5CDD505-2E9C-101B-9397-08002B2CF9AE}" pid="121" name="σ_iteration3" linkTarget="PROP_σ_iteration3">
    <vt:lpwstr>#REF!</vt:lpwstr>
  </property>
  <property fmtid="{D5CDD505-2E9C-101B-9397-08002B2CF9AE}" pid="122" name="Bs" linkTarget="PROP_Bs">
    <vt:lpwstr>#REF!</vt:lpwstr>
  </property>
  <property fmtid="{D5CDD505-2E9C-101B-9397-08002B2CF9AE}" pid="123" name="hCR" linkTarget="PROP_hCR">
    <vt:lpwstr>#REF!</vt:lpwstr>
  </property>
  <property fmtid="{D5CDD505-2E9C-101B-9397-08002B2CF9AE}" pid="124" name="MffCR" linkTarget="PROP_MffCR">
    <vt:lpwstr>#REF!</vt:lpwstr>
  </property>
  <property fmtid="{D5CDD505-2E9C-101B-9397-08002B2CF9AE}" pid="125" name="SFCP" linkTarget="PROP_SFCP">
    <vt:lpwstr>#REF!</vt:lpwstr>
  </property>
  <property fmtid="{D5CDD505-2E9C-101B-9397-08002B2CF9AE}" pid="126" name="VC" linkTarget="PROP_VC">
    <vt:lpwstr/>
  </property>
  <property fmtid="{D5CDD505-2E9C-101B-9397-08002B2CF9AE}" pid="127" name="VCR" linkTarget="PROP_VCR">
    <vt:lpwstr>#REF!</vt:lpwstr>
  </property>
  <property fmtid="{D5CDD505-2E9C-101B-9397-08002B2CF9AE}" pid="128" name="ηP_cruise" linkTarget="PROP_ηP_cruise">
    <vt:lpwstr>#REF!</vt:lpwstr>
  </property>
  <property fmtid="{D5CDD505-2E9C-101B-9397-08002B2CF9AE}" pid="129" name="Bt" linkTarget="PROP_Bt">
    <vt:lpwstr>#REF!</vt:lpwstr>
  </property>
  <property fmtid="{D5CDD505-2E9C-101B-9397-08002B2CF9AE}" pid="130" name="extra_fuel_fraction" linkTarget="PROP_extra_fuel_fraction">
    <vt:lpwstr>#REF!</vt:lpwstr>
  </property>
  <property fmtid="{D5CDD505-2E9C-101B-9397-08002B2CF9AE}" pid="131" name="m" linkTarget="PROP_m">
    <vt:lpwstr/>
  </property>
  <property fmtid="{D5CDD505-2E9C-101B-9397-08002B2CF9AE}" pid="132" name="mF" linkTarget="PROP_mF">
    <vt:lpwstr>#REF!</vt:lpwstr>
  </property>
  <property fmtid="{D5CDD505-2E9C-101B-9397-08002B2CF9AE}" pid="133" name="mF_mMTO" linkTarget="PROP_mF_mMTO">
    <vt:lpwstr>#REF!</vt:lpwstr>
  </property>
  <property fmtid="{D5CDD505-2E9C-101B-9397-08002B2CF9AE}" pid="134" name="Mff" linkTarget="PROP_Mff">
    <vt:lpwstr>#REF!</vt:lpwstr>
  </property>
  <property fmtid="{D5CDD505-2E9C-101B-9397-08002B2CF9AE}" pid="135" name="Mff_allres" linkTarget="PROP_Mff_allres">
    <vt:lpwstr>#REF!</vt:lpwstr>
  </property>
  <property fmtid="{D5CDD505-2E9C-101B-9397-08002B2CF9AE}" pid="136" name="MFFC" linkTarget="PROP_MFFC">
    <vt:lpwstr/>
  </property>
  <property fmtid="{D5CDD505-2E9C-101B-9397-08002B2CF9AE}" pid="137" name="MFFCL" linkTarget="PROP_MFFCL">
    <vt:lpwstr/>
  </property>
  <property fmtid="{D5CDD505-2E9C-101B-9397-08002B2CF9AE}" pid="138" name="MffCLB" linkTarget="PROP_MffCLB">
    <vt:lpwstr>#REF!</vt:lpwstr>
  </property>
  <property fmtid="{D5CDD505-2E9C-101B-9397-08002B2CF9AE}" pid="139" name="MFFD" linkTarget="PROP_MFFD">
    <vt:lpwstr/>
  </property>
  <property fmtid="{D5CDD505-2E9C-101B-9397-08002B2CF9AE}" pid="140" name="MFFDE" linkTarget="PROP_MFFDE">
    <vt:lpwstr/>
  </property>
  <property fmtid="{D5CDD505-2E9C-101B-9397-08002B2CF9AE}" pid="141" name="MffDES" linkTarget="PROP_MffDES">
    <vt:lpwstr>#REF!</vt:lpwstr>
  </property>
  <property fmtid="{D5CDD505-2E9C-101B-9397-08002B2CF9AE}" pid="142" name="Mffengine" linkTarget="PROP_Mffengine">
    <vt:lpwstr>#REF!</vt:lpwstr>
  </property>
  <property fmtid="{D5CDD505-2E9C-101B-9397-08002B2CF9AE}" pid="143" name="MffL" linkTarget="PROP_MffL">
    <vt:lpwstr>#REF!</vt:lpwstr>
  </property>
  <property fmtid="{D5CDD505-2E9C-101B-9397-08002B2CF9AE}" pid="144" name="Mffloiter" linkTarget="PROP_Mffloiter">
    <vt:lpwstr>#REF!</vt:lpwstr>
  </property>
  <property fmtid="{D5CDD505-2E9C-101B-9397-08002B2CF9AE}" pid="145" name="MffRES" linkTarget="PROP_MffRES">
    <vt:lpwstr>#REF!</vt:lpwstr>
  </property>
  <property fmtid="{D5CDD505-2E9C-101B-9397-08002B2CF9AE}" pid="146" name="Mffstd" linkTarget="PROP_Mffstd">
    <vt:lpwstr>#REF!</vt:lpwstr>
  </property>
  <property fmtid="{D5CDD505-2E9C-101B-9397-08002B2CF9AE}" pid="147" name="Mfftaxi" linkTarget="PROP_Mfftaxi">
    <vt:lpwstr>#REF!</vt:lpwstr>
  </property>
  <property fmtid="{D5CDD505-2E9C-101B-9397-08002B2CF9AE}" pid="148" name="MffTO" linkTarget="PROP_MffTO">
    <vt:lpwstr>#REF!</vt:lpwstr>
  </property>
  <property fmtid="{D5CDD505-2E9C-101B-9397-08002B2CF9AE}" pid="149" name="SFCloiter" linkTarget="PROP_SFCloiter">
    <vt:lpwstr>#REF!</vt:lpwstr>
  </property>
  <property fmtid="{D5CDD505-2E9C-101B-9397-08002B2CF9AE}" pid="150" name="sres" linkTarget="PROP_sres">
    <vt:lpwstr>#REF!</vt:lpwstr>
  </property>
  <property fmtid="{D5CDD505-2E9C-101B-9397-08002B2CF9AE}" pid="151" name="sto_alternate" linkTarget="PROP_sto_alternate">
    <vt:lpwstr>#REF!</vt:lpwstr>
  </property>
  <property fmtid="{D5CDD505-2E9C-101B-9397-08002B2CF9AE}" pid="152" name="tloiter" linkTarget="PROP_tloiter">
    <vt:lpwstr>#REF!</vt:lpwstr>
  </property>
  <property fmtid="{D5CDD505-2E9C-101B-9397-08002B2CF9AE}" pid="153" name="mOE_mTO" linkTarget="PROP_mOE_mTO">
    <vt:lpwstr>#REF!</vt:lpwstr>
  </property>
  <property fmtid="{D5CDD505-2E9C-101B-9397-08002B2CF9AE}" pid="154" name="mPAX" linkTarget="PROP_mPAX">
    <vt:lpwstr>#REF!</vt:lpwstr>
  </property>
  <property fmtid="{D5CDD505-2E9C-101B-9397-08002B2CF9AE}" pid="155" name="rF" linkTarget="PROP_rF">
    <vt:lpwstr>#REF!</vt:lpwstr>
  </property>
  <property fmtid="{D5CDD505-2E9C-101B-9397-08002B2CF9AE}" pid="156" name="ePSTO_nE" linkTarget="PROP_ePSTO_nE">
    <vt:lpwstr/>
  </property>
  <property fmtid="{D5CDD505-2E9C-101B-9397-08002B2CF9AE}" pid="157" name="esPSTO_nE" linkTarget="PROP_esPSTO_nE">
    <vt:lpwstr/>
  </property>
  <property fmtid="{D5CDD505-2E9C-101B-9397-08002B2CF9AE}" pid="158" name="estimaPSTO_nE" linkTarget="PROP_estimaPSTO_nE">
    <vt:lpwstr/>
  </property>
  <property fmtid="{D5CDD505-2E9C-101B-9397-08002B2CF9AE}" pid="159" name="estimated_PSTO_nE" linkTarget="PROP_estimated_PSTO_nE">
    <vt:lpwstr>#REF!</vt:lpwstr>
  </property>
  <property fmtid="{D5CDD505-2E9C-101B-9397-08002B2CF9AE}" pid="160" name="estimatedPSTO_nE" linkTarget="PROP_estimatedPSTO_nE">
    <vt:lpwstr/>
  </property>
  <property fmtid="{D5CDD505-2E9C-101B-9397-08002B2CF9AE}" pid="161" name="estimatePSTO_nE" linkTarget="PROP_estimatePSTO_nE">
    <vt:lpwstr/>
  </property>
  <property fmtid="{D5CDD505-2E9C-101B-9397-08002B2CF9AE}" pid="162" name="estimatPSTO_nE" linkTarget="PROP_estimatPSTO_nE">
    <vt:lpwstr/>
  </property>
  <property fmtid="{D5CDD505-2E9C-101B-9397-08002B2CF9AE}" pid="163" name="estimPSTO_nE" linkTarget="PROP_estimPSTO_nE">
    <vt:lpwstr/>
  </property>
  <property fmtid="{D5CDD505-2E9C-101B-9397-08002B2CF9AE}" pid="164" name="estiPSTO_nE" linkTarget="PROP_estiPSTO_nE">
    <vt:lpwstr/>
  </property>
  <property fmtid="{D5CDD505-2E9C-101B-9397-08002B2CF9AE}" pid="165" name="estPSTO_nE" linkTarget="PROP_estPSTO_nE">
    <vt:lpwstr/>
  </property>
  <property fmtid="{D5CDD505-2E9C-101B-9397-08002B2CF9AE}" pid="166" name="esttiPSTO_nE" linkTarget="PROP_esttiPSTO_nE">
    <vt:lpwstr/>
  </property>
  <property fmtid="{D5CDD505-2E9C-101B-9397-08002B2CF9AE}" pid="167" name="esttPSTO_nE" linkTarget="PROP_esttPSTO_nE">
    <vt:lpwstr/>
  </property>
  <property fmtid="{D5CDD505-2E9C-101B-9397-08002B2CF9AE}" pid="168" name="h" linkTarget="PROP_h">
    <vt:lpwstr/>
  </property>
  <property fmtid="{D5CDD505-2E9C-101B-9397-08002B2CF9AE}" pid="169" name="hc" linkTarget="PROP_hc">
    <vt:lpwstr/>
  </property>
  <property fmtid="{D5CDD505-2E9C-101B-9397-08002B2CF9AE}" pid="170" name="mffe" linkTarget="PROP_mffe">
    <vt:lpwstr/>
  </property>
  <property fmtid="{D5CDD505-2E9C-101B-9397-08002B2CF9AE}" pid="171" name="mffen" linkTarget="PROP_mffen">
    <vt:lpwstr/>
  </property>
  <property fmtid="{D5CDD505-2E9C-101B-9397-08002B2CF9AE}" pid="172" name="mffeng" linkTarget="PROP_mffeng">
    <vt:lpwstr/>
  </property>
  <property fmtid="{D5CDD505-2E9C-101B-9397-08002B2CF9AE}" pid="173" name="mffengi" linkTarget="PROP_mffengi">
    <vt:lpwstr/>
  </property>
  <property fmtid="{D5CDD505-2E9C-101B-9397-08002B2CF9AE}" pid="174" name="mffengin" linkTarget="PROP_mffengin">
    <vt:lpwstr/>
  </property>
  <property fmtid="{D5CDD505-2E9C-101B-9397-08002B2CF9AE}" pid="175" name="mfft" linkTarget="PROP_mfft">
    <vt:lpwstr/>
  </property>
  <property fmtid="{D5CDD505-2E9C-101B-9397-08002B2CF9AE}" pid="176" name="mffta" linkTarget="PROP_mffta">
    <vt:lpwstr/>
  </property>
  <property fmtid="{D5CDD505-2E9C-101B-9397-08002B2CF9AE}" pid="177" name="mfftax" linkTarget="PROP_mfftax">
    <vt:lpwstr/>
  </property>
  <property fmtid="{D5CDD505-2E9C-101B-9397-08002B2CF9AE}" pid="178" name="mFreq" linkTarget="PROP_mFreq">
    <vt:lpwstr>#REF!</vt:lpwstr>
  </property>
  <property fmtid="{D5CDD505-2E9C-101B-9397-08002B2CF9AE}" pid="179" name="mFres" linkTarget="PROP_mFres">
    <vt:lpwstr>#REF!</vt:lpwstr>
  </property>
  <property fmtid="{D5CDD505-2E9C-101B-9397-08002B2CF9AE}" pid="180" name="mM" linkTarget="PROP_mM">
    <vt:lpwstr/>
  </property>
  <property fmtid="{D5CDD505-2E9C-101B-9397-08002B2CF9AE}" pid="181" name="mML" linkTarget="PROP_mML">
    <vt:lpwstr>#REF!</vt:lpwstr>
  </property>
  <property fmtid="{D5CDD505-2E9C-101B-9397-08002B2CF9AE}" pid="182" name="mMT" linkTarget="PROP_mMT">
    <vt:lpwstr/>
  </property>
  <property fmtid="{D5CDD505-2E9C-101B-9397-08002B2CF9AE}" pid="183" name="mMTO" linkTarget="PROP_mMTO">
    <vt:lpwstr>#REF!</vt:lpwstr>
  </property>
  <property fmtid="{D5CDD505-2E9C-101B-9397-08002B2CF9AE}" pid="184" name="mMTO_" linkTarget="PROP_mMTO_">
    <vt:lpwstr/>
  </property>
  <property fmtid="{D5CDD505-2E9C-101B-9397-08002B2CF9AE}" pid="185" name="mMTO_S" linkTarget="PROP_mMTO_S">
    <vt:lpwstr/>
  </property>
  <property fmtid="{D5CDD505-2E9C-101B-9397-08002B2CF9AE}" pid="186" name="mMTO_SY" linkTarget="PROP_mMTO_SY">
    <vt:lpwstr/>
  </property>
  <property fmtid="{D5CDD505-2E9C-101B-9397-08002B2CF9AE}" pid="187" name="mMZF" linkTarget="PROP_mMZF">
    <vt:lpwstr>#REF!</vt:lpwstr>
  </property>
  <property fmtid="{D5CDD505-2E9C-101B-9397-08002B2CF9AE}" pid="188" name="mOE" linkTarget="PROP_mOE">
    <vt:lpwstr>#REF!</vt:lpwstr>
  </property>
  <property fmtid="{D5CDD505-2E9C-101B-9397-08002B2CF9AE}" pid="189" name="mp" linkTarget="PROP_mp">
    <vt:lpwstr/>
  </property>
  <property fmtid="{D5CDD505-2E9C-101B-9397-08002B2CF9AE}" pid="190" name="mPL" linkTarget="PROP_mPL">
    <vt:lpwstr>#REF!</vt:lpwstr>
  </property>
  <property fmtid="{D5CDD505-2E9C-101B-9397-08002B2CF9AE}" pid="191" name="P" linkTarget="PROP_P">
    <vt:lpwstr/>
  </property>
  <property fmtid="{D5CDD505-2E9C-101B-9397-08002B2CF9AE}" pid="192" name="power_to_mass_ratio_design_point" linkTarget="PROP_power_to_mass_ratio_design_point">
    <vt:lpwstr>#REF!</vt:lpwstr>
  </property>
  <property fmtid="{D5CDD505-2E9C-101B-9397-08002B2CF9AE}" pid="193" name="PS" linkTarget="PROP_PS">
    <vt:lpwstr/>
  </property>
  <property fmtid="{D5CDD505-2E9C-101B-9397-08002B2CF9AE}" pid="194" name="PST" linkTarget="PROP_PST">
    <vt:lpwstr/>
  </property>
  <property fmtid="{D5CDD505-2E9C-101B-9397-08002B2CF9AE}" pid="195" name="PSTO" linkTarget="PROP_PSTO">
    <vt:lpwstr>#REF!</vt:lpwstr>
  </property>
  <property fmtid="{D5CDD505-2E9C-101B-9397-08002B2CF9AE}" pid="196" name="PSTO_" linkTarget="PROP_PSTO_">
    <vt:lpwstr/>
  </property>
  <property fmtid="{D5CDD505-2E9C-101B-9397-08002B2CF9AE}" pid="197" name="PSTO_M" linkTarget="PROP_PSTO_M">
    <vt:lpwstr/>
  </property>
  <property fmtid="{D5CDD505-2E9C-101B-9397-08002B2CF9AE}" pid="198" name="PSTO_MM" linkTarget="PROP_PSTO_MM">
    <vt:lpwstr/>
  </property>
  <property fmtid="{D5CDD505-2E9C-101B-9397-08002B2CF9AE}" pid="199" name="PSTO_MMT" linkTarget="PROP_PSTO_MMT">
    <vt:lpwstr/>
  </property>
  <property fmtid="{D5CDD505-2E9C-101B-9397-08002B2CF9AE}" pid="200" name="PSTO_MMTO" linkTarget="PROP_PSTO_MMTO">
    <vt:lpwstr/>
  </property>
  <property fmtid="{D5CDD505-2E9C-101B-9397-08002B2CF9AE}" pid="201" name="PSTO_n" linkTarget="PROP_PSTO_n">
    <vt:lpwstr/>
  </property>
  <property fmtid="{D5CDD505-2E9C-101B-9397-08002B2CF9AE}" pid="202" name="S" linkTarget="PROP_S">
    <vt:lpwstr/>
  </property>
  <property fmtid="{D5CDD505-2E9C-101B-9397-08002B2CF9AE}" pid="203" name="SP" linkTarget="PROP_SP">
    <vt:lpwstr/>
  </property>
  <property fmtid="{D5CDD505-2E9C-101B-9397-08002B2CF9AE}" pid="204" name="SW" linkTarget="PROP_SW">
    <vt:lpwstr>#REF!</vt:lpwstr>
  </property>
  <property fmtid="{D5CDD505-2E9C-101B-9397-08002B2CF9AE}" pid="205" name="VFreq" linkTarget="PROP_VFreq">
    <vt:lpwstr>#REF!</vt:lpwstr>
  </property>
  <property fmtid="{D5CDD505-2E9C-101B-9397-08002B2CF9AE}" pid="206" name="APROP_e_landing" linkTarget="PROP_APROP_e_landing">
    <vt:lpwstr/>
  </property>
  <property fmtid="{D5CDD505-2E9C-101B-9397-08002B2CF9AE}" pid="207" name="CL_CLmd" linkTarget="PROP_CL_CLmd">
    <vt:lpwstr>#REF!</vt:lpwstr>
  </property>
  <property fmtid="{D5CDD505-2E9C-101B-9397-08002B2CF9AE}" pid="208" name="power_to_mass_ratio_2nd" linkTarget="PROP_power_to_mass_ratio_2nd">
    <vt:lpwstr>#REF!</vt:lpwstr>
  </property>
  <property fmtid="{D5CDD505-2E9C-101B-9397-08002B2CF9AE}" pid="209" name="power_to_mass_ratio_missed_approach" linkTarget="PROP_power_to_mass_ratio_missed_approach">
    <vt:lpwstr>#REF!</vt:lpwstr>
  </property>
  <property fmtid="{D5CDD505-2E9C-101B-9397-08002B2CF9AE}" pid="210" name="DTTO" linkTarget="PROP_DTTO">
    <vt:lpwstr>#REF!</vt:lpwstr>
  </property>
  <property fmtid="{D5CDD505-2E9C-101B-9397-08002B2CF9AE}" pid="211" name="DTTf" linkTarget="PROP_DTTf">
    <vt:lpwstr/>
  </property>
  <property fmtid="{D5CDD505-2E9C-101B-9397-08002B2CF9AE}" pid="212" name="DTTOf" linkTarget="PROP_DTTOf">
    <vt:lpwstr/>
  </property>
  <property fmtid="{D5CDD505-2E9C-101B-9397-08002B2CF9AE}" pid="213" name="aircraft_type_list" linkTarget="PROP_aircraft_type_list">
    <vt:lpwstr>#REF!</vt:lpwstr>
  </property>
  <property fmtid="{D5CDD505-2E9C-101B-9397-08002B2CF9AE}" pid="214" name="aircraft_type_result" linkTarget="PROP_aircraft_type_result">
    <vt:lpwstr>#REF!</vt:lpwstr>
  </property>
  <property fmtid="{D5CDD505-2E9C-101B-9397-08002B2CF9AE}" pid="215" name="Vs" linkTarget="PROP_Vs">
    <vt:lpwstr/>
  </property>
  <property fmtid="{D5CDD505-2E9C-101B-9397-08002B2CF9AE}" pid="216" name="VA" linkTarget="PROP_VA">
    <vt:lpwstr/>
  </property>
  <property fmtid="{D5CDD505-2E9C-101B-9397-08002B2CF9AE}" pid="217" name="VAP" linkTarget="PROP_VAP">
    <vt:lpwstr/>
  </property>
  <property fmtid="{D5CDD505-2E9C-101B-9397-08002B2CF9AE}" pid="218" name="VAPP1" linkTarget="PROP_VAPP1">
    <vt:lpwstr/>
  </property>
</Properties>
</file>